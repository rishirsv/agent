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Periods" sheetId="2" state="visible" r:id="rId2"/>
    <sheet name="Template | Manifest" sheetId="3" state="visible" r:id="rId3"/>
    <sheet name="Template | Index" sheetId="4" state="visible" r:id="rId4"/>
    <sheet name="Data | TB (Wide)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5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4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21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 ht="24" customHeight="1">
      <c r="A1" s="3863" t="inlineStr">
        <is>
          <t>Control | Setup</t>
        </is>
      </c>
      <c r="B1" s="3874" t="n"/>
    </row>
    <row r="2">
      <c r="A2" s="3865" t="inlineStr">
        <is>
          <t>Central template controls and metadata for any deal.</t>
        </is>
      </c>
      <c r="B2" s="3874" t="n"/>
    </row>
    <row r="3">
      <c r="A3" s="3874" t="n"/>
      <c r="B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</row>
    <row r="5">
      <c r="A5" s="3874" t="n"/>
      <c r="B5" s="3874" t="n"/>
    </row>
    <row r="6">
      <c r="A6" s="3874" t="n"/>
      <c r="B6" s="3874" t="n"/>
    </row>
    <row r="7">
      <c r="A7" s="3904" t="inlineStr">
        <is>
          <t>Field</t>
        </is>
      </c>
      <c r="B7" s="3904" t="inlineStr">
        <is>
          <t>Value</t>
        </is>
      </c>
    </row>
    <row r="8">
      <c r="A8" s="3876" t="inlineStr">
        <is>
          <t>Engagement / Target</t>
        </is>
      </c>
      <c r="B8" s="3905" t="inlineStr"/>
    </row>
    <row r="9">
      <c r="A9" s="3876" t="inlineStr">
        <is>
          <t>TemplateVersion</t>
        </is>
      </c>
      <c r="B9" s="3905" t="inlineStr">
        <is>
          <t>v1.0-packA</t>
        </is>
      </c>
    </row>
    <row r="10">
      <c r="A10" s="3876" t="inlineStr">
        <is>
          <t>Currency</t>
        </is>
      </c>
      <c r="B10" s="3905" t="inlineStr">
        <is>
          <t>USD</t>
        </is>
      </c>
    </row>
    <row r="11">
      <c r="A11" s="3876" t="inlineStr">
        <is>
          <t>Units</t>
        </is>
      </c>
      <c r="B11" s="3905" t="inlineStr">
        <is>
          <t>$000s</t>
        </is>
      </c>
    </row>
    <row r="12">
      <c r="A12" s="3876" t="inlineStr">
        <is>
          <t>FYEndMonth (1-12)</t>
        </is>
      </c>
      <c r="B12" s="3905" t="n">
        <v>12</v>
      </c>
    </row>
    <row r="13">
      <c r="A13" s="3876" t="inlineStr">
        <is>
          <t>LatestMonthEnd</t>
        </is>
      </c>
      <c r="B13" s="3906" t="inlineStr"/>
    </row>
    <row r="14">
      <c r="A14" s="3876" t="inlineStr">
        <is>
          <t>LastRefreshTime</t>
        </is>
      </c>
      <c r="B14" s="3905" t="inlineStr"/>
    </row>
    <row r="15">
      <c r="A15" s="3876" t="inlineStr">
        <is>
          <t>PreparedBy</t>
        </is>
      </c>
      <c r="B15" s="3905" t="inlineStr"/>
    </row>
    <row r="16">
      <c r="A16" s="3876" t="inlineStr">
        <is>
          <t>ReviewedBy</t>
        </is>
      </c>
      <c r="B16" s="3905" t="inlineStr"/>
    </row>
    <row r="17">
      <c r="A17" s="3876" t="inlineStr">
        <is>
          <t>Notes</t>
        </is>
      </c>
      <c r="B17" s="39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8" customWidth="1" min="5" max="5"/>
    <col width="10" customWidth="1" min="6" max="6"/>
    <col width="12" customWidth="1" min="7" max="7"/>
    <col width="10" customWidth="1" min="8" max="8"/>
    <col width="9" customWidth="1" min="9" max="9"/>
  </cols>
  <sheetData>
    <row r="1" ht="24" customHeight="1">
      <c r="A1" s="3863" t="inlineStr">
        <is>
          <t>Control | Periods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</row>
    <row r="2">
      <c r="A2" s="3865" t="inlineStr">
        <is>
          <t>Period engine block used by all output tabs (plain range, anchored).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</row>
    <row r="8">
      <c r="A8" s="3904" t="inlineStr">
        <is>
          <t>PeriodEndDate</t>
        </is>
      </c>
      <c r="B8" s="3904" t="inlineStr">
        <is>
          <t>PeriodKey</t>
        </is>
      </c>
      <c r="C8" s="3904" t="inlineStr">
        <is>
          <t>Label_Flow</t>
        </is>
      </c>
      <c r="D8" s="3904" t="inlineStr">
        <is>
          <t>Label_Snapshot</t>
        </is>
      </c>
      <c r="E8" s="3904" t="inlineStr">
        <is>
          <t>FY</t>
        </is>
      </c>
      <c r="F8" s="3904" t="inlineStr">
        <is>
          <t>IsFYEnd</t>
        </is>
      </c>
      <c r="G8" s="3904" t="inlineStr">
        <is>
          <t>IsInLast36M</t>
        </is>
      </c>
      <c r="H8" s="3904" t="inlineStr">
        <is>
          <t>IsTTMEnd</t>
        </is>
      </c>
      <c r="I8" s="3904" t="inlineStr">
        <is>
          <t>SortOrder</t>
        </is>
      </c>
    </row>
    <row r="9">
      <c r="A9" s="3906" t="n"/>
      <c r="B9" s="3876">
        <f>IF(A9="","",TEXT(A9,"yyyymm"))</f>
        <v/>
      </c>
      <c r="C9" s="3876">
        <f>IF(A9="","",TEXT(A9,"mmm-yy"))</f>
        <v/>
      </c>
      <c r="D9" s="3876">
        <f>IF(A9="","",TEXT(A9,"mmm-yy"))</f>
        <v/>
      </c>
      <c r="E9" s="3876">
        <f>IF(A9="","",YEAR(A9)+(MONTH(A9)&gt;'Control | Setup'!$B$12))</f>
        <v/>
      </c>
      <c r="F9" s="3876">
        <f>IF(A9="","",MONTH(A9)='Control | Setup'!$B$12)</f>
        <v/>
      </c>
      <c r="G9" s="3876">
        <f>IF(OR(A9="",'Control | Setup'!$B$13=""),"",AND(A9&lt;='Control | Setup'!$B$13,A9&gt;EOMONTH('Control | Setup'!$B$13,-36)))</f>
        <v/>
      </c>
      <c r="H9" s="3876">
        <f>IF(OR(A9="",'Control | Setup'!$B$13=""),"",A9='Control | Setup'!$B$13)</f>
        <v/>
      </c>
      <c r="I9" s="3876">
        <f>IF(A9="","",ROW()-8)</f>
        <v/>
      </c>
    </row>
    <row r="10">
      <c r="A10" s="3906" t="n"/>
      <c r="B10" s="3876">
        <f>IF(A10="","",TEXT(A10,"yyyymm"))</f>
        <v/>
      </c>
      <c r="C10" s="3876">
        <f>IF(A10="","",TEXT(A10,"mmm-yy"))</f>
        <v/>
      </c>
      <c r="D10" s="3876">
        <f>IF(A10="","",TEXT(A10,"mmm-yy"))</f>
        <v/>
      </c>
      <c r="E10" s="3876">
        <f>IF(A10="","",YEAR(A10)+(MONTH(A10)&gt;'Control | Setup'!$B$12))</f>
        <v/>
      </c>
      <c r="F10" s="3876">
        <f>IF(A10="","",MONTH(A10)='Control | Setup'!$B$12)</f>
        <v/>
      </c>
      <c r="G10" s="3876">
        <f>IF(OR(A10="",'Control | Setup'!$B$13=""),"",AND(A10&lt;='Control | Setup'!$B$13,A10&gt;EOMONTH('Control | Setup'!$B$13,-36)))</f>
        <v/>
      </c>
      <c r="H10" s="3876">
        <f>IF(OR(A10="",'Control | Setup'!$B$13=""),"",A10='Control | Setup'!$B$13)</f>
        <v/>
      </c>
      <c r="I10" s="3876">
        <f>IF(A10="","",ROW()-8)</f>
        <v/>
      </c>
    </row>
    <row r="11">
      <c r="A11" s="3906" t="n"/>
      <c r="B11" s="3876">
        <f>IF(A11="","",TEXT(A11,"yyyymm"))</f>
        <v/>
      </c>
      <c r="C11" s="3876">
        <f>IF(A11="","",TEXT(A11,"mmm-yy"))</f>
        <v/>
      </c>
      <c r="D11" s="3876">
        <f>IF(A11="","",TEXT(A11,"mmm-yy"))</f>
        <v/>
      </c>
      <c r="E11" s="3876">
        <f>IF(A11="","",YEAR(A11)+(MONTH(A11)&gt;'Control | Setup'!$B$12))</f>
        <v/>
      </c>
      <c r="F11" s="3876">
        <f>IF(A11="","",MONTH(A11)='Control | Setup'!$B$12)</f>
        <v/>
      </c>
      <c r="G11" s="3876">
        <f>IF(OR(A11="",'Control | Setup'!$B$13=""),"",AND(A11&lt;='Control | Setup'!$B$13,A11&gt;EOMONTH('Control | Setup'!$B$13,-36)))</f>
        <v/>
      </c>
      <c r="H11" s="3876">
        <f>IF(OR(A11="",'Control | Setup'!$B$13=""),"",A11='Control | Setup'!$B$13)</f>
        <v/>
      </c>
      <c r="I11" s="3876">
        <f>IF(A11="","",ROW()-8)</f>
        <v/>
      </c>
    </row>
    <row r="12">
      <c r="A12" s="3906" t="n"/>
      <c r="B12" s="3876">
        <f>IF(A12="","",TEXT(A12,"yyyymm"))</f>
        <v/>
      </c>
      <c r="C12" s="3876">
        <f>IF(A12="","",TEXT(A12,"mmm-yy"))</f>
        <v/>
      </c>
      <c r="D12" s="3876">
        <f>IF(A12="","",TEXT(A12,"mmm-yy"))</f>
        <v/>
      </c>
      <c r="E12" s="3876">
        <f>IF(A12="","",YEAR(A12)+(MONTH(A12)&gt;'Control | Setup'!$B$12))</f>
        <v/>
      </c>
      <c r="F12" s="3876">
        <f>IF(A12="","",MONTH(A12)='Control | Setup'!$B$12)</f>
        <v/>
      </c>
      <c r="G12" s="3876">
        <f>IF(OR(A12="",'Control | Setup'!$B$13=""),"",AND(A12&lt;='Control | Setup'!$B$13,A12&gt;EOMONTH('Control | Setup'!$B$13,-36)))</f>
        <v/>
      </c>
      <c r="H12" s="3876">
        <f>IF(OR(A12="",'Control | Setup'!$B$13=""),"",A12='Control | Setup'!$B$13)</f>
        <v/>
      </c>
      <c r="I12" s="3876">
        <f>IF(A12="","",ROW()-8)</f>
        <v/>
      </c>
    </row>
    <row r="13">
      <c r="A13" s="3906" t="n"/>
      <c r="B13" s="3876">
        <f>IF(A13="","",TEXT(A13,"yyyymm"))</f>
        <v/>
      </c>
      <c r="C13" s="3876">
        <f>IF(A13="","",TEXT(A13,"mmm-yy"))</f>
        <v/>
      </c>
      <c r="D13" s="3876">
        <f>IF(A13="","",TEXT(A13,"mmm-yy"))</f>
        <v/>
      </c>
      <c r="E13" s="3876">
        <f>IF(A13="","",YEAR(A13)+(MONTH(A13)&gt;'Control | Setup'!$B$12))</f>
        <v/>
      </c>
      <c r="F13" s="3876">
        <f>IF(A13="","",MONTH(A13)='Control | Setup'!$B$12)</f>
        <v/>
      </c>
      <c r="G13" s="3876">
        <f>IF(OR(A13="",'Control | Setup'!$B$13=""),"",AND(A13&lt;='Control | Setup'!$B$13,A13&gt;EOMONTH('Control | Setup'!$B$13,-36)))</f>
        <v/>
      </c>
      <c r="H13" s="3876">
        <f>IF(OR(A13="",'Control | Setup'!$B$13=""),"",A13='Control | Setup'!$B$13)</f>
        <v/>
      </c>
      <c r="I13" s="3876">
        <f>IF(A13="","",ROW()-8)</f>
        <v/>
      </c>
    </row>
    <row r="14">
      <c r="A14" s="3906" t="n"/>
      <c r="B14" s="3876">
        <f>IF(A14="","",TEXT(A14,"yyyymm"))</f>
        <v/>
      </c>
      <c r="C14" s="3876">
        <f>IF(A14="","",TEXT(A14,"mmm-yy"))</f>
        <v/>
      </c>
      <c r="D14" s="3876">
        <f>IF(A14="","",TEXT(A14,"mmm-yy"))</f>
        <v/>
      </c>
      <c r="E14" s="3876">
        <f>IF(A14="","",YEAR(A14)+(MONTH(A14)&gt;'Control | Setup'!$B$12))</f>
        <v/>
      </c>
      <c r="F14" s="3876">
        <f>IF(A14="","",MONTH(A14)='Control | Setup'!$B$12)</f>
        <v/>
      </c>
      <c r="G14" s="3876">
        <f>IF(OR(A14="",'Control | Setup'!$B$13=""),"",AND(A14&lt;='Control | Setup'!$B$13,A14&gt;EOMONTH('Control | Setup'!$B$13,-36)))</f>
        <v/>
      </c>
      <c r="H14" s="3876">
        <f>IF(OR(A14="",'Control | Setup'!$B$13=""),"",A14='Control | Setup'!$B$13)</f>
        <v/>
      </c>
      <c r="I14" s="3876">
        <f>IF(A14="","",ROW()-8)</f>
        <v/>
      </c>
    </row>
    <row r="15">
      <c r="A15" s="3906" t="n"/>
      <c r="B15" s="3876">
        <f>IF(A15="","",TEXT(A15,"yyyymm"))</f>
        <v/>
      </c>
      <c r="C15" s="3876">
        <f>IF(A15="","",TEXT(A15,"mmm-yy"))</f>
        <v/>
      </c>
      <c r="D15" s="3876">
        <f>IF(A15="","",TEXT(A15,"mmm-yy"))</f>
        <v/>
      </c>
      <c r="E15" s="3876">
        <f>IF(A15="","",YEAR(A15)+(MONTH(A15)&gt;'Control | Setup'!$B$12))</f>
        <v/>
      </c>
      <c r="F15" s="3876">
        <f>IF(A15="","",MONTH(A15)='Control | Setup'!$B$12)</f>
        <v/>
      </c>
      <c r="G15" s="3876">
        <f>IF(OR(A15="",'Control | Setup'!$B$13=""),"",AND(A15&lt;='Control | Setup'!$B$13,A15&gt;EOMONTH('Control | Setup'!$B$13,-36)))</f>
        <v/>
      </c>
      <c r="H15" s="3876">
        <f>IF(OR(A15="",'Control | Setup'!$B$13=""),"",A15='Control | Setup'!$B$13)</f>
        <v/>
      </c>
      <c r="I15" s="3876">
        <f>IF(A15="","",ROW()-8)</f>
        <v/>
      </c>
    </row>
    <row r="16">
      <c r="A16" s="3906" t="n"/>
      <c r="B16" s="3876">
        <f>IF(A16="","",TEXT(A16,"yyyymm"))</f>
        <v/>
      </c>
      <c r="C16" s="3876">
        <f>IF(A16="","",TEXT(A16,"mmm-yy"))</f>
        <v/>
      </c>
      <c r="D16" s="3876">
        <f>IF(A16="","",TEXT(A16,"mmm-yy"))</f>
        <v/>
      </c>
      <c r="E16" s="3876">
        <f>IF(A16="","",YEAR(A16)+(MONTH(A16)&gt;'Control | Setup'!$B$12))</f>
        <v/>
      </c>
      <c r="F16" s="3876">
        <f>IF(A16="","",MONTH(A16)='Control | Setup'!$B$12)</f>
        <v/>
      </c>
      <c r="G16" s="3876">
        <f>IF(OR(A16="",'Control | Setup'!$B$13=""),"",AND(A16&lt;='Control | Setup'!$B$13,A16&gt;EOMONTH('Control | Setup'!$B$13,-36)))</f>
        <v/>
      </c>
      <c r="H16" s="3876">
        <f>IF(OR(A16="",'Control | Setup'!$B$13=""),"",A16='Control | Setup'!$B$13)</f>
        <v/>
      </c>
      <c r="I16" s="3876">
        <f>IF(A16="","",ROW()-8)</f>
        <v/>
      </c>
    </row>
    <row r="17">
      <c r="A17" s="3906" t="n"/>
      <c r="B17" s="3876">
        <f>IF(A17="","",TEXT(A17,"yyyymm"))</f>
        <v/>
      </c>
      <c r="C17" s="3876">
        <f>IF(A17="","",TEXT(A17,"mmm-yy"))</f>
        <v/>
      </c>
      <c r="D17" s="3876">
        <f>IF(A17="","",TEXT(A17,"mmm-yy"))</f>
        <v/>
      </c>
      <c r="E17" s="3876">
        <f>IF(A17="","",YEAR(A17)+(MONTH(A17)&gt;'Control | Setup'!$B$12))</f>
        <v/>
      </c>
      <c r="F17" s="3876">
        <f>IF(A17="","",MONTH(A17)='Control | Setup'!$B$12)</f>
        <v/>
      </c>
      <c r="G17" s="3876">
        <f>IF(OR(A17="",'Control | Setup'!$B$13=""),"",AND(A17&lt;='Control | Setup'!$B$13,A17&gt;EOMONTH('Control | Setup'!$B$13,-36)))</f>
        <v/>
      </c>
      <c r="H17" s="3876">
        <f>IF(OR(A17="",'Control | Setup'!$B$13=""),"",A17='Control | Setup'!$B$13)</f>
        <v/>
      </c>
      <c r="I17" s="3876">
        <f>IF(A17="","",ROW()-8)</f>
        <v/>
      </c>
    </row>
    <row r="18">
      <c r="A18" s="3906" t="n"/>
      <c r="B18" s="3876">
        <f>IF(A18="","",TEXT(A18,"yyyymm"))</f>
        <v/>
      </c>
      <c r="C18" s="3876">
        <f>IF(A18="","",TEXT(A18,"mmm-yy"))</f>
        <v/>
      </c>
      <c r="D18" s="3876">
        <f>IF(A18="","",TEXT(A18,"mmm-yy"))</f>
        <v/>
      </c>
      <c r="E18" s="3876">
        <f>IF(A18="","",YEAR(A18)+(MONTH(A18)&gt;'Control | Setup'!$B$12))</f>
        <v/>
      </c>
      <c r="F18" s="3876">
        <f>IF(A18="","",MONTH(A18)='Control | Setup'!$B$12)</f>
        <v/>
      </c>
      <c r="G18" s="3876">
        <f>IF(OR(A18="",'Control | Setup'!$B$13=""),"",AND(A18&lt;='Control | Setup'!$B$13,A18&gt;EOMONTH('Control | Setup'!$B$13,-36)))</f>
        <v/>
      </c>
      <c r="H18" s="3876">
        <f>IF(OR(A18="",'Control | Setup'!$B$13=""),"",A18='Control | Setup'!$B$13)</f>
        <v/>
      </c>
      <c r="I18" s="3876">
        <f>IF(A18="","",ROW()-8)</f>
        <v/>
      </c>
    </row>
    <row r="19">
      <c r="A19" s="3906" t="n"/>
      <c r="B19" s="3876">
        <f>IF(A19="","",TEXT(A19,"yyyymm"))</f>
        <v/>
      </c>
      <c r="C19" s="3876">
        <f>IF(A19="","",TEXT(A19,"mmm-yy"))</f>
        <v/>
      </c>
      <c r="D19" s="3876">
        <f>IF(A19="","",TEXT(A19,"mmm-yy"))</f>
        <v/>
      </c>
      <c r="E19" s="3876">
        <f>IF(A19="","",YEAR(A19)+(MONTH(A19)&gt;'Control | Setup'!$B$12))</f>
        <v/>
      </c>
      <c r="F19" s="3876">
        <f>IF(A19="","",MONTH(A19)='Control | Setup'!$B$12)</f>
        <v/>
      </c>
      <c r="G19" s="3876">
        <f>IF(OR(A19="",'Control | Setup'!$B$13=""),"",AND(A19&lt;='Control | Setup'!$B$13,A19&gt;EOMONTH('Control | Setup'!$B$13,-36)))</f>
        <v/>
      </c>
      <c r="H19" s="3876">
        <f>IF(OR(A19="",'Control | Setup'!$B$13=""),"",A19='Control | Setup'!$B$13)</f>
        <v/>
      </c>
      <c r="I19" s="3876">
        <f>IF(A19="","",ROW()-8)</f>
        <v/>
      </c>
    </row>
    <row r="20">
      <c r="A20" s="3906" t="n"/>
      <c r="B20" s="3876">
        <f>IF(A20="","",TEXT(A20,"yyyymm"))</f>
        <v/>
      </c>
      <c r="C20" s="3876">
        <f>IF(A20="","",TEXT(A20,"mmm-yy"))</f>
        <v/>
      </c>
      <c r="D20" s="3876">
        <f>IF(A20="","",TEXT(A20,"mmm-yy"))</f>
        <v/>
      </c>
      <c r="E20" s="3876">
        <f>IF(A20="","",YEAR(A20)+(MONTH(A20)&gt;'Control | Setup'!$B$12))</f>
        <v/>
      </c>
      <c r="F20" s="3876">
        <f>IF(A20="","",MONTH(A20)='Control | Setup'!$B$12)</f>
        <v/>
      </c>
      <c r="G20" s="3876">
        <f>IF(OR(A20="",'Control | Setup'!$B$13=""),"",AND(A20&lt;='Control | Setup'!$B$13,A20&gt;EOMONTH('Control | Setup'!$B$13,-36)))</f>
        <v/>
      </c>
      <c r="H20" s="3876">
        <f>IF(OR(A20="",'Control | Setup'!$B$13=""),"",A20='Control | Setup'!$B$13)</f>
        <v/>
      </c>
      <c r="I20" s="3876">
        <f>IF(A20="","",ROW()-8)</f>
        <v/>
      </c>
    </row>
    <row r="21">
      <c r="A21" s="3906" t="n"/>
      <c r="B21" s="3876">
        <f>IF(A21="","",TEXT(A21,"yyyymm"))</f>
        <v/>
      </c>
      <c r="C21" s="3876">
        <f>IF(A21="","",TEXT(A21,"mmm-yy"))</f>
        <v/>
      </c>
      <c r="D21" s="3876">
        <f>IF(A21="","",TEXT(A21,"mmm-yy"))</f>
        <v/>
      </c>
      <c r="E21" s="3876">
        <f>IF(A21="","",YEAR(A21)+(MONTH(A21)&gt;'Control | Setup'!$B$12))</f>
        <v/>
      </c>
      <c r="F21" s="3876">
        <f>IF(A21="","",MONTH(A21)='Control | Setup'!$B$12)</f>
        <v/>
      </c>
      <c r="G21" s="3876">
        <f>IF(OR(A21="",'Control | Setup'!$B$13=""),"",AND(A21&lt;='Control | Setup'!$B$13,A21&gt;EOMONTH('Control | Setup'!$B$13,-36)))</f>
        <v/>
      </c>
      <c r="H21" s="3876">
        <f>IF(OR(A21="",'Control | Setup'!$B$13=""),"",A21='Control | Setup'!$B$13)</f>
        <v/>
      </c>
      <c r="I21" s="3876">
        <f>IF(A21="","",ROW()-8)</f>
        <v/>
      </c>
    </row>
    <row r="22">
      <c r="A22" s="3906" t="n"/>
      <c r="B22" s="3876">
        <f>IF(A22="","",TEXT(A22,"yyyymm"))</f>
        <v/>
      </c>
      <c r="C22" s="3876">
        <f>IF(A22="","",TEXT(A22,"mmm-yy"))</f>
        <v/>
      </c>
      <c r="D22" s="3876">
        <f>IF(A22="","",TEXT(A22,"mmm-yy"))</f>
        <v/>
      </c>
      <c r="E22" s="3876">
        <f>IF(A22="","",YEAR(A22)+(MONTH(A22)&gt;'Control | Setup'!$B$12))</f>
        <v/>
      </c>
      <c r="F22" s="3876">
        <f>IF(A22="","",MONTH(A22)='Control | Setup'!$B$12)</f>
        <v/>
      </c>
      <c r="G22" s="3876">
        <f>IF(OR(A22="",'Control | Setup'!$B$13=""),"",AND(A22&lt;='Control | Setup'!$B$13,A22&gt;EOMONTH('Control | Setup'!$B$13,-36)))</f>
        <v/>
      </c>
      <c r="H22" s="3876">
        <f>IF(OR(A22="",'Control | Setup'!$B$13=""),"",A22='Control | Setup'!$B$13)</f>
        <v/>
      </c>
      <c r="I22" s="3876">
        <f>IF(A22="","",ROW()-8)</f>
        <v/>
      </c>
    </row>
    <row r="23">
      <c r="A23" s="3906" t="n"/>
      <c r="B23" s="3876">
        <f>IF(A23="","",TEXT(A23,"yyyymm"))</f>
        <v/>
      </c>
      <c r="C23" s="3876">
        <f>IF(A23="","",TEXT(A23,"mmm-yy"))</f>
        <v/>
      </c>
      <c r="D23" s="3876">
        <f>IF(A23="","",TEXT(A23,"mmm-yy"))</f>
        <v/>
      </c>
      <c r="E23" s="3876">
        <f>IF(A23="","",YEAR(A23)+(MONTH(A23)&gt;'Control | Setup'!$B$12))</f>
        <v/>
      </c>
      <c r="F23" s="3876">
        <f>IF(A23="","",MONTH(A23)='Control | Setup'!$B$12)</f>
        <v/>
      </c>
      <c r="G23" s="3876">
        <f>IF(OR(A23="",'Control | Setup'!$B$13=""),"",AND(A23&lt;='Control | Setup'!$B$13,A23&gt;EOMONTH('Control | Setup'!$B$13,-36)))</f>
        <v/>
      </c>
      <c r="H23" s="3876">
        <f>IF(OR(A23="",'Control | Setup'!$B$13=""),"",A23='Control | Setup'!$B$13)</f>
        <v/>
      </c>
      <c r="I23" s="3876">
        <f>IF(A23="","",ROW()-8)</f>
        <v/>
      </c>
    </row>
    <row r="24">
      <c r="A24" s="3906" t="n"/>
      <c r="B24" s="3876">
        <f>IF(A24="","",TEXT(A24,"yyyymm"))</f>
        <v/>
      </c>
      <c r="C24" s="3876">
        <f>IF(A24="","",TEXT(A24,"mmm-yy"))</f>
        <v/>
      </c>
      <c r="D24" s="3876">
        <f>IF(A24="","",TEXT(A24,"mmm-yy"))</f>
        <v/>
      </c>
      <c r="E24" s="3876">
        <f>IF(A24="","",YEAR(A24)+(MONTH(A24)&gt;'Control | Setup'!$B$12))</f>
        <v/>
      </c>
      <c r="F24" s="3876">
        <f>IF(A24="","",MONTH(A24)='Control | Setup'!$B$12)</f>
        <v/>
      </c>
      <c r="G24" s="3876">
        <f>IF(OR(A24="",'Control | Setup'!$B$13=""),"",AND(A24&lt;='Control | Setup'!$B$13,A24&gt;EOMONTH('Control | Setup'!$B$13,-36)))</f>
        <v/>
      </c>
      <c r="H24" s="3876">
        <f>IF(OR(A24="",'Control | Setup'!$B$13=""),"",A24='Control | Setup'!$B$13)</f>
        <v/>
      </c>
      <c r="I24" s="3876">
        <f>IF(A24="","",ROW()-8)</f>
        <v/>
      </c>
    </row>
    <row r="25">
      <c r="A25" s="3906" t="n"/>
      <c r="B25" s="3876">
        <f>IF(A25="","",TEXT(A25,"yyyymm"))</f>
        <v/>
      </c>
      <c r="C25" s="3876">
        <f>IF(A25="","",TEXT(A25,"mmm-yy"))</f>
        <v/>
      </c>
      <c r="D25" s="3876">
        <f>IF(A25="","",TEXT(A25,"mmm-yy"))</f>
        <v/>
      </c>
      <c r="E25" s="3876">
        <f>IF(A25="","",YEAR(A25)+(MONTH(A25)&gt;'Control | Setup'!$B$12))</f>
        <v/>
      </c>
      <c r="F25" s="3876">
        <f>IF(A25="","",MONTH(A25)='Control | Setup'!$B$12)</f>
        <v/>
      </c>
      <c r="G25" s="3876">
        <f>IF(OR(A25="",'Control | Setup'!$B$13=""),"",AND(A25&lt;='Control | Setup'!$B$13,A25&gt;EOMONTH('Control | Setup'!$B$13,-36)))</f>
        <v/>
      </c>
      <c r="H25" s="3876">
        <f>IF(OR(A25="",'Control | Setup'!$B$13=""),"",A25='Control | Setup'!$B$13)</f>
        <v/>
      </c>
      <c r="I25" s="3876">
        <f>IF(A25="","",ROW()-8)</f>
        <v/>
      </c>
    </row>
    <row r="26">
      <c r="A26" s="3906" t="n"/>
      <c r="B26" s="3876">
        <f>IF(A26="","",TEXT(A26,"yyyymm"))</f>
        <v/>
      </c>
      <c r="C26" s="3876">
        <f>IF(A26="","",TEXT(A26,"mmm-yy"))</f>
        <v/>
      </c>
      <c r="D26" s="3876">
        <f>IF(A26="","",TEXT(A26,"mmm-yy"))</f>
        <v/>
      </c>
      <c r="E26" s="3876">
        <f>IF(A26="","",YEAR(A26)+(MONTH(A26)&gt;'Control | Setup'!$B$12))</f>
        <v/>
      </c>
      <c r="F26" s="3876">
        <f>IF(A26="","",MONTH(A26)='Control | Setup'!$B$12)</f>
        <v/>
      </c>
      <c r="G26" s="3876">
        <f>IF(OR(A26="",'Control | Setup'!$B$13=""),"",AND(A26&lt;='Control | Setup'!$B$13,A26&gt;EOMONTH('Control | Setup'!$B$13,-36)))</f>
        <v/>
      </c>
      <c r="H26" s="3876">
        <f>IF(OR(A26="",'Control | Setup'!$B$13=""),"",A26='Control | Setup'!$B$13)</f>
        <v/>
      </c>
      <c r="I26" s="3876">
        <f>IF(A26="","",ROW()-8)</f>
        <v/>
      </c>
    </row>
    <row r="27">
      <c r="A27" s="3906" t="n"/>
      <c r="B27" s="3876">
        <f>IF(A27="","",TEXT(A27,"yyyymm"))</f>
        <v/>
      </c>
      <c r="C27" s="3876">
        <f>IF(A27="","",TEXT(A27,"mmm-yy"))</f>
        <v/>
      </c>
      <c r="D27" s="3876">
        <f>IF(A27="","",TEXT(A27,"mmm-yy"))</f>
        <v/>
      </c>
      <c r="E27" s="3876">
        <f>IF(A27="","",YEAR(A27)+(MONTH(A27)&gt;'Control | Setup'!$B$12))</f>
        <v/>
      </c>
      <c r="F27" s="3876">
        <f>IF(A27="","",MONTH(A27)='Control | Setup'!$B$12)</f>
        <v/>
      </c>
      <c r="G27" s="3876">
        <f>IF(OR(A27="",'Control | Setup'!$B$13=""),"",AND(A27&lt;='Control | Setup'!$B$13,A27&gt;EOMONTH('Control | Setup'!$B$13,-36)))</f>
        <v/>
      </c>
      <c r="H27" s="3876">
        <f>IF(OR(A27="",'Control | Setup'!$B$13=""),"",A27='Control | Setup'!$B$13)</f>
        <v/>
      </c>
      <c r="I27" s="3876">
        <f>IF(A27="","",ROW()-8)</f>
        <v/>
      </c>
    </row>
    <row r="28">
      <c r="A28" s="3906" t="n"/>
      <c r="B28" s="3876">
        <f>IF(A28="","",TEXT(A28,"yyyymm"))</f>
        <v/>
      </c>
      <c r="C28" s="3876">
        <f>IF(A28="","",TEXT(A28,"mmm-yy"))</f>
        <v/>
      </c>
      <c r="D28" s="3876">
        <f>IF(A28="","",TEXT(A28,"mmm-yy"))</f>
        <v/>
      </c>
      <c r="E28" s="3876">
        <f>IF(A28="","",YEAR(A28)+(MONTH(A28)&gt;'Control | Setup'!$B$12))</f>
        <v/>
      </c>
      <c r="F28" s="3876">
        <f>IF(A28="","",MONTH(A28)='Control | Setup'!$B$12)</f>
        <v/>
      </c>
      <c r="G28" s="3876">
        <f>IF(OR(A28="",'Control | Setup'!$B$13=""),"",AND(A28&lt;='Control | Setup'!$B$13,A28&gt;EOMONTH('Control | Setup'!$B$13,-36)))</f>
        <v/>
      </c>
      <c r="H28" s="3876">
        <f>IF(OR(A28="",'Control | Setup'!$B$13=""),"",A28='Control | Setup'!$B$13)</f>
        <v/>
      </c>
      <c r="I28" s="3876">
        <f>IF(A28="","",ROW()-8)</f>
        <v/>
      </c>
    </row>
    <row r="29">
      <c r="A29" s="3906" t="n"/>
      <c r="B29" s="3876">
        <f>IF(A29="","",TEXT(A29,"yyyymm"))</f>
        <v/>
      </c>
      <c r="C29" s="3876">
        <f>IF(A29="","",TEXT(A29,"mmm-yy"))</f>
        <v/>
      </c>
      <c r="D29" s="3876">
        <f>IF(A29="","",TEXT(A29,"mmm-yy"))</f>
        <v/>
      </c>
      <c r="E29" s="3876">
        <f>IF(A29="","",YEAR(A29)+(MONTH(A29)&gt;'Control | Setup'!$B$12))</f>
        <v/>
      </c>
      <c r="F29" s="3876">
        <f>IF(A29="","",MONTH(A29)='Control | Setup'!$B$12)</f>
        <v/>
      </c>
      <c r="G29" s="3876">
        <f>IF(OR(A29="",'Control | Setup'!$B$13=""),"",AND(A29&lt;='Control | Setup'!$B$13,A29&gt;EOMONTH('Control | Setup'!$B$13,-36)))</f>
        <v/>
      </c>
      <c r="H29" s="3876">
        <f>IF(OR(A29="",'Control | Setup'!$B$13=""),"",A29='Control | Setup'!$B$13)</f>
        <v/>
      </c>
      <c r="I29" s="3876">
        <f>IF(A29="","",ROW()-8)</f>
        <v/>
      </c>
    </row>
    <row r="30">
      <c r="A30" s="3906" t="n"/>
      <c r="B30" s="3876">
        <f>IF(A30="","",TEXT(A30,"yyyymm"))</f>
        <v/>
      </c>
      <c r="C30" s="3876">
        <f>IF(A30="","",TEXT(A30,"mmm-yy"))</f>
        <v/>
      </c>
      <c r="D30" s="3876">
        <f>IF(A30="","",TEXT(A30,"mmm-yy"))</f>
        <v/>
      </c>
      <c r="E30" s="3876">
        <f>IF(A30="","",YEAR(A30)+(MONTH(A30)&gt;'Control | Setup'!$B$12))</f>
        <v/>
      </c>
      <c r="F30" s="3876">
        <f>IF(A30="","",MONTH(A30)='Control | Setup'!$B$12)</f>
        <v/>
      </c>
      <c r="G30" s="3876">
        <f>IF(OR(A30="",'Control | Setup'!$B$13=""),"",AND(A30&lt;='Control | Setup'!$B$13,A30&gt;EOMONTH('Control | Setup'!$B$13,-36)))</f>
        <v/>
      </c>
      <c r="H30" s="3876">
        <f>IF(OR(A30="",'Control | Setup'!$B$13=""),"",A30='Control | Setup'!$B$13)</f>
        <v/>
      </c>
      <c r="I30" s="3876">
        <f>IF(A30="","",ROW()-8)</f>
        <v/>
      </c>
    </row>
    <row r="31">
      <c r="A31" s="3906" t="n"/>
      <c r="B31" s="3876">
        <f>IF(A31="","",TEXT(A31,"yyyymm"))</f>
        <v/>
      </c>
      <c r="C31" s="3876">
        <f>IF(A31="","",TEXT(A31,"mmm-yy"))</f>
        <v/>
      </c>
      <c r="D31" s="3876">
        <f>IF(A31="","",TEXT(A31,"mmm-yy"))</f>
        <v/>
      </c>
      <c r="E31" s="3876">
        <f>IF(A31="","",YEAR(A31)+(MONTH(A31)&gt;'Control | Setup'!$B$12))</f>
        <v/>
      </c>
      <c r="F31" s="3876">
        <f>IF(A31="","",MONTH(A31)='Control | Setup'!$B$12)</f>
        <v/>
      </c>
      <c r="G31" s="3876">
        <f>IF(OR(A31="",'Control | Setup'!$B$13=""),"",AND(A31&lt;='Control | Setup'!$B$13,A31&gt;EOMONTH('Control | Setup'!$B$13,-36)))</f>
        <v/>
      </c>
      <c r="H31" s="3876">
        <f>IF(OR(A31="",'Control | Setup'!$B$13=""),"",A31='Control | Setup'!$B$13)</f>
        <v/>
      </c>
      <c r="I31" s="3876">
        <f>IF(A31="","",ROW()-8)</f>
        <v/>
      </c>
    </row>
    <row r="32">
      <c r="A32" s="3906" t="n"/>
      <c r="B32" s="3876">
        <f>IF(A32="","",TEXT(A32,"yyyymm"))</f>
        <v/>
      </c>
      <c r="C32" s="3876">
        <f>IF(A32="","",TEXT(A32,"mmm-yy"))</f>
        <v/>
      </c>
      <c r="D32" s="3876">
        <f>IF(A32="","",TEXT(A32,"mmm-yy"))</f>
        <v/>
      </c>
      <c r="E32" s="3876">
        <f>IF(A32="","",YEAR(A32)+(MONTH(A32)&gt;'Control | Setup'!$B$12))</f>
        <v/>
      </c>
      <c r="F32" s="3876">
        <f>IF(A32="","",MONTH(A32)='Control | Setup'!$B$12)</f>
        <v/>
      </c>
      <c r="G32" s="3876">
        <f>IF(OR(A32="",'Control | Setup'!$B$13=""),"",AND(A32&lt;='Control | Setup'!$B$13,A32&gt;EOMONTH('Control | Setup'!$B$13,-36)))</f>
        <v/>
      </c>
      <c r="H32" s="3876">
        <f>IF(OR(A32="",'Control | Setup'!$B$13=""),"",A32='Control | Setup'!$B$13)</f>
        <v/>
      </c>
      <c r="I32" s="3876">
        <f>IF(A32="","",ROW()-8)</f>
        <v/>
      </c>
    </row>
    <row r="33">
      <c r="A33" s="3906" t="n"/>
      <c r="B33" s="3876">
        <f>IF(A33="","",TEXT(A33,"yyyymm"))</f>
        <v/>
      </c>
      <c r="C33" s="3876">
        <f>IF(A33="","",TEXT(A33,"mmm-yy"))</f>
        <v/>
      </c>
      <c r="D33" s="3876">
        <f>IF(A33="","",TEXT(A33,"mmm-yy"))</f>
        <v/>
      </c>
      <c r="E33" s="3876">
        <f>IF(A33="","",YEAR(A33)+(MONTH(A33)&gt;'Control | Setup'!$B$12))</f>
        <v/>
      </c>
      <c r="F33" s="3876">
        <f>IF(A33="","",MONTH(A33)='Control | Setup'!$B$12)</f>
        <v/>
      </c>
      <c r="G33" s="3876">
        <f>IF(OR(A33="",'Control | Setup'!$B$13=""),"",AND(A33&lt;='Control | Setup'!$B$13,A33&gt;EOMONTH('Control | Setup'!$B$13,-36)))</f>
        <v/>
      </c>
      <c r="H33" s="3876">
        <f>IF(OR(A33="",'Control | Setup'!$B$13=""),"",A33='Control | Setup'!$B$13)</f>
        <v/>
      </c>
      <c r="I33" s="3876">
        <f>IF(A33="","",ROW()-8)</f>
        <v/>
      </c>
    </row>
    <row r="34">
      <c r="A34" s="3906" t="n"/>
      <c r="B34" s="3876">
        <f>IF(A34="","",TEXT(A34,"yyyymm"))</f>
        <v/>
      </c>
      <c r="C34" s="3876">
        <f>IF(A34="","",TEXT(A34,"mmm-yy"))</f>
        <v/>
      </c>
      <c r="D34" s="3876">
        <f>IF(A34="","",TEXT(A34,"mmm-yy"))</f>
        <v/>
      </c>
      <c r="E34" s="3876">
        <f>IF(A34="","",YEAR(A34)+(MONTH(A34)&gt;'Control | Setup'!$B$12))</f>
        <v/>
      </c>
      <c r="F34" s="3876">
        <f>IF(A34="","",MONTH(A34)='Control | Setup'!$B$12)</f>
        <v/>
      </c>
      <c r="G34" s="3876">
        <f>IF(OR(A34="",'Control | Setup'!$B$13=""),"",AND(A34&lt;='Control | Setup'!$B$13,A34&gt;EOMONTH('Control | Setup'!$B$13,-36)))</f>
        <v/>
      </c>
      <c r="H34" s="3876">
        <f>IF(OR(A34="",'Control | Setup'!$B$13=""),"",A34='Control | Setup'!$B$13)</f>
        <v/>
      </c>
      <c r="I34" s="3876">
        <f>IF(A34="","",ROW()-8)</f>
        <v/>
      </c>
    </row>
    <row r="35">
      <c r="A35" s="3906" t="n"/>
      <c r="B35" s="3876">
        <f>IF(A35="","",TEXT(A35,"yyyymm"))</f>
        <v/>
      </c>
      <c r="C35" s="3876">
        <f>IF(A35="","",TEXT(A35,"mmm-yy"))</f>
        <v/>
      </c>
      <c r="D35" s="3876">
        <f>IF(A35="","",TEXT(A35,"mmm-yy"))</f>
        <v/>
      </c>
      <c r="E35" s="3876">
        <f>IF(A35="","",YEAR(A35)+(MONTH(A35)&gt;'Control | Setup'!$B$12))</f>
        <v/>
      </c>
      <c r="F35" s="3876">
        <f>IF(A35="","",MONTH(A35)='Control | Setup'!$B$12)</f>
        <v/>
      </c>
      <c r="G35" s="3876">
        <f>IF(OR(A35="",'Control | Setup'!$B$13=""),"",AND(A35&lt;='Control | Setup'!$B$13,A35&gt;EOMONTH('Control | Setup'!$B$13,-36)))</f>
        <v/>
      </c>
      <c r="H35" s="3876">
        <f>IF(OR(A35="",'Control | Setup'!$B$13=""),"",A35='Control | Setup'!$B$13)</f>
        <v/>
      </c>
      <c r="I35" s="3876">
        <f>IF(A35="","",ROW()-8)</f>
        <v/>
      </c>
    </row>
    <row r="36">
      <c r="A36" s="3906" t="n"/>
      <c r="B36" s="3876">
        <f>IF(A36="","",TEXT(A36,"yyyymm"))</f>
        <v/>
      </c>
      <c r="C36" s="3876">
        <f>IF(A36="","",TEXT(A36,"mmm-yy"))</f>
        <v/>
      </c>
      <c r="D36" s="3876">
        <f>IF(A36="","",TEXT(A36,"mmm-yy"))</f>
        <v/>
      </c>
      <c r="E36" s="3876">
        <f>IF(A36="","",YEAR(A36)+(MONTH(A36)&gt;'Control | Setup'!$B$12))</f>
        <v/>
      </c>
      <c r="F36" s="3876">
        <f>IF(A36="","",MONTH(A36)='Control | Setup'!$B$12)</f>
        <v/>
      </c>
      <c r="G36" s="3876">
        <f>IF(OR(A36="",'Control | Setup'!$B$13=""),"",AND(A36&lt;='Control | Setup'!$B$13,A36&gt;EOMONTH('Control | Setup'!$B$13,-36)))</f>
        <v/>
      </c>
      <c r="H36" s="3876">
        <f>IF(OR(A36="",'Control | Setup'!$B$13=""),"",A36='Control | Setup'!$B$13)</f>
        <v/>
      </c>
      <c r="I36" s="3876">
        <f>IF(A36="","",ROW()-8)</f>
        <v/>
      </c>
    </row>
    <row r="37">
      <c r="A37" s="3906" t="n"/>
      <c r="B37" s="3876">
        <f>IF(A37="","",TEXT(A37,"yyyymm"))</f>
        <v/>
      </c>
      <c r="C37" s="3876">
        <f>IF(A37="","",TEXT(A37,"mmm-yy"))</f>
        <v/>
      </c>
      <c r="D37" s="3876">
        <f>IF(A37="","",TEXT(A37,"mmm-yy"))</f>
        <v/>
      </c>
      <c r="E37" s="3876">
        <f>IF(A37="","",YEAR(A37)+(MONTH(A37)&gt;'Control | Setup'!$B$12))</f>
        <v/>
      </c>
      <c r="F37" s="3876">
        <f>IF(A37="","",MONTH(A37)='Control | Setup'!$B$12)</f>
        <v/>
      </c>
      <c r="G37" s="3876">
        <f>IF(OR(A37="",'Control | Setup'!$B$13=""),"",AND(A37&lt;='Control | Setup'!$B$13,A37&gt;EOMONTH('Control | Setup'!$B$13,-36)))</f>
        <v/>
      </c>
      <c r="H37" s="3876">
        <f>IF(OR(A37="",'Control | Setup'!$B$13=""),"",A37='Control | Setup'!$B$13)</f>
        <v/>
      </c>
      <c r="I37" s="3876">
        <f>IF(A37="","",ROW()-8)</f>
        <v/>
      </c>
    </row>
    <row r="38">
      <c r="A38" s="3906" t="n"/>
      <c r="B38" s="3876">
        <f>IF(A38="","",TEXT(A38,"yyyymm"))</f>
        <v/>
      </c>
      <c r="C38" s="3876">
        <f>IF(A38="","",TEXT(A38,"mmm-yy"))</f>
        <v/>
      </c>
      <c r="D38" s="3876">
        <f>IF(A38="","",TEXT(A38,"mmm-yy"))</f>
        <v/>
      </c>
      <c r="E38" s="3876">
        <f>IF(A38="","",YEAR(A38)+(MONTH(A38)&gt;'Control | Setup'!$B$12))</f>
        <v/>
      </c>
      <c r="F38" s="3876">
        <f>IF(A38="","",MONTH(A38)='Control | Setup'!$B$12)</f>
        <v/>
      </c>
      <c r="G38" s="3876">
        <f>IF(OR(A38="",'Control | Setup'!$B$13=""),"",AND(A38&lt;='Control | Setup'!$B$13,A38&gt;EOMONTH('Control | Setup'!$B$13,-36)))</f>
        <v/>
      </c>
      <c r="H38" s="3876">
        <f>IF(OR(A38="",'Control | Setup'!$B$13=""),"",A38='Control | Setup'!$B$13)</f>
        <v/>
      </c>
      <c r="I38" s="3876">
        <f>IF(A38="","",ROW()-8)</f>
        <v/>
      </c>
    </row>
    <row r="39">
      <c r="A39" s="3906" t="n"/>
      <c r="B39" s="3876">
        <f>IF(A39="","",TEXT(A39,"yyyymm"))</f>
        <v/>
      </c>
      <c r="C39" s="3876">
        <f>IF(A39="","",TEXT(A39,"mmm-yy"))</f>
        <v/>
      </c>
      <c r="D39" s="3876">
        <f>IF(A39="","",TEXT(A39,"mmm-yy"))</f>
        <v/>
      </c>
      <c r="E39" s="3876">
        <f>IF(A39="","",YEAR(A39)+(MONTH(A39)&gt;'Control | Setup'!$B$12))</f>
        <v/>
      </c>
      <c r="F39" s="3876">
        <f>IF(A39="","",MONTH(A39)='Control | Setup'!$B$12)</f>
        <v/>
      </c>
      <c r="G39" s="3876">
        <f>IF(OR(A39="",'Control | Setup'!$B$13=""),"",AND(A39&lt;='Control | Setup'!$B$13,A39&gt;EOMONTH('Control | Setup'!$B$13,-36)))</f>
        <v/>
      </c>
      <c r="H39" s="3876">
        <f>IF(OR(A39="",'Control | Setup'!$B$13=""),"",A39='Control | Setup'!$B$13)</f>
        <v/>
      </c>
      <c r="I39" s="3876">
        <f>IF(A39="","",ROW()-8)</f>
        <v/>
      </c>
    </row>
    <row r="40">
      <c r="A40" s="3906" t="n"/>
      <c r="B40" s="3876">
        <f>IF(A40="","",TEXT(A40,"yyyymm"))</f>
        <v/>
      </c>
      <c r="C40" s="3876">
        <f>IF(A40="","",TEXT(A40,"mmm-yy"))</f>
        <v/>
      </c>
      <c r="D40" s="3876">
        <f>IF(A40="","",TEXT(A40,"mmm-yy"))</f>
        <v/>
      </c>
      <c r="E40" s="3876">
        <f>IF(A40="","",YEAR(A40)+(MONTH(A40)&gt;'Control | Setup'!$B$12))</f>
        <v/>
      </c>
      <c r="F40" s="3876">
        <f>IF(A40="","",MONTH(A40)='Control | Setup'!$B$12)</f>
        <v/>
      </c>
      <c r="G40" s="3876">
        <f>IF(OR(A40="",'Control | Setup'!$B$13=""),"",AND(A40&lt;='Control | Setup'!$B$13,A40&gt;EOMONTH('Control | Setup'!$B$13,-36)))</f>
        <v/>
      </c>
      <c r="H40" s="3876">
        <f>IF(OR(A40="",'Control | Setup'!$B$13=""),"",A40='Control | Setup'!$B$13)</f>
        <v/>
      </c>
      <c r="I40" s="3876">
        <f>IF(A40="","",ROW()-8)</f>
        <v/>
      </c>
    </row>
    <row r="41">
      <c r="A41" s="3906" t="n"/>
      <c r="B41" s="3876">
        <f>IF(A41="","",TEXT(A41,"yyyymm"))</f>
        <v/>
      </c>
      <c r="C41" s="3876">
        <f>IF(A41="","",TEXT(A41,"mmm-yy"))</f>
        <v/>
      </c>
      <c r="D41" s="3876">
        <f>IF(A41="","",TEXT(A41,"mmm-yy"))</f>
        <v/>
      </c>
      <c r="E41" s="3876">
        <f>IF(A41="","",YEAR(A41)+(MONTH(A41)&gt;'Control | Setup'!$B$12))</f>
        <v/>
      </c>
      <c r="F41" s="3876">
        <f>IF(A41="","",MONTH(A41)='Control | Setup'!$B$12)</f>
        <v/>
      </c>
      <c r="G41" s="3876">
        <f>IF(OR(A41="",'Control | Setup'!$B$13=""),"",AND(A41&lt;='Control | Setup'!$B$13,A41&gt;EOMONTH('Control | Setup'!$B$13,-36)))</f>
        <v/>
      </c>
      <c r="H41" s="3876">
        <f>IF(OR(A41="",'Control | Setup'!$B$13=""),"",A41='Control | Setup'!$B$13)</f>
        <v/>
      </c>
      <c r="I41" s="3876">
        <f>IF(A41="","",ROW()-8)</f>
        <v/>
      </c>
    </row>
    <row r="42">
      <c r="A42" s="3906" t="n"/>
      <c r="B42" s="3876">
        <f>IF(A42="","",TEXT(A42,"yyyymm"))</f>
        <v/>
      </c>
      <c r="C42" s="3876">
        <f>IF(A42="","",TEXT(A42,"mmm-yy"))</f>
        <v/>
      </c>
      <c r="D42" s="3876">
        <f>IF(A42="","",TEXT(A42,"mmm-yy"))</f>
        <v/>
      </c>
      <c r="E42" s="3876">
        <f>IF(A42="","",YEAR(A42)+(MONTH(A42)&gt;'Control | Setup'!$B$12))</f>
        <v/>
      </c>
      <c r="F42" s="3876">
        <f>IF(A42="","",MONTH(A42)='Control | Setup'!$B$12)</f>
        <v/>
      </c>
      <c r="G42" s="3876">
        <f>IF(OR(A42="",'Control | Setup'!$B$13=""),"",AND(A42&lt;='Control | Setup'!$B$13,A42&gt;EOMONTH('Control | Setup'!$B$13,-36)))</f>
        <v/>
      </c>
      <c r="H42" s="3876">
        <f>IF(OR(A42="",'Control | Setup'!$B$13=""),"",A42='Control | Setup'!$B$13)</f>
        <v/>
      </c>
      <c r="I42" s="3876">
        <f>IF(A42="","",ROW()-8)</f>
        <v/>
      </c>
    </row>
    <row r="43">
      <c r="A43" s="3906" t="n"/>
      <c r="B43" s="3876">
        <f>IF(A43="","",TEXT(A43,"yyyymm"))</f>
        <v/>
      </c>
      <c r="C43" s="3876">
        <f>IF(A43="","",TEXT(A43,"mmm-yy"))</f>
        <v/>
      </c>
      <c r="D43" s="3876">
        <f>IF(A43="","",TEXT(A43,"mmm-yy"))</f>
        <v/>
      </c>
      <c r="E43" s="3876">
        <f>IF(A43="","",YEAR(A43)+(MONTH(A43)&gt;'Control | Setup'!$B$12))</f>
        <v/>
      </c>
      <c r="F43" s="3876">
        <f>IF(A43="","",MONTH(A43)='Control | Setup'!$B$12)</f>
        <v/>
      </c>
      <c r="G43" s="3876">
        <f>IF(OR(A43="",'Control | Setup'!$B$13=""),"",AND(A43&lt;='Control | Setup'!$B$13,A43&gt;EOMONTH('Control | Setup'!$B$13,-36)))</f>
        <v/>
      </c>
      <c r="H43" s="3876">
        <f>IF(OR(A43="",'Control | Setup'!$B$13=""),"",A43='Control | Setup'!$B$13)</f>
        <v/>
      </c>
      <c r="I43" s="3876">
        <f>IF(A43="","",ROW()-8)</f>
        <v/>
      </c>
    </row>
    <row r="44">
      <c r="A44" s="3906" t="n"/>
      <c r="B44" s="3876">
        <f>IF(A44="","",TEXT(A44,"yyyymm"))</f>
        <v/>
      </c>
      <c r="C44" s="3876">
        <f>IF(A44="","",TEXT(A44,"mmm-yy"))</f>
        <v/>
      </c>
      <c r="D44" s="3876">
        <f>IF(A44="","",TEXT(A44,"mmm-yy"))</f>
        <v/>
      </c>
      <c r="E44" s="3876">
        <f>IF(A44="","",YEAR(A44)+(MONTH(A44)&gt;'Control | Setup'!$B$12))</f>
        <v/>
      </c>
      <c r="F44" s="3876">
        <f>IF(A44="","",MONTH(A44)='Control | Setup'!$B$12)</f>
        <v/>
      </c>
      <c r="G44" s="3876">
        <f>IF(OR(A44="",'Control | Setup'!$B$13=""),"",AND(A44&lt;='Control | Setup'!$B$13,A44&gt;EOMONTH('Control | Setup'!$B$13,-36)))</f>
        <v/>
      </c>
      <c r="H44" s="3876">
        <f>IF(OR(A44="",'Control | Setup'!$B$13=""),"",A44='Control | Setup'!$B$13)</f>
        <v/>
      </c>
      <c r="I44" s="3876">
        <f>IF(A44="","",ROW()-8)</f>
        <v/>
      </c>
    </row>
    <row r="45">
      <c r="A45" s="3906" t="n"/>
      <c r="B45" s="3876">
        <f>IF(A45="","",TEXT(A45,"yyyymm"))</f>
        <v/>
      </c>
      <c r="C45" s="3876">
        <f>IF(A45="","",TEXT(A45,"mmm-yy"))</f>
        <v/>
      </c>
      <c r="D45" s="3876">
        <f>IF(A45="","",TEXT(A45,"mmm-yy"))</f>
        <v/>
      </c>
      <c r="E45" s="3876">
        <f>IF(A45="","",YEAR(A45)+(MONTH(A45)&gt;'Control | Setup'!$B$12))</f>
        <v/>
      </c>
      <c r="F45" s="3876">
        <f>IF(A45="","",MONTH(A45)='Control | Setup'!$B$12)</f>
        <v/>
      </c>
      <c r="G45" s="3876">
        <f>IF(OR(A45="",'Control | Setup'!$B$13=""),"",AND(A45&lt;='Control | Setup'!$B$13,A45&gt;EOMONTH('Control | Setup'!$B$13,-36)))</f>
        <v/>
      </c>
      <c r="H45" s="3876">
        <f>IF(OR(A45="",'Control | Setup'!$B$13=""),"",A45='Control | Setup'!$B$13)</f>
        <v/>
      </c>
      <c r="I45" s="3876">
        <f>IF(A45="","",ROW()-8)</f>
        <v/>
      </c>
    </row>
    <row r="46">
      <c r="A46" s="3906" t="n"/>
      <c r="B46" s="3876">
        <f>IF(A46="","",TEXT(A46,"yyyymm"))</f>
        <v/>
      </c>
      <c r="C46" s="3876">
        <f>IF(A46="","",TEXT(A46,"mmm-yy"))</f>
        <v/>
      </c>
      <c r="D46" s="3876">
        <f>IF(A46="","",TEXT(A46,"mmm-yy"))</f>
        <v/>
      </c>
      <c r="E46" s="3876">
        <f>IF(A46="","",YEAR(A46)+(MONTH(A46)&gt;'Control | Setup'!$B$12))</f>
        <v/>
      </c>
      <c r="F46" s="3876">
        <f>IF(A46="","",MONTH(A46)='Control | Setup'!$B$12)</f>
        <v/>
      </c>
      <c r="G46" s="3876">
        <f>IF(OR(A46="",'Control | Setup'!$B$13=""),"",AND(A46&lt;='Control | Setup'!$B$13,A46&gt;EOMONTH('Control | Setup'!$B$13,-36)))</f>
        <v/>
      </c>
      <c r="H46" s="3876">
        <f>IF(OR(A46="",'Control | Setup'!$B$13=""),"",A46='Control | Setup'!$B$13)</f>
        <v/>
      </c>
      <c r="I46" s="3876">
        <f>IF(A46="","",ROW()-8)</f>
        <v/>
      </c>
    </row>
    <row r="47">
      <c r="A47" s="3906" t="n"/>
      <c r="B47" s="3876">
        <f>IF(A47="","",TEXT(A47,"yyyymm"))</f>
        <v/>
      </c>
      <c r="C47" s="3876">
        <f>IF(A47="","",TEXT(A47,"mmm-yy"))</f>
        <v/>
      </c>
      <c r="D47" s="3876">
        <f>IF(A47="","",TEXT(A47,"mmm-yy"))</f>
        <v/>
      </c>
      <c r="E47" s="3876">
        <f>IF(A47="","",YEAR(A47)+(MONTH(A47)&gt;'Control | Setup'!$B$12))</f>
        <v/>
      </c>
      <c r="F47" s="3876">
        <f>IF(A47="","",MONTH(A47)='Control | Setup'!$B$12)</f>
        <v/>
      </c>
      <c r="G47" s="3876">
        <f>IF(OR(A47="",'Control | Setup'!$B$13=""),"",AND(A47&lt;='Control | Setup'!$B$13,A47&gt;EOMONTH('Control | Setup'!$B$13,-36)))</f>
        <v/>
      </c>
      <c r="H47" s="3876">
        <f>IF(OR(A47="",'Control | Setup'!$B$13=""),"",A47='Control | Setup'!$B$13)</f>
        <v/>
      </c>
      <c r="I47" s="3876">
        <f>IF(A47="","",ROW()-8)</f>
        <v/>
      </c>
    </row>
    <row r="48">
      <c r="A48" s="3906" t="n"/>
      <c r="B48" s="3876">
        <f>IF(A48="","",TEXT(A48,"yyyymm"))</f>
        <v/>
      </c>
      <c r="C48" s="3876">
        <f>IF(A48="","",TEXT(A48,"mmm-yy"))</f>
        <v/>
      </c>
      <c r="D48" s="3876">
        <f>IF(A48="","",TEXT(A48,"mmm-yy"))</f>
        <v/>
      </c>
      <c r="E48" s="3876">
        <f>IF(A48="","",YEAR(A48)+(MONTH(A48)&gt;'Control | Setup'!$B$12))</f>
        <v/>
      </c>
      <c r="F48" s="3876">
        <f>IF(A48="","",MONTH(A48)='Control | Setup'!$B$12)</f>
        <v/>
      </c>
      <c r="G48" s="3876">
        <f>IF(OR(A48="",'Control | Setup'!$B$13=""),"",AND(A48&lt;='Control | Setup'!$B$13,A48&gt;EOMONTH('Control | Setup'!$B$13,-36)))</f>
        <v/>
      </c>
      <c r="H48" s="3876">
        <f>IF(OR(A48="",'Control | Setup'!$B$13=""),"",A48='Control | Setup'!$B$13)</f>
        <v/>
      </c>
      <c r="I48" s="3876">
        <f>IF(A48="","",ROW()-8)</f>
        <v/>
      </c>
    </row>
    <row r="49">
      <c r="A49" s="3906" t="n"/>
      <c r="B49" s="3876">
        <f>IF(A49="","",TEXT(A49,"yyyymm"))</f>
        <v/>
      </c>
      <c r="C49" s="3876">
        <f>IF(A49="","",TEXT(A49,"mmm-yy"))</f>
        <v/>
      </c>
      <c r="D49" s="3876">
        <f>IF(A49="","",TEXT(A49,"mmm-yy"))</f>
        <v/>
      </c>
      <c r="E49" s="3876">
        <f>IF(A49="","",YEAR(A49)+(MONTH(A49)&gt;'Control | Setup'!$B$12))</f>
        <v/>
      </c>
      <c r="F49" s="3876">
        <f>IF(A49="","",MONTH(A49)='Control | Setup'!$B$12)</f>
        <v/>
      </c>
      <c r="G49" s="3876">
        <f>IF(OR(A49="",'Control | Setup'!$B$13=""),"",AND(A49&lt;='Control | Setup'!$B$13,A49&gt;EOMONTH('Control | Setup'!$B$13,-36)))</f>
        <v/>
      </c>
      <c r="H49" s="3876">
        <f>IF(OR(A49="",'Control | Setup'!$B$13=""),"",A49='Control | Setup'!$B$13)</f>
        <v/>
      </c>
      <c r="I49" s="3876">
        <f>IF(A49="","",ROW()-8)</f>
        <v/>
      </c>
    </row>
    <row r="50">
      <c r="A50" s="3906" t="n"/>
      <c r="B50" s="3876">
        <f>IF(A50="","",TEXT(A50,"yyyymm"))</f>
        <v/>
      </c>
      <c r="C50" s="3876">
        <f>IF(A50="","",TEXT(A50,"mmm-yy"))</f>
        <v/>
      </c>
      <c r="D50" s="3876">
        <f>IF(A50="","",TEXT(A50,"mmm-yy"))</f>
        <v/>
      </c>
      <c r="E50" s="3876">
        <f>IF(A50="","",YEAR(A50)+(MONTH(A50)&gt;'Control | Setup'!$B$12))</f>
        <v/>
      </c>
      <c r="F50" s="3876">
        <f>IF(A50="","",MONTH(A50)='Control | Setup'!$B$12)</f>
        <v/>
      </c>
      <c r="G50" s="3876">
        <f>IF(OR(A50="",'Control | Setup'!$B$13=""),"",AND(A50&lt;='Control | Setup'!$B$13,A50&gt;EOMONTH('Control | Setup'!$B$13,-36)))</f>
        <v/>
      </c>
      <c r="H50" s="3876">
        <f>IF(OR(A50="",'Control | Setup'!$B$13=""),"",A50='Control | Setup'!$B$13)</f>
        <v/>
      </c>
      <c r="I50" s="3876">
        <f>IF(A50="","",ROW()-8)</f>
        <v/>
      </c>
    </row>
    <row r="51">
      <c r="A51" s="3906" t="n"/>
      <c r="B51" s="3876">
        <f>IF(A51="","",TEXT(A51,"yyyymm"))</f>
        <v/>
      </c>
      <c r="C51" s="3876">
        <f>IF(A51="","",TEXT(A51,"mmm-yy"))</f>
        <v/>
      </c>
      <c r="D51" s="3876">
        <f>IF(A51="","",TEXT(A51,"mmm-yy"))</f>
        <v/>
      </c>
      <c r="E51" s="3876">
        <f>IF(A51="","",YEAR(A51)+(MONTH(A51)&gt;'Control | Setup'!$B$12))</f>
        <v/>
      </c>
      <c r="F51" s="3876">
        <f>IF(A51="","",MONTH(A51)='Control | Setup'!$B$12)</f>
        <v/>
      </c>
      <c r="G51" s="3876">
        <f>IF(OR(A51="",'Control | Setup'!$B$13=""),"",AND(A51&lt;='Control | Setup'!$B$13,A51&gt;EOMONTH('Control | Setup'!$B$13,-36)))</f>
        <v/>
      </c>
      <c r="H51" s="3876">
        <f>IF(OR(A51="",'Control | Setup'!$B$13=""),"",A51='Control | Setup'!$B$13)</f>
        <v/>
      </c>
      <c r="I51" s="3876">
        <f>IF(A51="","",ROW()-8)</f>
        <v/>
      </c>
    </row>
    <row r="52">
      <c r="A52" s="3906" t="n"/>
      <c r="B52" s="3876">
        <f>IF(A52="","",TEXT(A52,"yyyymm"))</f>
        <v/>
      </c>
      <c r="C52" s="3876">
        <f>IF(A52="","",TEXT(A52,"mmm-yy"))</f>
        <v/>
      </c>
      <c r="D52" s="3876">
        <f>IF(A52="","",TEXT(A52,"mmm-yy"))</f>
        <v/>
      </c>
      <c r="E52" s="3876">
        <f>IF(A52="","",YEAR(A52)+(MONTH(A52)&gt;'Control | Setup'!$B$12))</f>
        <v/>
      </c>
      <c r="F52" s="3876">
        <f>IF(A52="","",MONTH(A52)='Control | Setup'!$B$12)</f>
        <v/>
      </c>
      <c r="G52" s="3876">
        <f>IF(OR(A52="",'Control | Setup'!$B$13=""),"",AND(A52&lt;='Control | Setup'!$B$13,A52&gt;EOMONTH('Control | Setup'!$B$13,-36)))</f>
        <v/>
      </c>
      <c r="H52" s="3876">
        <f>IF(OR(A52="",'Control | Setup'!$B$13=""),"",A52='Control | Setup'!$B$13)</f>
        <v/>
      </c>
      <c r="I52" s="3876">
        <f>IF(A52="","",ROW()-8)</f>
        <v/>
      </c>
    </row>
    <row r="53">
      <c r="A53" s="3906" t="n"/>
      <c r="B53" s="3876">
        <f>IF(A53="","",TEXT(A53,"yyyymm"))</f>
        <v/>
      </c>
      <c r="C53" s="3876">
        <f>IF(A53="","",TEXT(A53,"mmm-yy"))</f>
        <v/>
      </c>
      <c r="D53" s="3876">
        <f>IF(A53="","",TEXT(A53,"mmm-yy"))</f>
        <v/>
      </c>
      <c r="E53" s="3876">
        <f>IF(A53="","",YEAR(A53)+(MONTH(A53)&gt;'Control | Setup'!$B$12))</f>
        <v/>
      </c>
      <c r="F53" s="3876">
        <f>IF(A53="","",MONTH(A53)='Control | Setup'!$B$12)</f>
        <v/>
      </c>
      <c r="G53" s="3876">
        <f>IF(OR(A53="",'Control | Setup'!$B$13=""),"",AND(A53&lt;='Control | Setup'!$B$13,A53&gt;EOMONTH('Control | Setup'!$B$13,-36)))</f>
        <v/>
      </c>
      <c r="H53" s="3876">
        <f>IF(OR(A53="",'Control | Setup'!$B$13=""),"",A53='Control | Setup'!$B$13)</f>
        <v/>
      </c>
      <c r="I53" s="3876">
        <f>IF(A53="","",ROW()-8)</f>
        <v/>
      </c>
    </row>
    <row r="54">
      <c r="A54" s="3906" t="n"/>
      <c r="B54" s="3876">
        <f>IF(A54="","",TEXT(A54,"yyyymm"))</f>
        <v/>
      </c>
      <c r="C54" s="3876">
        <f>IF(A54="","",TEXT(A54,"mmm-yy"))</f>
        <v/>
      </c>
      <c r="D54" s="3876">
        <f>IF(A54="","",TEXT(A54,"mmm-yy"))</f>
        <v/>
      </c>
      <c r="E54" s="3876">
        <f>IF(A54="","",YEAR(A54)+(MONTH(A54)&gt;'Control | Setup'!$B$12))</f>
        <v/>
      </c>
      <c r="F54" s="3876">
        <f>IF(A54="","",MONTH(A54)='Control | Setup'!$B$12)</f>
        <v/>
      </c>
      <c r="G54" s="3876">
        <f>IF(OR(A54="",'Control | Setup'!$B$13=""),"",AND(A54&lt;='Control | Setup'!$B$13,A54&gt;EOMONTH('Control | Setup'!$B$13,-36)))</f>
        <v/>
      </c>
      <c r="H54" s="3876">
        <f>IF(OR(A54="",'Control | Setup'!$B$13=""),"",A54='Control | Setup'!$B$13)</f>
        <v/>
      </c>
      <c r="I54" s="3876">
        <f>IF(A54="","",ROW()-8)</f>
        <v/>
      </c>
    </row>
    <row r="55">
      <c r="A55" s="3906" t="n"/>
      <c r="B55" s="3876">
        <f>IF(A55="","",TEXT(A55,"yyyymm"))</f>
        <v/>
      </c>
      <c r="C55" s="3876">
        <f>IF(A55="","",TEXT(A55,"mmm-yy"))</f>
        <v/>
      </c>
      <c r="D55" s="3876">
        <f>IF(A55="","",TEXT(A55,"mmm-yy"))</f>
        <v/>
      </c>
      <c r="E55" s="3876">
        <f>IF(A55="","",YEAR(A55)+(MONTH(A55)&gt;'Control | Setup'!$B$12))</f>
        <v/>
      </c>
      <c r="F55" s="3876">
        <f>IF(A55="","",MONTH(A55)='Control | Setup'!$B$12)</f>
        <v/>
      </c>
      <c r="G55" s="3876">
        <f>IF(OR(A55="",'Control | Setup'!$B$13=""),"",AND(A55&lt;='Control | Setup'!$B$13,A55&gt;EOMONTH('Control | Setup'!$B$13,-36)))</f>
        <v/>
      </c>
      <c r="H55" s="3876">
        <f>IF(OR(A55="",'Control | Setup'!$B$13=""),"",A55='Control | Setup'!$B$13)</f>
        <v/>
      </c>
      <c r="I55" s="3876">
        <f>IF(A55="","",ROW()-8)</f>
        <v/>
      </c>
    </row>
    <row r="56">
      <c r="A56" s="3906" t="n"/>
      <c r="B56" s="3876">
        <f>IF(A56="","",TEXT(A56,"yyyymm"))</f>
        <v/>
      </c>
      <c r="C56" s="3876">
        <f>IF(A56="","",TEXT(A56,"mmm-yy"))</f>
        <v/>
      </c>
      <c r="D56" s="3876">
        <f>IF(A56="","",TEXT(A56,"mmm-yy"))</f>
        <v/>
      </c>
      <c r="E56" s="3876">
        <f>IF(A56="","",YEAR(A56)+(MONTH(A56)&gt;'Control | Setup'!$B$12))</f>
        <v/>
      </c>
      <c r="F56" s="3876">
        <f>IF(A56="","",MONTH(A56)='Control | Setup'!$B$12)</f>
        <v/>
      </c>
      <c r="G56" s="3876">
        <f>IF(OR(A56="",'Control | Setup'!$B$13=""),"",AND(A56&lt;='Control | Setup'!$B$13,A56&gt;EOMONTH('Control | Setup'!$B$13,-36)))</f>
        <v/>
      </c>
      <c r="H56" s="3876">
        <f>IF(OR(A56="",'Control | Setup'!$B$13=""),"",A56='Control | Setup'!$B$13)</f>
        <v/>
      </c>
      <c r="I56" s="3876">
        <f>IF(A56="","",ROW()-8)</f>
        <v/>
      </c>
    </row>
    <row r="57">
      <c r="A57" s="3906" t="n"/>
      <c r="B57" s="3876">
        <f>IF(A57="","",TEXT(A57,"yyyymm"))</f>
        <v/>
      </c>
      <c r="C57" s="3876">
        <f>IF(A57="","",TEXT(A57,"mmm-yy"))</f>
        <v/>
      </c>
      <c r="D57" s="3876">
        <f>IF(A57="","",TEXT(A57,"mmm-yy"))</f>
        <v/>
      </c>
      <c r="E57" s="3876">
        <f>IF(A57="","",YEAR(A57)+(MONTH(A57)&gt;'Control | Setup'!$B$12))</f>
        <v/>
      </c>
      <c r="F57" s="3876">
        <f>IF(A57="","",MONTH(A57)='Control | Setup'!$B$12)</f>
        <v/>
      </c>
      <c r="G57" s="3876">
        <f>IF(OR(A57="",'Control | Setup'!$B$13=""),"",AND(A57&lt;='Control | Setup'!$B$13,A57&gt;EOMONTH('Control | Setup'!$B$13,-36)))</f>
        <v/>
      </c>
      <c r="H57" s="3876">
        <f>IF(OR(A57="",'Control | Setup'!$B$13=""),"",A57='Control | Setup'!$B$13)</f>
        <v/>
      </c>
      <c r="I57" s="3876">
        <f>IF(A57="","",ROW()-8)</f>
        <v/>
      </c>
    </row>
    <row r="58">
      <c r="A58" s="3906" t="n"/>
      <c r="B58" s="3876">
        <f>IF(A58="","",TEXT(A58,"yyyymm"))</f>
        <v/>
      </c>
      <c r="C58" s="3876">
        <f>IF(A58="","",TEXT(A58,"mmm-yy"))</f>
        <v/>
      </c>
      <c r="D58" s="3876">
        <f>IF(A58="","",TEXT(A58,"mmm-yy"))</f>
        <v/>
      </c>
      <c r="E58" s="3876">
        <f>IF(A58="","",YEAR(A58)+(MONTH(A58)&gt;'Control | Setup'!$B$12))</f>
        <v/>
      </c>
      <c r="F58" s="3876">
        <f>IF(A58="","",MONTH(A58)='Control | Setup'!$B$12)</f>
        <v/>
      </c>
      <c r="G58" s="3876">
        <f>IF(OR(A58="",'Control | Setup'!$B$13=""),"",AND(A58&lt;='Control | Setup'!$B$13,A58&gt;EOMONTH('Control | Setup'!$B$13,-36)))</f>
        <v/>
      </c>
      <c r="H58" s="3876">
        <f>IF(OR(A58="",'Control | Setup'!$B$13=""),"",A58='Control | Setup'!$B$13)</f>
        <v/>
      </c>
      <c r="I58" s="3876">
        <f>IF(A58="","",ROW()-8)</f>
        <v/>
      </c>
    </row>
    <row r="59">
      <c r="A59" s="3906" t="n"/>
      <c r="B59" s="3876">
        <f>IF(A59="","",TEXT(A59,"yyyymm"))</f>
        <v/>
      </c>
      <c r="C59" s="3876">
        <f>IF(A59="","",TEXT(A59,"mmm-yy"))</f>
        <v/>
      </c>
      <c r="D59" s="3876">
        <f>IF(A59="","",TEXT(A59,"mmm-yy"))</f>
        <v/>
      </c>
      <c r="E59" s="3876">
        <f>IF(A59="","",YEAR(A59)+(MONTH(A59)&gt;'Control | Setup'!$B$12))</f>
        <v/>
      </c>
      <c r="F59" s="3876">
        <f>IF(A59="","",MONTH(A59)='Control | Setup'!$B$12)</f>
        <v/>
      </c>
      <c r="G59" s="3876">
        <f>IF(OR(A59="",'Control | Setup'!$B$13=""),"",AND(A59&lt;='Control | Setup'!$B$13,A59&gt;EOMONTH('Control | Setup'!$B$13,-36)))</f>
        <v/>
      </c>
      <c r="H59" s="3876">
        <f>IF(OR(A59="",'Control | Setup'!$B$13=""),"",A59='Control | Setup'!$B$13)</f>
        <v/>
      </c>
      <c r="I59" s="3876">
        <f>IF(A59="","",ROW()-8)</f>
        <v/>
      </c>
    </row>
    <row r="60">
      <c r="A60" s="3906" t="n"/>
      <c r="B60" s="3876">
        <f>IF(A60="","",TEXT(A60,"yyyymm"))</f>
        <v/>
      </c>
      <c r="C60" s="3876">
        <f>IF(A60="","",TEXT(A60,"mmm-yy"))</f>
        <v/>
      </c>
      <c r="D60" s="3876">
        <f>IF(A60="","",TEXT(A60,"mmm-yy"))</f>
        <v/>
      </c>
      <c r="E60" s="3876">
        <f>IF(A60="","",YEAR(A60)+(MONTH(A60)&gt;'Control | Setup'!$B$12))</f>
        <v/>
      </c>
      <c r="F60" s="3876">
        <f>IF(A60="","",MONTH(A60)='Control | Setup'!$B$12)</f>
        <v/>
      </c>
      <c r="G60" s="3876">
        <f>IF(OR(A60="",'Control | Setup'!$B$13=""),"",AND(A60&lt;='Control | Setup'!$B$13,A60&gt;EOMONTH('Control | Setup'!$B$13,-36)))</f>
        <v/>
      </c>
      <c r="H60" s="3876">
        <f>IF(OR(A60="",'Control | Setup'!$B$13=""),"",A60='Control | Setup'!$B$13)</f>
        <v/>
      </c>
      <c r="I60" s="3876">
        <f>IF(A60="","",ROW()-8)</f>
        <v/>
      </c>
    </row>
    <row r="61">
      <c r="A61" s="3906" t="n"/>
      <c r="B61" s="3876">
        <f>IF(A61="","",TEXT(A61,"yyyymm"))</f>
        <v/>
      </c>
      <c r="C61" s="3876">
        <f>IF(A61="","",TEXT(A61,"mmm-yy"))</f>
        <v/>
      </c>
      <c r="D61" s="3876">
        <f>IF(A61="","",TEXT(A61,"mmm-yy"))</f>
        <v/>
      </c>
      <c r="E61" s="3876">
        <f>IF(A61="","",YEAR(A61)+(MONTH(A61)&gt;'Control | Setup'!$B$12))</f>
        <v/>
      </c>
      <c r="F61" s="3876">
        <f>IF(A61="","",MONTH(A61)='Control | Setup'!$B$12)</f>
        <v/>
      </c>
      <c r="G61" s="3876">
        <f>IF(OR(A61="",'Control | Setup'!$B$13=""),"",AND(A61&lt;='Control | Setup'!$B$13,A61&gt;EOMONTH('Control | Setup'!$B$13,-36)))</f>
        <v/>
      </c>
      <c r="H61" s="3876">
        <f>IF(OR(A61="",'Control | Setup'!$B$13=""),"",A61='Control | Setup'!$B$13)</f>
        <v/>
      </c>
      <c r="I61" s="3876">
        <f>IF(A61="","",ROW()-8)</f>
        <v/>
      </c>
    </row>
    <row r="62">
      <c r="A62" s="3906" t="n"/>
      <c r="B62" s="3876">
        <f>IF(A62="","",TEXT(A62,"yyyymm"))</f>
        <v/>
      </c>
      <c r="C62" s="3876">
        <f>IF(A62="","",TEXT(A62,"mmm-yy"))</f>
        <v/>
      </c>
      <c r="D62" s="3876">
        <f>IF(A62="","",TEXT(A62,"mmm-yy"))</f>
        <v/>
      </c>
      <c r="E62" s="3876">
        <f>IF(A62="","",YEAR(A62)+(MONTH(A62)&gt;'Control | Setup'!$B$12))</f>
        <v/>
      </c>
      <c r="F62" s="3876">
        <f>IF(A62="","",MONTH(A62)='Control | Setup'!$B$12)</f>
        <v/>
      </c>
      <c r="G62" s="3876">
        <f>IF(OR(A62="",'Control | Setup'!$B$13=""),"",AND(A62&lt;='Control | Setup'!$B$13,A62&gt;EOMONTH('Control | Setup'!$B$13,-36)))</f>
        <v/>
      </c>
      <c r="H62" s="3876">
        <f>IF(OR(A62="",'Control | Setup'!$B$13=""),"",A62='Control | Setup'!$B$13)</f>
        <v/>
      </c>
      <c r="I62" s="3876">
        <f>IF(A62="","",ROW()-8)</f>
        <v/>
      </c>
    </row>
    <row r="63">
      <c r="A63" s="3906" t="n"/>
      <c r="B63" s="3876">
        <f>IF(A63="","",TEXT(A63,"yyyymm"))</f>
        <v/>
      </c>
      <c r="C63" s="3876">
        <f>IF(A63="","",TEXT(A63,"mmm-yy"))</f>
        <v/>
      </c>
      <c r="D63" s="3876">
        <f>IF(A63="","",TEXT(A63,"mmm-yy"))</f>
        <v/>
      </c>
      <c r="E63" s="3876">
        <f>IF(A63="","",YEAR(A63)+(MONTH(A63)&gt;'Control | Setup'!$B$12))</f>
        <v/>
      </c>
      <c r="F63" s="3876">
        <f>IF(A63="","",MONTH(A63)='Control | Setup'!$B$12)</f>
        <v/>
      </c>
      <c r="G63" s="3876">
        <f>IF(OR(A63="",'Control | Setup'!$B$13=""),"",AND(A63&lt;='Control | Setup'!$B$13,A63&gt;EOMONTH('Control | Setup'!$B$13,-36)))</f>
        <v/>
      </c>
      <c r="H63" s="3876">
        <f>IF(OR(A63="",'Control | Setup'!$B$13=""),"",A63='Control | Setup'!$B$13)</f>
        <v/>
      </c>
      <c r="I63" s="3876">
        <f>IF(A63="","",ROW()-8)</f>
        <v/>
      </c>
    </row>
    <row r="64">
      <c r="A64" s="3906" t="n"/>
      <c r="B64" s="3876">
        <f>IF(A64="","",TEXT(A64,"yyyymm"))</f>
        <v/>
      </c>
      <c r="C64" s="3876">
        <f>IF(A64="","",TEXT(A64,"mmm-yy"))</f>
        <v/>
      </c>
      <c r="D64" s="3876">
        <f>IF(A64="","",TEXT(A64,"mmm-yy"))</f>
        <v/>
      </c>
      <c r="E64" s="3876">
        <f>IF(A64="","",YEAR(A64)+(MONTH(A64)&gt;'Control | Setup'!$B$12))</f>
        <v/>
      </c>
      <c r="F64" s="3876">
        <f>IF(A64="","",MONTH(A64)='Control | Setup'!$B$12)</f>
        <v/>
      </c>
      <c r="G64" s="3876">
        <f>IF(OR(A64="",'Control | Setup'!$B$13=""),"",AND(A64&lt;='Control | Setup'!$B$13,A64&gt;EOMONTH('Control | Setup'!$B$13,-36)))</f>
        <v/>
      </c>
      <c r="H64" s="3876">
        <f>IF(OR(A64="",'Control | Setup'!$B$13=""),"",A64='Control | Setup'!$B$13)</f>
        <v/>
      </c>
      <c r="I64" s="3876">
        <f>IF(A64="","",ROW()-8)</f>
        <v/>
      </c>
    </row>
    <row r="65">
      <c r="A65" s="3906" t="n"/>
      <c r="B65" s="3876">
        <f>IF(A65="","",TEXT(A65,"yyyymm"))</f>
        <v/>
      </c>
      <c r="C65" s="3876">
        <f>IF(A65="","",TEXT(A65,"mmm-yy"))</f>
        <v/>
      </c>
      <c r="D65" s="3876">
        <f>IF(A65="","",TEXT(A65,"mmm-yy"))</f>
        <v/>
      </c>
      <c r="E65" s="3876">
        <f>IF(A65="","",YEAR(A65)+(MONTH(A65)&gt;'Control | Setup'!$B$12))</f>
        <v/>
      </c>
      <c r="F65" s="3876">
        <f>IF(A65="","",MONTH(A65)='Control | Setup'!$B$12)</f>
        <v/>
      </c>
      <c r="G65" s="3876">
        <f>IF(OR(A65="",'Control | Setup'!$B$13=""),"",AND(A65&lt;='Control | Setup'!$B$13,A65&gt;EOMONTH('Control | Setup'!$B$13,-36)))</f>
        <v/>
      </c>
      <c r="H65" s="3876">
        <f>IF(OR(A65="",'Control | Setup'!$B$13=""),"",A65='Control | Setup'!$B$13)</f>
        <v/>
      </c>
      <c r="I65" s="3876">
        <f>IF(A65="","",ROW()-8)</f>
        <v/>
      </c>
    </row>
    <row r="66">
      <c r="A66" s="3906" t="n"/>
      <c r="B66" s="3876">
        <f>IF(A66="","",TEXT(A66,"yyyymm"))</f>
        <v/>
      </c>
      <c r="C66" s="3876">
        <f>IF(A66="","",TEXT(A66,"mmm-yy"))</f>
        <v/>
      </c>
      <c r="D66" s="3876">
        <f>IF(A66="","",TEXT(A66,"mmm-yy"))</f>
        <v/>
      </c>
      <c r="E66" s="3876">
        <f>IF(A66="","",YEAR(A66)+(MONTH(A66)&gt;'Control | Setup'!$B$12))</f>
        <v/>
      </c>
      <c r="F66" s="3876">
        <f>IF(A66="","",MONTH(A66)='Control | Setup'!$B$12)</f>
        <v/>
      </c>
      <c r="G66" s="3876">
        <f>IF(OR(A66="",'Control | Setup'!$B$13=""),"",AND(A66&lt;='Control | Setup'!$B$13,A66&gt;EOMONTH('Control | Setup'!$B$13,-36)))</f>
        <v/>
      </c>
      <c r="H66" s="3876">
        <f>IF(OR(A66="",'Control | Setup'!$B$13=""),"",A66='Control | Setup'!$B$13)</f>
        <v/>
      </c>
      <c r="I66" s="3876">
        <f>IF(A66="","",ROW()-8)</f>
        <v/>
      </c>
    </row>
    <row r="67">
      <c r="A67" s="3906" t="n"/>
      <c r="B67" s="3876">
        <f>IF(A67="","",TEXT(A67,"yyyymm"))</f>
        <v/>
      </c>
      <c r="C67" s="3876">
        <f>IF(A67="","",TEXT(A67,"mmm-yy"))</f>
        <v/>
      </c>
      <c r="D67" s="3876">
        <f>IF(A67="","",TEXT(A67,"mmm-yy"))</f>
        <v/>
      </c>
      <c r="E67" s="3876">
        <f>IF(A67="","",YEAR(A67)+(MONTH(A67)&gt;'Control | Setup'!$B$12))</f>
        <v/>
      </c>
      <c r="F67" s="3876">
        <f>IF(A67="","",MONTH(A67)='Control | Setup'!$B$12)</f>
        <v/>
      </c>
      <c r="G67" s="3876">
        <f>IF(OR(A67="",'Control | Setup'!$B$13=""),"",AND(A67&lt;='Control | Setup'!$B$13,A67&gt;EOMONTH('Control | Setup'!$B$13,-36)))</f>
        <v/>
      </c>
      <c r="H67" s="3876">
        <f>IF(OR(A67="",'Control | Setup'!$B$13=""),"",A67='Control | Setup'!$B$13)</f>
        <v/>
      </c>
      <c r="I67" s="3876">
        <f>IF(A67="","",ROW()-8)</f>
        <v/>
      </c>
    </row>
    <row r="68">
      <c r="A68" s="3906" t="n"/>
      <c r="B68" s="3876">
        <f>IF(A68="","",TEXT(A68,"yyyymm"))</f>
        <v/>
      </c>
      <c r="C68" s="3876">
        <f>IF(A68="","",TEXT(A68,"mmm-yy"))</f>
        <v/>
      </c>
      <c r="D68" s="3876">
        <f>IF(A68="","",TEXT(A68,"mmm-yy"))</f>
        <v/>
      </c>
      <c r="E68" s="3876">
        <f>IF(A68="","",YEAR(A68)+(MONTH(A68)&gt;'Control | Setup'!$B$12))</f>
        <v/>
      </c>
      <c r="F68" s="3876">
        <f>IF(A68="","",MONTH(A68)='Control | Setup'!$B$12)</f>
        <v/>
      </c>
      <c r="G68" s="3876">
        <f>IF(OR(A68="",'Control | Setup'!$B$13=""),"",AND(A68&lt;='Control | Setup'!$B$13,A68&gt;EOMONTH('Control | Setup'!$B$13,-36)))</f>
        <v/>
      </c>
      <c r="H68" s="3876">
        <f>IF(OR(A68="",'Control | Setup'!$B$13=""),"",A68='Control | Setup'!$B$13)</f>
        <v/>
      </c>
      <c r="I68" s="3876">
        <f>IF(A68="","",ROW()-8)</f>
        <v/>
      </c>
    </row>
    <row r="69">
      <c r="A69" s="3906" t="n"/>
      <c r="B69" s="3876">
        <f>IF(A69="","",TEXT(A69,"yyyymm"))</f>
        <v/>
      </c>
      <c r="C69" s="3876">
        <f>IF(A69="","",TEXT(A69,"mmm-yy"))</f>
        <v/>
      </c>
      <c r="D69" s="3876">
        <f>IF(A69="","",TEXT(A69,"mmm-yy"))</f>
        <v/>
      </c>
      <c r="E69" s="3876">
        <f>IF(A69="","",YEAR(A69)+(MONTH(A69)&gt;'Control | Setup'!$B$12))</f>
        <v/>
      </c>
      <c r="F69" s="3876">
        <f>IF(A69="","",MONTH(A69)='Control | Setup'!$B$12)</f>
        <v/>
      </c>
      <c r="G69" s="3876">
        <f>IF(OR(A69="",'Control | Setup'!$B$13=""),"",AND(A69&lt;='Control | Setup'!$B$13,A69&gt;EOMONTH('Control | Setup'!$B$13,-36)))</f>
        <v/>
      </c>
      <c r="H69" s="3876">
        <f>IF(OR(A69="",'Control | Setup'!$B$13=""),"",A69='Control | Setup'!$B$13)</f>
        <v/>
      </c>
      <c r="I69" s="3876">
        <f>IF(A69="","",ROW()-8)</f>
        <v/>
      </c>
    </row>
    <row r="70">
      <c r="A70" s="3906" t="n"/>
      <c r="B70" s="3876">
        <f>IF(A70="","",TEXT(A70,"yyyymm"))</f>
        <v/>
      </c>
      <c r="C70" s="3876">
        <f>IF(A70="","",TEXT(A70,"mmm-yy"))</f>
        <v/>
      </c>
      <c r="D70" s="3876">
        <f>IF(A70="","",TEXT(A70,"mmm-yy"))</f>
        <v/>
      </c>
      <c r="E70" s="3876">
        <f>IF(A70="","",YEAR(A70)+(MONTH(A70)&gt;'Control | Setup'!$B$12))</f>
        <v/>
      </c>
      <c r="F70" s="3876">
        <f>IF(A70="","",MONTH(A70)='Control | Setup'!$B$12)</f>
        <v/>
      </c>
      <c r="G70" s="3876">
        <f>IF(OR(A70="",'Control | Setup'!$B$13=""),"",AND(A70&lt;='Control | Setup'!$B$13,A70&gt;EOMONTH('Control | Setup'!$B$13,-36)))</f>
        <v/>
      </c>
      <c r="H70" s="3876">
        <f>IF(OR(A70="",'Control | Setup'!$B$13=""),"",A70='Control | Setup'!$B$13)</f>
        <v/>
      </c>
      <c r="I70" s="3876">
        <f>IF(A70="","",ROW()-8)</f>
        <v/>
      </c>
    </row>
    <row r="71">
      <c r="A71" s="3906" t="n"/>
      <c r="B71" s="3876">
        <f>IF(A71="","",TEXT(A71,"yyyymm"))</f>
        <v/>
      </c>
      <c r="C71" s="3876">
        <f>IF(A71="","",TEXT(A71,"mmm-yy"))</f>
        <v/>
      </c>
      <c r="D71" s="3876">
        <f>IF(A71="","",TEXT(A71,"mmm-yy"))</f>
        <v/>
      </c>
      <c r="E71" s="3876">
        <f>IF(A71="","",YEAR(A71)+(MONTH(A71)&gt;'Control | Setup'!$B$12))</f>
        <v/>
      </c>
      <c r="F71" s="3876">
        <f>IF(A71="","",MONTH(A71)='Control | Setup'!$B$12)</f>
        <v/>
      </c>
      <c r="G71" s="3876">
        <f>IF(OR(A71="",'Control | Setup'!$B$13=""),"",AND(A71&lt;='Control | Setup'!$B$13,A71&gt;EOMONTH('Control | Setup'!$B$13,-36)))</f>
        <v/>
      </c>
      <c r="H71" s="3876">
        <f>IF(OR(A71="",'Control | Setup'!$B$13=""),"",A71='Control | Setup'!$B$13)</f>
        <v/>
      </c>
      <c r="I71" s="3876">
        <f>IF(A71="","",ROW()-8)</f>
        <v/>
      </c>
    </row>
    <row r="72">
      <c r="A72" s="3906" t="n"/>
      <c r="B72" s="3876">
        <f>IF(A72="","",TEXT(A72,"yyyymm"))</f>
        <v/>
      </c>
      <c r="C72" s="3876">
        <f>IF(A72="","",TEXT(A72,"mmm-yy"))</f>
        <v/>
      </c>
      <c r="D72" s="3876">
        <f>IF(A72="","",TEXT(A72,"mmm-yy"))</f>
        <v/>
      </c>
      <c r="E72" s="3876">
        <f>IF(A72="","",YEAR(A72)+(MONTH(A72)&gt;'Control | Setup'!$B$12))</f>
        <v/>
      </c>
      <c r="F72" s="3876">
        <f>IF(A72="","",MONTH(A72)='Control | Setup'!$B$12)</f>
        <v/>
      </c>
      <c r="G72" s="3876">
        <f>IF(OR(A72="",'Control | Setup'!$B$13=""),"",AND(A72&lt;='Control | Setup'!$B$13,A72&gt;EOMONTH('Control | Setup'!$B$13,-36)))</f>
        <v/>
      </c>
      <c r="H72" s="3876">
        <f>IF(OR(A72="",'Control | Setup'!$B$13=""),"",A72='Control | Setup'!$B$13)</f>
        <v/>
      </c>
      <c r="I72" s="3876">
        <f>IF(A72="","",ROW()-8)</f>
        <v/>
      </c>
    </row>
    <row r="73">
      <c r="A73" s="3906" t="n"/>
      <c r="B73" s="3876">
        <f>IF(A73="","",TEXT(A73,"yyyymm"))</f>
        <v/>
      </c>
      <c r="C73" s="3876">
        <f>IF(A73="","",TEXT(A73,"mmm-yy"))</f>
        <v/>
      </c>
      <c r="D73" s="3876">
        <f>IF(A73="","",TEXT(A73,"mmm-yy"))</f>
        <v/>
      </c>
      <c r="E73" s="3876">
        <f>IF(A73="","",YEAR(A73)+(MONTH(A73)&gt;'Control | Setup'!$B$12))</f>
        <v/>
      </c>
      <c r="F73" s="3876">
        <f>IF(A73="","",MONTH(A73)='Control | Setup'!$B$12)</f>
        <v/>
      </c>
      <c r="G73" s="3876">
        <f>IF(OR(A73="",'Control | Setup'!$B$13=""),"",AND(A73&lt;='Control | Setup'!$B$13,A73&gt;EOMONTH('Control | Setup'!$B$13,-36)))</f>
        <v/>
      </c>
      <c r="H73" s="3876">
        <f>IF(OR(A73="",'Control | Setup'!$B$13=""),"",A73='Control | Setup'!$B$13)</f>
        <v/>
      </c>
      <c r="I73" s="3876">
        <f>IF(A73="","",ROW()-8)</f>
        <v/>
      </c>
    </row>
    <row r="74">
      <c r="A74" s="3906" t="n"/>
      <c r="B74" s="3876">
        <f>IF(A74="","",TEXT(A74,"yyyymm"))</f>
        <v/>
      </c>
      <c r="C74" s="3876">
        <f>IF(A74="","",TEXT(A74,"mmm-yy"))</f>
        <v/>
      </c>
      <c r="D74" s="3876">
        <f>IF(A74="","",TEXT(A74,"mmm-yy"))</f>
        <v/>
      </c>
      <c r="E74" s="3876">
        <f>IF(A74="","",YEAR(A74)+(MONTH(A74)&gt;'Control | Setup'!$B$12))</f>
        <v/>
      </c>
      <c r="F74" s="3876">
        <f>IF(A74="","",MONTH(A74)='Control | Setup'!$B$12)</f>
        <v/>
      </c>
      <c r="G74" s="3876">
        <f>IF(OR(A74="",'Control | Setup'!$B$13=""),"",AND(A74&lt;='Control | Setup'!$B$13,A74&gt;EOMONTH('Control | Setup'!$B$13,-36)))</f>
        <v/>
      </c>
      <c r="H74" s="3876">
        <f>IF(OR(A74="",'Control | Setup'!$B$13=""),"",A74='Control | Setup'!$B$13)</f>
        <v/>
      </c>
      <c r="I74" s="3876">
        <f>IF(A74="","",ROW()-8)</f>
        <v/>
      </c>
    </row>
    <row r="75">
      <c r="A75" s="3906" t="n"/>
      <c r="B75" s="3876">
        <f>IF(A75="","",TEXT(A75,"yyyymm"))</f>
        <v/>
      </c>
      <c r="C75" s="3876">
        <f>IF(A75="","",TEXT(A75,"mmm-yy"))</f>
        <v/>
      </c>
      <c r="D75" s="3876">
        <f>IF(A75="","",TEXT(A75,"mmm-yy"))</f>
        <v/>
      </c>
      <c r="E75" s="3876">
        <f>IF(A75="","",YEAR(A75)+(MONTH(A75)&gt;'Control | Setup'!$B$12))</f>
        <v/>
      </c>
      <c r="F75" s="3876">
        <f>IF(A75="","",MONTH(A75)='Control | Setup'!$B$12)</f>
        <v/>
      </c>
      <c r="G75" s="3876">
        <f>IF(OR(A75="",'Control | Setup'!$B$13=""),"",AND(A75&lt;='Control | Setup'!$B$13,A75&gt;EOMONTH('Control | Setup'!$B$13,-36)))</f>
        <v/>
      </c>
      <c r="H75" s="3876">
        <f>IF(OR(A75="",'Control | Setup'!$B$13=""),"",A75='Control | Setup'!$B$13)</f>
        <v/>
      </c>
      <c r="I75" s="3876">
        <f>IF(A75="","",ROW()-8)</f>
        <v/>
      </c>
    </row>
    <row r="76">
      <c r="A76" s="3906" t="n"/>
      <c r="B76" s="3876">
        <f>IF(A76="","",TEXT(A76,"yyyymm"))</f>
        <v/>
      </c>
      <c r="C76" s="3876">
        <f>IF(A76="","",TEXT(A76,"mmm-yy"))</f>
        <v/>
      </c>
      <c r="D76" s="3876">
        <f>IF(A76="","",TEXT(A76,"mmm-yy"))</f>
        <v/>
      </c>
      <c r="E76" s="3876">
        <f>IF(A76="","",YEAR(A76)+(MONTH(A76)&gt;'Control | Setup'!$B$12))</f>
        <v/>
      </c>
      <c r="F76" s="3876">
        <f>IF(A76="","",MONTH(A76)='Control | Setup'!$B$12)</f>
        <v/>
      </c>
      <c r="G76" s="3876">
        <f>IF(OR(A76="",'Control | Setup'!$B$13=""),"",AND(A76&lt;='Control | Setup'!$B$13,A76&gt;EOMONTH('Control | Setup'!$B$13,-36)))</f>
        <v/>
      </c>
      <c r="H76" s="3876">
        <f>IF(OR(A76="",'Control | Setup'!$B$13=""),"",A76='Control | Setup'!$B$13)</f>
        <v/>
      </c>
      <c r="I76" s="3876">
        <f>IF(A76="","",ROW()-8)</f>
        <v/>
      </c>
    </row>
    <row r="77">
      <c r="A77" s="3906" t="n"/>
      <c r="B77" s="3876">
        <f>IF(A77="","",TEXT(A77,"yyyymm"))</f>
        <v/>
      </c>
      <c r="C77" s="3876">
        <f>IF(A77="","",TEXT(A77,"mmm-yy"))</f>
        <v/>
      </c>
      <c r="D77" s="3876">
        <f>IF(A77="","",TEXT(A77,"mmm-yy"))</f>
        <v/>
      </c>
      <c r="E77" s="3876">
        <f>IF(A77="","",YEAR(A77)+(MONTH(A77)&gt;'Control | Setup'!$B$12))</f>
        <v/>
      </c>
      <c r="F77" s="3876">
        <f>IF(A77="","",MONTH(A77)='Control | Setup'!$B$12)</f>
        <v/>
      </c>
      <c r="G77" s="3876">
        <f>IF(OR(A77="",'Control | Setup'!$B$13=""),"",AND(A77&lt;='Control | Setup'!$B$13,A77&gt;EOMONTH('Control | Setup'!$B$13,-36)))</f>
        <v/>
      </c>
      <c r="H77" s="3876">
        <f>IF(OR(A77="",'Control | Setup'!$B$13=""),"",A77='Control | Setup'!$B$13)</f>
        <v/>
      </c>
      <c r="I77" s="3876">
        <f>IF(A77="","",ROW()-8)</f>
        <v/>
      </c>
    </row>
    <row r="78">
      <c r="A78" s="3906" t="n"/>
      <c r="B78" s="3876">
        <f>IF(A78="","",TEXT(A78,"yyyymm"))</f>
        <v/>
      </c>
      <c r="C78" s="3876">
        <f>IF(A78="","",TEXT(A78,"mmm-yy"))</f>
        <v/>
      </c>
      <c r="D78" s="3876">
        <f>IF(A78="","",TEXT(A78,"mmm-yy"))</f>
        <v/>
      </c>
      <c r="E78" s="3876">
        <f>IF(A78="","",YEAR(A78)+(MONTH(A78)&gt;'Control | Setup'!$B$12))</f>
        <v/>
      </c>
      <c r="F78" s="3876">
        <f>IF(A78="","",MONTH(A78)='Control | Setup'!$B$12)</f>
        <v/>
      </c>
      <c r="G78" s="3876">
        <f>IF(OR(A78="",'Control | Setup'!$B$13=""),"",AND(A78&lt;='Control | Setup'!$B$13,A78&gt;EOMONTH('Control | Setup'!$B$13,-36)))</f>
        <v/>
      </c>
      <c r="H78" s="3876">
        <f>IF(OR(A78="",'Control | Setup'!$B$13=""),"",A78='Control | Setup'!$B$13)</f>
        <v/>
      </c>
      <c r="I78" s="3876">
        <f>IF(A78="","",ROW()-8)</f>
        <v/>
      </c>
    </row>
    <row r="79">
      <c r="A79" s="3906" t="n"/>
      <c r="B79" s="3876">
        <f>IF(A79="","",TEXT(A79,"yyyymm"))</f>
        <v/>
      </c>
      <c r="C79" s="3876">
        <f>IF(A79="","",TEXT(A79,"mmm-yy"))</f>
        <v/>
      </c>
      <c r="D79" s="3876">
        <f>IF(A79="","",TEXT(A79,"mmm-yy"))</f>
        <v/>
      </c>
      <c r="E79" s="3876">
        <f>IF(A79="","",YEAR(A79)+(MONTH(A79)&gt;'Control | Setup'!$B$12))</f>
        <v/>
      </c>
      <c r="F79" s="3876">
        <f>IF(A79="","",MONTH(A79)='Control | Setup'!$B$12)</f>
        <v/>
      </c>
      <c r="G79" s="3876">
        <f>IF(OR(A79="",'Control | Setup'!$B$13=""),"",AND(A79&lt;='Control | Setup'!$B$13,A79&gt;EOMONTH('Control | Setup'!$B$13,-36)))</f>
        <v/>
      </c>
      <c r="H79" s="3876">
        <f>IF(OR(A79="",'Control | Setup'!$B$13=""),"",A79='Control | Setup'!$B$13)</f>
        <v/>
      </c>
      <c r="I79" s="3876">
        <f>IF(A79="","",ROW()-8)</f>
        <v/>
      </c>
    </row>
    <row r="80">
      <c r="A80" s="3906" t="n"/>
      <c r="B80" s="3876">
        <f>IF(A80="","",TEXT(A80,"yyyymm"))</f>
        <v/>
      </c>
      <c r="C80" s="3876">
        <f>IF(A80="","",TEXT(A80,"mmm-yy"))</f>
        <v/>
      </c>
      <c r="D80" s="3876">
        <f>IF(A80="","",TEXT(A80,"mmm-yy"))</f>
        <v/>
      </c>
      <c r="E80" s="3876">
        <f>IF(A80="","",YEAR(A80)+(MONTH(A80)&gt;'Control | Setup'!$B$12))</f>
        <v/>
      </c>
      <c r="F80" s="3876">
        <f>IF(A80="","",MONTH(A80)='Control | Setup'!$B$12)</f>
        <v/>
      </c>
      <c r="G80" s="3876">
        <f>IF(OR(A80="",'Control | Setup'!$B$13=""),"",AND(A80&lt;='Control | Setup'!$B$13,A80&gt;EOMONTH('Control | Setup'!$B$13,-36)))</f>
        <v/>
      </c>
      <c r="H80" s="3876">
        <f>IF(OR(A80="",'Control | Setup'!$B$13=""),"",A80='Control | Setup'!$B$13)</f>
        <v/>
      </c>
      <c r="I80" s="3876">
        <f>IF(A80="","",ROW()-8)</f>
        <v/>
      </c>
    </row>
    <row r="81">
      <c r="A81" s="3906" t="n"/>
      <c r="B81" s="3876">
        <f>IF(A81="","",TEXT(A81,"yyyymm"))</f>
        <v/>
      </c>
      <c r="C81" s="3876">
        <f>IF(A81="","",TEXT(A81,"mmm-yy"))</f>
        <v/>
      </c>
      <c r="D81" s="3876">
        <f>IF(A81="","",TEXT(A81,"mmm-yy"))</f>
        <v/>
      </c>
      <c r="E81" s="3876">
        <f>IF(A81="","",YEAR(A81)+(MONTH(A81)&gt;'Control | Setup'!$B$12))</f>
        <v/>
      </c>
      <c r="F81" s="3876">
        <f>IF(A81="","",MONTH(A81)='Control | Setup'!$B$12)</f>
        <v/>
      </c>
      <c r="G81" s="3876">
        <f>IF(OR(A81="",'Control | Setup'!$B$13=""),"",AND(A81&lt;='Control | Setup'!$B$13,A81&gt;EOMONTH('Control | Setup'!$B$13,-36)))</f>
        <v/>
      </c>
      <c r="H81" s="3876">
        <f>IF(OR(A81="",'Control | Setup'!$B$13=""),"",A81='Control | Setup'!$B$13)</f>
        <v/>
      </c>
      <c r="I81" s="3876">
        <f>IF(A81="","",ROW()-8)</f>
        <v/>
      </c>
    </row>
    <row r="82">
      <c r="A82" s="3906" t="n"/>
      <c r="B82" s="3876">
        <f>IF(A82="","",TEXT(A82,"yyyymm"))</f>
        <v/>
      </c>
      <c r="C82" s="3876">
        <f>IF(A82="","",TEXT(A82,"mmm-yy"))</f>
        <v/>
      </c>
      <c r="D82" s="3876">
        <f>IF(A82="","",TEXT(A82,"mmm-yy"))</f>
        <v/>
      </c>
      <c r="E82" s="3876">
        <f>IF(A82="","",YEAR(A82)+(MONTH(A82)&gt;'Control | Setup'!$B$12))</f>
        <v/>
      </c>
      <c r="F82" s="3876">
        <f>IF(A82="","",MONTH(A82)='Control | Setup'!$B$12)</f>
        <v/>
      </c>
      <c r="G82" s="3876">
        <f>IF(OR(A82="",'Control | Setup'!$B$13=""),"",AND(A82&lt;='Control | Setup'!$B$13,A82&gt;EOMONTH('Control | Setup'!$B$13,-36)))</f>
        <v/>
      </c>
      <c r="H82" s="3876">
        <f>IF(OR(A82="",'Control | Setup'!$B$13=""),"",A82='Control | Setup'!$B$13)</f>
        <v/>
      </c>
      <c r="I82" s="3876">
        <f>IF(A82="","",ROW()-8)</f>
        <v/>
      </c>
    </row>
    <row r="83">
      <c r="A83" s="3906" t="n"/>
      <c r="B83" s="3876">
        <f>IF(A83="","",TEXT(A83,"yyyymm"))</f>
        <v/>
      </c>
      <c r="C83" s="3876">
        <f>IF(A83="","",TEXT(A83,"mmm-yy"))</f>
        <v/>
      </c>
      <c r="D83" s="3876">
        <f>IF(A83="","",TEXT(A83,"mmm-yy"))</f>
        <v/>
      </c>
      <c r="E83" s="3876">
        <f>IF(A83="","",YEAR(A83)+(MONTH(A83)&gt;'Control | Setup'!$B$12))</f>
        <v/>
      </c>
      <c r="F83" s="3876">
        <f>IF(A83="","",MONTH(A83)='Control | Setup'!$B$12)</f>
        <v/>
      </c>
      <c r="G83" s="3876">
        <f>IF(OR(A83="",'Control | Setup'!$B$13=""),"",AND(A83&lt;='Control | Setup'!$B$13,A83&gt;EOMONTH('Control | Setup'!$B$13,-36)))</f>
        <v/>
      </c>
      <c r="H83" s="3876">
        <f>IF(OR(A83="",'Control | Setup'!$B$13=""),"",A83='Control | Setup'!$B$13)</f>
        <v/>
      </c>
      <c r="I83" s="3876">
        <f>IF(A83="","",ROW()-8)</f>
        <v/>
      </c>
    </row>
    <row r="84">
      <c r="A84" s="3906" t="n"/>
      <c r="B84" s="3876">
        <f>IF(A84="","",TEXT(A84,"yyyymm"))</f>
        <v/>
      </c>
      <c r="C84" s="3876">
        <f>IF(A84="","",TEXT(A84,"mmm-yy"))</f>
        <v/>
      </c>
      <c r="D84" s="3876">
        <f>IF(A84="","",TEXT(A84,"mmm-yy"))</f>
        <v/>
      </c>
      <c r="E84" s="3876">
        <f>IF(A84="","",YEAR(A84)+(MONTH(A84)&gt;'Control | Setup'!$B$12))</f>
        <v/>
      </c>
      <c r="F84" s="3876">
        <f>IF(A84="","",MONTH(A84)='Control | Setup'!$B$12)</f>
        <v/>
      </c>
      <c r="G84" s="3876">
        <f>IF(OR(A84="",'Control | Setup'!$B$13=""),"",AND(A84&lt;='Control | Setup'!$B$13,A84&gt;EOMONTH('Control | Setup'!$B$13,-36)))</f>
        <v/>
      </c>
      <c r="H84" s="3876">
        <f>IF(OR(A84="",'Control | Setup'!$B$13=""),"",A84='Control | Setup'!$B$13)</f>
        <v/>
      </c>
      <c r="I84" s="3876">
        <f>IF(A84="","",ROW()-8)</f>
        <v/>
      </c>
    </row>
    <row r="85">
      <c r="A85" s="3906" t="n"/>
      <c r="B85" s="3876">
        <f>IF(A85="","",TEXT(A85,"yyyymm"))</f>
        <v/>
      </c>
      <c r="C85" s="3876">
        <f>IF(A85="","",TEXT(A85,"mmm-yy"))</f>
        <v/>
      </c>
      <c r="D85" s="3876">
        <f>IF(A85="","",TEXT(A85,"mmm-yy"))</f>
        <v/>
      </c>
      <c r="E85" s="3876">
        <f>IF(A85="","",YEAR(A85)+(MONTH(A85)&gt;'Control | Setup'!$B$12))</f>
        <v/>
      </c>
      <c r="F85" s="3876">
        <f>IF(A85="","",MONTH(A85)='Control | Setup'!$B$12)</f>
        <v/>
      </c>
      <c r="G85" s="3876">
        <f>IF(OR(A85="",'Control | Setup'!$B$13=""),"",AND(A85&lt;='Control | Setup'!$B$13,A85&gt;EOMONTH('Control | Setup'!$B$13,-36)))</f>
        <v/>
      </c>
      <c r="H85" s="3876">
        <f>IF(OR(A85="",'Control | Setup'!$B$13=""),"",A85='Control | Setup'!$B$13)</f>
        <v/>
      </c>
      <c r="I85" s="3876">
        <f>IF(A85="","",ROW()-8)</f>
        <v/>
      </c>
    </row>
    <row r="86">
      <c r="A86" s="3906" t="n"/>
      <c r="B86" s="3876">
        <f>IF(A86="","",TEXT(A86,"yyyymm"))</f>
        <v/>
      </c>
      <c r="C86" s="3876">
        <f>IF(A86="","",TEXT(A86,"mmm-yy"))</f>
        <v/>
      </c>
      <c r="D86" s="3876">
        <f>IF(A86="","",TEXT(A86,"mmm-yy"))</f>
        <v/>
      </c>
      <c r="E86" s="3876">
        <f>IF(A86="","",YEAR(A86)+(MONTH(A86)&gt;'Control | Setup'!$B$12))</f>
        <v/>
      </c>
      <c r="F86" s="3876">
        <f>IF(A86="","",MONTH(A86)='Control | Setup'!$B$12)</f>
        <v/>
      </c>
      <c r="G86" s="3876">
        <f>IF(OR(A86="",'Control | Setup'!$B$13=""),"",AND(A86&lt;='Control | Setup'!$B$13,A86&gt;EOMONTH('Control | Setup'!$B$13,-36)))</f>
        <v/>
      </c>
      <c r="H86" s="3876">
        <f>IF(OR(A86="",'Control | Setup'!$B$13=""),"",A86='Control | Setup'!$B$13)</f>
        <v/>
      </c>
      <c r="I86" s="3876">
        <f>IF(A86="","",ROW()-8)</f>
        <v/>
      </c>
    </row>
    <row r="87">
      <c r="A87" s="3906" t="n"/>
      <c r="B87" s="3876">
        <f>IF(A87="","",TEXT(A87,"yyyymm"))</f>
        <v/>
      </c>
      <c r="C87" s="3876">
        <f>IF(A87="","",TEXT(A87,"mmm-yy"))</f>
        <v/>
      </c>
      <c r="D87" s="3876">
        <f>IF(A87="","",TEXT(A87,"mmm-yy"))</f>
        <v/>
      </c>
      <c r="E87" s="3876">
        <f>IF(A87="","",YEAR(A87)+(MONTH(A87)&gt;'Control | Setup'!$B$12))</f>
        <v/>
      </c>
      <c r="F87" s="3876">
        <f>IF(A87="","",MONTH(A87)='Control | Setup'!$B$12)</f>
        <v/>
      </c>
      <c r="G87" s="3876">
        <f>IF(OR(A87="",'Control | Setup'!$B$13=""),"",AND(A87&lt;='Control | Setup'!$B$13,A87&gt;EOMONTH('Control | Setup'!$B$13,-36)))</f>
        <v/>
      </c>
      <c r="H87" s="3876">
        <f>IF(OR(A87="",'Control | Setup'!$B$13=""),"",A87='Control | Setup'!$B$13)</f>
        <v/>
      </c>
      <c r="I87" s="3876">
        <f>IF(A87="","",ROW()-8)</f>
        <v/>
      </c>
    </row>
    <row r="88">
      <c r="A88" s="3906" t="n"/>
      <c r="B88" s="3876">
        <f>IF(A88="","",TEXT(A88,"yyyymm"))</f>
        <v/>
      </c>
      <c r="C88" s="3876">
        <f>IF(A88="","",TEXT(A88,"mmm-yy"))</f>
        <v/>
      </c>
      <c r="D88" s="3876">
        <f>IF(A88="","",TEXT(A88,"mmm-yy"))</f>
        <v/>
      </c>
      <c r="E88" s="3876">
        <f>IF(A88="","",YEAR(A88)+(MONTH(A88)&gt;'Control | Setup'!$B$12))</f>
        <v/>
      </c>
      <c r="F88" s="3876">
        <f>IF(A88="","",MONTH(A88)='Control | Setup'!$B$12)</f>
        <v/>
      </c>
      <c r="G88" s="3876">
        <f>IF(OR(A88="",'Control | Setup'!$B$13=""),"",AND(A88&lt;='Control | Setup'!$B$13,A88&gt;EOMONTH('Control | Setup'!$B$13,-36)))</f>
        <v/>
      </c>
      <c r="H88" s="3876">
        <f>IF(OR(A88="",'Control | Setup'!$B$13=""),"",A88='Control | Setup'!$B$13)</f>
        <v/>
      </c>
      <c r="I88" s="3876">
        <f>IF(A88="","",ROW()-8)</f>
        <v/>
      </c>
    </row>
    <row r="89">
      <c r="A89" s="3906" t="n"/>
      <c r="B89" s="3876">
        <f>IF(A89="","",TEXT(A89,"yyyymm"))</f>
        <v/>
      </c>
      <c r="C89" s="3876">
        <f>IF(A89="","",TEXT(A89,"mmm-yy"))</f>
        <v/>
      </c>
      <c r="D89" s="3876">
        <f>IF(A89="","",TEXT(A89,"mmm-yy"))</f>
        <v/>
      </c>
      <c r="E89" s="3876">
        <f>IF(A89="","",YEAR(A89)+(MONTH(A89)&gt;'Control | Setup'!$B$12))</f>
        <v/>
      </c>
      <c r="F89" s="3876">
        <f>IF(A89="","",MONTH(A89)='Control | Setup'!$B$12)</f>
        <v/>
      </c>
      <c r="G89" s="3876">
        <f>IF(OR(A89="",'Control | Setup'!$B$13=""),"",AND(A89&lt;='Control | Setup'!$B$13,A89&gt;EOMONTH('Control | Setup'!$B$13,-36)))</f>
        <v/>
      </c>
      <c r="H89" s="3876">
        <f>IF(OR(A89="",'Control | Setup'!$B$13=""),"",A89='Control | Setup'!$B$13)</f>
        <v/>
      </c>
      <c r="I89" s="3876">
        <f>IF(A89="","",ROW()-8)</f>
        <v/>
      </c>
    </row>
    <row r="90">
      <c r="A90" s="3906" t="n"/>
      <c r="B90" s="3876">
        <f>IF(A90="","",TEXT(A90,"yyyymm"))</f>
        <v/>
      </c>
      <c r="C90" s="3876">
        <f>IF(A90="","",TEXT(A90,"mmm-yy"))</f>
        <v/>
      </c>
      <c r="D90" s="3876">
        <f>IF(A90="","",TEXT(A90,"mmm-yy"))</f>
        <v/>
      </c>
      <c r="E90" s="3876">
        <f>IF(A90="","",YEAR(A90)+(MONTH(A90)&gt;'Control | Setup'!$B$12))</f>
        <v/>
      </c>
      <c r="F90" s="3876">
        <f>IF(A90="","",MONTH(A90)='Control | Setup'!$B$12)</f>
        <v/>
      </c>
      <c r="G90" s="3876">
        <f>IF(OR(A90="",'Control | Setup'!$B$13=""),"",AND(A90&lt;='Control | Setup'!$B$13,A90&gt;EOMONTH('Control | Setup'!$B$13,-36)))</f>
        <v/>
      </c>
      <c r="H90" s="3876">
        <f>IF(OR(A90="",'Control | Setup'!$B$13=""),"",A90='Control | Setup'!$B$13)</f>
        <v/>
      </c>
      <c r="I90" s="3876">
        <f>IF(A90="","",ROW()-8)</f>
        <v/>
      </c>
    </row>
    <row r="91">
      <c r="A91" s="3906" t="n"/>
      <c r="B91" s="3876">
        <f>IF(A91="","",TEXT(A91,"yyyymm"))</f>
        <v/>
      </c>
      <c r="C91" s="3876">
        <f>IF(A91="","",TEXT(A91,"mmm-yy"))</f>
        <v/>
      </c>
      <c r="D91" s="3876">
        <f>IF(A91="","",TEXT(A91,"mmm-yy"))</f>
        <v/>
      </c>
      <c r="E91" s="3876">
        <f>IF(A91="","",YEAR(A91)+(MONTH(A91)&gt;'Control | Setup'!$B$12))</f>
        <v/>
      </c>
      <c r="F91" s="3876">
        <f>IF(A91="","",MONTH(A91)='Control | Setup'!$B$12)</f>
        <v/>
      </c>
      <c r="G91" s="3876">
        <f>IF(OR(A91="",'Control | Setup'!$B$13=""),"",AND(A91&lt;='Control | Setup'!$B$13,A91&gt;EOMONTH('Control | Setup'!$B$13,-36)))</f>
        <v/>
      </c>
      <c r="H91" s="3876">
        <f>IF(OR(A91="",'Control | Setup'!$B$13=""),"",A91='Control | Setup'!$B$13)</f>
        <v/>
      </c>
      <c r="I91" s="3876">
        <f>IF(A91="","",ROW()-8)</f>
        <v/>
      </c>
    </row>
    <row r="92">
      <c r="A92" s="3906" t="n"/>
      <c r="B92" s="3876">
        <f>IF(A92="","",TEXT(A92,"yyyymm"))</f>
        <v/>
      </c>
      <c r="C92" s="3876">
        <f>IF(A92="","",TEXT(A92,"mmm-yy"))</f>
        <v/>
      </c>
      <c r="D92" s="3876">
        <f>IF(A92="","",TEXT(A92,"mmm-yy"))</f>
        <v/>
      </c>
      <c r="E92" s="3876">
        <f>IF(A92="","",YEAR(A92)+(MONTH(A92)&gt;'Control | Setup'!$B$12))</f>
        <v/>
      </c>
      <c r="F92" s="3876">
        <f>IF(A92="","",MONTH(A92)='Control | Setup'!$B$12)</f>
        <v/>
      </c>
      <c r="G92" s="3876">
        <f>IF(OR(A92="",'Control | Setup'!$B$13=""),"",AND(A92&lt;='Control | Setup'!$B$13,A92&gt;EOMONTH('Control | Setup'!$B$13,-36)))</f>
        <v/>
      </c>
      <c r="H92" s="3876">
        <f>IF(OR(A92="",'Control | Setup'!$B$13=""),"",A92='Control | Setup'!$B$13)</f>
        <v/>
      </c>
      <c r="I92" s="3876">
        <f>IF(A92="","",ROW()-8)</f>
        <v/>
      </c>
    </row>
    <row r="93">
      <c r="A93" s="3906" t="n"/>
      <c r="B93" s="3876">
        <f>IF(A93="","",TEXT(A93,"yyyymm"))</f>
        <v/>
      </c>
      <c r="C93" s="3876">
        <f>IF(A93="","",TEXT(A93,"mmm-yy"))</f>
        <v/>
      </c>
      <c r="D93" s="3876">
        <f>IF(A93="","",TEXT(A93,"mmm-yy"))</f>
        <v/>
      </c>
      <c r="E93" s="3876">
        <f>IF(A93="","",YEAR(A93)+(MONTH(A93)&gt;'Control | Setup'!$B$12))</f>
        <v/>
      </c>
      <c r="F93" s="3876">
        <f>IF(A93="","",MONTH(A93)='Control | Setup'!$B$12)</f>
        <v/>
      </c>
      <c r="G93" s="3876">
        <f>IF(OR(A93="",'Control | Setup'!$B$13=""),"",AND(A93&lt;='Control | Setup'!$B$13,A93&gt;EOMONTH('Control | Setup'!$B$13,-36)))</f>
        <v/>
      </c>
      <c r="H93" s="3876">
        <f>IF(OR(A93="",'Control | Setup'!$B$13=""),"",A93='Control | Setup'!$B$13)</f>
        <v/>
      </c>
      <c r="I93" s="3876">
        <f>IF(A93="","",ROW()-8)</f>
        <v/>
      </c>
    </row>
    <row r="94">
      <c r="A94" s="3906" t="n"/>
      <c r="B94" s="3876">
        <f>IF(A94="","",TEXT(A94,"yyyymm"))</f>
        <v/>
      </c>
      <c r="C94" s="3876">
        <f>IF(A94="","",TEXT(A94,"mmm-yy"))</f>
        <v/>
      </c>
      <c r="D94" s="3876">
        <f>IF(A94="","",TEXT(A94,"mmm-yy"))</f>
        <v/>
      </c>
      <c r="E94" s="3876">
        <f>IF(A94="","",YEAR(A94)+(MONTH(A94)&gt;'Control | Setup'!$B$12))</f>
        <v/>
      </c>
      <c r="F94" s="3876">
        <f>IF(A94="","",MONTH(A94)='Control | Setup'!$B$12)</f>
        <v/>
      </c>
      <c r="G94" s="3876">
        <f>IF(OR(A94="",'Control | Setup'!$B$13=""),"",AND(A94&lt;='Control | Setup'!$B$13,A94&gt;EOMONTH('Control | Setup'!$B$13,-36)))</f>
        <v/>
      </c>
      <c r="H94" s="3876">
        <f>IF(OR(A94="",'Control | Setup'!$B$13=""),"",A94='Control | Setup'!$B$13)</f>
        <v/>
      </c>
      <c r="I94" s="3876">
        <f>IF(A94="","",ROW()-8)</f>
        <v/>
      </c>
    </row>
    <row r="95">
      <c r="A95" s="3906" t="n"/>
      <c r="B95" s="3876">
        <f>IF(A95="","",TEXT(A95,"yyyymm"))</f>
        <v/>
      </c>
      <c r="C95" s="3876">
        <f>IF(A95="","",TEXT(A95,"mmm-yy"))</f>
        <v/>
      </c>
      <c r="D95" s="3876">
        <f>IF(A95="","",TEXT(A95,"mmm-yy"))</f>
        <v/>
      </c>
      <c r="E95" s="3876">
        <f>IF(A95="","",YEAR(A95)+(MONTH(A95)&gt;'Control | Setup'!$B$12))</f>
        <v/>
      </c>
      <c r="F95" s="3876">
        <f>IF(A95="","",MONTH(A95)='Control | Setup'!$B$12)</f>
        <v/>
      </c>
      <c r="G95" s="3876">
        <f>IF(OR(A95="",'Control | Setup'!$B$13=""),"",AND(A95&lt;='Control | Setup'!$B$13,A95&gt;EOMONTH('Control | Setup'!$B$13,-36)))</f>
        <v/>
      </c>
      <c r="H95" s="3876">
        <f>IF(OR(A95="",'Control | Setup'!$B$13=""),"",A95='Control | Setup'!$B$13)</f>
        <v/>
      </c>
      <c r="I95" s="3876">
        <f>IF(A95="","",ROW()-8)</f>
        <v/>
      </c>
    </row>
    <row r="96">
      <c r="A96" s="3906" t="n"/>
      <c r="B96" s="3876">
        <f>IF(A96="","",TEXT(A96,"yyyymm"))</f>
        <v/>
      </c>
      <c r="C96" s="3876">
        <f>IF(A96="","",TEXT(A96,"mmm-yy"))</f>
        <v/>
      </c>
      <c r="D96" s="3876">
        <f>IF(A96="","",TEXT(A96,"mmm-yy"))</f>
        <v/>
      </c>
      <c r="E96" s="3876">
        <f>IF(A96="","",YEAR(A96)+(MONTH(A96)&gt;'Control | Setup'!$B$12))</f>
        <v/>
      </c>
      <c r="F96" s="3876">
        <f>IF(A96="","",MONTH(A96)='Control | Setup'!$B$12)</f>
        <v/>
      </c>
      <c r="G96" s="3876">
        <f>IF(OR(A96="",'Control | Setup'!$B$13=""),"",AND(A96&lt;='Control | Setup'!$B$13,A96&gt;EOMONTH('Control | Setup'!$B$13,-36)))</f>
        <v/>
      </c>
      <c r="H96" s="3876">
        <f>IF(OR(A96="",'Control | Setup'!$B$13=""),"",A96='Control | Setup'!$B$13)</f>
        <v/>
      </c>
      <c r="I96" s="3876">
        <f>IF(A96="","",ROW()-8)</f>
        <v/>
      </c>
    </row>
    <row r="97">
      <c r="A97" s="3906" t="n"/>
      <c r="B97" s="3876">
        <f>IF(A97="","",TEXT(A97,"yyyymm"))</f>
        <v/>
      </c>
      <c r="C97" s="3876">
        <f>IF(A97="","",TEXT(A97,"mmm-yy"))</f>
        <v/>
      </c>
      <c r="D97" s="3876">
        <f>IF(A97="","",TEXT(A97,"mmm-yy"))</f>
        <v/>
      </c>
      <c r="E97" s="3876">
        <f>IF(A97="","",YEAR(A97)+(MONTH(A97)&gt;'Control | Setup'!$B$12))</f>
        <v/>
      </c>
      <c r="F97" s="3876">
        <f>IF(A97="","",MONTH(A97)='Control | Setup'!$B$12)</f>
        <v/>
      </c>
      <c r="G97" s="3876">
        <f>IF(OR(A97="",'Control | Setup'!$B$13=""),"",AND(A97&lt;='Control | Setup'!$B$13,A97&gt;EOMONTH('Control | Setup'!$B$13,-36)))</f>
        <v/>
      </c>
      <c r="H97" s="3876">
        <f>IF(OR(A97="",'Control | Setup'!$B$13=""),"",A97='Control | Setup'!$B$13)</f>
        <v/>
      </c>
      <c r="I97" s="3876">
        <f>IF(A97="","",ROW()-8)</f>
        <v/>
      </c>
    </row>
    <row r="98">
      <c r="A98" s="3906" t="n"/>
      <c r="B98" s="3876">
        <f>IF(A98="","",TEXT(A98,"yyyymm"))</f>
        <v/>
      </c>
      <c r="C98" s="3876">
        <f>IF(A98="","",TEXT(A98,"mmm-yy"))</f>
        <v/>
      </c>
      <c r="D98" s="3876">
        <f>IF(A98="","",TEXT(A98,"mmm-yy"))</f>
        <v/>
      </c>
      <c r="E98" s="3876">
        <f>IF(A98="","",YEAR(A98)+(MONTH(A98)&gt;'Control | Setup'!$B$12))</f>
        <v/>
      </c>
      <c r="F98" s="3876">
        <f>IF(A98="","",MONTH(A98)='Control | Setup'!$B$12)</f>
        <v/>
      </c>
      <c r="G98" s="3876">
        <f>IF(OR(A98="",'Control | Setup'!$B$13=""),"",AND(A98&lt;='Control | Setup'!$B$13,A98&gt;EOMONTH('Control | Setup'!$B$13,-36)))</f>
        <v/>
      </c>
      <c r="H98" s="3876">
        <f>IF(OR(A98="",'Control | Setup'!$B$13=""),"",A98='Control | Setup'!$B$13)</f>
        <v/>
      </c>
      <c r="I98" s="3876">
        <f>IF(A98="","",ROW()-8)</f>
        <v/>
      </c>
    </row>
    <row r="99">
      <c r="A99" s="3906" t="n"/>
      <c r="B99" s="3876">
        <f>IF(A99="","",TEXT(A99,"yyyymm"))</f>
        <v/>
      </c>
      <c r="C99" s="3876">
        <f>IF(A99="","",TEXT(A99,"mmm-yy"))</f>
        <v/>
      </c>
      <c r="D99" s="3876">
        <f>IF(A99="","",TEXT(A99,"mmm-yy"))</f>
        <v/>
      </c>
      <c r="E99" s="3876">
        <f>IF(A99="","",YEAR(A99)+(MONTH(A99)&gt;'Control | Setup'!$B$12))</f>
        <v/>
      </c>
      <c r="F99" s="3876">
        <f>IF(A99="","",MONTH(A99)='Control | Setup'!$B$12)</f>
        <v/>
      </c>
      <c r="G99" s="3876">
        <f>IF(OR(A99="",'Control | Setup'!$B$13=""),"",AND(A99&lt;='Control | Setup'!$B$13,A99&gt;EOMONTH('Control | Setup'!$B$13,-36)))</f>
        <v/>
      </c>
      <c r="H99" s="3876">
        <f>IF(OR(A99="",'Control | Setup'!$B$13=""),"",A99='Control | Setup'!$B$13)</f>
        <v/>
      </c>
      <c r="I99" s="3876">
        <f>IF(A99="","",ROW()-8)</f>
        <v/>
      </c>
    </row>
    <row r="100">
      <c r="A100" s="3906" t="n"/>
      <c r="B100" s="3876">
        <f>IF(A100="","",TEXT(A100,"yyyymm"))</f>
        <v/>
      </c>
      <c r="C100" s="3876">
        <f>IF(A100="","",TEXT(A100,"mmm-yy"))</f>
        <v/>
      </c>
      <c r="D100" s="3876">
        <f>IF(A100="","",TEXT(A100,"mmm-yy"))</f>
        <v/>
      </c>
      <c r="E100" s="3876">
        <f>IF(A100="","",YEAR(A100)+(MONTH(A100)&gt;'Control | Setup'!$B$12))</f>
        <v/>
      </c>
      <c r="F100" s="3876">
        <f>IF(A100="","",MONTH(A100)='Control | Setup'!$B$12)</f>
        <v/>
      </c>
      <c r="G100" s="3876">
        <f>IF(OR(A100="",'Control | Setup'!$B$13=""),"",AND(A100&lt;='Control | Setup'!$B$13,A100&gt;EOMONTH('Control | Setup'!$B$13,-36)))</f>
        <v/>
      </c>
      <c r="H100" s="3876">
        <f>IF(OR(A100="",'Control | Setup'!$B$13=""),"",A100='Control | Setup'!$B$13)</f>
        <v/>
      </c>
      <c r="I100" s="3876">
        <f>IF(A100="","",ROW()-8)</f>
        <v/>
      </c>
    </row>
    <row r="101">
      <c r="A101" s="3906" t="n"/>
      <c r="B101" s="3876">
        <f>IF(A101="","",TEXT(A101,"yyyymm"))</f>
        <v/>
      </c>
      <c r="C101" s="3876">
        <f>IF(A101="","",TEXT(A101,"mmm-yy"))</f>
        <v/>
      </c>
      <c r="D101" s="3876">
        <f>IF(A101="","",TEXT(A101,"mmm-yy"))</f>
        <v/>
      </c>
      <c r="E101" s="3876">
        <f>IF(A101="","",YEAR(A101)+(MONTH(A101)&gt;'Control | Setup'!$B$12))</f>
        <v/>
      </c>
      <c r="F101" s="3876">
        <f>IF(A101="","",MONTH(A101)='Control | Setup'!$B$12)</f>
        <v/>
      </c>
      <c r="G101" s="3876">
        <f>IF(OR(A101="",'Control | Setup'!$B$13=""),"",AND(A101&lt;='Control | Setup'!$B$13,A101&gt;EOMONTH('Control | Setup'!$B$13,-36)))</f>
        <v/>
      </c>
      <c r="H101" s="3876">
        <f>IF(OR(A101="",'Control | Setup'!$B$13=""),"",A101='Control | Setup'!$B$13)</f>
        <v/>
      </c>
      <c r="I101" s="3876">
        <f>IF(A101="","",ROW()-8)</f>
        <v/>
      </c>
    </row>
    <row r="102">
      <c r="A102" s="3906" t="n"/>
      <c r="B102" s="3876">
        <f>IF(A102="","",TEXT(A102,"yyyymm"))</f>
        <v/>
      </c>
      <c r="C102" s="3876">
        <f>IF(A102="","",TEXT(A102,"mmm-yy"))</f>
        <v/>
      </c>
      <c r="D102" s="3876">
        <f>IF(A102="","",TEXT(A102,"mmm-yy"))</f>
        <v/>
      </c>
      <c r="E102" s="3876">
        <f>IF(A102="","",YEAR(A102)+(MONTH(A102)&gt;'Control | Setup'!$B$12))</f>
        <v/>
      </c>
      <c r="F102" s="3876">
        <f>IF(A102="","",MONTH(A102)='Control | Setup'!$B$12)</f>
        <v/>
      </c>
      <c r="G102" s="3876">
        <f>IF(OR(A102="",'Control | Setup'!$B$13=""),"",AND(A102&lt;='Control | Setup'!$B$13,A102&gt;EOMONTH('Control | Setup'!$B$13,-36)))</f>
        <v/>
      </c>
      <c r="H102" s="3876">
        <f>IF(OR(A102="",'Control | Setup'!$B$13=""),"",A102='Control | Setup'!$B$13)</f>
        <v/>
      </c>
      <c r="I102" s="3876">
        <f>IF(A102="","",ROW()-8)</f>
        <v/>
      </c>
    </row>
    <row r="103">
      <c r="A103" s="3906" t="n"/>
      <c r="B103" s="3876">
        <f>IF(A103="","",TEXT(A103,"yyyymm"))</f>
        <v/>
      </c>
      <c r="C103" s="3876">
        <f>IF(A103="","",TEXT(A103,"mmm-yy"))</f>
        <v/>
      </c>
      <c r="D103" s="3876">
        <f>IF(A103="","",TEXT(A103,"mmm-yy"))</f>
        <v/>
      </c>
      <c r="E103" s="3876">
        <f>IF(A103="","",YEAR(A103)+(MONTH(A103)&gt;'Control | Setup'!$B$12))</f>
        <v/>
      </c>
      <c r="F103" s="3876">
        <f>IF(A103="","",MONTH(A103)='Control | Setup'!$B$12)</f>
        <v/>
      </c>
      <c r="G103" s="3876">
        <f>IF(OR(A103="",'Control | Setup'!$B$13=""),"",AND(A103&lt;='Control | Setup'!$B$13,A103&gt;EOMONTH('Control | Setup'!$B$13,-36)))</f>
        <v/>
      </c>
      <c r="H103" s="3876">
        <f>IF(OR(A103="",'Control | Setup'!$B$13=""),"",A103='Control | Setup'!$B$13)</f>
        <v/>
      </c>
      <c r="I103" s="3876">
        <f>IF(A103="","",ROW()-8)</f>
        <v/>
      </c>
    </row>
    <row r="104">
      <c r="A104" s="3906" t="n"/>
      <c r="B104" s="3876">
        <f>IF(A104="","",TEXT(A104,"yyyymm"))</f>
        <v/>
      </c>
      <c r="C104" s="3876">
        <f>IF(A104="","",TEXT(A104,"mmm-yy"))</f>
        <v/>
      </c>
      <c r="D104" s="3876">
        <f>IF(A104="","",TEXT(A104,"mmm-yy"))</f>
        <v/>
      </c>
      <c r="E104" s="3876">
        <f>IF(A104="","",YEAR(A104)+(MONTH(A104)&gt;'Control | Setup'!$B$12))</f>
        <v/>
      </c>
      <c r="F104" s="3876">
        <f>IF(A104="","",MONTH(A104)='Control | Setup'!$B$12)</f>
        <v/>
      </c>
      <c r="G104" s="3876">
        <f>IF(OR(A104="",'Control | Setup'!$B$13=""),"",AND(A104&lt;='Control | Setup'!$B$13,A104&gt;EOMONTH('Control | Setup'!$B$13,-36)))</f>
        <v/>
      </c>
      <c r="H104" s="3876">
        <f>IF(OR(A104="",'Control | Setup'!$B$13=""),"",A104='Control | Setup'!$B$13)</f>
        <v/>
      </c>
      <c r="I104" s="3876">
        <f>IF(A104="","",ROW()-8)</f>
        <v/>
      </c>
    </row>
    <row r="105">
      <c r="A105" s="3906" t="n"/>
      <c r="B105" s="3876">
        <f>IF(A105="","",TEXT(A105,"yyyymm"))</f>
        <v/>
      </c>
      <c r="C105" s="3876">
        <f>IF(A105="","",TEXT(A105,"mmm-yy"))</f>
        <v/>
      </c>
      <c r="D105" s="3876">
        <f>IF(A105="","",TEXT(A105,"mmm-yy"))</f>
        <v/>
      </c>
      <c r="E105" s="3876">
        <f>IF(A105="","",YEAR(A105)+(MONTH(A105)&gt;'Control | Setup'!$B$12))</f>
        <v/>
      </c>
      <c r="F105" s="3876">
        <f>IF(A105="","",MONTH(A105)='Control | Setup'!$B$12)</f>
        <v/>
      </c>
      <c r="G105" s="3876">
        <f>IF(OR(A105="",'Control | Setup'!$B$13=""),"",AND(A105&lt;='Control | Setup'!$B$13,A105&gt;EOMONTH('Control | Setup'!$B$13,-36)))</f>
        <v/>
      </c>
      <c r="H105" s="3876">
        <f>IF(OR(A105="",'Control | Setup'!$B$13=""),"",A105='Control | Setup'!$B$13)</f>
        <v/>
      </c>
      <c r="I105" s="3876">
        <f>IF(A105="","",ROW()-8)</f>
        <v/>
      </c>
    </row>
    <row r="106">
      <c r="A106" s="3906" t="n"/>
      <c r="B106" s="3876">
        <f>IF(A106="","",TEXT(A106,"yyyymm"))</f>
        <v/>
      </c>
      <c r="C106" s="3876">
        <f>IF(A106="","",TEXT(A106,"mmm-yy"))</f>
        <v/>
      </c>
      <c r="D106" s="3876">
        <f>IF(A106="","",TEXT(A106,"mmm-yy"))</f>
        <v/>
      </c>
      <c r="E106" s="3876">
        <f>IF(A106="","",YEAR(A106)+(MONTH(A106)&gt;'Control | Setup'!$B$12))</f>
        <v/>
      </c>
      <c r="F106" s="3876">
        <f>IF(A106="","",MONTH(A106)='Control | Setup'!$B$12)</f>
        <v/>
      </c>
      <c r="G106" s="3876">
        <f>IF(OR(A106="",'Control | Setup'!$B$13=""),"",AND(A106&lt;='Control | Setup'!$B$13,A106&gt;EOMONTH('Control | Setup'!$B$13,-36)))</f>
        <v/>
      </c>
      <c r="H106" s="3876">
        <f>IF(OR(A106="",'Control | Setup'!$B$13=""),"",A106='Control | Setup'!$B$13)</f>
        <v/>
      </c>
      <c r="I106" s="3876">
        <f>IF(A106="","",ROW()-8)</f>
        <v/>
      </c>
    </row>
    <row r="107">
      <c r="A107" s="3906" t="n"/>
      <c r="B107" s="3876">
        <f>IF(A107="","",TEXT(A107,"yyyymm"))</f>
        <v/>
      </c>
      <c r="C107" s="3876">
        <f>IF(A107="","",TEXT(A107,"mmm-yy"))</f>
        <v/>
      </c>
      <c r="D107" s="3876">
        <f>IF(A107="","",TEXT(A107,"mmm-yy"))</f>
        <v/>
      </c>
      <c r="E107" s="3876">
        <f>IF(A107="","",YEAR(A107)+(MONTH(A107)&gt;'Control | Setup'!$B$12))</f>
        <v/>
      </c>
      <c r="F107" s="3876">
        <f>IF(A107="","",MONTH(A107)='Control | Setup'!$B$12)</f>
        <v/>
      </c>
      <c r="G107" s="3876">
        <f>IF(OR(A107="",'Control | Setup'!$B$13=""),"",AND(A107&lt;='Control | Setup'!$B$13,A107&gt;EOMONTH('Control | Setup'!$B$13,-36)))</f>
        <v/>
      </c>
      <c r="H107" s="3876">
        <f>IF(OR(A107="",'Control | Setup'!$B$13=""),"",A107='Control | Setup'!$B$13)</f>
        <v/>
      </c>
      <c r="I107" s="3876">
        <f>IF(A107="","",ROW()-8)</f>
        <v/>
      </c>
    </row>
    <row r="108">
      <c r="A108" s="3906" t="n"/>
      <c r="B108" s="3876">
        <f>IF(A108="","",TEXT(A108,"yyyymm"))</f>
        <v/>
      </c>
      <c r="C108" s="3876">
        <f>IF(A108="","",TEXT(A108,"mmm-yy"))</f>
        <v/>
      </c>
      <c r="D108" s="3876">
        <f>IF(A108="","",TEXT(A108,"mmm-yy"))</f>
        <v/>
      </c>
      <c r="E108" s="3876">
        <f>IF(A108="","",YEAR(A108)+(MONTH(A108)&gt;'Control | Setup'!$B$12))</f>
        <v/>
      </c>
      <c r="F108" s="3876">
        <f>IF(A108="","",MONTH(A108)='Control | Setup'!$B$12)</f>
        <v/>
      </c>
      <c r="G108" s="3876">
        <f>IF(OR(A108="",'Control | Setup'!$B$13=""),"",AND(A108&lt;='Control | Setup'!$B$13,A108&gt;EOMONTH('Control | Setup'!$B$13,-36)))</f>
        <v/>
      </c>
      <c r="H108" s="3876">
        <f>IF(OR(A108="",'Control | Setup'!$B$13=""),"",A108='Control | Setup'!$B$13)</f>
        <v/>
      </c>
      <c r="I108" s="3876">
        <f>IF(A108="","",ROW()-8)</f>
        <v/>
      </c>
    </row>
    <row r="109">
      <c r="A109" s="3906" t="n"/>
      <c r="B109" s="3876">
        <f>IF(A109="","",TEXT(A109,"yyyymm"))</f>
        <v/>
      </c>
      <c r="C109" s="3876">
        <f>IF(A109="","",TEXT(A109,"mmm-yy"))</f>
        <v/>
      </c>
      <c r="D109" s="3876">
        <f>IF(A109="","",TEXT(A109,"mmm-yy"))</f>
        <v/>
      </c>
      <c r="E109" s="3876">
        <f>IF(A109="","",YEAR(A109)+(MONTH(A109)&gt;'Control | Setup'!$B$12))</f>
        <v/>
      </c>
      <c r="F109" s="3876">
        <f>IF(A109="","",MONTH(A109)='Control | Setup'!$B$12)</f>
        <v/>
      </c>
      <c r="G109" s="3876">
        <f>IF(OR(A109="",'Control | Setup'!$B$13=""),"",AND(A109&lt;='Control | Setup'!$B$13,A109&gt;EOMONTH('Control | Setup'!$B$13,-36)))</f>
        <v/>
      </c>
      <c r="H109" s="3876">
        <f>IF(OR(A109="",'Control | Setup'!$B$13=""),"",A109='Control | Setup'!$B$13)</f>
        <v/>
      </c>
      <c r="I109" s="3876">
        <f>IF(A109="","",ROW()-8)</f>
        <v/>
      </c>
    </row>
    <row r="110">
      <c r="A110" s="3906" t="n"/>
      <c r="B110" s="3876">
        <f>IF(A110="","",TEXT(A110,"yyyymm"))</f>
        <v/>
      </c>
      <c r="C110" s="3876">
        <f>IF(A110="","",TEXT(A110,"mmm-yy"))</f>
        <v/>
      </c>
      <c r="D110" s="3876">
        <f>IF(A110="","",TEXT(A110,"mmm-yy"))</f>
        <v/>
      </c>
      <c r="E110" s="3876">
        <f>IF(A110="","",YEAR(A110)+(MONTH(A110)&gt;'Control | Setup'!$B$12))</f>
        <v/>
      </c>
      <c r="F110" s="3876">
        <f>IF(A110="","",MONTH(A110)='Control | Setup'!$B$12)</f>
        <v/>
      </c>
      <c r="G110" s="3876">
        <f>IF(OR(A110="",'Control | Setup'!$B$13=""),"",AND(A110&lt;='Control | Setup'!$B$13,A110&gt;EOMONTH('Control | Setup'!$B$13,-36)))</f>
        <v/>
      </c>
      <c r="H110" s="3876">
        <f>IF(OR(A110="",'Control | Setup'!$B$13=""),"",A110='Control | Setup'!$B$13)</f>
        <v/>
      </c>
      <c r="I110" s="3876">
        <f>IF(A110="","",ROW()-8)</f>
        <v/>
      </c>
    </row>
    <row r="111">
      <c r="A111" s="3906" t="n"/>
      <c r="B111" s="3876">
        <f>IF(A111="","",TEXT(A111,"yyyymm"))</f>
        <v/>
      </c>
      <c r="C111" s="3876">
        <f>IF(A111="","",TEXT(A111,"mmm-yy"))</f>
        <v/>
      </c>
      <c r="D111" s="3876">
        <f>IF(A111="","",TEXT(A111,"mmm-yy"))</f>
        <v/>
      </c>
      <c r="E111" s="3876">
        <f>IF(A111="","",YEAR(A111)+(MONTH(A111)&gt;'Control | Setup'!$B$12))</f>
        <v/>
      </c>
      <c r="F111" s="3876">
        <f>IF(A111="","",MONTH(A111)='Control | Setup'!$B$12)</f>
        <v/>
      </c>
      <c r="G111" s="3876">
        <f>IF(OR(A111="",'Control | Setup'!$B$13=""),"",AND(A111&lt;='Control | Setup'!$B$13,A111&gt;EOMONTH('Control | Setup'!$B$13,-36)))</f>
        <v/>
      </c>
      <c r="H111" s="3876">
        <f>IF(OR(A111="",'Control | Setup'!$B$13=""),"",A111='Control | Setup'!$B$13)</f>
        <v/>
      </c>
      <c r="I111" s="3876">
        <f>IF(A111="","",ROW()-8)</f>
        <v/>
      </c>
    </row>
    <row r="112">
      <c r="A112" s="3906" t="n"/>
      <c r="B112" s="3876">
        <f>IF(A112="","",TEXT(A112,"yyyymm"))</f>
        <v/>
      </c>
      <c r="C112" s="3876">
        <f>IF(A112="","",TEXT(A112,"mmm-yy"))</f>
        <v/>
      </c>
      <c r="D112" s="3876">
        <f>IF(A112="","",TEXT(A112,"mmm-yy"))</f>
        <v/>
      </c>
      <c r="E112" s="3876">
        <f>IF(A112="","",YEAR(A112)+(MONTH(A112)&gt;'Control | Setup'!$B$12))</f>
        <v/>
      </c>
      <c r="F112" s="3876">
        <f>IF(A112="","",MONTH(A112)='Control | Setup'!$B$12)</f>
        <v/>
      </c>
      <c r="G112" s="3876">
        <f>IF(OR(A112="",'Control | Setup'!$B$13=""),"",AND(A112&lt;='Control | Setup'!$B$13,A112&gt;EOMONTH('Control | Setup'!$B$13,-36)))</f>
        <v/>
      </c>
      <c r="H112" s="3876">
        <f>IF(OR(A112="",'Control | Setup'!$B$13=""),"",A112='Control | Setup'!$B$13)</f>
        <v/>
      </c>
      <c r="I112" s="3876">
        <f>IF(A112="","",ROW()-8)</f>
        <v/>
      </c>
    </row>
    <row r="113">
      <c r="A113" s="3906" t="n"/>
      <c r="B113" s="3876">
        <f>IF(A113="","",TEXT(A113,"yyyymm"))</f>
        <v/>
      </c>
      <c r="C113" s="3876">
        <f>IF(A113="","",TEXT(A113,"mmm-yy"))</f>
        <v/>
      </c>
      <c r="D113" s="3876">
        <f>IF(A113="","",TEXT(A113,"mmm-yy"))</f>
        <v/>
      </c>
      <c r="E113" s="3876">
        <f>IF(A113="","",YEAR(A113)+(MONTH(A113)&gt;'Control | Setup'!$B$12))</f>
        <v/>
      </c>
      <c r="F113" s="3876">
        <f>IF(A113="","",MONTH(A113)='Control | Setup'!$B$12)</f>
        <v/>
      </c>
      <c r="G113" s="3876">
        <f>IF(OR(A113="",'Control | Setup'!$B$13=""),"",AND(A113&lt;='Control | Setup'!$B$13,A113&gt;EOMONTH('Control | Setup'!$B$13,-36)))</f>
        <v/>
      </c>
      <c r="H113" s="3876">
        <f>IF(OR(A113="",'Control | Setup'!$B$13=""),"",A113='Control | Setup'!$B$13)</f>
        <v/>
      </c>
      <c r="I113" s="3876">
        <f>IF(A113="","",ROW()-8)</f>
        <v/>
      </c>
    </row>
    <row r="114">
      <c r="A114" s="3906" t="n"/>
      <c r="B114" s="3876">
        <f>IF(A114="","",TEXT(A114,"yyyymm"))</f>
        <v/>
      </c>
      <c r="C114" s="3876">
        <f>IF(A114="","",TEXT(A114,"mmm-yy"))</f>
        <v/>
      </c>
      <c r="D114" s="3876">
        <f>IF(A114="","",TEXT(A114,"mmm-yy"))</f>
        <v/>
      </c>
      <c r="E114" s="3876">
        <f>IF(A114="","",YEAR(A114)+(MONTH(A114)&gt;'Control | Setup'!$B$12))</f>
        <v/>
      </c>
      <c r="F114" s="3876">
        <f>IF(A114="","",MONTH(A114)='Control | Setup'!$B$12)</f>
        <v/>
      </c>
      <c r="G114" s="3876">
        <f>IF(OR(A114="",'Control | Setup'!$B$13=""),"",AND(A114&lt;='Control | Setup'!$B$13,A114&gt;EOMONTH('Control | Setup'!$B$13,-36)))</f>
        <v/>
      </c>
      <c r="H114" s="3876">
        <f>IF(OR(A114="",'Control | Setup'!$B$13=""),"",A114='Control | Setup'!$B$13)</f>
        <v/>
      </c>
      <c r="I114" s="3876">
        <f>IF(A114="","",ROW()-8)</f>
        <v/>
      </c>
    </row>
    <row r="115">
      <c r="A115" s="3906" t="n"/>
      <c r="B115" s="3876">
        <f>IF(A115="","",TEXT(A115,"yyyymm"))</f>
        <v/>
      </c>
      <c r="C115" s="3876">
        <f>IF(A115="","",TEXT(A115,"mmm-yy"))</f>
        <v/>
      </c>
      <c r="D115" s="3876">
        <f>IF(A115="","",TEXT(A115,"mmm-yy"))</f>
        <v/>
      </c>
      <c r="E115" s="3876">
        <f>IF(A115="","",YEAR(A115)+(MONTH(A115)&gt;'Control | Setup'!$B$12))</f>
        <v/>
      </c>
      <c r="F115" s="3876">
        <f>IF(A115="","",MONTH(A115)='Control | Setup'!$B$12)</f>
        <v/>
      </c>
      <c r="G115" s="3876">
        <f>IF(OR(A115="",'Control | Setup'!$B$13=""),"",AND(A115&lt;='Control | Setup'!$B$13,A115&gt;EOMONTH('Control | Setup'!$B$13,-36)))</f>
        <v/>
      </c>
      <c r="H115" s="3876">
        <f>IF(OR(A115="",'Control | Setup'!$B$13=""),"",A115='Control | Setup'!$B$13)</f>
        <v/>
      </c>
      <c r="I115" s="3876">
        <f>IF(A115="","",ROW()-8)</f>
        <v/>
      </c>
    </row>
    <row r="116">
      <c r="A116" s="3906" t="n"/>
      <c r="B116" s="3876">
        <f>IF(A116="","",TEXT(A116,"yyyymm"))</f>
        <v/>
      </c>
      <c r="C116" s="3876">
        <f>IF(A116="","",TEXT(A116,"mmm-yy"))</f>
        <v/>
      </c>
      <c r="D116" s="3876">
        <f>IF(A116="","",TEXT(A116,"mmm-yy"))</f>
        <v/>
      </c>
      <c r="E116" s="3876">
        <f>IF(A116="","",YEAR(A116)+(MONTH(A116)&gt;'Control | Setup'!$B$12))</f>
        <v/>
      </c>
      <c r="F116" s="3876">
        <f>IF(A116="","",MONTH(A116)='Control | Setup'!$B$12)</f>
        <v/>
      </c>
      <c r="G116" s="3876">
        <f>IF(OR(A116="",'Control | Setup'!$B$13=""),"",AND(A116&lt;='Control | Setup'!$B$13,A116&gt;EOMONTH('Control | Setup'!$B$13,-36)))</f>
        <v/>
      </c>
      <c r="H116" s="3876">
        <f>IF(OR(A116="",'Control | Setup'!$B$13=""),"",A116='Control | Setup'!$B$13)</f>
        <v/>
      </c>
      <c r="I116" s="3876">
        <f>IF(A116="","",ROW()-8)</f>
        <v/>
      </c>
    </row>
    <row r="117">
      <c r="A117" s="3906" t="n"/>
      <c r="B117" s="3876">
        <f>IF(A117="","",TEXT(A117,"yyyymm"))</f>
        <v/>
      </c>
      <c r="C117" s="3876">
        <f>IF(A117="","",TEXT(A117,"mmm-yy"))</f>
        <v/>
      </c>
      <c r="D117" s="3876">
        <f>IF(A117="","",TEXT(A117,"mmm-yy"))</f>
        <v/>
      </c>
      <c r="E117" s="3876">
        <f>IF(A117="","",YEAR(A117)+(MONTH(A117)&gt;'Control | Setup'!$B$12))</f>
        <v/>
      </c>
      <c r="F117" s="3876">
        <f>IF(A117="","",MONTH(A117)='Control | Setup'!$B$12)</f>
        <v/>
      </c>
      <c r="G117" s="3876">
        <f>IF(OR(A117="",'Control | Setup'!$B$13=""),"",AND(A117&lt;='Control | Setup'!$B$13,A117&gt;EOMONTH('Control | Setup'!$B$13,-36)))</f>
        <v/>
      </c>
      <c r="H117" s="3876">
        <f>IF(OR(A117="",'Control | Setup'!$B$13=""),"",A117='Control | Setup'!$B$13)</f>
        <v/>
      </c>
      <c r="I117" s="3876">
        <f>IF(A117="","",ROW()-8)</f>
        <v/>
      </c>
    </row>
    <row r="118">
      <c r="A118" s="3906" t="n"/>
      <c r="B118" s="3876">
        <f>IF(A118="","",TEXT(A118,"yyyymm"))</f>
        <v/>
      </c>
      <c r="C118" s="3876">
        <f>IF(A118="","",TEXT(A118,"mmm-yy"))</f>
        <v/>
      </c>
      <c r="D118" s="3876">
        <f>IF(A118="","",TEXT(A118,"mmm-yy"))</f>
        <v/>
      </c>
      <c r="E118" s="3876">
        <f>IF(A118="","",YEAR(A118)+(MONTH(A118)&gt;'Control | Setup'!$B$12))</f>
        <v/>
      </c>
      <c r="F118" s="3876">
        <f>IF(A118="","",MONTH(A118)='Control | Setup'!$B$12)</f>
        <v/>
      </c>
      <c r="G118" s="3876">
        <f>IF(OR(A118="",'Control | Setup'!$B$13=""),"",AND(A118&lt;='Control | Setup'!$B$13,A118&gt;EOMONTH('Control | Setup'!$B$13,-36)))</f>
        <v/>
      </c>
      <c r="H118" s="3876">
        <f>IF(OR(A118="",'Control | Setup'!$B$13=""),"",A118='Control | Setup'!$B$13)</f>
        <v/>
      </c>
      <c r="I118" s="3876">
        <f>IF(A118="","",ROW()-8)</f>
        <v/>
      </c>
    </row>
    <row r="119">
      <c r="A119" s="3906" t="n"/>
      <c r="B119" s="3876">
        <f>IF(A119="","",TEXT(A119,"yyyymm"))</f>
        <v/>
      </c>
      <c r="C119" s="3876">
        <f>IF(A119="","",TEXT(A119,"mmm-yy"))</f>
        <v/>
      </c>
      <c r="D119" s="3876">
        <f>IF(A119="","",TEXT(A119,"mmm-yy"))</f>
        <v/>
      </c>
      <c r="E119" s="3876">
        <f>IF(A119="","",YEAR(A119)+(MONTH(A119)&gt;'Control | Setup'!$B$12))</f>
        <v/>
      </c>
      <c r="F119" s="3876">
        <f>IF(A119="","",MONTH(A119)='Control | Setup'!$B$12)</f>
        <v/>
      </c>
      <c r="G119" s="3876">
        <f>IF(OR(A119="",'Control | Setup'!$B$13=""),"",AND(A119&lt;='Control | Setup'!$B$13,A119&gt;EOMONTH('Control | Setup'!$B$13,-36)))</f>
        <v/>
      </c>
      <c r="H119" s="3876">
        <f>IF(OR(A119="",'Control | Setup'!$B$13=""),"",A119='Control | Setup'!$B$13)</f>
        <v/>
      </c>
      <c r="I119" s="3876">
        <f>IF(A119="","",ROW()-8)</f>
        <v/>
      </c>
    </row>
    <row r="120">
      <c r="A120" s="3906" t="n"/>
      <c r="B120" s="3876">
        <f>IF(A120="","",TEXT(A120,"yyyymm"))</f>
        <v/>
      </c>
      <c r="C120" s="3876">
        <f>IF(A120="","",TEXT(A120,"mmm-yy"))</f>
        <v/>
      </c>
      <c r="D120" s="3876">
        <f>IF(A120="","",TEXT(A120,"mmm-yy"))</f>
        <v/>
      </c>
      <c r="E120" s="3876">
        <f>IF(A120="","",YEAR(A120)+(MONTH(A120)&gt;'Control | Setup'!$B$12))</f>
        <v/>
      </c>
      <c r="F120" s="3876">
        <f>IF(A120="","",MONTH(A120)='Control | Setup'!$B$12)</f>
        <v/>
      </c>
      <c r="G120" s="3876">
        <f>IF(OR(A120="",'Control | Setup'!$B$13=""),"",AND(A120&lt;='Control | Setup'!$B$13,A120&gt;EOMONTH('Control | Setup'!$B$13,-36)))</f>
        <v/>
      </c>
      <c r="H120" s="3876">
        <f>IF(OR(A120="",'Control | Setup'!$B$13=""),"",A120='Control | Setup'!$B$13)</f>
        <v/>
      </c>
      <c r="I120" s="3876">
        <f>IF(A120="","",ROW()-8)</f>
        <v/>
      </c>
    </row>
    <row r="121">
      <c r="A121" s="3906" t="n"/>
      <c r="B121" s="3876">
        <f>IF(A121="","",TEXT(A121,"yyyymm"))</f>
        <v/>
      </c>
      <c r="C121" s="3876">
        <f>IF(A121="","",TEXT(A121,"mmm-yy"))</f>
        <v/>
      </c>
      <c r="D121" s="3876">
        <f>IF(A121="","",TEXT(A121,"mmm-yy"))</f>
        <v/>
      </c>
      <c r="E121" s="3876">
        <f>IF(A121="","",YEAR(A121)+(MONTH(A121)&gt;'Control | Setup'!$B$12))</f>
        <v/>
      </c>
      <c r="F121" s="3876">
        <f>IF(A121="","",MONTH(A121)='Control | Setup'!$B$12)</f>
        <v/>
      </c>
      <c r="G121" s="3876">
        <f>IF(OR(A121="",'Control | Setup'!$B$13=""),"",AND(A121&lt;='Control | Setup'!$B$13,A121&gt;EOMONTH('Control | Setup'!$B$13,-36)))</f>
        <v/>
      </c>
      <c r="H121" s="3876">
        <f>IF(OR(A121="",'Control | Setup'!$B$13=""),"",A121='Control | Setup'!$B$13)</f>
        <v/>
      </c>
      <c r="I121" s="3876">
        <f>IF(A121="","",ROW()-8)</f>
        <v/>
      </c>
    </row>
    <row r="122">
      <c r="A122" s="3906" t="n"/>
      <c r="B122" s="3876">
        <f>IF(A122="","",TEXT(A122,"yyyymm"))</f>
        <v/>
      </c>
      <c r="C122" s="3876">
        <f>IF(A122="","",TEXT(A122,"mmm-yy"))</f>
        <v/>
      </c>
      <c r="D122" s="3876">
        <f>IF(A122="","",TEXT(A122,"mmm-yy"))</f>
        <v/>
      </c>
      <c r="E122" s="3876">
        <f>IF(A122="","",YEAR(A122)+(MONTH(A122)&gt;'Control | Setup'!$B$12))</f>
        <v/>
      </c>
      <c r="F122" s="3876">
        <f>IF(A122="","",MONTH(A122)='Control | Setup'!$B$12)</f>
        <v/>
      </c>
      <c r="G122" s="3876">
        <f>IF(OR(A122="",'Control | Setup'!$B$13=""),"",AND(A122&lt;='Control | Setup'!$B$13,A122&gt;EOMONTH('Control | Setup'!$B$13,-36)))</f>
        <v/>
      </c>
      <c r="H122" s="3876">
        <f>IF(OR(A122="",'Control | Setup'!$B$13=""),"",A122='Control | Setup'!$B$13)</f>
        <v/>
      </c>
      <c r="I122" s="3876">
        <f>IF(A122="","",ROW()-8)</f>
        <v/>
      </c>
    </row>
    <row r="123">
      <c r="A123" s="3906" t="n"/>
      <c r="B123" s="3876">
        <f>IF(A123="","",TEXT(A123,"yyyymm"))</f>
        <v/>
      </c>
      <c r="C123" s="3876">
        <f>IF(A123="","",TEXT(A123,"mmm-yy"))</f>
        <v/>
      </c>
      <c r="D123" s="3876">
        <f>IF(A123="","",TEXT(A123,"mmm-yy"))</f>
        <v/>
      </c>
      <c r="E123" s="3876">
        <f>IF(A123="","",YEAR(A123)+(MONTH(A123)&gt;'Control | Setup'!$B$12))</f>
        <v/>
      </c>
      <c r="F123" s="3876">
        <f>IF(A123="","",MONTH(A123)='Control | Setup'!$B$12)</f>
        <v/>
      </c>
      <c r="G123" s="3876">
        <f>IF(OR(A123="",'Control | Setup'!$B$13=""),"",AND(A123&lt;='Control | Setup'!$B$13,A123&gt;EOMONTH('Control | Setup'!$B$13,-36)))</f>
        <v/>
      </c>
      <c r="H123" s="3876">
        <f>IF(OR(A123="",'Control | Setup'!$B$13=""),"",A123='Control | Setup'!$B$13)</f>
        <v/>
      </c>
      <c r="I123" s="3876">
        <f>IF(A123="","",ROW()-8)</f>
        <v/>
      </c>
    </row>
    <row r="124">
      <c r="A124" s="3906" t="n"/>
      <c r="B124" s="3876">
        <f>IF(A124="","",TEXT(A124,"yyyymm"))</f>
        <v/>
      </c>
      <c r="C124" s="3876">
        <f>IF(A124="","",TEXT(A124,"mmm-yy"))</f>
        <v/>
      </c>
      <c r="D124" s="3876">
        <f>IF(A124="","",TEXT(A124,"mmm-yy"))</f>
        <v/>
      </c>
      <c r="E124" s="3876">
        <f>IF(A124="","",YEAR(A124)+(MONTH(A124)&gt;'Control | Setup'!$B$12))</f>
        <v/>
      </c>
      <c r="F124" s="3876">
        <f>IF(A124="","",MONTH(A124)='Control | Setup'!$B$12)</f>
        <v/>
      </c>
      <c r="G124" s="3876">
        <f>IF(OR(A124="",'Control | Setup'!$B$13=""),"",AND(A124&lt;='Control | Setup'!$B$13,A124&gt;EOMONTH('Control | Setup'!$B$13,-36)))</f>
        <v/>
      </c>
      <c r="H124" s="3876">
        <f>IF(OR(A124="",'Control | Setup'!$B$13=""),"",A124='Control | Setup'!$B$13)</f>
        <v/>
      </c>
      <c r="I124" s="3876">
        <f>IF(A124="","",ROW()-8)</f>
        <v/>
      </c>
    </row>
    <row r="125">
      <c r="A125" s="3906" t="n"/>
      <c r="B125" s="3876">
        <f>IF(A125="","",TEXT(A125,"yyyymm"))</f>
        <v/>
      </c>
      <c r="C125" s="3876">
        <f>IF(A125="","",TEXT(A125,"mmm-yy"))</f>
        <v/>
      </c>
      <c r="D125" s="3876">
        <f>IF(A125="","",TEXT(A125,"mmm-yy"))</f>
        <v/>
      </c>
      <c r="E125" s="3876">
        <f>IF(A125="","",YEAR(A125)+(MONTH(A125)&gt;'Control | Setup'!$B$12))</f>
        <v/>
      </c>
      <c r="F125" s="3876">
        <f>IF(A125="","",MONTH(A125)='Control | Setup'!$B$12)</f>
        <v/>
      </c>
      <c r="G125" s="3876">
        <f>IF(OR(A125="",'Control | Setup'!$B$13=""),"",AND(A125&lt;='Control | Setup'!$B$13,A125&gt;EOMONTH('Control | Setup'!$B$13,-36)))</f>
        <v/>
      </c>
      <c r="H125" s="3876">
        <f>IF(OR(A125="",'Control | Setup'!$B$13=""),"",A125='Control | Setup'!$B$13)</f>
        <v/>
      </c>
      <c r="I125" s="3876">
        <f>IF(A125="","",ROW()-8)</f>
        <v/>
      </c>
    </row>
    <row r="126">
      <c r="A126" s="3906" t="n"/>
      <c r="B126" s="3876">
        <f>IF(A126="","",TEXT(A126,"yyyymm"))</f>
        <v/>
      </c>
      <c r="C126" s="3876">
        <f>IF(A126="","",TEXT(A126,"mmm-yy"))</f>
        <v/>
      </c>
      <c r="D126" s="3876">
        <f>IF(A126="","",TEXT(A126,"mmm-yy"))</f>
        <v/>
      </c>
      <c r="E126" s="3876">
        <f>IF(A126="","",YEAR(A126)+(MONTH(A126)&gt;'Control | Setup'!$B$12))</f>
        <v/>
      </c>
      <c r="F126" s="3876">
        <f>IF(A126="","",MONTH(A126)='Control | Setup'!$B$12)</f>
        <v/>
      </c>
      <c r="G126" s="3876">
        <f>IF(OR(A126="",'Control | Setup'!$B$13=""),"",AND(A126&lt;='Control | Setup'!$B$13,A126&gt;EOMONTH('Control | Setup'!$B$13,-36)))</f>
        <v/>
      </c>
      <c r="H126" s="3876">
        <f>IF(OR(A126="",'Control | Setup'!$B$13=""),"",A126='Control | Setup'!$B$13)</f>
        <v/>
      </c>
      <c r="I126" s="3876">
        <f>IF(A126="","",ROW()-8)</f>
        <v/>
      </c>
    </row>
    <row r="127">
      <c r="A127" s="3906" t="n"/>
      <c r="B127" s="3876">
        <f>IF(A127="","",TEXT(A127,"yyyymm"))</f>
        <v/>
      </c>
      <c r="C127" s="3876">
        <f>IF(A127="","",TEXT(A127,"mmm-yy"))</f>
        <v/>
      </c>
      <c r="D127" s="3876">
        <f>IF(A127="","",TEXT(A127,"mmm-yy"))</f>
        <v/>
      </c>
      <c r="E127" s="3876">
        <f>IF(A127="","",YEAR(A127)+(MONTH(A127)&gt;'Control | Setup'!$B$12))</f>
        <v/>
      </c>
      <c r="F127" s="3876">
        <f>IF(A127="","",MONTH(A127)='Control | Setup'!$B$12)</f>
        <v/>
      </c>
      <c r="G127" s="3876">
        <f>IF(OR(A127="",'Control | Setup'!$B$13=""),"",AND(A127&lt;='Control | Setup'!$B$13,A127&gt;EOMONTH('Control | Setup'!$B$13,-36)))</f>
        <v/>
      </c>
      <c r="H127" s="3876">
        <f>IF(OR(A127="",'Control | Setup'!$B$13=""),"",A127='Control | Setup'!$B$13)</f>
        <v/>
      </c>
      <c r="I127" s="3876">
        <f>IF(A127="","",ROW()-8)</f>
        <v/>
      </c>
    </row>
    <row r="128">
      <c r="A128" s="3906" t="n"/>
      <c r="B128" s="3876">
        <f>IF(A128="","",TEXT(A128,"yyyymm"))</f>
        <v/>
      </c>
      <c r="C128" s="3876">
        <f>IF(A128="","",TEXT(A128,"mmm-yy"))</f>
        <v/>
      </c>
      <c r="D128" s="3876">
        <f>IF(A128="","",TEXT(A128,"mmm-yy"))</f>
        <v/>
      </c>
      <c r="E128" s="3876">
        <f>IF(A128="","",YEAR(A128)+(MONTH(A128)&gt;'Control | Setup'!$B$12))</f>
        <v/>
      </c>
      <c r="F128" s="3876">
        <f>IF(A128="","",MONTH(A128)='Control | Setup'!$B$12)</f>
        <v/>
      </c>
      <c r="G128" s="3876">
        <f>IF(OR(A128="",'Control | Setup'!$B$13=""),"",AND(A128&lt;='Control | Setup'!$B$13,A128&gt;EOMONTH('Control | Setup'!$B$13,-36)))</f>
        <v/>
      </c>
      <c r="H128" s="3876">
        <f>IF(OR(A128="",'Control | Setup'!$B$13=""),"",A128='Control | Setup'!$B$13)</f>
        <v/>
      </c>
      <c r="I128" s="3876">
        <f>IF(A128="","",ROW()-8)</f>
        <v/>
      </c>
    </row>
  </sheetData>
  <dataValidations count="1">
    <dataValidation sqref="A9:A128" showDropDown="0" showInputMessage="0" showErrorMessage="1" allowBlank="1" error="Use month-end dates only." type="custom">
      <formula1>=A9=EOMONTH(A9,0)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6" customWidth="1" min="4" max="4"/>
    <col width="24" customWidth="1" min="5" max="5"/>
    <col width="26" customWidth="1" min="6" max="6"/>
    <col width="30" customWidth="1" min="7" max="7"/>
    <col width="20" customWidth="1" min="8" max="8"/>
  </cols>
  <sheetData>
    <row r="1" ht="24" customHeight="1">
      <c r="A1" s="3863" t="inlineStr">
        <is>
          <t>Template | Manifest</t>
        </is>
      </c>
      <c r="B1" s="3874" t="n"/>
      <c r="C1" s="3874" t="n"/>
      <c r="D1" s="3874" t="n"/>
      <c r="E1" s="3874" t="n"/>
      <c r="F1" s="3874" t="n"/>
      <c r="G1" s="3874" t="n"/>
      <c r="H1" s="3874" t="n"/>
    </row>
    <row r="2">
      <c r="A2" s="3865" t="inlineStr">
        <is>
          <t>Module registry the generator can read deterministically.</t>
        </is>
      </c>
      <c r="B2" s="3874" t="n"/>
      <c r="C2" s="3874" t="n"/>
      <c r="D2" s="3874" t="n"/>
      <c r="E2" s="3874" t="n"/>
      <c r="F2" s="3874" t="n"/>
      <c r="G2" s="3874" t="n"/>
      <c r="H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</row>
    <row r="8">
      <c r="A8" s="3904" t="inlineStr">
        <is>
          <t>ModuleKey</t>
        </is>
      </c>
      <c r="B8" s="3904" t="inlineStr">
        <is>
          <t>ModuleName</t>
        </is>
      </c>
      <c r="C8" s="3904" t="inlineStr">
        <is>
          <t>SheetNames</t>
        </is>
      </c>
      <c r="D8" s="3904" t="inlineStr">
        <is>
          <t>Purpose</t>
        </is>
      </c>
      <c r="E8" s="3904" t="inlineStr">
        <is>
          <t>PrimaryInputs</t>
        </is>
      </c>
      <c r="F8" s="3904" t="inlineStr">
        <is>
          <t>Dependencies</t>
        </is>
      </c>
      <c r="G8" s="3904" t="inlineStr">
        <is>
          <t>TypicalUseCases</t>
        </is>
      </c>
      <c r="H8" s="3904" t="inlineStr">
        <is>
          <t>CanInstantiateMultiple</t>
        </is>
      </c>
    </row>
    <row r="9">
      <c r="A9" s="3876" t="inlineStr">
        <is>
          <t>CORE_CONTROLS</t>
        </is>
      </c>
      <c r="B9" s="3876" t="inlineStr">
        <is>
          <t>Controls</t>
        </is>
      </c>
      <c r="C9" s="3876" t="inlineStr">
        <is>
          <t>Control | Setup; Control | Periods; Control | QC</t>
        </is>
      </c>
      <c r="D9" s="3876" t="inlineStr">
        <is>
          <t>Template controls and QC center</t>
        </is>
      </c>
      <c r="E9" s="3876" t="inlineStr">
        <is>
          <t>Manual setup</t>
        </is>
      </c>
      <c r="F9" s="3876" t="inlineStr">
        <is>
          <t>None</t>
        </is>
      </c>
      <c r="G9" s="3876" t="inlineStr">
        <is>
          <t>All deals</t>
        </is>
      </c>
      <c r="H9" s="3876" t="inlineStr">
        <is>
          <t>FALSE</t>
        </is>
      </c>
    </row>
    <row r="10">
      <c r="A10" s="3876" t="inlineStr">
        <is>
          <t>CORE_DATA</t>
        </is>
      </c>
      <c r="B10" s="3876" t="inlineStr">
        <is>
          <t>Data intake</t>
        </is>
      </c>
      <c r="C10" s="3876" t="inlineStr">
        <is>
          <t>Data | TB (Wide); Data | AR Aging; Data | AP Aging</t>
        </is>
      </c>
      <c r="D10" s="3876" t="inlineStr">
        <is>
          <t>Standardized data ingestion blocks</t>
        </is>
      </c>
      <c r="E10" s="3876" t="inlineStr">
        <is>
          <t>Client exports</t>
        </is>
      </c>
      <c r="F10" s="3876" t="inlineStr">
        <is>
          <t>Control | Periods</t>
        </is>
      </c>
      <c r="G10" s="3876" t="inlineStr">
        <is>
          <t>All deals</t>
        </is>
      </c>
      <c r="H10" s="3876" t="inlineStr">
        <is>
          <t>FALSE</t>
        </is>
      </c>
    </row>
    <row r="11">
      <c r="A11" s="3876" t="inlineStr">
        <is>
          <t>CORE_MAPPING</t>
        </is>
      </c>
      <c r="B11" s="3876" t="inlineStr">
        <is>
          <t>Mappings</t>
        </is>
      </c>
      <c r="C11" s="3876" t="inlineStr">
        <is>
          <t>Map | COA to Lines; Map | NWC &amp; NetDebt Class; Map | Entities</t>
        </is>
      </c>
      <c r="D11" s="3876" t="inlineStr">
        <is>
          <t>Account and classification mappings</t>
        </is>
      </c>
      <c r="E11" s="3876" t="inlineStr">
        <is>
          <t>TB + team mapping decisions</t>
        </is>
      </c>
      <c r="F11" s="3876" t="inlineStr">
        <is>
          <t>Data | TB (Wide)</t>
        </is>
      </c>
      <c r="G11" s="3876" t="inlineStr">
        <is>
          <t>All deals</t>
        </is>
      </c>
      <c r="H11" s="3876" t="inlineStr">
        <is>
          <t>FALSE</t>
        </is>
      </c>
    </row>
    <row r="12">
      <c r="A12" s="3879" t="inlineStr">
        <is>
          <t>CORE_FINANCIALS</t>
        </is>
      </c>
      <c r="B12" s="3879" t="inlineStr">
        <is>
          <t>Financial statements</t>
        </is>
      </c>
      <c r="C12" s="3879" t="inlineStr">
        <is>
          <t>Financials&gt;&gt;; Combined | IS; Combined | BS; Combined | CF; Entity 1 | IS; Entity 1 | BS; Entity 1 | CF</t>
        </is>
      </c>
      <c r="D12" s="3879" t="inlineStr">
        <is>
          <t>Core financial statement scaffolds for combined and placeholder entity views</t>
        </is>
      </c>
      <c r="E12" s="3879" t="inlineStr">
        <is>
          <t>Control | Periods; Data | TB (Wide); Map | COA to Lines</t>
        </is>
      </c>
      <c r="F12" s="3879" t="inlineStr">
        <is>
          <t>Pack A tabs</t>
        </is>
      </c>
      <c r="G12" s="3879" t="inlineStr">
        <is>
          <t>All deals</t>
        </is>
      </c>
      <c r="H12" s="387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</row>
    <row r="2">
      <c r="A2" s="3865" t="inlineStr">
        <is>
          <t>Deterministic block coordinate index (fixed anchors, no named ranges required).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</row>
    <row r="8">
      <c r="A8" s="3904" t="inlineStr">
        <is>
          <t>SheetName</t>
        </is>
      </c>
      <c r="B8" s="3904" t="inlineStr">
        <is>
          <t>BlockKey</t>
        </is>
      </c>
      <c r="C8" s="3904" t="inlineStr">
        <is>
          <t>TopLeftCell</t>
        </is>
      </c>
      <c r="D8" s="3904" t="inlineStr">
        <is>
          <t>HeaderRowNumber</t>
        </is>
      </c>
      <c r="E8" s="3904" t="inlineStr">
        <is>
          <t>FirstDataRowNumber</t>
        </is>
      </c>
      <c r="F8" s="3904" t="inlineStr">
        <is>
          <t>PeriodStartColumn</t>
        </is>
      </c>
      <c r="G8" s="3904" t="inlineStr">
        <is>
          <t>PeriodHeaderRowNumber</t>
        </is>
      </c>
      <c r="H8" s="3904" t="inlineStr">
        <is>
          <t>NotesPanelTopLeftCell</t>
        </is>
      </c>
      <c r="I8" s="3904" t="inlineStr">
        <is>
          <t>OutputType</t>
        </is>
      </c>
      <c r="J8" s="3904" t="inlineStr">
        <is>
          <t>RefreshRequired</t>
        </is>
      </c>
      <c r="K8" s="3904" t="inlineStr">
        <is>
          <t>ValidationRule</t>
        </is>
      </c>
    </row>
    <row r="9">
      <c r="A9" s="3876" t="inlineStr">
        <is>
          <t>Control | Setup</t>
        </is>
      </c>
      <c r="B9" s="3876" t="inlineStr">
        <is>
          <t>CONTROL_SETUP_FIELDS</t>
        </is>
      </c>
      <c r="C9" s="3876" t="inlineStr">
        <is>
          <t>A7</t>
        </is>
      </c>
      <c r="D9" s="3876" t="n">
        <v>7</v>
      </c>
      <c r="E9" s="3876" t="n">
        <v>8</v>
      </c>
      <c r="F9" s="3876" t="inlineStr"/>
      <c r="G9" s="3876" t="inlineStr"/>
      <c r="H9" s="3876" t="inlineStr"/>
      <c r="I9" s="3876" t="inlineStr">
        <is>
          <t>grid</t>
        </is>
      </c>
      <c r="J9" s="3876" t="inlineStr">
        <is>
          <t>FALSE</t>
        </is>
      </c>
      <c r="K9" s="3876" t="inlineStr">
        <is>
          <t>FYEndMonth in B12; LatestMonthEnd in B13</t>
        </is>
      </c>
    </row>
    <row r="10">
      <c r="A10" s="3876" t="inlineStr">
        <is>
          <t>Control | Periods</t>
        </is>
      </c>
      <c r="B10" s="3876" t="inlineStr">
        <is>
          <t>PERIODS_BLOCK</t>
        </is>
      </c>
      <c r="C10" s="3876" t="inlineStr">
        <is>
          <t>A8</t>
        </is>
      </c>
      <c r="D10" s="3876" t="n">
        <v>8</v>
      </c>
      <c r="E10" s="3876" t="n">
        <v>9</v>
      </c>
      <c r="F10" s="3876" t="inlineStr">
        <is>
          <t>A</t>
        </is>
      </c>
      <c r="G10" s="3876" t="n">
        <v>8</v>
      </c>
      <c r="H10" s="3876" t="inlineStr"/>
      <c r="I10" s="3876" t="inlineStr">
        <is>
          <t>grid</t>
        </is>
      </c>
      <c r="J10" s="3876" t="inlineStr">
        <is>
          <t>FALSE</t>
        </is>
      </c>
      <c r="K10" s="3876" t="inlineStr">
        <is>
          <t>A9:A128 must be month-end dates</t>
        </is>
      </c>
    </row>
    <row r="11">
      <c r="A11" s="3876" t="inlineStr">
        <is>
          <t>Template | Manifest</t>
        </is>
      </c>
      <c r="B11" s="3876" t="inlineStr">
        <is>
          <t>MANIFEST_MAIN</t>
        </is>
      </c>
      <c r="C11" s="3876" t="inlineStr">
        <is>
          <t>A8</t>
        </is>
      </c>
      <c r="D11" s="3876" t="n">
        <v>8</v>
      </c>
      <c r="E11" s="3876" t="n">
        <v>9</v>
      </c>
      <c r="F11" s="3876" t="inlineStr"/>
      <c r="G11" s="3876" t="inlineStr"/>
      <c r="H11" s="3876" t="inlineStr"/>
      <c r="I11" s="3876" t="inlineStr">
        <is>
          <t>grid</t>
        </is>
      </c>
      <c r="J11" s="3876" t="inlineStr">
        <is>
          <t>FALSE</t>
        </is>
      </c>
      <c r="K11" s="3876" t="inlineStr">
        <is>
          <t>Module keys should be stable</t>
        </is>
      </c>
    </row>
    <row r="12">
      <c r="A12" s="3876" t="inlineStr">
        <is>
          <t>Template | Index</t>
        </is>
      </c>
      <c r="B12" s="3876" t="inlineStr">
        <is>
          <t>INDEX_MAIN</t>
        </is>
      </c>
      <c r="C12" s="3876" t="inlineStr">
        <is>
          <t>A8</t>
        </is>
      </c>
      <c r="D12" s="3876" t="n">
        <v>8</v>
      </c>
      <c r="E12" s="3876" t="n">
        <v>9</v>
      </c>
      <c r="F12" s="3876" t="inlineStr"/>
      <c r="G12" s="3876" t="inlineStr"/>
      <c r="H12" s="3876" t="inlineStr"/>
      <c r="I12" s="3876" t="inlineStr">
        <is>
          <t>grid</t>
        </is>
      </c>
      <c r="J12" s="3876" t="inlineStr">
        <is>
          <t>FALSE</t>
        </is>
      </c>
      <c r="K12" s="3876" t="inlineStr">
        <is>
          <t>Update when block anchors move</t>
        </is>
      </c>
    </row>
    <row r="13">
      <c r="A13" s="3876" t="inlineStr">
        <is>
          <t>Data | TB (Wide)</t>
        </is>
      </c>
      <c r="B13" s="3876" t="inlineStr">
        <is>
          <t>TB_WIDE_INPUT</t>
        </is>
      </c>
      <c r="C13" s="3876" t="inlineStr">
        <is>
          <t>A8</t>
        </is>
      </c>
      <c r="D13" s="3876" t="n">
        <v>8</v>
      </c>
      <c r="E13" s="3876" t="n">
        <v>9</v>
      </c>
      <c r="F13" s="3876" t="inlineStr">
        <is>
          <t>G</t>
        </is>
      </c>
      <c r="G13" s="3876" t="n">
        <v>8</v>
      </c>
      <c r="H13" s="3876" t="inlineStr"/>
      <c r="I13" s="3876" t="inlineStr">
        <is>
          <t>grid</t>
        </is>
      </c>
      <c r="J13" s="3876" t="inlineStr">
        <is>
          <t>FALSE</t>
        </is>
      </c>
      <c r="K13" s="3876" t="inlineStr">
        <is>
          <t>Month columns map to Control | Periods A9:A44</t>
        </is>
      </c>
    </row>
    <row r="14">
      <c r="A14" s="3876" t="inlineStr">
        <is>
          <t>Data | AR Aging</t>
        </is>
      </c>
      <c r="B14" s="3876" t="inlineStr">
        <is>
          <t>AR_AGING_INPUT</t>
        </is>
      </c>
      <c r="C14" s="3876" t="inlineStr">
        <is>
          <t>A8</t>
        </is>
      </c>
      <c r="D14" s="3876" t="n">
        <v>8</v>
      </c>
      <c r="E14" s="3876" t="n">
        <v>9</v>
      </c>
      <c r="F14" s="3876" t="inlineStr"/>
      <c r="G14" s="3876" t="inlineStr"/>
      <c r="H14" s="3876" t="inlineStr"/>
      <c r="I14" s="3876" t="inlineStr">
        <is>
          <t>grid</t>
        </is>
      </c>
      <c r="J14" s="3876" t="inlineStr">
        <is>
          <t>FALSE</t>
        </is>
      </c>
      <c r="K14" s="3876" t="inlineStr">
        <is>
          <t>Total column should equal bucket sum</t>
        </is>
      </c>
    </row>
    <row r="15">
      <c r="A15" s="3876" t="inlineStr">
        <is>
          <t>Data | AP Aging</t>
        </is>
      </c>
      <c r="B15" s="3876" t="inlineStr">
        <is>
          <t>AP_AGING_INPUT</t>
        </is>
      </c>
      <c r="C15" s="3876" t="inlineStr">
        <is>
          <t>A8</t>
        </is>
      </c>
      <c r="D15" s="3876" t="n">
        <v>8</v>
      </c>
      <c r="E15" s="3876" t="n">
        <v>9</v>
      </c>
      <c r="F15" s="3876" t="inlineStr"/>
      <c r="G15" s="3876" t="inlineStr"/>
      <c r="H15" s="3876" t="inlineStr"/>
      <c r="I15" s="3876" t="inlineStr">
        <is>
          <t>grid</t>
        </is>
      </c>
      <c r="J15" s="3876" t="inlineStr">
        <is>
          <t>FALSE</t>
        </is>
      </c>
      <c r="K15" s="3876" t="inlineStr">
        <is>
          <t>Total column should equal bucket sum</t>
        </is>
      </c>
    </row>
    <row r="16">
      <c r="A16" s="3876" t="inlineStr">
        <is>
          <t>Map | COA to Lines</t>
        </is>
      </c>
      <c r="B16" s="3876" t="inlineStr">
        <is>
          <t>COA_MAP_INPUT</t>
        </is>
      </c>
      <c r="C16" s="3876" t="inlineStr">
        <is>
          <t>A8</t>
        </is>
      </c>
      <c r="D16" s="3876" t="n">
        <v>8</v>
      </c>
      <c r="E16" s="3876" t="n">
        <v>9</v>
      </c>
      <c r="F16" s="3876" t="inlineStr"/>
      <c r="G16" s="3876" t="inlineStr"/>
      <c r="H16" s="3876" t="inlineStr"/>
      <c r="I16" s="3876" t="inlineStr">
        <is>
          <t>grid</t>
        </is>
      </c>
      <c r="J16" s="3876" t="inlineStr">
        <is>
          <t>FALSE</t>
        </is>
      </c>
      <c r="K16" s="3876" t="inlineStr">
        <is>
          <t>LineKey values must be stable</t>
        </is>
      </c>
    </row>
    <row r="17">
      <c r="A17" s="3876" t="inlineStr">
        <is>
          <t>Map | NWC &amp; NetDebt Class</t>
        </is>
      </c>
      <c r="B17" s="3876" t="inlineStr">
        <is>
          <t>CLASS_MAP_INPUT</t>
        </is>
      </c>
      <c r="C17" s="3876" t="inlineStr">
        <is>
          <t>A8</t>
        </is>
      </c>
      <c r="D17" s="3876" t="n">
        <v>8</v>
      </c>
      <c r="E17" s="3876" t="n">
        <v>9</v>
      </c>
      <c r="F17" s="3876" t="inlineStr"/>
      <c r="G17" s="3876" t="inlineStr"/>
      <c r="H17" s="3876" t="inlineStr"/>
      <c r="I17" s="3876" t="inlineStr">
        <is>
          <t>grid</t>
        </is>
      </c>
      <c r="J17" s="3876" t="inlineStr">
        <is>
          <t>FALSE</t>
        </is>
      </c>
      <c r="K17" s="3876" t="inlineStr">
        <is>
          <t>ClassKey values must be stable</t>
        </is>
      </c>
    </row>
    <row r="18">
      <c r="A18" s="3876" t="inlineStr">
        <is>
          <t>Map | Entities</t>
        </is>
      </c>
      <c r="B18" s="3876" t="inlineStr">
        <is>
          <t>ENTITIES_MAP_INPUT</t>
        </is>
      </c>
      <c r="C18" s="3876" t="inlineStr">
        <is>
          <t>A8</t>
        </is>
      </c>
      <c r="D18" s="3876" t="n">
        <v>8</v>
      </c>
      <c r="E18" s="3876" t="n">
        <v>9</v>
      </c>
      <c r="F18" s="3876" t="inlineStr"/>
      <c r="G18" s="3876" t="inlineStr"/>
      <c r="H18" s="3876" t="inlineStr"/>
      <c r="I18" s="3876" t="inlineStr">
        <is>
          <t>grid</t>
        </is>
      </c>
      <c r="J18" s="3876" t="inlineStr">
        <is>
          <t>FALSE</t>
        </is>
      </c>
      <c r="K18" s="3876" t="inlineStr">
        <is>
          <t>SortOrder should be sequential</t>
        </is>
      </c>
    </row>
    <row r="19">
      <c r="A19" s="3879" t="inlineStr">
        <is>
          <t>Financials&gt;&gt;</t>
        </is>
      </c>
      <c r="B19" s="3879" t="inlineStr">
        <is>
          <t>FINANCIALS_DIVIDER</t>
        </is>
      </c>
      <c r="C19" s="3879" t="inlineStr">
        <is>
          <t>A1</t>
        </is>
      </c>
      <c r="D19" s="3879" t="n">
        <v>1</v>
      </c>
      <c r="E19" s="3879" t="n">
        <v>4</v>
      </c>
      <c r="F19" s="3879" t="inlineStr"/>
      <c r="G19" s="3879" t="inlineStr"/>
      <c r="H19" s="3879" t="inlineStr"/>
      <c r="I19" s="3879" t="inlineStr">
        <is>
          <t>grid</t>
        </is>
      </c>
      <c r="J19" s="3879" t="inlineStr">
        <is>
          <t>FALSE</t>
        </is>
      </c>
      <c r="K19" s="3879" t="inlineStr">
        <is>
          <t>Navigation links should point to Pack B sheets</t>
        </is>
      </c>
    </row>
    <row r="20">
      <c r="A20" s="3879" t="inlineStr">
        <is>
          <t>Combined | IS</t>
        </is>
      </c>
      <c r="B20" s="3879" t="inlineStr">
        <is>
          <t>IS_MAIN</t>
        </is>
      </c>
      <c r="C20" s="3879" t="inlineStr">
        <is>
          <t>A8</t>
        </is>
      </c>
      <c r="D20" s="3879" t="n">
        <v>8</v>
      </c>
      <c r="E20" s="3879" t="n">
        <v>9</v>
      </c>
      <c r="F20" s="3879" t="inlineStr">
        <is>
          <t>F</t>
        </is>
      </c>
      <c r="G20" s="3879" t="n">
        <v>8</v>
      </c>
      <c r="H20" s="3879" t="inlineStr"/>
      <c r="I20" s="3879" t="inlineStr">
        <is>
          <t>grid</t>
        </is>
      </c>
      <c r="J20" s="3879" t="inlineStr">
        <is>
          <t>FALSE</t>
        </is>
      </c>
      <c r="K20" s="3879" t="inlineStr">
        <is>
          <t>Monthly headers link to Control | Periods</t>
        </is>
      </c>
    </row>
    <row r="21">
      <c r="A21" s="3879" t="inlineStr">
        <is>
          <t>Combined | IS</t>
        </is>
      </c>
      <c r="B21" s="3879" t="inlineStr">
        <is>
          <t>IS_CHECKS</t>
        </is>
      </c>
      <c r="C21" s="3879" t="inlineStr">
        <is>
          <t>A27</t>
        </is>
      </c>
      <c r="D21" s="3879" t="n">
        <v>27</v>
      </c>
      <c r="E21" s="3879" t="n">
        <v>28</v>
      </c>
      <c r="F21" s="3879" t="inlineStr">
        <is>
          <t>F</t>
        </is>
      </c>
      <c r="G21" s="3879" t="n">
        <v>8</v>
      </c>
      <c r="H21" s="3879" t="inlineStr"/>
      <c r="I21" s="3879" t="inlineStr">
        <is>
          <t>grid</t>
        </is>
      </c>
      <c r="J21" s="3879" t="inlineStr">
        <is>
          <t>FALSE</t>
        </is>
      </c>
      <c r="K21" s="3879" t="inlineStr">
        <is>
          <t>Check values should resolve to 0</t>
        </is>
      </c>
    </row>
    <row r="22">
      <c r="A22" s="3879" t="inlineStr">
        <is>
          <t>Combined | BS</t>
        </is>
      </c>
      <c r="B22" s="3879" t="inlineStr">
        <is>
          <t>BS_MAIN</t>
        </is>
      </c>
      <c r="C22" s="3879" t="inlineStr">
        <is>
          <t>A8</t>
        </is>
      </c>
      <c r="D22" s="3879" t="n">
        <v>8</v>
      </c>
      <c r="E22" s="3879" t="n">
        <v>9</v>
      </c>
      <c r="F22" s="3879" t="inlineStr">
        <is>
          <t>F</t>
        </is>
      </c>
      <c r="G22" s="3879" t="n">
        <v>8</v>
      </c>
      <c r="H22" s="3879" t="inlineStr"/>
      <c r="I22" s="3879" t="inlineStr">
        <is>
          <t>grid</t>
        </is>
      </c>
      <c r="J22" s="3879" t="inlineStr">
        <is>
          <t>FALSE</t>
        </is>
      </c>
      <c r="K22" s="3879" t="inlineStr">
        <is>
          <t>Monthly headers link to Control | Periods</t>
        </is>
      </c>
    </row>
    <row r="23">
      <c r="A23" s="3879" t="inlineStr">
        <is>
          <t>Combined | BS</t>
        </is>
      </c>
      <c r="B23" s="3879" t="inlineStr">
        <is>
          <t>BS_CHECKS</t>
        </is>
      </c>
      <c r="C23" s="3879" t="inlineStr">
        <is>
          <t>A27</t>
        </is>
      </c>
      <c r="D23" s="3879" t="n">
        <v>27</v>
      </c>
      <c r="E23" s="3879" t="n">
        <v>28</v>
      </c>
      <c r="F23" s="3879" t="inlineStr">
        <is>
          <t>F</t>
        </is>
      </c>
      <c r="G23" s="3879" t="n">
        <v>8</v>
      </c>
      <c r="H23" s="3879" t="inlineStr"/>
      <c r="I23" s="3879" t="inlineStr">
        <is>
          <t>grid</t>
        </is>
      </c>
      <c r="J23" s="3879" t="inlineStr">
        <is>
          <t>FALSE</t>
        </is>
      </c>
      <c r="K23" s="3879" t="inlineStr">
        <is>
          <t>Balance check should resolve to 0</t>
        </is>
      </c>
    </row>
    <row r="24">
      <c r="A24" s="3879" t="inlineStr">
        <is>
          <t>Combined | CF</t>
        </is>
      </c>
      <c r="B24" s="3879" t="inlineStr">
        <is>
          <t>CF_MAIN</t>
        </is>
      </c>
      <c r="C24" s="3879" t="inlineStr">
        <is>
          <t>A8</t>
        </is>
      </c>
      <c r="D24" s="3879" t="n">
        <v>8</v>
      </c>
      <c r="E24" s="3879" t="n">
        <v>9</v>
      </c>
      <c r="F24" s="3879" t="inlineStr">
        <is>
          <t>F</t>
        </is>
      </c>
      <c r="G24" s="3879" t="n">
        <v>8</v>
      </c>
      <c r="H24" s="3879" t="inlineStr"/>
      <c r="I24" s="3879" t="inlineStr">
        <is>
          <t>grid</t>
        </is>
      </c>
      <c r="J24" s="3879" t="inlineStr">
        <is>
          <t>FALSE</t>
        </is>
      </c>
      <c r="K24" s="3879" t="inlineStr">
        <is>
          <t>Monthly headers link to Control | Periods</t>
        </is>
      </c>
    </row>
    <row r="25">
      <c r="A25" s="3879" t="inlineStr">
        <is>
          <t>Combined | CF</t>
        </is>
      </c>
      <c r="B25" s="3879" t="inlineStr">
        <is>
          <t>CF_CHECKS</t>
        </is>
      </c>
      <c r="C25" s="3879" t="inlineStr">
        <is>
          <t>A27</t>
        </is>
      </c>
      <c r="D25" s="3879" t="n">
        <v>27</v>
      </c>
      <c r="E25" s="3879" t="n">
        <v>28</v>
      </c>
      <c r="F25" s="3879" t="inlineStr">
        <is>
          <t>F</t>
        </is>
      </c>
      <c r="G25" s="3879" t="n">
        <v>8</v>
      </c>
      <c r="H25" s="3879" t="inlineStr"/>
      <c r="I25" s="3879" t="inlineStr">
        <is>
          <t>grid</t>
        </is>
      </c>
      <c r="J25" s="3879" t="inlineStr">
        <is>
          <t>FALSE</t>
        </is>
      </c>
      <c r="K25" s="3879" t="inlineStr">
        <is>
          <t>Check values should resolve to 0</t>
        </is>
      </c>
    </row>
    <row r="26">
      <c r="A26" s="3879" t="inlineStr">
        <is>
          <t>Entity 1 | IS</t>
        </is>
      </c>
      <c r="B26" s="3879" t="inlineStr">
        <is>
          <t>ENTITY1_IS_MAIN</t>
        </is>
      </c>
      <c r="C26" s="3879" t="inlineStr">
        <is>
          <t>A8</t>
        </is>
      </c>
      <c r="D26" s="3879" t="n">
        <v>8</v>
      </c>
      <c r="E26" s="3879" t="n">
        <v>9</v>
      </c>
      <c r="F26" s="3879" t="inlineStr">
        <is>
          <t>F</t>
        </is>
      </c>
      <c r="G26" s="3879" t="n">
        <v>8</v>
      </c>
      <c r="H26" s="3879" t="inlineStr"/>
      <c r="I26" s="3879" t="inlineStr">
        <is>
          <t>grid</t>
        </is>
      </c>
      <c r="J26" s="3879" t="inlineStr">
        <is>
          <t>FALSE</t>
        </is>
      </c>
      <c r="K26" s="3879" t="inlineStr">
        <is>
          <t>Entity placeholder scaffold</t>
        </is>
      </c>
    </row>
    <row r="27">
      <c r="A27" s="3879" t="inlineStr">
        <is>
          <t>Entity 1 | BS</t>
        </is>
      </c>
      <c r="B27" s="3879" t="inlineStr">
        <is>
          <t>ENTITY1_BS_MAIN</t>
        </is>
      </c>
      <c r="C27" s="3879" t="inlineStr">
        <is>
          <t>A8</t>
        </is>
      </c>
      <c r="D27" s="3879" t="n">
        <v>8</v>
      </c>
      <c r="E27" s="3879" t="n">
        <v>9</v>
      </c>
      <c r="F27" s="3879" t="inlineStr">
        <is>
          <t>F</t>
        </is>
      </c>
      <c r="G27" s="3879" t="n">
        <v>8</v>
      </c>
      <c r="H27" s="3879" t="inlineStr"/>
      <c r="I27" s="3879" t="inlineStr">
        <is>
          <t>grid</t>
        </is>
      </c>
      <c r="J27" s="3879" t="inlineStr">
        <is>
          <t>FALSE</t>
        </is>
      </c>
      <c r="K27" s="3879" t="inlineStr">
        <is>
          <t>Entity placeholder scaffold</t>
        </is>
      </c>
    </row>
    <row r="28">
      <c r="A28" s="3879" t="inlineStr">
        <is>
          <t>Entity 1 | CF</t>
        </is>
      </c>
      <c r="B28" s="3879" t="inlineStr">
        <is>
          <t>ENTITY1_CF_MAIN</t>
        </is>
      </c>
      <c r="C28" s="3879" t="inlineStr">
        <is>
          <t>A8</t>
        </is>
      </c>
      <c r="D28" s="3879" t="n">
        <v>8</v>
      </c>
      <c r="E28" s="3879" t="n">
        <v>9</v>
      </c>
      <c r="F28" s="3879" t="inlineStr">
        <is>
          <t>F</t>
        </is>
      </c>
      <c r="G28" s="3879" t="n">
        <v>8</v>
      </c>
      <c r="H28" s="3879" t="inlineStr"/>
      <c r="I28" s="3879" t="inlineStr">
        <is>
          <t>grid</t>
        </is>
      </c>
      <c r="J28" s="3879" t="inlineStr">
        <is>
          <t>FALSE</t>
        </is>
      </c>
      <c r="K28" s="3879" t="inlineStr">
        <is>
          <t>Entity placeholder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863" t="inlineStr">
        <is>
          <t>Data | TB (Wide)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</row>
    <row r="2">
      <c r="A2" s="3865" t="inlineStr">
        <is>
          <t>Load monthly trial balance in wide format. Do not insert/delete month columns manually.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</row>
    <row r="8">
      <c r="A8" s="3904" t="inlineStr">
        <is>
          <t>Entity</t>
        </is>
      </c>
      <c r="B8" s="3904" t="inlineStr">
        <is>
          <t>AccountNumber</t>
        </is>
      </c>
      <c r="C8" s="3904" t="inlineStr">
        <is>
          <t>AccountName</t>
        </is>
      </c>
      <c r="D8" s="3904" t="inlineStr">
        <is>
          <t>FS_SignConvention</t>
        </is>
      </c>
      <c r="E8" s="3904" t="inlineStr">
        <is>
          <t>Currency</t>
        </is>
      </c>
      <c r="F8" s="3904" t="inlineStr">
        <is>
          <t>SourceSystem</t>
        </is>
      </c>
      <c r="G8" s="3907">
        <f>'Control | Periods'!A9</f>
        <v/>
      </c>
      <c r="H8" s="3907">
        <f>'Control | Periods'!A10</f>
        <v/>
      </c>
      <c r="I8" s="3907">
        <f>'Control | Periods'!A11</f>
        <v/>
      </c>
      <c r="J8" s="3907">
        <f>'Control | Periods'!A12</f>
        <v/>
      </c>
      <c r="K8" s="3907">
        <f>'Control | Periods'!A13</f>
        <v/>
      </c>
      <c r="L8" s="3907">
        <f>'Control | Periods'!A14</f>
        <v/>
      </c>
      <c r="M8" s="3907">
        <f>'Control | Periods'!A15</f>
        <v/>
      </c>
      <c r="N8" s="3907">
        <f>'Control | Periods'!A16</f>
        <v/>
      </c>
      <c r="O8" s="3907">
        <f>'Control | Periods'!A17</f>
        <v/>
      </c>
      <c r="P8" s="3907">
        <f>'Control | Periods'!A18</f>
        <v/>
      </c>
      <c r="Q8" s="3907">
        <f>'Control | Periods'!A19</f>
        <v/>
      </c>
      <c r="R8" s="3907">
        <f>'Control | Periods'!A20</f>
        <v/>
      </c>
      <c r="S8" s="3907">
        <f>'Control | Periods'!A21</f>
        <v/>
      </c>
      <c r="T8" s="3907">
        <f>'Control | Periods'!A22</f>
        <v/>
      </c>
      <c r="U8" s="3907">
        <f>'Control | Periods'!A23</f>
        <v/>
      </c>
      <c r="V8" s="3907">
        <f>'Control | Periods'!A24</f>
        <v/>
      </c>
      <c r="W8" s="3907">
        <f>'Control | Periods'!A25</f>
        <v/>
      </c>
      <c r="X8" s="3907">
        <f>'Control | Periods'!A26</f>
        <v/>
      </c>
      <c r="Y8" s="3907">
        <f>'Control | Periods'!A27</f>
        <v/>
      </c>
      <c r="Z8" s="3907">
        <f>'Control | Periods'!A28</f>
        <v/>
      </c>
      <c r="AA8" s="3907">
        <f>'Control | Periods'!A29</f>
        <v/>
      </c>
      <c r="AB8" s="3907">
        <f>'Control | Periods'!A30</f>
        <v/>
      </c>
      <c r="AC8" s="3907">
        <f>'Control | Periods'!A31</f>
        <v/>
      </c>
      <c r="AD8" s="3907">
        <f>'Control | Periods'!A32</f>
        <v/>
      </c>
      <c r="AE8" s="3907">
        <f>'Control | Periods'!A33</f>
        <v/>
      </c>
      <c r="AF8" s="3907">
        <f>'Control | Periods'!A34</f>
        <v/>
      </c>
      <c r="AG8" s="3907">
        <f>'Control | Periods'!A35</f>
        <v/>
      </c>
      <c r="AH8" s="3907">
        <f>'Control | Periods'!A36</f>
        <v/>
      </c>
      <c r="AI8" s="3907">
        <f>'Control | Periods'!A37</f>
        <v/>
      </c>
      <c r="AJ8" s="3907">
        <f>'Control | Periods'!A38</f>
        <v/>
      </c>
      <c r="AK8" s="3907">
        <f>'Control | Periods'!A39</f>
        <v/>
      </c>
      <c r="AL8" s="3907">
        <f>'Control | Periods'!A40</f>
        <v/>
      </c>
      <c r="AM8" s="3907">
        <f>'Control | Periods'!A41</f>
        <v/>
      </c>
      <c r="AN8" s="3907">
        <f>'Control | Periods'!A42</f>
        <v/>
      </c>
      <c r="AO8" s="3907">
        <f>'Control | Periods'!A43</f>
        <v/>
      </c>
      <c r="AP8" s="3907">
        <f>'Control | Periods'!A44</f>
        <v/>
      </c>
      <c r="AQ8" s="3908" t="inlineStr">
        <is>
          <t>FY-2</t>
        </is>
      </c>
      <c r="AR8" s="3908" t="inlineStr">
        <is>
          <t>FY-1</t>
        </is>
      </c>
      <c r="AS8" s="3908" t="inlineStr">
        <is>
          <t>TTM</t>
        </is>
      </c>
    </row>
    <row r="9">
      <c r="A9" s="3905" t="n"/>
      <c r="B9" s="3905" t="n"/>
      <c r="C9" s="3905" t="n"/>
      <c r="D9" s="3905" t="n"/>
      <c r="E9" s="3905" t="n"/>
      <c r="F9" s="3905" t="n"/>
      <c r="G9" s="3876" t="n"/>
      <c r="H9" s="3876" t="n"/>
      <c r="I9" s="3876" t="n"/>
      <c r="J9" s="3876" t="n"/>
      <c r="K9" s="3876" t="n"/>
      <c r="L9" s="3876" t="n"/>
      <c r="M9" s="3876" t="n"/>
      <c r="N9" s="3876" t="n"/>
      <c r="O9" s="3876" t="n"/>
      <c r="P9" s="3876" t="n"/>
      <c r="Q9" s="3876" t="n"/>
      <c r="R9" s="3876" t="n"/>
      <c r="S9" s="3876" t="n"/>
      <c r="T9" s="3876" t="n"/>
      <c r="U9" s="3876" t="n"/>
      <c r="V9" s="3876" t="n"/>
      <c r="W9" s="3876" t="n"/>
      <c r="X9" s="3876" t="n"/>
      <c r="Y9" s="3876" t="n"/>
      <c r="Z9" s="3876" t="n"/>
      <c r="AA9" s="3876" t="n"/>
      <c r="AB9" s="3876" t="n"/>
      <c r="AC9" s="3876" t="n"/>
      <c r="AD9" s="3876" t="n"/>
      <c r="AE9" s="3876" t="n"/>
      <c r="AF9" s="3876" t="n"/>
      <c r="AG9" s="3876" t="n"/>
      <c r="AH9" s="3876" t="n"/>
      <c r="AI9" s="3876" t="n"/>
      <c r="AJ9" s="3876" t="n"/>
      <c r="AK9" s="3876" t="n"/>
      <c r="AL9" s="3876" t="n"/>
      <c r="AM9" s="3876" t="n"/>
      <c r="AN9" s="3876" t="n"/>
      <c r="AO9" s="3876" t="n"/>
      <c r="AP9" s="3876" t="n"/>
      <c r="AQ9" s="3876" t="n"/>
      <c r="AR9" s="3876" t="n"/>
      <c r="AS9" s="3876" t="n"/>
    </row>
    <row r="10">
      <c r="A10" s="3905" t="n"/>
      <c r="B10" s="3905" t="n"/>
      <c r="C10" s="3905" t="n"/>
      <c r="D10" s="3905" t="n"/>
      <c r="E10" s="3905" t="n"/>
      <c r="F10" s="3905" t="n"/>
      <c r="G10" s="3876" t="n"/>
      <c r="H10" s="3876" t="n"/>
      <c r="I10" s="3876" t="n"/>
      <c r="J10" s="3876" t="n"/>
      <c r="K10" s="3876" t="n"/>
      <c r="L10" s="3876" t="n"/>
      <c r="M10" s="3876" t="n"/>
      <c r="N10" s="3876" t="n"/>
      <c r="O10" s="3876" t="n"/>
      <c r="P10" s="3876" t="n"/>
      <c r="Q10" s="3876" t="n"/>
      <c r="R10" s="3876" t="n"/>
      <c r="S10" s="3876" t="n"/>
      <c r="T10" s="3876" t="n"/>
      <c r="U10" s="3876" t="n"/>
      <c r="V10" s="3876" t="n"/>
      <c r="W10" s="3876" t="n"/>
      <c r="X10" s="3876" t="n"/>
      <c r="Y10" s="3876" t="n"/>
      <c r="Z10" s="3876" t="n"/>
      <c r="AA10" s="3876" t="n"/>
      <c r="AB10" s="3876" t="n"/>
      <c r="AC10" s="3876" t="n"/>
      <c r="AD10" s="3876" t="n"/>
      <c r="AE10" s="3876" t="n"/>
      <c r="AF10" s="3876" t="n"/>
      <c r="AG10" s="3876" t="n"/>
      <c r="AH10" s="3876" t="n"/>
      <c r="AI10" s="3876" t="n"/>
      <c r="AJ10" s="3876" t="n"/>
      <c r="AK10" s="3876" t="n"/>
      <c r="AL10" s="3876" t="n"/>
      <c r="AM10" s="3876" t="n"/>
      <c r="AN10" s="3876" t="n"/>
      <c r="AO10" s="3876" t="n"/>
      <c r="AP10" s="3876" t="n"/>
      <c r="AQ10" s="3876" t="n"/>
      <c r="AR10" s="3876" t="n"/>
      <c r="AS10" s="3876" t="n"/>
    </row>
    <row r="11">
      <c r="A11" s="3905" t="n"/>
      <c r="B11" s="3905" t="n"/>
      <c r="C11" s="3905" t="n"/>
      <c r="D11" s="3905" t="n"/>
      <c r="E11" s="3905" t="n"/>
      <c r="F11" s="3905" t="n"/>
      <c r="G11" s="3876" t="n"/>
      <c r="H11" s="3876" t="n"/>
      <c r="I11" s="3876" t="n"/>
      <c r="J11" s="3876" t="n"/>
      <c r="K11" s="3876" t="n"/>
      <c r="L11" s="3876" t="n"/>
      <c r="M11" s="3876" t="n"/>
      <c r="N11" s="3876" t="n"/>
      <c r="O11" s="3876" t="n"/>
      <c r="P11" s="3876" t="n"/>
      <c r="Q11" s="3876" t="n"/>
      <c r="R11" s="3876" t="n"/>
      <c r="S11" s="3876" t="n"/>
      <c r="T11" s="3876" t="n"/>
      <c r="U11" s="3876" t="n"/>
      <c r="V11" s="3876" t="n"/>
      <c r="W11" s="3876" t="n"/>
      <c r="X11" s="3876" t="n"/>
      <c r="Y11" s="3876" t="n"/>
      <c r="Z11" s="3876" t="n"/>
      <c r="AA11" s="3876" t="n"/>
      <c r="AB11" s="3876" t="n"/>
      <c r="AC11" s="3876" t="n"/>
      <c r="AD11" s="3876" t="n"/>
      <c r="AE11" s="3876" t="n"/>
      <c r="AF11" s="3876" t="n"/>
      <c r="AG11" s="3876" t="n"/>
      <c r="AH11" s="3876" t="n"/>
      <c r="AI11" s="3876" t="n"/>
      <c r="AJ11" s="3876" t="n"/>
      <c r="AK11" s="3876" t="n"/>
      <c r="AL11" s="3876" t="n"/>
      <c r="AM11" s="3876" t="n"/>
      <c r="AN11" s="3876" t="n"/>
      <c r="AO11" s="3876" t="n"/>
      <c r="AP11" s="3876" t="n"/>
      <c r="AQ11" s="3876" t="n"/>
      <c r="AR11" s="3876" t="n"/>
      <c r="AS11" s="3876" t="n"/>
    </row>
    <row r="12">
      <c r="A12" s="3905" t="n"/>
      <c r="B12" s="3905" t="n"/>
      <c r="C12" s="3905" t="n"/>
      <c r="D12" s="3905" t="n"/>
      <c r="E12" s="3905" t="n"/>
      <c r="F12" s="3905" t="n"/>
      <c r="G12" s="3876" t="n"/>
      <c r="H12" s="3876" t="n"/>
      <c r="I12" s="3876" t="n"/>
      <c r="J12" s="3876" t="n"/>
      <c r="K12" s="3876" t="n"/>
      <c r="L12" s="3876" t="n"/>
      <c r="M12" s="3876" t="n"/>
      <c r="N12" s="3876" t="n"/>
      <c r="O12" s="3876" t="n"/>
      <c r="P12" s="3876" t="n"/>
      <c r="Q12" s="3876" t="n"/>
      <c r="R12" s="3876" t="n"/>
      <c r="S12" s="3876" t="n"/>
      <c r="T12" s="3876" t="n"/>
      <c r="U12" s="3876" t="n"/>
      <c r="V12" s="3876" t="n"/>
      <c r="W12" s="3876" t="n"/>
      <c r="X12" s="3876" t="n"/>
      <c r="Y12" s="3876" t="n"/>
      <c r="Z12" s="3876" t="n"/>
      <c r="AA12" s="3876" t="n"/>
      <c r="AB12" s="3876" t="n"/>
      <c r="AC12" s="3876" t="n"/>
      <c r="AD12" s="3876" t="n"/>
      <c r="AE12" s="3876" t="n"/>
      <c r="AF12" s="3876" t="n"/>
      <c r="AG12" s="3876" t="n"/>
      <c r="AH12" s="3876" t="n"/>
      <c r="AI12" s="3876" t="n"/>
      <c r="AJ12" s="3876" t="n"/>
      <c r="AK12" s="3876" t="n"/>
      <c r="AL12" s="3876" t="n"/>
      <c r="AM12" s="3876" t="n"/>
      <c r="AN12" s="3876" t="n"/>
      <c r="AO12" s="3876" t="n"/>
      <c r="AP12" s="3876" t="n"/>
      <c r="AQ12" s="3876" t="n"/>
      <c r="AR12" s="3876" t="n"/>
      <c r="AS12" s="3876" t="n"/>
    </row>
    <row r="13">
      <c r="A13" s="3905" t="n"/>
      <c r="B13" s="3905" t="n"/>
      <c r="C13" s="3905" t="n"/>
      <c r="D13" s="3905" t="n"/>
      <c r="E13" s="3905" t="n"/>
      <c r="F13" s="3905" t="n"/>
      <c r="G13" s="3876" t="n"/>
      <c r="H13" s="3876" t="n"/>
      <c r="I13" s="3876" t="n"/>
      <c r="J13" s="3876" t="n"/>
      <c r="K13" s="3876" t="n"/>
      <c r="L13" s="3876" t="n"/>
      <c r="M13" s="3876" t="n"/>
      <c r="N13" s="3876" t="n"/>
      <c r="O13" s="3876" t="n"/>
      <c r="P13" s="3876" t="n"/>
      <c r="Q13" s="3876" t="n"/>
      <c r="R13" s="3876" t="n"/>
      <c r="S13" s="3876" t="n"/>
      <c r="T13" s="3876" t="n"/>
      <c r="U13" s="3876" t="n"/>
      <c r="V13" s="3876" t="n"/>
      <c r="W13" s="3876" t="n"/>
      <c r="X13" s="3876" t="n"/>
      <c r="Y13" s="3876" t="n"/>
      <c r="Z13" s="3876" t="n"/>
      <c r="AA13" s="3876" t="n"/>
      <c r="AB13" s="3876" t="n"/>
      <c r="AC13" s="3876" t="n"/>
      <c r="AD13" s="3876" t="n"/>
      <c r="AE13" s="3876" t="n"/>
      <c r="AF13" s="3876" t="n"/>
      <c r="AG13" s="3876" t="n"/>
      <c r="AH13" s="3876" t="n"/>
      <c r="AI13" s="3876" t="n"/>
      <c r="AJ13" s="3876" t="n"/>
      <c r="AK13" s="3876" t="n"/>
      <c r="AL13" s="3876" t="n"/>
      <c r="AM13" s="3876" t="n"/>
      <c r="AN13" s="3876" t="n"/>
      <c r="AO13" s="3876" t="n"/>
      <c r="AP13" s="3876" t="n"/>
      <c r="AQ13" s="3876" t="n"/>
      <c r="AR13" s="3876" t="n"/>
      <c r="AS13" s="3876" t="n"/>
    </row>
    <row r="14">
      <c r="A14" s="3905" t="n"/>
      <c r="B14" s="3905" t="n"/>
      <c r="C14" s="3905" t="n"/>
      <c r="D14" s="3905" t="n"/>
      <c r="E14" s="3905" t="n"/>
      <c r="F14" s="3905" t="n"/>
      <c r="G14" s="3876" t="n"/>
      <c r="H14" s="3876" t="n"/>
      <c r="I14" s="3876" t="n"/>
      <c r="J14" s="3876" t="n"/>
      <c r="K14" s="3876" t="n"/>
      <c r="L14" s="3876" t="n"/>
      <c r="M14" s="3876" t="n"/>
      <c r="N14" s="3876" t="n"/>
      <c r="O14" s="3876" t="n"/>
      <c r="P14" s="3876" t="n"/>
      <c r="Q14" s="3876" t="n"/>
      <c r="R14" s="3876" t="n"/>
      <c r="S14" s="3876" t="n"/>
      <c r="T14" s="3876" t="n"/>
      <c r="U14" s="3876" t="n"/>
      <c r="V14" s="3876" t="n"/>
      <c r="W14" s="3876" t="n"/>
      <c r="X14" s="3876" t="n"/>
      <c r="Y14" s="3876" t="n"/>
      <c r="Z14" s="3876" t="n"/>
      <c r="AA14" s="3876" t="n"/>
      <c r="AB14" s="3876" t="n"/>
      <c r="AC14" s="3876" t="n"/>
      <c r="AD14" s="3876" t="n"/>
      <c r="AE14" s="3876" t="n"/>
      <c r="AF14" s="3876" t="n"/>
      <c r="AG14" s="3876" t="n"/>
      <c r="AH14" s="3876" t="n"/>
      <c r="AI14" s="3876" t="n"/>
      <c r="AJ14" s="3876" t="n"/>
      <c r="AK14" s="3876" t="n"/>
      <c r="AL14" s="3876" t="n"/>
      <c r="AM14" s="3876" t="n"/>
      <c r="AN14" s="3876" t="n"/>
      <c r="AO14" s="3876" t="n"/>
      <c r="AP14" s="3876" t="n"/>
      <c r="AQ14" s="3876" t="n"/>
      <c r="AR14" s="3876" t="n"/>
      <c r="AS14" s="3876" t="n"/>
    </row>
    <row r="15">
      <c r="A15" s="3905" t="n"/>
      <c r="B15" s="3905" t="n"/>
      <c r="C15" s="3905" t="n"/>
      <c r="D15" s="3905" t="n"/>
      <c r="E15" s="3905" t="n"/>
      <c r="F15" s="3905" t="n"/>
      <c r="G15" s="3876" t="n"/>
      <c r="H15" s="3876" t="n"/>
      <c r="I15" s="3876" t="n"/>
      <c r="J15" s="3876" t="n"/>
      <c r="K15" s="3876" t="n"/>
      <c r="L15" s="3876" t="n"/>
      <c r="M15" s="3876" t="n"/>
      <c r="N15" s="3876" t="n"/>
      <c r="O15" s="3876" t="n"/>
      <c r="P15" s="3876" t="n"/>
      <c r="Q15" s="3876" t="n"/>
      <c r="R15" s="3876" t="n"/>
      <c r="S15" s="3876" t="n"/>
      <c r="T15" s="3876" t="n"/>
      <c r="U15" s="3876" t="n"/>
      <c r="V15" s="3876" t="n"/>
      <c r="W15" s="3876" t="n"/>
      <c r="X15" s="3876" t="n"/>
      <c r="Y15" s="3876" t="n"/>
      <c r="Z15" s="3876" t="n"/>
      <c r="AA15" s="3876" t="n"/>
      <c r="AB15" s="3876" t="n"/>
      <c r="AC15" s="3876" t="n"/>
      <c r="AD15" s="3876" t="n"/>
      <c r="AE15" s="3876" t="n"/>
      <c r="AF15" s="3876" t="n"/>
      <c r="AG15" s="3876" t="n"/>
      <c r="AH15" s="3876" t="n"/>
      <c r="AI15" s="3876" t="n"/>
      <c r="AJ15" s="3876" t="n"/>
      <c r="AK15" s="3876" t="n"/>
      <c r="AL15" s="3876" t="n"/>
      <c r="AM15" s="3876" t="n"/>
      <c r="AN15" s="3876" t="n"/>
      <c r="AO15" s="3876" t="n"/>
      <c r="AP15" s="3876" t="n"/>
      <c r="AQ15" s="3876" t="n"/>
      <c r="AR15" s="3876" t="n"/>
      <c r="AS15" s="3876" t="n"/>
    </row>
    <row r="16">
      <c r="A16" s="3905" t="n"/>
      <c r="B16" s="3905" t="n"/>
      <c r="C16" s="3905" t="n"/>
      <c r="D16" s="3905" t="n"/>
      <c r="E16" s="3905" t="n"/>
      <c r="F16" s="3905" t="n"/>
      <c r="G16" s="3876" t="n"/>
      <c r="H16" s="3876" t="n"/>
      <c r="I16" s="3876" t="n"/>
      <c r="J16" s="3876" t="n"/>
      <c r="K16" s="3876" t="n"/>
      <c r="L16" s="3876" t="n"/>
      <c r="M16" s="3876" t="n"/>
      <c r="N16" s="3876" t="n"/>
      <c r="O16" s="3876" t="n"/>
      <c r="P16" s="3876" t="n"/>
      <c r="Q16" s="3876" t="n"/>
      <c r="R16" s="3876" t="n"/>
      <c r="S16" s="3876" t="n"/>
      <c r="T16" s="3876" t="n"/>
      <c r="U16" s="3876" t="n"/>
      <c r="V16" s="3876" t="n"/>
      <c r="W16" s="3876" t="n"/>
      <c r="X16" s="3876" t="n"/>
      <c r="Y16" s="3876" t="n"/>
      <c r="Z16" s="3876" t="n"/>
      <c r="AA16" s="3876" t="n"/>
      <c r="AB16" s="3876" t="n"/>
      <c r="AC16" s="3876" t="n"/>
      <c r="AD16" s="3876" t="n"/>
      <c r="AE16" s="3876" t="n"/>
      <c r="AF16" s="3876" t="n"/>
      <c r="AG16" s="3876" t="n"/>
      <c r="AH16" s="3876" t="n"/>
      <c r="AI16" s="3876" t="n"/>
      <c r="AJ16" s="3876" t="n"/>
      <c r="AK16" s="3876" t="n"/>
      <c r="AL16" s="3876" t="n"/>
      <c r="AM16" s="3876" t="n"/>
      <c r="AN16" s="3876" t="n"/>
      <c r="AO16" s="3876" t="n"/>
      <c r="AP16" s="3876" t="n"/>
      <c r="AQ16" s="3876" t="n"/>
      <c r="AR16" s="3876" t="n"/>
      <c r="AS16" s="3876" t="n"/>
    </row>
    <row r="17">
      <c r="A17" s="3905" t="n"/>
      <c r="B17" s="3905" t="n"/>
      <c r="C17" s="3905" t="n"/>
      <c r="D17" s="3905" t="n"/>
      <c r="E17" s="3905" t="n"/>
      <c r="F17" s="3905" t="n"/>
      <c r="G17" s="3876" t="n"/>
      <c r="H17" s="3876" t="n"/>
      <c r="I17" s="3876" t="n"/>
      <c r="J17" s="3876" t="n"/>
      <c r="K17" s="3876" t="n"/>
      <c r="L17" s="3876" t="n"/>
      <c r="M17" s="3876" t="n"/>
      <c r="N17" s="3876" t="n"/>
      <c r="O17" s="3876" t="n"/>
      <c r="P17" s="3876" t="n"/>
      <c r="Q17" s="3876" t="n"/>
      <c r="R17" s="3876" t="n"/>
      <c r="S17" s="3876" t="n"/>
      <c r="T17" s="3876" t="n"/>
      <c r="U17" s="3876" t="n"/>
      <c r="V17" s="3876" t="n"/>
      <c r="W17" s="3876" t="n"/>
      <c r="X17" s="3876" t="n"/>
      <c r="Y17" s="3876" t="n"/>
      <c r="Z17" s="3876" t="n"/>
      <c r="AA17" s="3876" t="n"/>
      <c r="AB17" s="3876" t="n"/>
      <c r="AC17" s="3876" t="n"/>
      <c r="AD17" s="3876" t="n"/>
      <c r="AE17" s="3876" t="n"/>
      <c r="AF17" s="3876" t="n"/>
      <c r="AG17" s="3876" t="n"/>
      <c r="AH17" s="3876" t="n"/>
      <c r="AI17" s="3876" t="n"/>
      <c r="AJ17" s="3876" t="n"/>
      <c r="AK17" s="3876" t="n"/>
      <c r="AL17" s="3876" t="n"/>
      <c r="AM17" s="3876" t="n"/>
      <c r="AN17" s="3876" t="n"/>
      <c r="AO17" s="3876" t="n"/>
      <c r="AP17" s="3876" t="n"/>
      <c r="AQ17" s="3876" t="n"/>
      <c r="AR17" s="3876" t="n"/>
      <c r="AS17" s="3876" t="n"/>
    </row>
    <row r="18">
      <c r="A18" s="3905" t="n"/>
      <c r="B18" s="3905" t="n"/>
      <c r="C18" s="3905" t="n"/>
      <c r="D18" s="3905" t="n"/>
      <c r="E18" s="3905" t="n"/>
      <c r="F18" s="3905" t="n"/>
      <c r="G18" s="3876" t="n"/>
      <c r="H18" s="3876" t="n"/>
      <c r="I18" s="3876" t="n"/>
      <c r="J18" s="3876" t="n"/>
      <c r="K18" s="3876" t="n"/>
      <c r="L18" s="3876" t="n"/>
      <c r="M18" s="3876" t="n"/>
      <c r="N18" s="3876" t="n"/>
      <c r="O18" s="3876" t="n"/>
      <c r="P18" s="3876" t="n"/>
      <c r="Q18" s="3876" t="n"/>
      <c r="R18" s="3876" t="n"/>
      <c r="S18" s="3876" t="n"/>
      <c r="T18" s="3876" t="n"/>
      <c r="U18" s="3876" t="n"/>
      <c r="V18" s="3876" t="n"/>
      <c r="W18" s="3876" t="n"/>
      <c r="X18" s="3876" t="n"/>
      <c r="Y18" s="3876" t="n"/>
      <c r="Z18" s="3876" t="n"/>
      <c r="AA18" s="3876" t="n"/>
      <c r="AB18" s="3876" t="n"/>
      <c r="AC18" s="3876" t="n"/>
      <c r="AD18" s="3876" t="n"/>
      <c r="AE18" s="3876" t="n"/>
      <c r="AF18" s="3876" t="n"/>
      <c r="AG18" s="3876" t="n"/>
      <c r="AH18" s="3876" t="n"/>
      <c r="AI18" s="3876" t="n"/>
      <c r="AJ18" s="3876" t="n"/>
      <c r="AK18" s="3876" t="n"/>
      <c r="AL18" s="3876" t="n"/>
      <c r="AM18" s="3876" t="n"/>
      <c r="AN18" s="3876" t="n"/>
      <c r="AO18" s="3876" t="n"/>
      <c r="AP18" s="3876" t="n"/>
      <c r="AQ18" s="3876" t="n"/>
      <c r="AR18" s="3876" t="n"/>
      <c r="AS18" s="3876" t="n"/>
    </row>
    <row r="19">
      <c r="A19" s="3905" t="n"/>
      <c r="B19" s="3905" t="n"/>
      <c r="C19" s="3905" t="n"/>
      <c r="D19" s="3905" t="n"/>
      <c r="E19" s="3905" t="n"/>
      <c r="F19" s="3905" t="n"/>
      <c r="G19" s="3876" t="n"/>
      <c r="H19" s="3876" t="n"/>
      <c r="I19" s="3876" t="n"/>
      <c r="J19" s="3876" t="n"/>
      <c r="K19" s="3876" t="n"/>
      <c r="L19" s="3876" t="n"/>
      <c r="M19" s="3876" t="n"/>
      <c r="N19" s="3876" t="n"/>
      <c r="O19" s="3876" t="n"/>
      <c r="P19" s="3876" t="n"/>
      <c r="Q19" s="3876" t="n"/>
      <c r="R19" s="3876" t="n"/>
      <c r="S19" s="3876" t="n"/>
      <c r="T19" s="3876" t="n"/>
      <c r="U19" s="3876" t="n"/>
      <c r="V19" s="3876" t="n"/>
      <c r="W19" s="3876" t="n"/>
      <c r="X19" s="3876" t="n"/>
      <c r="Y19" s="3876" t="n"/>
      <c r="Z19" s="3876" t="n"/>
      <c r="AA19" s="3876" t="n"/>
      <c r="AB19" s="3876" t="n"/>
      <c r="AC19" s="3876" t="n"/>
      <c r="AD19" s="3876" t="n"/>
      <c r="AE19" s="3876" t="n"/>
      <c r="AF19" s="3876" t="n"/>
      <c r="AG19" s="3876" t="n"/>
      <c r="AH19" s="3876" t="n"/>
      <c r="AI19" s="3876" t="n"/>
      <c r="AJ19" s="3876" t="n"/>
      <c r="AK19" s="3876" t="n"/>
      <c r="AL19" s="3876" t="n"/>
      <c r="AM19" s="3876" t="n"/>
      <c r="AN19" s="3876" t="n"/>
      <c r="AO19" s="3876" t="n"/>
      <c r="AP19" s="3876" t="n"/>
      <c r="AQ19" s="3876" t="n"/>
      <c r="AR19" s="3876" t="n"/>
      <c r="AS19" s="3876" t="n"/>
    </row>
    <row r="20">
      <c r="A20" s="3905" t="n"/>
      <c r="B20" s="3905" t="n"/>
      <c r="C20" s="3905" t="n"/>
      <c r="D20" s="3905" t="n"/>
      <c r="E20" s="3905" t="n"/>
      <c r="F20" s="3905" t="n"/>
      <c r="G20" s="3876" t="n"/>
      <c r="H20" s="3876" t="n"/>
      <c r="I20" s="3876" t="n"/>
      <c r="J20" s="3876" t="n"/>
      <c r="K20" s="3876" t="n"/>
      <c r="L20" s="3876" t="n"/>
      <c r="M20" s="3876" t="n"/>
      <c r="N20" s="3876" t="n"/>
      <c r="O20" s="3876" t="n"/>
      <c r="P20" s="3876" t="n"/>
      <c r="Q20" s="3876" t="n"/>
      <c r="R20" s="3876" t="n"/>
      <c r="S20" s="3876" t="n"/>
      <c r="T20" s="3876" t="n"/>
      <c r="U20" s="3876" t="n"/>
      <c r="V20" s="3876" t="n"/>
      <c r="W20" s="3876" t="n"/>
      <c r="X20" s="3876" t="n"/>
      <c r="Y20" s="3876" t="n"/>
      <c r="Z20" s="3876" t="n"/>
      <c r="AA20" s="3876" t="n"/>
      <c r="AB20" s="3876" t="n"/>
      <c r="AC20" s="3876" t="n"/>
      <c r="AD20" s="3876" t="n"/>
      <c r="AE20" s="3876" t="n"/>
      <c r="AF20" s="3876" t="n"/>
      <c r="AG20" s="3876" t="n"/>
      <c r="AH20" s="3876" t="n"/>
      <c r="AI20" s="3876" t="n"/>
      <c r="AJ20" s="3876" t="n"/>
      <c r="AK20" s="3876" t="n"/>
      <c r="AL20" s="3876" t="n"/>
      <c r="AM20" s="3876" t="n"/>
      <c r="AN20" s="3876" t="n"/>
      <c r="AO20" s="3876" t="n"/>
      <c r="AP20" s="3876" t="n"/>
      <c r="AQ20" s="3876" t="n"/>
      <c r="AR20" s="3876" t="n"/>
      <c r="AS20" s="3876" t="n"/>
    </row>
    <row r="21">
      <c r="A21" s="3905" t="n"/>
      <c r="B21" s="3905" t="n"/>
      <c r="C21" s="3905" t="n"/>
      <c r="D21" s="3905" t="n"/>
      <c r="E21" s="3905" t="n"/>
      <c r="F21" s="3905" t="n"/>
      <c r="G21" s="3876" t="n"/>
      <c r="H21" s="3876" t="n"/>
      <c r="I21" s="3876" t="n"/>
      <c r="J21" s="3876" t="n"/>
      <c r="K21" s="3876" t="n"/>
      <c r="L21" s="3876" t="n"/>
      <c r="M21" s="3876" t="n"/>
      <c r="N21" s="3876" t="n"/>
      <c r="O21" s="3876" t="n"/>
      <c r="P21" s="3876" t="n"/>
      <c r="Q21" s="3876" t="n"/>
      <c r="R21" s="3876" t="n"/>
      <c r="S21" s="3876" t="n"/>
      <c r="T21" s="3876" t="n"/>
      <c r="U21" s="3876" t="n"/>
      <c r="V21" s="3876" t="n"/>
      <c r="W21" s="3876" t="n"/>
      <c r="X21" s="3876" t="n"/>
      <c r="Y21" s="3876" t="n"/>
      <c r="Z21" s="3876" t="n"/>
      <c r="AA21" s="3876" t="n"/>
      <c r="AB21" s="3876" t="n"/>
      <c r="AC21" s="3876" t="n"/>
      <c r="AD21" s="3876" t="n"/>
      <c r="AE21" s="3876" t="n"/>
      <c r="AF21" s="3876" t="n"/>
      <c r="AG21" s="3876" t="n"/>
      <c r="AH21" s="3876" t="n"/>
      <c r="AI21" s="3876" t="n"/>
      <c r="AJ21" s="3876" t="n"/>
      <c r="AK21" s="3876" t="n"/>
      <c r="AL21" s="3876" t="n"/>
      <c r="AM21" s="3876" t="n"/>
      <c r="AN21" s="3876" t="n"/>
      <c r="AO21" s="3876" t="n"/>
      <c r="AP21" s="3876" t="n"/>
      <c r="AQ21" s="3876" t="n"/>
      <c r="AR21" s="3876" t="n"/>
      <c r="AS21" s="3876" t="n"/>
    </row>
    <row r="22">
      <c r="A22" s="3905" t="n"/>
      <c r="B22" s="3905" t="n"/>
      <c r="C22" s="3905" t="n"/>
      <c r="D22" s="3905" t="n"/>
      <c r="E22" s="3905" t="n"/>
      <c r="F22" s="3905" t="n"/>
      <c r="G22" s="3876" t="n"/>
      <c r="H22" s="3876" t="n"/>
      <c r="I22" s="3876" t="n"/>
      <c r="J22" s="3876" t="n"/>
      <c r="K22" s="3876" t="n"/>
      <c r="L22" s="3876" t="n"/>
      <c r="M22" s="3876" t="n"/>
      <c r="N22" s="3876" t="n"/>
      <c r="O22" s="3876" t="n"/>
      <c r="P22" s="3876" t="n"/>
      <c r="Q22" s="3876" t="n"/>
      <c r="R22" s="3876" t="n"/>
      <c r="S22" s="3876" t="n"/>
      <c r="T22" s="3876" t="n"/>
      <c r="U22" s="3876" t="n"/>
      <c r="V22" s="3876" t="n"/>
      <c r="W22" s="3876" t="n"/>
      <c r="X22" s="3876" t="n"/>
      <c r="Y22" s="3876" t="n"/>
      <c r="Z22" s="3876" t="n"/>
      <c r="AA22" s="3876" t="n"/>
      <c r="AB22" s="3876" t="n"/>
      <c r="AC22" s="3876" t="n"/>
      <c r="AD22" s="3876" t="n"/>
      <c r="AE22" s="3876" t="n"/>
      <c r="AF22" s="3876" t="n"/>
      <c r="AG22" s="3876" t="n"/>
      <c r="AH22" s="3876" t="n"/>
      <c r="AI22" s="3876" t="n"/>
      <c r="AJ22" s="3876" t="n"/>
      <c r="AK22" s="3876" t="n"/>
      <c r="AL22" s="3876" t="n"/>
      <c r="AM22" s="3876" t="n"/>
      <c r="AN22" s="3876" t="n"/>
      <c r="AO22" s="3876" t="n"/>
      <c r="AP22" s="3876" t="n"/>
      <c r="AQ22" s="3876" t="n"/>
      <c r="AR22" s="3876" t="n"/>
      <c r="AS22" s="3876" t="n"/>
    </row>
    <row r="23">
      <c r="A23" s="3905" t="n"/>
      <c r="B23" s="3905" t="n"/>
      <c r="C23" s="3905" t="n"/>
      <c r="D23" s="3905" t="n"/>
      <c r="E23" s="3905" t="n"/>
      <c r="F23" s="3905" t="n"/>
      <c r="G23" s="3876" t="n"/>
      <c r="H23" s="3876" t="n"/>
      <c r="I23" s="3876" t="n"/>
      <c r="J23" s="3876" t="n"/>
      <c r="K23" s="3876" t="n"/>
      <c r="L23" s="3876" t="n"/>
      <c r="M23" s="3876" t="n"/>
      <c r="N23" s="3876" t="n"/>
      <c r="O23" s="3876" t="n"/>
      <c r="P23" s="3876" t="n"/>
      <c r="Q23" s="3876" t="n"/>
      <c r="R23" s="3876" t="n"/>
      <c r="S23" s="3876" t="n"/>
      <c r="T23" s="3876" t="n"/>
      <c r="U23" s="3876" t="n"/>
      <c r="V23" s="3876" t="n"/>
      <c r="W23" s="3876" t="n"/>
      <c r="X23" s="3876" t="n"/>
      <c r="Y23" s="3876" t="n"/>
      <c r="Z23" s="3876" t="n"/>
      <c r="AA23" s="3876" t="n"/>
      <c r="AB23" s="3876" t="n"/>
      <c r="AC23" s="3876" t="n"/>
      <c r="AD23" s="3876" t="n"/>
      <c r="AE23" s="3876" t="n"/>
      <c r="AF23" s="3876" t="n"/>
      <c r="AG23" s="3876" t="n"/>
      <c r="AH23" s="3876" t="n"/>
      <c r="AI23" s="3876" t="n"/>
      <c r="AJ23" s="3876" t="n"/>
      <c r="AK23" s="3876" t="n"/>
      <c r="AL23" s="3876" t="n"/>
      <c r="AM23" s="3876" t="n"/>
      <c r="AN23" s="3876" t="n"/>
      <c r="AO23" s="3876" t="n"/>
      <c r="AP23" s="3876" t="n"/>
      <c r="AQ23" s="3876" t="n"/>
      <c r="AR23" s="3876" t="n"/>
      <c r="AS23" s="3876" t="n"/>
    </row>
    <row r="24">
      <c r="A24" s="3905" t="n"/>
      <c r="B24" s="3905" t="n"/>
      <c r="C24" s="3905" t="n"/>
      <c r="D24" s="3905" t="n"/>
      <c r="E24" s="3905" t="n"/>
      <c r="F24" s="3905" t="n"/>
      <c r="G24" s="3876" t="n"/>
      <c r="H24" s="3876" t="n"/>
      <c r="I24" s="3876" t="n"/>
      <c r="J24" s="3876" t="n"/>
      <c r="K24" s="3876" t="n"/>
      <c r="L24" s="3876" t="n"/>
      <c r="M24" s="3876" t="n"/>
      <c r="N24" s="3876" t="n"/>
      <c r="O24" s="3876" t="n"/>
      <c r="P24" s="3876" t="n"/>
      <c r="Q24" s="3876" t="n"/>
      <c r="R24" s="3876" t="n"/>
      <c r="S24" s="3876" t="n"/>
      <c r="T24" s="3876" t="n"/>
      <c r="U24" s="3876" t="n"/>
      <c r="V24" s="3876" t="n"/>
      <c r="W24" s="3876" t="n"/>
      <c r="X24" s="3876" t="n"/>
      <c r="Y24" s="3876" t="n"/>
      <c r="Z24" s="3876" t="n"/>
      <c r="AA24" s="3876" t="n"/>
      <c r="AB24" s="3876" t="n"/>
      <c r="AC24" s="3876" t="n"/>
      <c r="AD24" s="3876" t="n"/>
      <c r="AE24" s="3876" t="n"/>
      <c r="AF24" s="3876" t="n"/>
      <c r="AG24" s="3876" t="n"/>
      <c r="AH24" s="3876" t="n"/>
      <c r="AI24" s="3876" t="n"/>
      <c r="AJ24" s="3876" t="n"/>
      <c r="AK24" s="3876" t="n"/>
      <c r="AL24" s="3876" t="n"/>
      <c r="AM24" s="3876" t="n"/>
      <c r="AN24" s="3876" t="n"/>
      <c r="AO24" s="3876" t="n"/>
      <c r="AP24" s="3876" t="n"/>
      <c r="AQ24" s="3876" t="n"/>
      <c r="AR24" s="3876" t="n"/>
      <c r="AS24" s="3876" t="n"/>
    </row>
    <row r="25">
      <c r="A25" s="3905" t="n"/>
      <c r="B25" s="3905" t="n"/>
      <c r="C25" s="3905" t="n"/>
      <c r="D25" s="3905" t="n"/>
      <c r="E25" s="3905" t="n"/>
      <c r="F25" s="3905" t="n"/>
      <c r="G25" s="3876" t="n"/>
      <c r="H25" s="3876" t="n"/>
      <c r="I25" s="3876" t="n"/>
      <c r="J25" s="3876" t="n"/>
      <c r="K25" s="3876" t="n"/>
      <c r="L25" s="3876" t="n"/>
      <c r="M25" s="3876" t="n"/>
      <c r="N25" s="3876" t="n"/>
      <c r="O25" s="3876" t="n"/>
      <c r="P25" s="3876" t="n"/>
      <c r="Q25" s="3876" t="n"/>
      <c r="R25" s="3876" t="n"/>
      <c r="S25" s="3876" t="n"/>
      <c r="T25" s="3876" t="n"/>
      <c r="U25" s="3876" t="n"/>
      <c r="V25" s="3876" t="n"/>
      <c r="W25" s="3876" t="n"/>
      <c r="X25" s="3876" t="n"/>
      <c r="Y25" s="3876" t="n"/>
      <c r="Z25" s="3876" t="n"/>
      <c r="AA25" s="3876" t="n"/>
      <c r="AB25" s="3876" t="n"/>
      <c r="AC25" s="3876" t="n"/>
      <c r="AD25" s="3876" t="n"/>
      <c r="AE25" s="3876" t="n"/>
      <c r="AF25" s="3876" t="n"/>
      <c r="AG25" s="3876" t="n"/>
      <c r="AH25" s="3876" t="n"/>
      <c r="AI25" s="3876" t="n"/>
      <c r="AJ25" s="3876" t="n"/>
      <c r="AK25" s="3876" t="n"/>
      <c r="AL25" s="3876" t="n"/>
      <c r="AM25" s="3876" t="n"/>
      <c r="AN25" s="3876" t="n"/>
      <c r="AO25" s="3876" t="n"/>
      <c r="AP25" s="3876" t="n"/>
      <c r="AQ25" s="3876" t="n"/>
      <c r="AR25" s="3876" t="n"/>
      <c r="AS25" s="3876" t="n"/>
    </row>
    <row r="26">
      <c r="A26" s="3905" t="n"/>
      <c r="B26" s="3905" t="n"/>
      <c r="C26" s="3905" t="n"/>
      <c r="D26" s="3905" t="n"/>
      <c r="E26" s="3905" t="n"/>
      <c r="F26" s="3905" t="n"/>
      <c r="G26" s="3876" t="n"/>
      <c r="H26" s="3876" t="n"/>
      <c r="I26" s="3876" t="n"/>
      <c r="J26" s="3876" t="n"/>
      <c r="K26" s="3876" t="n"/>
      <c r="L26" s="3876" t="n"/>
      <c r="M26" s="3876" t="n"/>
      <c r="N26" s="3876" t="n"/>
      <c r="O26" s="3876" t="n"/>
      <c r="P26" s="3876" t="n"/>
      <c r="Q26" s="3876" t="n"/>
      <c r="R26" s="3876" t="n"/>
      <c r="S26" s="3876" t="n"/>
      <c r="T26" s="3876" t="n"/>
      <c r="U26" s="3876" t="n"/>
      <c r="V26" s="3876" t="n"/>
      <c r="W26" s="3876" t="n"/>
      <c r="X26" s="3876" t="n"/>
      <c r="Y26" s="3876" t="n"/>
      <c r="Z26" s="3876" t="n"/>
      <c r="AA26" s="3876" t="n"/>
      <c r="AB26" s="3876" t="n"/>
      <c r="AC26" s="3876" t="n"/>
      <c r="AD26" s="3876" t="n"/>
      <c r="AE26" s="3876" t="n"/>
      <c r="AF26" s="3876" t="n"/>
      <c r="AG26" s="3876" t="n"/>
      <c r="AH26" s="3876" t="n"/>
      <c r="AI26" s="3876" t="n"/>
      <c r="AJ26" s="3876" t="n"/>
      <c r="AK26" s="3876" t="n"/>
      <c r="AL26" s="3876" t="n"/>
      <c r="AM26" s="3876" t="n"/>
      <c r="AN26" s="3876" t="n"/>
      <c r="AO26" s="3876" t="n"/>
      <c r="AP26" s="3876" t="n"/>
      <c r="AQ26" s="3876" t="n"/>
      <c r="AR26" s="3876" t="n"/>
      <c r="AS26" s="3876" t="n"/>
    </row>
    <row r="27">
      <c r="A27" s="3905" t="n"/>
      <c r="B27" s="3905" t="n"/>
      <c r="C27" s="3905" t="n"/>
      <c r="D27" s="3905" t="n"/>
      <c r="E27" s="3905" t="n"/>
      <c r="F27" s="3905" t="n"/>
      <c r="G27" s="3876" t="n"/>
      <c r="H27" s="3876" t="n"/>
      <c r="I27" s="3876" t="n"/>
      <c r="J27" s="3876" t="n"/>
      <c r="K27" s="3876" t="n"/>
      <c r="L27" s="3876" t="n"/>
      <c r="M27" s="3876" t="n"/>
      <c r="N27" s="3876" t="n"/>
      <c r="O27" s="3876" t="n"/>
      <c r="P27" s="3876" t="n"/>
      <c r="Q27" s="3876" t="n"/>
      <c r="R27" s="3876" t="n"/>
      <c r="S27" s="3876" t="n"/>
      <c r="T27" s="3876" t="n"/>
      <c r="U27" s="3876" t="n"/>
      <c r="V27" s="3876" t="n"/>
      <c r="W27" s="3876" t="n"/>
      <c r="X27" s="3876" t="n"/>
      <c r="Y27" s="3876" t="n"/>
      <c r="Z27" s="3876" t="n"/>
      <c r="AA27" s="3876" t="n"/>
      <c r="AB27" s="3876" t="n"/>
      <c r="AC27" s="3876" t="n"/>
      <c r="AD27" s="3876" t="n"/>
      <c r="AE27" s="3876" t="n"/>
      <c r="AF27" s="3876" t="n"/>
      <c r="AG27" s="3876" t="n"/>
      <c r="AH27" s="3876" t="n"/>
      <c r="AI27" s="3876" t="n"/>
      <c r="AJ27" s="3876" t="n"/>
      <c r="AK27" s="3876" t="n"/>
      <c r="AL27" s="3876" t="n"/>
      <c r="AM27" s="3876" t="n"/>
      <c r="AN27" s="3876" t="n"/>
      <c r="AO27" s="3876" t="n"/>
      <c r="AP27" s="3876" t="n"/>
      <c r="AQ27" s="3876" t="n"/>
      <c r="AR27" s="3876" t="n"/>
      <c r="AS27" s="3876" t="n"/>
    </row>
    <row r="28">
      <c r="A28" s="3905" t="n"/>
      <c r="B28" s="3905" t="n"/>
      <c r="C28" s="3905" t="n"/>
      <c r="D28" s="3905" t="n"/>
      <c r="E28" s="3905" t="n"/>
      <c r="F28" s="3905" t="n"/>
      <c r="G28" s="3876" t="n"/>
      <c r="H28" s="3876" t="n"/>
      <c r="I28" s="3876" t="n"/>
      <c r="J28" s="3876" t="n"/>
      <c r="K28" s="3876" t="n"/>
      <c r="L28" s="3876" t="n"/>
      <c r="M28" s="3876" t="n"/>
      <c r="N28" s="3876" t="n"/>
      <c r="O28" s="3876" t="n"/>
      <c r="P28" s="3876" t="n"/>
      <c r="Q28" s="3876" t="n"/>
      <c r="R28" s="3876" t="n"/>
      <c r="S28" s="3876" t="n"/>
      <c r="T28" s="3876" t="n"/>
      <c r="U28" s="3876" t="n"/>
      <c r="V28" s="3876" t="n"/>
      <c r="W28" s="3876" t="n"/>
      <c r="X28" s="3876" t="n"/>
      <c r="Y28" s="3876" t="n"/>
      <c r="Z28" s="3876" t="n"/>
      <c r="AA28" s="3876" t="n"/>
      <c r="AB28" s="3876" t="n"/>
      <c r="AC28" s="3876" t="n"/>
      <c r="AD28" s="3876" t="n"/>
      <c r="AE28" s="3876" t="n"/>
      <c r="AF28" s="3876" t="n"/>
      <c r="AG28" s="3876" t="n"/>
      <c r="AH28" s="3876" t="n"/>
      <c r="AI28" s="3876" t="n"/>
      <c r="AJ28" s="3876" t="n"/>
      <c r="AK28" s="3876" t="n"/>
      <c r="AL28" s="3876" t="n"/>
      <c r="AM28" s="3876" t="n"/>
      <c r="AN28" s="3876" t="n"/>
      <c r="AO28" s="3876" t="n"/>
      <c r="AP28" s="3876" t="n"/>
      <c r="AQ28" s="3876" t="n"/>
      <c r="AR28" s="3876" t="n"/>
      <c r="AS28" s="3876" t="n"/>
    </row>
    <row r="29">
      <c r="A29" s="3905" t="n"/>
      <c r="B29" s="3905" t="n"/>
      <c r="C29" s="3905" t="n"/>
      <c r="D29" s="3905" t="n"/>
      <c r="E29" s="3905" t="n"/>
      <c r="F29" s="3905" t="n"/>
      <c r="G29" s="3876" t="n"/>
      <c r="H29" s="3876" t="n"/>
      <c r="I29" s="3876" t="n"/>
      <c r="J29" s="3876" t="n"/>
      <c r="K29" s="3876" t="n"/>
      <c r="L29" s="3876" t="n"/>
      <c r="M29" s="3876" t="n"/>
      <c r="N29" s="3876" t="n"/>
      <c r="O29" s="3876" t="n"/>
      <c r="P29" s="3876" t="n"/>
      <c r="Q29" s="3876" t="n"/>
      <c r="R29" s="3876" t="n"/>
      <c r="S29" s="3876" t="n"/>
      <c r="T29" s="3876" t="n"/>
      <c r="U29" s="3876" t="n"/>
      <c r="V29" s="3876" t="n"/>
      <c r="W29" s="3876" t="n"/>
      <c r="X29" s="3876" t="n"/>
      <c r="Y29" s="3876" t="n"/>
      <c r="Z29" s="3876" t="n"/>
      <c r="AA29" s="3876" t="n"/>
      <c r="AB29" s="3876" t="n"/>
      <c r="AC29" s="3876" t="n"/>
      <c r="AD29" s="3876" t="n"/>
      <c r="AE29" s="3876" t="n"/>
      <c r="AF29" s="3876" t="n"/>
      <c r="AG29" s="3876" t="n"/>
      <c r="AH29" s="3876" t="n"/>
      <c r="AI29" s="3876" t="n"/>
      <c r="AJ29" s="3876" t="n"/>
      <c r="AK29" s="3876" t="n"/>
      <c r="AL29" s="3876" t="n"/>
      <c r="AM29" s="3876" t="n"/>
      <c r="AN29" s="3876" t="n"/>
      <c r="AO29" s="3876" t="n"/>
      <c r="AP29" s="3876" t="n"/>
      <c r="AQ29" s="3876" t="n"/>
      <c r="AR29" s="3876" t="n"/>
      <c r="AS29" s="3876" t="n"/>
    </row>
    <row r="30">
      <c r="A30" s="3905" t="n"/>
      <c r="B30" s="3905" t="n"/>
      <c r="C30" s="3905" t="n"/>
      <c r="D30" s="3905" t="n"/>
      <c r="E30" s="3905" t="n"/>
      <c r="F30" s="3905" t="n"/>
      <c r="G30" s="3876" t="n"/>
      <c r="H30" s="3876" t="n"/>
      <c r="I30" s="3876" t="n"/>
      <c r="J30" s="3876" t="n"/>
      <c r="K30" s="3876" t="n"/>
      <c r="L30" s="3876" t="n"/>
      <c r="M30" s="3876" t="n"/>
      <c r="N30" s="3876" t="n"/>
      <c r="O30" s="3876" t="n"/>
      <c r="P30" s="3876" t="n"/>
      <c r="Q30" s="3876" t="n"/>
      <c r="R30" s="3876" t="n"/>
      <c r="S30" s="3876" t="n"/>
      <c r="T30" s="3876" t="n"/>
      <c r="U30" s="3876" t="n"/>
      <c r="V30" s="3876" t="n"/>
      <c r="W30" s="3876" t="n"/>
      <c r="X30" s="3876" t="n"/>
      <c r="Y30" s="3876" t="n"/>
      <c r="Z30" s="3876" t="n"/>
      <c r="AA30" s="3876" t="n"/>
      <c r="AB30" s="3876" t="n"/>
      <c r="AC30" s="3876" t="n"/>
      <c r="AD30" s="3876" t="n"/>
      <c r="AE30" s="3876" t="n"/>
      <c r="AF30" s="3876" t="n"/>
      <c r="AG30" s="3876" t="n"/>
      <c r="AH30" s="3876" t="n"/>
      <c r="AI30" s="3876" t="n"/>
      <c r="AJ30" s="3876" t="n"/>
      <c r="AK30" s="3876" t="n"/>
      <c r="AL30" s="3876" t="n"/>
      <c r="AM30" s="3876" t="n"/>
      <c r="AN30" s="3876" t="n"/>
      <c r="AO30" s="3876" t="n"/>
      <c r="AP30" s="3876" t="n"/>
      <c r="AQ30" s="3876" t="n"/>
      <c r="AR30" s="3876" t="n"/>
      <c r="AS30" s="3876" t="n"/>
    </row>
    <row r="31">
      <c r="A31" s="3905" t="n"/>
      <c r="B31" s="3905" t="n"/>
      <c r="C31" s="3905" t="n"/>
      <c r="D31" s="3905" t="n"/>
      <c r="E31" s="3905" t="n"/>
      <c r="F31" s="3905" t="n"/>
      <c r="G31" s="3876" t="n"/>
      <c r="H31" s="3876" t="n"/>
      <c r="I31" s="3876" t="n"/>
      <c r="J31" s="3876" t="n"/>
      <c r="K31" s="3876" t="n"/>
      <c r="L31" s="3876" t="n"/>
      <c r="M31" s="3876" t="n"/>
      <c r="N31" s="3876" t="n"/>
      <c r="O31" s="3876" t="n"/>
      <c r="P31" s="3876" t="n"/>
      <c r="Q31" s="3876" t="n"/>
      <c r="R31" s="3876" t="n"/>
      <c r="S31" s="3876" t="n"/>
      <c r="T31" s="3876" t="n"/>
      <c r="U31" s="3876" t="n"/>
      <c r="V31" s="3876" t="n"/>
      <c r="W31" s="3876" t="n"/>
      <c r="X31" s="3876" t="n"/>
      <c r="Y31" s="3876" t="n"/>
      <c r="Z31" s="3876" t="n"/>
      <c r="AA31" s="3876" t="n"/>
      <c r="AB31" s="3876" t="n"/>
      <c r="AC31" s="3876" t="n"/>
      <c r="AD31" s="3876" t="n"/>
      <c r="AE31" s="3876" t="n"/>
      <c r="AF31" s="3876" t="n"/>
      <c r="AG31" s="3876" t="n"/>
      <c r="AH31" s="3876" t="n"/>
      <c r="AI31" s="3876" t="n"/>
      <c r="AJ31" s="3876" t="n"/>
      <c r="AK31" s="3876" t="n"/>
      <c r="AL31" s="3876" t="n"/>
      <c r="AM31" s="3876" t="n"/>
      <c r="AN31" s="3876" t="n"/>
      <c r="AO31" s="3876" t="n"/>
      <c r="AP31" s="3876" t="n"/>
      <c r="AQ31" s="3876" t="n"/>
      <c r="AR31" s="3876" t="n"/>
      <c r="AS31" s="3876" t="n"/>
    </row>
    <row r="32">
      <c r="A32" s="3905" t="n"/>
      <c r="B32" s="3905" t="n"/>
      <c r="C32" s="3905" t="n"/>
      <c r="D32" s="3905" t="n"/>
      <c r="E32" s="3905" t="n"/>
      <c r="F32" s="3905" t="n"/>
      <c r="G32" s="3876" t="n"/>
      <c r="H32" s="3876" t="n"/>
      <c r="I32" s="3876" t="n"/>
      <c r="J32" s="3876" t="n"/>
      <c r="K32" s="3876" t="n"/>
      <c r="L32" s="3876" t="n"/>
      <c r="M32" s="3876" t="n"/>
      <c r="N32" s="3876" t="n"/>
      <c r="O32" s="3876" t="n"/>
      <c r="P32" s="3876" t="n"/>
      <c r="Q32" s="3876" t="n"/>
      <c r="R32" s="3876" t="n"/>
      <c r="S32" s="3876" t="n"/>
      <c r="T32" s="3876" t="n"/>
      <c r="U32" s="3876" t="n"/>
      <c r="V32" s="3876" t="n"/>
      <c r="W32" s="3876" t="n"/>
      <c r="X32" s="3876" t="n"/>
      <c r="Y32" s="3876" t="n"/>
      <c r="Z32" s="3876" t="n"/>
      <c r="AA32" s="3876" t="n"/>
      <c r="AB32" s="3876" t="n"/>
      <c r="AC32" s="3876" t="n"/>
      <c r="AD32" s="3876" t="n"/>
      <c r="AE32" s="3876" t="n"/>
      <c r="AF32" s="3876" t="n"/>
      <c r="AG32" s="3876" t="n"/>
      <c r="AH32" s="3876" t="n"/>
      <c r="AI32" s="3876" t="n"/>
      <c r="AJ32" s="3876" t="n"/>
      <c r="AK32" s="3876" t="n"/>
      <c r="AL32" s="3876" t="n"/>
      <c r="AM32" s="3876" t="n"/>
      <c r="AN32" s="3876" t="n"/>
      <c r="AO32" s="3876" t="n"/>
      <c r="AP32" s="3876" t="n"/>
      <c r="AQ32" s="3876" t="n"/>
      <c r="AR32" s="3876" t="n"/>
      <c r="AS32" s="3876" t="n"/>
    </row>
    <row r="33">
      <c r="A33" s="3905" t="n"/>
      <c r="B33" s="3905" t="n"/>
      <c r="C33" s="3905" t="n"/>
      <c r="D33" s="3905" t="n"/>
      <c r="E33" s="3905" t="n"/>
      <c r="F33" s="3905" t="n"/>
      <c r="G33" s="3876" t="n"/>
      <c r="H33" s="3876" t="n"/>
      <c r="I33" s="3876" t="n"/>
      <c r="J33" s="3876" t="n"/>
      <c r="K33" s="3876" t="n"/>
      <c r="L33" s="3876" t="n"/>
      <c r="M33" s="3876" t="n"/>
      <c r="N33" s="3876" t="n"/>
      <c r="O33" s="3876" t="n"/>
      <c r="P33" s="3876" t="n"/>
      <c r="Q33" s="3876" t="n"/>
      <c r="R33" s="3876" t="n"/>
      <c r="S33" s="3876" t="n"/>
      <c r="T33" s="3876" t="n"/>
      <c r="U33" s="3876" t="n"/>
      <c r="V33" s="3876" t="n"/>
      <c r="W33" s="3876" t="n"/>
      <c r="X33" s="3876" t="n"/>
      <c r="Y33" s="3876" t="n"/>
      <c r="Z33" s="3876" t="n"/>
      <c r="AA33" s="3876" t="n"/>
      <c r="AB33" s="3876" t="n"/>
      <c r="AC33" s="3876" t="n"/>
      <c r="AD33" s="3876" t="n"/>
      <c r="AE33" s="3876" t="n"/>
      <c r="AF33" s="3876" t="n"/>
      <c r="AG33" s="3876" t="n"/>
      <c r="AH33" s="3876" t="n"/>
      <c r="AI33" s="3876" t="n"/>
      <c r="AJ33" s="3876" t="n"/>
      <c r="AK33" s="3876" t="n"/>
      <c r="AL33" s="3876" t="n"/>
      <c r="AM33" s="3876" t="n"/>
      <c r="AN33" s="3876" t="n"/>
      <c r="AO33" s="3876" t="n"/>
      <c r="AP33" s="3876" t="n"/>
      <c r="AQ33" s="3876" t="n"/>
      <c r="AR33" s="3876" t="n"/>
      <c r="AS33" s="3876" t="n"/>
    </row>
    <row r="34">
      <c r="A34" s="3905" t="n"/>
      <c r="B34" s="3905" t="n"/>
      <c r="C34" s="3905" t="n"/>
      <c r="D34" s="3905" t="n"/>
      <c r="E34" s="3905" t="n"/>
      <c r="F34" s="3905" t="n"/>
      <c r="G34" s="3876" t="n"/>
      <c r="H34" s="3876" t="n"/>
      <c r="I34" s="3876" t="n"/>
      <c r="J34" s="3876" t="n"/>
      <c r="K34" s="3876" t="n"/>
      <c r="L34" s="3876" t="n"/>
      <c r="M34" s="3876" t="n"/>
      <c r="N34" s="3876" t="n"/>
      <c r="O34" s="3876" t="n"/>
      <c r="P34" s="3876" t="n"/>
      <c r="Q34" s="3876" t="n"/>
      <c r="R34" s="3876" t="n"/>
      <c r="S34" s="3876" t="n"/>
      <c r="T34" s="3876" t="n"/>
      <c r="U34" s="3876" t="n"/>
      <c r="V34" s="3876" t="n"/>
      <c r="W34" s="3876" t="n"/>
      <c r="X34" s="3876" t="n"/>
      <c r="Y34" s="3876" t="n"/>
      <c r="Z34" s="3876" t="n"/>
      <c r="AA34" s="3876" t="n"/>
      <c r="AB34" s="3876" t="n"/>
      <c r="AC34" s="3876" t="n"/>
      <c r="AD34" s="3876" t="n"/>
      <c r="AE34" s="3876" t="n"/>
      <c r="AF34" s="3876" t="n"/>
      <c r="AG34" s="3876" t="n"/>
      <c r="AH34" s="3876" t="n"/>
      <c r="AI34" s="3876" t="n"/>
      <c r="AJ34" s="3876" t="n"/>
      <c r="AK34" s="3876" t="n"/>
      <c r="AL34" s="3876" t="n"/>
      <c r="AM34" s="3876" t="n"/>
      <c r="AN34" s="3876" t="n"/>
      <c r="AO34" s="3876" t="n"/>
      <c r="AP34" s="3876" t="n"/>
      <c r="AQ34" s="3876" t="n"/>
      <c r="AR34" s="3876" t="n"/>
      <c r="AS34" s="3876" t="n"/>
    </row>
    <row r="35">
      <c r="A35" s="3905" t="n"/>
      <c r="B35" s="3905" t="n"/>
      <c r="C35" s="3905" t="n"/>
      <c r="D35" s="3905" t="n"/>
      <c r="E35" s="3905" t="n"/>
      <c r="F35" s="3905" t="n"/>
      <c r="G35" s="3876" t="n"/>
      <c r="H35" s="3876" t="n"/>
      <c r="I35" s="3876" t="n"/>
      <c r="J35" s="3876" t="n"/>
      <c r="K35" s="3876" t="n"/>
      <c r="L35" s="3876" t="n"/>
      <c r="M35" s="3876" t="n"/>
      <c r="N35" s="3876" t="n"/>
      <c r="O35" s="3876" t="n"/>
      <c r="P35" s="3876" t="n"/>
      <c r="Q35" s="3876" t="n"/>
      <c r="R35" s="3876" t="n"/>
      <c r="S35" s="3876" t="n"/>
      <c r="T35" s="3876" t="n"/>
      <c r="U35" s="3876" t="n"/>
      <c r="V35" s="3876" t="n"/>
      <c r="W35" s="3876" t="n"/>
      <c r="X35" s="3876" t="n"/>
      <c r="Y35" s="3876" t="n"/>
      <c r="Z35" s="3876" t="n"/>
      <c r="AA35" s="3876" t="n"/>
      <c r="AB35" s="3876" t="n"/>
      <c r="AC35" s="3876" t="n"/>
      <c r="AD35" s="3876" t="n"/>
      <c r="AE35" s="3876" t="n"/>
      <c r="AF35" s="3876" t="n"/>
      <c r="AG35" s="3876" t="n"/>
      <c r="AH35" s="3876" t="n"/>
      <c r="AI35" s="3876" t="n"/>
      <c r="AJ35" s="3876" t="n"/>
      <c r="AK35" s="3876" t="n"/>
      <c r="AL35" s="3876" t="n"/>
      <c r="AM35" s="3876" t="n"/>
      <c r="AN35" s="3876" t="n"/>
      <c r="AO35" s="3876" t="n"/>
      <c r="AP35" s="3876" t="n"/>
      <c r="AQ35" s="3876" t="n"/>
      <c r="AR35" s="3876" t="n"/>
      <c r="AS35" s="3876" t="n"/>
    </row>
    <row r="36">
      <c r="A36" s="3905" t="n"/>
      <c r="B36" s="3905" t="n"/>
      <c r="C36" s="3905" t="n"/>
      <c r="D36" s="3905" t="n"/>
      <c r="E36" s="3905" t="n"/>
      <c r="F36" s="3905" t="n"/>
      <c r="G36" s="3876" t="n"/>
      <c r="H36" s="3876" t="n"/>
      <c r="I36" s="3876" t="n"/>
      <c r="J36" s="3876" t="n"/>
      <c r="K36" s="3876" t="n"/>
      <c r="L36" s="3876" t="n"/>
      <c r="M36" s="3876" t="n"/>
      <c r="N36" s="3876" t="n"/>
      <c r="O36" s="3876" t="n"/>
      <c r="P36" s="3876" t="n"/>
      <c r="Q36" s="3876" t="n"/>
      <c r="R36" s="3876" t="n"/>
      <c r="S36" s="3876" t="n"/>
      <c r="T36" s="3876" t="n"/>
      <c r="U36" s="3876" t="n"/>
      <c r="V36" s="3876" t="n"/>
      <c r="W36" s="3876" t="n"/>
      <c r="X36" s="3876" t="n"/>
      <c r="Y36" s="3876" t="n"/>
      <c r="Z36" s="3876" t="n"/>
      <c r="AA36" s="3876" t="n"/>
      <c r="AB36" s="3876" t="n"/>
      <c r="AC36" s="3876" t="n"/>
      <c r="AD36" s="3876" t="n"/>
      <c r="AE36" s="3876" t="n"/>
      <c r="AF36" s="3876" t="n"/>
      <c r="AG36" s="3876" t="n"/>
      <c r="AH36" s="3876" t="n"/>
      <c r="AI36" s="3876" t="n"/>
      <c r="AJ36" s="3876" t="n"/>
      <c r="AK36" s="3876" t="n"/>
      <c r="AL36" s="3876" t="n"/>
      <c r="AM36" s="3876" t="n"/>
      <c r="AN36" s="3876" t="n"/>
      <c r="AO36" s="3876" t="n"/>
      <c r="AP36" s="3876" t="n"/>
      <c r="AQ36" s="3876" t="n"/>
      <c r="AR36" s="3876" t="n"/>
      <c r="AS36" s="3876" t="n"/>
    </row>
    <row r="37">
      <c r="A37" s="3905" t="n"/>
      <c r="B37" s="3905" t="n"/>
      <c r="C37" s="3905" t="n"/>
      <c r="D37" s="3905" t="n"/>
      <c r="E37" s="3905" t="n"/>
      <c r="F37" s="3905" t="n"/>
      <c r="G37" s="3876" t="n"/>
      <c r="H37" s="3876" t="n"/>
      <c r="I37" s="3876" t="n"/>
      <c r="J37" s="3876" t="n"/>
      <c r="K37" s="3876" t="n"/>
      <c r="L37" s="3876" t="n"/>
      <c r="M37" s="3876" t="n"/>
      <c r="N37" s="3876" t="n"/>
      <c r="O37" s="3876" t="n"/>
      <c r="P37" s="3876" t="n"/>
      <c r="Q37" s="3876" t="n"/>
      <c r="R37" s="3876" t="n"/>
      <c r="S37" s="3876" t="n"/>
      <c r="T37" s="3876" t="n"/>
      <c r="U37" s="3876" t="n"/>
      <c r="V37" s="3876" t="n"/>
      <c r="W37" s="3876" t="n"/>
      <c r="X37" s="3876" t="n"/>
      <c r="Y37" s="3876" t="n"/>
      <c r="Z37" s="3876" t="n"/>
      <c r="AA37" s="3876" t="n"/>
      <c r="AB37" s="3876" t="n"/>
      <c r="AC37" s="3876" t="n"/>
      <c r="AD37" s="3876" t="n"/>
      <c r="AE37" s="3876" t="n"/>
      <c r="AF37" s="3876" t="n"/>
      <c r="AG37" s="3876" t="n"/>
      <c r="AH37" s="3876" t="n"/>
      <c r="AI37" s="3876" t="n"/>
      <c r="AJ37" s="3876" t="n"/>
      <c r="AK37" s="3876" t="n"/>
      <c r="AL37" s="3876" t="n"/>
      <c r="AM37" s="3876" t="n"/>
      <c r="AN37" s="3876" t="n"/>
      <c r="AO37" s="3876" t="n"/>
      <c r="AP37" s="3876" t="n"/>
      <c r="AQ37" s="3876" t="n"/>
      <c r="AR37" s="3876" t="n"/>
      <c r="AS37" s="3876" t="n"/>
    </row>
    <row r="38">
      <c r="A38" s="3905" t="n"/>
      <c r="B38" s="3905" t="n"/>
      <c r="C38" s="3905" t="n"/>
      <c r="D38" s="3905" t="n"/>
      <c r="E38" s="3905" t="n"/>
      <c r="F38" s="3905" t="n"/>
      <c r="G38" s="3876" t="n"/>
      <c r="H38" s="3876" t="n"/>
      <c r="I38" s="3876" t="n"/>
      <c r="J38" s="3876" t="n"/>
      <c r="K38" s="3876" t="n"/>
      <c r="L38" s="3876" t="n"/>
      <c r="M38" s="3876" t="n"/>
      <c r="N38" s="3876" t="n"/>
      <c r="O38" s="3876" t="n"/>
      <c r="P38" s="3876" t="n"/>
      <c r="Q38" s="3876" t="n"/>
      <c r="R38" s="3876" t="n"/>
      <c r="S38" s="3876" t="n"/>
      <c r="T38" s="3876" t="n"/>
      <c r="U38" s="3876" t="n"/>
      <c r="V38" s="3876" t="n"/>
      <c r="W38" s="3876" t="n"/>
      <c r="X38" s="3876" t="n"/>
      <c r="Y38" s="3876" t="n"/>
      <c r="Z38" s="3876" t="n"/>
      <c r="AA38" s="3876" t="n"/>
      <c r="AB38" s="3876" t="n"/>
      <c r="AC38" s="3876" t="n"/>
      <c r="AD38" s="3876" t="n"/>
      <c r="AE38" s="3876" t="n"/>
      <c r="AF38" s="3876" t="n"/>
      <c r="AG38" s="3876" t="n"/>
      <c r="AH38" s="3876" t="n"/>
      <c r="AI38" s="3876" t="n"/>
      <c r="AJ38" s="3876" t="n"/>
      <c r="AK38" s="3876" t="n"/>
      <c r="AL38" s="3876" t="n"/>
      <c r="AM38" s="3876" t="n"/>
      <c r="AN38" s="3876" t="n"/>
      <c r="AO38" s="3876" t="n"/>
      <c r="AP38" s="3876" t="n"/>
      <c r="AQ38" s="3876" t="n"/>
      <c r="AR38" s="3876" t="n"/>
      <c r="AS38" s="3876" t="n"/>
    </row>
    <row r="39">
      <c r="A39" s="3905" t="n"/>
      <c r="B39" s="3905" t="n"/>
      <c r="C39" s="3905" t="n"/>
      <c r="D39" s="3905" t="n"/>
      <c r="E39" s="3905" t="n"/>
      <c r="F39" s="3905" t="n"/>
      <c r="G39" s="3876" t="n"/>
      <c r="H39" s="3876" t="n"/>
      <c r="I39" s="3876" t="n"/>
      <c r="J39" s="3876" t="n"/>
      <c r="K39" s="3876" t="n"/>
      <c r="L39" s="3876" t="n"/>
      <c r="M39" s="3876" t="n"/>
      <c r="N39" s="3876" t="n"/>
      <c r="O39" s="3876" t="n"/>
      <c r="P39" s="3876" t="n"/>
      <c r="Q39" s="3876" t="n"/>
      <c r="R39" s="3876" t="n"/>
      <c r="S39" s="3876" t="n"/>
      <c r="T39" s="3876" t="n"/>
      <c r="U39" s="3876" t="n"/>
      <c r="V39" s="3876" t="n"/>
      <c r="W39" s="3876" t="n"/>
      <c r="X39" s="3876" t="n"/>
      <c r="Y39" s="3876" t="n"/>
      <c r="Z39" s="3876" t="n"/>
      <c r="AA39" s="3876" t="n"/>
      <c r="AB39" s="3876" t="n"/>
      <c r="AC39" s="3876" t="n"/>
      <c r="AD39" s="3876" t="n"/>
      <c r="AE39" s="3876" t="n"/>
      <c r="AF39" s="3876" t="n"/>
      <c r="AG39" s="3876" t="n"/>
      <c r="AH39" s="3876" t="n"/>
      <c r="AI39" s="3876" t="n"/>
      <c r="AJ39" s="3876" t="n"/>
      <c r="AK39" s="3876" t="n"/>
      <c r="AL39" s="3876" t="n"/>
      <c r="AM39" s="3876" t="n"/>
      <c r="AN39" s="3876" t="n"/>
      <c r="AO39" s="3876" t="n"/>
      <c r="AP39" s="3876" t="n"/>
      <c r="AQ39" s="3876" t="n"/>
      <c r="AR39" s="3876" t="n"/>
      <c r="AS39" s="3876" t="n"/>
    </row>
    <row r="40">
      <c r="A40" s="3905" t="n"/>
      <c r="B40" s="3905" t="n"/>
      <c r="C40" s="3905" t="n"/>
      <c r="D40" s="3905" t="n"/>
      <c r="E40" s="3905" t="n"/>
      <c r="F40" s="3905" t="n"/>
      <c r="G40" s="3876" t="n"/>
      <c r="H40" s="3876" t="n"/>
      <c r="I40" s="3876" t="n"/>
      <c r="J40" s="3876" t="n"/>
      <c r="K40" s="3876" t="n"/>
      <c r="L40" s="3876" t="n"/>
      <c r="M40" s="3876" t="n"/>
      <c r="N40" s="3876" t="n"/>
      <c r="O40" s="3876" t="n"/>
      <c r="P40" s="3876" t="n"/>
      <c r="Q40" s="3876" t="n"/>
      <c r="R40" s="3876" t="n"/>
      <c r="S40" s="3876" t="n"/>
      <c r="T40" s="3876" t="n"/>
      <c r="U40" s="3876" t="n"/>
      <c r="V40" s="3876" t="n"/>
      <c r="W40" s="3876" t="n"/>
      <c r="X40" s="3876" t="n"/>
      <c r="Y40" s="3876" t="n"/>
      <c r="Z40" s="3876" t="n"/>
      <c r="AA40" s="3876" t="n"/>
      <c r="AB40" s="3876" t="n"/>
      <c r="AC40" s="3876" t="n"/>
      <c r="AD40" s="3876" t="n"/>
      <c r="AE40" s="3876" t="n"/>
      <c r="AF40" s="3876" t="n"/>
      <c r="AG40" s="3876" t="n"/>
      <c r="AH40" s="3876" t="n"/>
      <c r="AI40" s="3876" t="n"/>
      <c r="AJ40" s="3876" t="n"/>
      <c r="AK40" s="3876" t="n"/>
      <c r="AL40" s="3876" t="n"/>
      <c r="AM40" s="3876" t="n"/>
      <c r="AN40" s="3876" t="n"/>
      <c r="AO40" s="3876" t="n"/>
      <c r="AP40" s="3876" t="n"/>
      <c r="AQ40" s="3876" t="n"/>
      <c r="AR40" s="3876" t="n"/>
      <c r="AS40" s="3876" t="n"/>
    </row>
    <row r="41">
      <c r="A41" s="3905" t="n"/>
      <c r="B41" s="3905" t="n"/>
      <c r="C41" s="3905" t="n"/>
      <c r="D41" s="3905" t="n"/>
      <c r="E41" s="3905" t="n"/>
      <c r="F41" s="3905" t="n"/>
      <c r="G41" s="3876" t="n"/>
      <c r="H41" s="3876" t="n"/>
      <c r="I41" s="3876" t="n"/>
      <c r="J41" s="3876" t="n"/>
      <c r="K41" s="3876" t="n"/>
      <c r="L41" s="3876" t="n"/>
      <c r="M41" s="3876" t="n"/>
      <c r="N41" s="3876" t="n"/>
      <c r="O41" s="3876" t="n"/>
      <c r="P41" s="3876" t="n"/>
      <c r="Q41" s="3876" t="n"/>
      <c r="R41" s="3876" t="n"/>
      <c r="S41" s="3876" t="n"/>
      <c r="T41" s="3876" t="n"/>
      <c r="U41" s="3876" t="n"/>
      <c r="V41" s="3876" t="n"/>
      <c r="W41" s="3876" t="n"/>
      <c r="X41" s="3876" t="n"/>
      <c r="Y41" s="3876" t="n"/>
      <c r="Z41" s="3876" t="n"/>
      <c r="AA41" s="3876" t="n"/>
      <c r="AB41" s="3876" t="n"/>
      <c r="AC41" s="3876" t="n"/>
      <c r="AD41" s="3876" t="n"/>
      <c r="AE41" s="3876" t="n"/>
      <c r="AF41" s="3876" t="n"/>
      <c r="AG41" s="3876" t="n"/>
      <c r="AH41" s="3876" t="n"/>
      <c r="AI41" s="3876" t="n"/>
      <c r="AJ41" s="3876" t="n"/>
      <c r="AK41" s="3876" t="n"/>
      <c r="AL41" s="3876" t="n"/>
      <c r="AM41" s="3876" t="n"/>
      <c r="AN41" s="3876" t="n"/>
      <c r="AO41" s="3876" t="n"/>
      <c r="AP41" s="3876" t="n"/>
      <c r="AQ41" s="3876" t="n"/>
      <c r="AR41" s="3876" t="n"/>
      <c r="AS41" s="3876" t="n"/>
    </row>
    <row r="42">
      <c r="A42" s="3905" t="n"/>
      <c r="B42" s="3905" t="n"/>
      <c r="C42" s="3905" t="n"/>
      <c r="D42" s="3905" t="n"/>
      <c r="E42" s="3905" t="n"/>
      <c r="F42" s="3905" t="n"/>
      <c r="G42" s="3876" t="n"/>
      <c r="H42" s="3876" t="n"/>
      <c r="I42" s="3876" t="n"/>
      <c r="J42" s="3876" t="n"/>
      <c r="K42" s="3876" t="n"/>
      <c r="L42" s="3876" t="n"/>
      <c r="M42" s="3876" t="n"/>
      <c r="N42" s="3876" t="n"/>
      <c r="O42" s="3876" t="n"/>
      <c r="P42" s="3876" t="n"/>
      <c r="Q42" s="3876" t="n"/>
      <c r="R42" s="3876" t="n"/>
      <c r="S42" s="3876" t="n"/>
      <c r="T42" s="3876" t="n"/>
      <c r="U42" s="3876" t="n"/>
      <c r="V42" s="3876" t="n"/>
      <c r="W42" s="3876" t="n"/>
      <c r="X42" s="3876" t="n"/>
      <c r="Y42" s="3876" t="n"/>
      <c r="Z42" s="3876" t="n"/>
      <c r="AA42" s="3876" t="n"/>
      <c r="AB42" s="3876" t="n"/>
      <c r="AC42" s="3876" t="n"/>
      <c r="AD42" s="3876" t="n"/>
      <c r="AE42" s="3876" t="n"/>
      <c r="AF42" s="3876" t="n"/>
      <c r="AG42" s="3876" t="n"/>
      <c r="AH42" s="3876" t="n"/>
      <c r="AI42" s="3876" t="n"/>
      <c r="AJ42" s="3876" t="n"/>
      <c r="AK42" s="3876" t="n"/>
      <c r="AL42" s="3876" t="n"/>
      <c r="AM42" s="3876" t="n"/>
      <c r="AN42" s="3876" t="n"/>
      <c r="AO42" s="3876" t="n"/>
      <c r="AP42" s="3876" t="n"/>
      <c r="AQ42" s="3876" t="n"/>
      <c r="AR42" s="3876" t="n"/>
      <c r="AS42" s="3876" t="n"/>
    </row>
    <row r="43">
      <c r="A43" s="3905" t="n"/>
      <c r="B43" s="3905" t="n"/>
      <c r="C43" s="3905" t="n"/>
      <c r="D43" s="3905" t="n"/>
      <c r="E43" s="3905" t="n"/>
      <c r="F43" s="3905" t="n"/>
      <c r="G43" s="3876" t="n"/>
      <c r="H43" s="3876" t="n"/>
      <c r="I43" s="3876" t="n"/>
      <c r="J43" s="3876" t="n"/>
      <c r="K43" s="3876" t="n"/>
      <c r="L43" s="3876" t="n"/>
      <c r="M43" s="3876" t="n"/>
      <c r="N43" s="3876" t="n"/>
      <c r="O43" s="3876" t="n"/>
      <c r="P43" s="3876" t="n"/>
      <c r="Q43" s="3876" t="n"/>
      <c r="R43" s="3876" t="n"/>
      <c r="S43" s="3876" t="n"/>
      <c r="T43" s="3876" t="n"/>
      <c r="U43" s="3876" t="n"/>
      <c r="V43" s="3876" t="n"/>
      <c r="W43" s="3876" t="n"/>
      <c r="X43" s="3876" t="n"/>
      <c r="Y43" s="3876" t="n"/>
      <c r="Z43" s="3876" t="n"/>
      <c r="AA43" s="3876" t="n"/>
      <c r="AB43" s="3876" t="n"/>
      <c r="AC43" s="3876" t="n"/>
      <c r="AD43" s="3876" t="n"/>
      <c r="AE43" s="3876" t="n"/>
      <c r="AF43" s="3876" t="n"/>
      <c r="AG43" s="3876" t="n"/>
      <c r="AH43" s="3876" t="n"/>
      <c r="AI43" s="3876" t="n"/>
      <c r="AJ43" s="3876" t="n"/>
      <c r="AK43" s="3876" t="n"/>
      <c r="AL43" s="3876" t="n"/>
      <c r="AM43" s="3876" t="n"/>
      <c r="AN43" s="3876" t="n"/>
      <c r="AO43" s="3876" t="n"/>
      <c r="AP43" s="3876" t="n"/>
      <c r="AQ43" s="3876" t="n"/>
      <c r="AR43" s="3876" t="n"/>
      <c r="AS43" s="3876" t="n"/>
    </row>
    <row r="44">
      <c r="A44" s="3905" t="n"/>
      <c r="B44" s="3905" t="n"/>
      <c r="C44" s="3905" t="n"/>
      <c r="D44" s="3905" t="n"/>
      <c r="E44" s="3905" t="n"/>
      <c r="F44" s="3905" t="n"/>
      <c r="G44" s="3876" t="n"/>
      <c r="H44" s="3876" t="n"/>
      <c r="I44" s="3876" t="n"/>
      <c r="J44" s="3876" t="n"/>
      <c r="K44" s="3876" t="n"/>
      <c r="L44" s="3876" t="n"/>
      <c r="M44" s="3876" t="n"/>
      <c r="N44" s="3876" t="n"/>
      <c r="O44" s="3876" t="n"/>
      <c r="P44" s="3876" t="n"/>
      <c r="Q44" s="3876" t="n"/>
      <c r="R44" s="3876" t="n"/>
      <c r="S44" s="3876" t="n"/>
      <c r="T44" s="3876" t="n"/>
      <c r="U44" s="3876" t="n"/>
      <c r="V44" s="3876" t="n"/>
      <c r="W44" s="3876" t="n"/>
      <c r="X44" s="3876" t="n"/>
      <c r="Y44" s="3876" t="n"/>
      <c r="Z44" s="3876" t="n"/>
      <c r="AA44" s="3876" t="n"/>
      <c r="AB44" s="3876" t="n"/>
      <c r="AC44" s="3876" t="n"/>
      <c r="AD44" s="3876" t="n"/>
      <c r="AE44" s="3876" t="n"/>
      <c r="AF44" s="3876" t="n"/>
      <c r="AG44" s="3876" t="n"/>
      <c r="AH44" s="3876" t="n"/>
      <c r="AI44" s="3876" t="n"/>
      <c r="AJ44" s="3876" t="n"/>
      <c r="AK44" s="3876" t="n"/>
      <c r="AL44" s="3876" t="n"/>
      <c r="AM44" s="3876" t="n"/>
      <c r="AN44" s="3876" t="n"/>
      <c r="AO44" s="3876" t="n"/>
      <c r="AP44" s="3876" t="n"/>
      <c r="AQ44" s="3876" t="n"/>
      <c r="AR44" s="3876" t="n"/>
      <c r="AS44" s="3876" t="n"/>
    </row>
    <row r="45">
      <c r="A45" s="3905" t="n"/>
      <c r="B45" s="3905" t="n"/>
      <c r="C45" s="3905" t="n"/>
      <c r="D45" s="3905" t="n"/>
      <c r="E45" s="3905" t="n"/>
      <c r="F45" s="3905" t="n"/>
      <c r="G45" s="3876" t="n"/>
      <c r="H45" s="3876" t="n"/>
      <c r="I45" s="3876" t="n"/>
      <c r="J45" s="3876" t="n"/>
      <c r="K45" s="3876" t="n"/>
      <c r="L45" s="3876" t="n"/>
      <c r="M45" s="3876" t="n"/>
      <c r="N45" s="3876" t="n"/>
      <c r="O45" s="3876" t="n"/>
      <c r="P45" s="3876" t="n"/>
      <c r="Q45" s="3876" t="n"/>
      <c r="R45" s="3876" t="n"/>
      <c r="S45" s="3876" t="n"/>
      <c r="T45" s="3876" t="n"/>
      <c r="U45" s="3876" t="n"/>
      <c r="V45" s="3876" t="n"/>
      <c r="W45" s="3876" t="n"/>
      <c r="X45" s="3876" t="n"/>
      <c r="Y45" s="3876" t="n"/>
      <c r="Z45" s="3876" t="n"/>
      <c r="AA45" s="3876" t="n"/>
      <c r="AB45" s="3876" t="n"/>
      <c r="AC45" s="3876" t="n"/>
      <c r="AD45" s="3876" t="n"/>
      <c r="AE45" s="3876" t="n"/>
      <c r="AF45" s="3876" t="n"/>
      <c r="AG45" s="3876" t="n"/>
      <c r="AH45" s="3876" t="n"/>
      <c r="AI45" s="3876" t="n"/>
      <c r="AJ45" s="3876" t="n"/>
      <c r="AK45" s="3876" t="n"/>
      <c r="AL45" s="3876" t="n"/>
      <c r="AM45" s="3876" t="n"/>
      <c r="AN45" s="3876" t="n"/>
      <c r="AO45" s="3876" t="n"/>
      <c r="AP45" s="3876" t="n"/>
      <c r="AQ45" s="3876" t="n"/>
      <c r="AR45" s="3876" t="n"/>
      <c r="AS45" s="3876" t="n"/>
    </row>
    <row r="46">
      <c r="A46" s="3905" t="n"/>
      <c r="B46" s="3905" t="n"/>
      <c r="C46" s="3905" t="n"/>
      <c r="D46" s="3905" t="n"/>
      <c r="E46" s="3905" t="n"/>
      <c r="F46" s="3905" t="n"/>
      <c r="G46" s="3876" t="n"/>
      <c r="H46" s="3876" t="n"/>
      <c r="I46" s="3876" t="n"/>
      <c r="J46" s="3876" t="n"/>
      <c r="K46" s="3876" t="n"/>
      <c r="L46" s="3876" t="n"/>
      <c r="M46" s="3876" t="n"/>
      <c r="N46" s="3876" t="n"/>
      <c r="O46" s="3876" t="n"/>
      <c r="P46" s="3876" t="n"/>
      <c r="Q46" s="3876" t="n"/>
      <c r="R46" s="3876" t="n"/>
      <c r="S46" s="3876" t="n"/>
      <c r="T46" s="3876" t="n"/>
      <c r="U46" s="3876" t="n"/>
      <c r="V46" s="3876" t="n"/>
      <c r="W46" s="3876" t="n"/>
      <c r="X46" s="3876" t="n"/>
      <c r="Y46" s="3876" t="n"/>
      <c r="Z46" s="3876" t="n"/>
      <c r="AA46" s="3876" t="n"/>
      <c r="AB46" s="3876" t="n"/>
      <c r="AC46" s="3876" t="n"/>
      <c r="AD46" s="3876" t="n"/>
      <c r="AE46" s="3876" t="n"/>
      <c r="AF46" s="3876" t="n"/>
      <c r="AG46" s="3876" t="n"/>
      <c r="AH46" s="3876" t="n"/>
      <c r="AI46" s="3876" t="n"/>
      <c r="AJ46" s="3876" t="n"/>
      <c r="AK46" s="3876" t="n"/>
      <c r="AL46" s="3876" t="n"/>
      <c r="AM46" s="3876" t="n"/>
      <c r="AN46" s="3876" t="n"/>
      <c r="AO46" s="3876" t="n"/>
      <c r="AP46" s="3876" t="n"/>
      <c r="AQ46" s="3876" t="n"/>
      <c r="AR46" s="3876" t="n"/>
      <c r="AS46" s="3876" t="n"/>
    </row>
    <row r="47">
      <c r="A47" s="3905" t="n"/>
      <c r="B47" s="3905" t="n"/>
      <c r="C47" s="3905" t="n"/>
      <c r="D47" s="3905" t="n"/>
      <c r="E47" s="3905" t="n"/>
      <c r="F47" s="3905" t="n"/>
      <c r="G47" s="3876" t="n"/>
      <c r="H47" s="3876" t="n"/>
      <c r="I47" s="3876" t="n"/>
      <c r="J47" s="3876" t="n"/>
      <c r="K47" s="3876" t="n"/>
      <c r="L47" s="3876" t="n"/>
      <c r="M47" s="3876" t="n"/>
      <c r="N47" s="3876" t="n"/>
      <c r="O47" s="3876" t="n"/>
      <c r="P47" s="3876" t="n"/>
      <c r="Q47" s="3876" t="n"/>
      <c r="R47" s="3876" t="n"/>
      <c r="S47" s="3876" t="n"/>
      <c r="T47" s="3876" t="n"/>
      <c r="U47" s="3876" t="n"/>
      <c r="V47" s="3876" t="n"/>
      <c r="W47" s="3876" t="n"/>
      <c r="X47" s="3876" t="n"/>
      <c r="Y47" s="3876" t="n"/>
      <c r="Z47" s="3876" t="n"/>
      <c r="AA47" s="3876" t="n"/>
      <c r="AB47" s="3876" t="n"/>
      <c r="AC47" s="3876" t="n"/>
      <c r="AD47" s="3876" t="n"/>
      <c r="AE47" s="3876" t="n"/>
      <c r="AF47" s="3876" t="n"/>
      <c r="AG47" s="3876" t="n"/>
      <c r="AH47" s="3876" t="n"/>
      <c r="AI47" s="3876" t="n"/>
      <c r="AJ47" s="3876" t="n"/>
      <c r="AK47" s="3876" t="n"/>
      <c r="AL47" s="3876" t="n"/>
      <c r="AM47" s="3876" t="n"/>
      <c r="AN47" s="3876" t="n"/>
      <c r="AO47" s="3876" t="n"/>
      <c r="AP47" s="3876" t="n"/>
      <c r="AQ47" s="3876" t="n"/>
      <c r="AR47" s="3876" t="n"/>
      <c r="AS47" s="3876" t="n"/>
    </row>
    <row r="48">
      <c r="A48" s="3905" t="n"/>
      <c r="B48" s="3905" t="n"/>
      <c r="C48" s="3905" t="n"/>
      <c r="D48" s="3905" t="n"/>
      <c r="E48" s="3905" t="n"/>
      <c r="F48" s="3905" t="n"/>
      <c r="G48" s="3876" t="n"/>
      <c r="H48" s="3876" t="n"/>
      <c r="I48" s="3876" t="n"/>
      <c r="J48" s="3876" t="n"/>
      <c r="K48" s="3876" t="n"/>
      <c r="L48" s="3876" t="n"/>
      <c r="M48" s="3876" t="n"/>
      <c r="N48" s="3876" t="n"/>
      <c r="O48" s="3876" t="n"/>
      <c r="P48" s="3876" t="n"/>
      <c r="Q48" s="3876" t="n"/>
      <c r="R48" s="3876" t="n"/>
      <c r="S48" s="3876" t="n"/>
      <c r="T48" s="3876" t="n"/>
      <c r="U48" s="3876" t="n"/>
      <c r="V48" s="3876" t="n"/>
      <c r="W48" s="3876" t="n"/>
      <c r="X48" s="3876" t="n"/>
      <c r="Y48" s="3876" t="n"/>
      <c r="Z48" s="3876" t="n"/>
      <c r="AA48" s="3876" t="n"/>
      <c r="AB48" s="3876" t="n"/>
      <c r="AC48" s="3876" t="n"/>
      <c r="AD48" s="3876" t="n"/>
      <c r="AE48" s="3876" t="n"/>
      <c r="AF48" s="3876" t="n"/>
      <c r="AG48" s="3876" t="n"/>
      <c r="AH48" s="3876" t="n"/>
      <c r="AI48" s="3876" t="n"/>
      <c r="AJ48" s="3876" t="n"/>
      <c r="AK48" s="3876" t="n"/>
      <c r="AL48" s="3876" t="n"/>
      <c r="AM48" s="3876" t="n"/>
      <c r="AN48" s="3876" t="n"/>
      <c r="AO48" s="3876" t="n"/>
      <c r="AP48" s="3876" t="n"/>
      <c r="AQ48" s="3876" t="n"/>
      <c r="AR48" s="3876" t="n"/>
      <c r="AS48" s="3876" t="n"/>
    </row>
    <row r="49">
      <c r="A49" s="3905" t="n"/>
      <c r="B49" s="3905" t="n"/>
      <c r="C49" s="3905" t="n"/>
      <c r="D49" s="3905" t="n"/>
      <c r="E49" s="3905" t="n"/>
      <c r="F49" s="3905" t="n"/>
      <c r="G49" s="3876" t="n"/>
      <c r="H49" s="3876" t="n"/>
      <c r="I49" s="3876" t="n"/>
      <c r="J49" s="3876" t="n"/>
      <c r="K49" s="3876" t="n"/>
      <c r="L49" s="3876" t="n"/>
      <c r="M49" s="3876" t="n"/>
      <c r="N49" s="3876" t="n"/>
      <c r="O49" s="3876" t="n"/>
      <c r="P49" s="3876" t="n"/>
      <c r="Q49" s="3876" t="n"/>
      <c r="R49" s="3876" t="n"/>
      <c r="S49" s="3876" t="n"/>
      <c r="T49" s="3876" t="n"/>
      <c r="U49" s="3876" t="n"/>
      <c r="V49" s="3876" t="n"/>
      <c r="W49" s="3876" t="n"/>
      <c r="X49" s="3876" t="n"/>
      <c r="Y49" s="3876" t="n"/>
      <c r="Z49" s="3876" t="n"/>
      <c r="AA49" s="3876" t="n"/>
      <c r="AB49" s="3876" t="n"/>
      <c r="AC49" s="3876" t="n"/>
      <c r="AD49" s="3876" t="n"/>
      <c r="AE49" s="3876" t="n"/>
      <c r="AF49" s="3876" t="n"/>
      <c r="AG49" s="3876" t="n"/>
      <c r="AH49" s="3876" t="n"/>
      <c r="AI49" s="3876" t="n"/>
      <c r="AJ49" s="3876" t="n"/>
      <c r="AK49" s="3876" t="n"/>
      <c r="AL49" s="3876" t="n"/>
      <c r="AM49" s="3876" t="n"/>
      <c r="AN49" s="3876" t="n"/>
      <c r="AO49" s="3876" t="n"/>
      <c r="AP49" s="3876" t="n"/>
      <c r="AQ49" s="3876" t="n"/>
      <c r="AR49" s="3876" t="n"/>
      <c r="AS49" s="3876" t="n"/>
    </row>
    <row r="50">
      <c r="A50" s="3905" t="n"/>
      <c r="B50" s="3905" t="n"/>
      <c r="C50" s="3905" t="n"/>
      <c r="D50" s="3905" t="n"/>
      <c r="E50" s="3905" t="n"/>
      <c r="F50" s="3905" t="n"/>
      <c r="G50" s="3876" t="n"/>
      <c r="H50" s="3876" t="n"/>
      <c r="I50" s="3876" t="n"/>
      <c r="J50" s="3876" t="n"/>
      <c r="K50" s="3876" t="n"/>
      <c r="L50" s="3876" t="n"/>
      <c r="M50" s="3876" t="n"/>
      <c r="N50" s="3876" t="n"/>
      <c r="O50" s="3876" t="n"/>
      <c r="P50" s="3876" t="n"/>
      <c r="Q50" s="3876" t="n"/>
      <c r="R50" s="3876" t="n"/>
      <c r="S50" s="3876" t="n"/>
      <c r="T50" s="3876" t="n"/>
      <c r="U50" s="3876" t="n"/>
      <c r="V50" s="3876" t="n"/>
      <c r="W50" s="3876" t="n"/>
      <c r="X50" s="3876" t="n"/>
      <c r="Y50" s="3876" t="n"/>
      <c r="Z50" s="3876" t="n"/>
      <c r="AA50" s="3876" t="n"/>
      <c r="AB50" s="3876" t="n"/>
      <c r="AC50" s="3876" t="n"/>
      <c r="AD50" s="3876" t="n"/>
      <c r="AE50" s="3876" t="n"/>
      <c r="AF50" s="3876" t="n"/>
      <c r="AG50" s="3876" t="n"/>
      <c r="AH50" s="3876" t="n"/>
      <c r="AI50" s="3876" t="n"/>
      <c r="AJ50" s="3876" t="n"/>
      <c r="AK50" s="3876" t="n"/>
      <c r="AL50" s="3876" t="n"/>
      <c r="AM50" s="3876" t="n"/>
      <c r="AN50" s="3876" t="n"/>
      <c r="AO50" s="3876" t="n"/>
      <c r="AP50" s="3876" t="n"/>
      <c r="AQ50" s="3876" t="n"/>
      <c r="AR50" s="3876" t="n"/>
      <c r="AS50" s="3876" t="n"/>
    </row>
    <row r="51">
      <c r="A51" s="3905" t="n"/>
      <c r="B51" s="3905" t="n"/>
      <c r="C51" s="3905" t="n"/>
      <c r="D51" s="3905" t="n"/>
      <c r="E51" s="3905" t="n"/>
      <c r="F51" s="3905" t="n"/>
      <c r="G51" s="3876" t="n"/>
      <c r="H51" s="3876" t="n"/>
      <c r="I51" s="3876" t="n"/>
      <c r="J51" s="3876" t="n"/>
      <c r="K51" s="3876" t="n"/>
      <c r="L51" s="3876" t="n"/>
      <c r="M51" s="3876" t="n"/>
      <c r="N51" s="3876" t="n"/>
      <c r="O51" s="3876" t="n"/>
      <c r="P51" s="3876" t="n"/>
      <c r="Q51" s="3876" t="n"/>
      <c r="R51" s="3876" t="n"/>
      <c r="S51" s="3876" t="n"/>
      <c r="T51" s="3876" t="n"/>
      <c r="U51" s="3876" t="n"/>
      <c r="V51" s="3876" t="n"/>
      <c r="W51" s="3876" t="n"/>
      <c r="X51" s="3876" t="n"/>
      <c r="Y51" s="3876" t="n"/>
      <c r="Z51" s="3876" t="n"/>
      <c r="AA51" s="3876" t="n"/>
      <c r="AB51" s="3876" t="n"/>
      <c r="AC51" s="3876" t="n"/>
      <c r="AD51" s="3876" t="n"/>
      <c r="AE51" s="3876" t="n"/>
      <c r="AF51" s="3876" t="n"/>
      <c r="AG51" s="3876" t="n"/>
      <c r="AH51" s="3876" t="n"/>
      <c r="AI51" s="3876" t="n"/>
      <c r="AJ51" s="3876" t="n"/>
      <c r="AK51" s="3876" t="n"/>
      <c r="AL51" s="3876" t="n"/>
      <c r="AM51" s="3876" t="n"/>
      <c r="AN51" s="3876" t="n"/>
      <c r="AO51" s="3876" t="n"/>
      <c r="AP51" s="3876" t="n"/>
      <c r="AQ51" s="3876" t="n"/>
      <c r="AR51" s="3876" t="n"/>
      <c r="AS51" s="3876" t="n"/>
    </row>
    <row r="52">
      <c r="A52" s="3905" t="n"/>
      <c r="B52" s="3905" t="n"/>
      <c r="C52" s="3905" t="n"/>
      <c r="D52" s="3905" t="n"/>
      <c r="E52" s="3905" t="n"/>
      <c r="F52" s="3905" t="n"/>
      <c r="G52" s="3876" t="n"/>
      <c r="H52" s="3876" t="n"/>
      <c r="I52" s="3876" t="n"/>
      <c r="J52" s="3876" t="n"/>
      <c r="K52" s="3876" t="n"/>
      <c r="L52" s="3876" t="n"/>
      <c r="M52" s="3876" t="n"/>
      <c r="N52" s="3876" t="n"/>
      <c r="O52" s="3876" t="n"/>
      <c r="P52" s="3876" t="n"/>
      <c r="Q52" s="3876" t="n"/>
      <c r="R52" s="3876" t="n"/>
      <c r="S52" s="3876" t="n"/>
      <c r="T52" s="3876" t="n"/>
      <c r="U52" s="3876" t="n"/>
      <c r="V52" s="3876" t="n"/>
      <c r="W52" s="3876" t="n"/>
      <c r="X52" s="3876" t="n"/>
      <c r="Y52" s="3876" t="n"/>
      <c r="Z52" s="3876" t="n"/>
      <c r="AA52" s="3876" t="n"/>
      <c r="AB52" s="3876" t="n"/>
      <c r="AC52" s="3876" t="n"/>
      <c r="AD52" s="3876" t="n"/>
      <c r="AE52" s="3876" t="n"/>
      <c r="AF52" s="3876" t="n"/>
      <c r="AG52" s="3876" t="n"/>
      <c r="AH52" s="3876" t="n"/>
      <c r="AI52" s="3876" t="n"/>
      <c r="AJ52" s="3876" t="n"/>
      <c r="AK52" s="3876" t="n"/>
      <c r="AL52" s="3876" t="n"/>
      <c r="AM52" s="3876" t="n"/>
      <c r="AN52" s="3876" t="n"/>
      <c r="AO52" s="3876" t="n"/>
      <c r="AP52" s="3876" t="n"/>
      <c r="AQ52" s="3876" t="n"/>
      <c r="AR52" s="3876" t="n"/>
      <c r="AS52" s="3876" t="n"/>
    </row>
    <row r="53">
      <c r="A53" s="3905" t="n"/>
      <c r="B53" s="3905" t="n"/>
      <c r="C53" s="3905" t="n"/>
      <c r="D53" s="3905" t="n"/>
      <c r="E53" s="3905" t="n"/>
      <c r="F53" s="3905" t="n"/>
      <c r="G53" s="3876" t="n"/>
      <c r="H53" s="3876" t="n"/>
      <c r="I53" s="3876" t="n"/>
      <c r="J53" s="3876" t="n"/>
      <c r="K53" s="3876" t="n"/>
      <c r="L53" s="3876" t="n"/>
      <c r="M53" s="3876" t="n"/>
      <c r="N53" s="3876" t="n"/>
      <c r="O53" s="3876" t="n"/>
      <c r="P53" s="3876" t="n"/>
      <c r="Q53" s="3876" t="n"/>
      <c r="R53" s="3876" t="n"/>
      <c r="S53" s="3876" t="n"/>
      <c r="T53" s="3876" t="n"/>
      <c r="U53" s="3876" t="n"/>
      <c r="V53" s="3876" t="n"/>
      <c r="W53" s="3876" t="n"/>
      <c r="X53" s="3876" t="n"/>
      <c r="Y53" s="3876" t="n"/>
      <c r="Z53" s="3876" t="n"/>
      <c r="AA53" s="3876" t="n"/>
      <c r="AB53" s="3876" t="n"/>
      <c r="AC53" s="3876" t="n"/>
      <c r="AD53" s="3876" t="n"/>
      <c r="AE53" s="3876" t="n"/>
      <c r="AF53" s="3876" t="n"/>
      <c r="AG53" s="3876" t="n"/>
      <c r="AH53" s="3876" t="n"/>
      <c r="AI53" s="3876" t="n"/>
      <c r="AJ53" s="3876" t="n"/>
      <c r="AK53" s="3876" t="n"/>
      <c r="AL53" s="3876" t="n"/>
      <c r="AM53" s="3876" t="n"/>
      <c r="AN53" s="3876" t="n"/>
      <c r="AO53" s="3876" t="n"/>
      <c r="AP53" s="3876" t="n"/>
      <c r="AQ53" s="3876" t="n"/>
      <c r="AR53" s="3876" t="n"/>
      <c r="AS53" s="3876" t="n"/>
    </row>
    <row r="54">
      <c r="A54" s="3905" t="n"/>
      <c r="B54" s="3905" t="n"/>
      <c r="C54" s="3905" t="n"/>
      <c r="D54" s="3905" t="n"/>
      <c r="E54" s="3905" t="n"/>
      <c r="F54" s="3905" t="n"/>
      <c r="G54" s="3876" t="n"/>
      <c r="H54" s="3876" t="n"/>
      <c r="I54" s="3876" t="n"/>
      <c r="J54" s="3876" t="n"/>
      <c r="K54" s="3876" t="n"/>
      <c r="L54" s="3876" t="n"/>
      <c r="M54" s="3876" t="n"/>
      <c r="N54" s="3876" t="n"/>
      <c r="O54" s="3876" t="n"/>
      <c r="P54" s="3876" t="n"/>
      <c r="Q54" s="3876" t="n"/>
      <c r="R54" s="3876" t="n"/>
      <c r="S54" s="3876" t="n"/>
      <c r="T54" s="3876" t="n"/>
      <c r="U54" s="3876" t="n"/>
      <c r="V54" s="3876" t="n"/>
      <c r="W54" s="3876" t="n"/>
      <c r="X54" s="3876" t="n"/>
      <c r="Y54" s="3876" t="n"/>
      <c r="Z54" s="3876" t="n"/>
      <c r="AA54" s="3876" t="n"/>
      <c r="AB54" s="3876" t="n"/>
      <c r="AC54" s="3876" t="n"/>
      <c r="AD54" s="3876" t="n"/>
      <c r="AE54" s="3876" t="n"/>
      <c r="AF54" s="3876" t="n"/>
      <c r="AG54" s="3876" t="n"/>
      <c r="AH54" s="3876" t="n"/>
      <c r="AI54" s="3876" t="n"/>
      <c r="AJ54" s="3876" t="n"/>
      <c r="AK54" s="3876" t="n"/>
      <c r="AL54" s="3876" t="n"/>
      <c r="AM54" s="3876" t="n"/>
      <c r="AN54" s="3876" t="n"/>
      <c r="AO54" s="3876" t="n"/>
      <c r="AP54" s="3876" t="n"/>
      <c r="AQ54" s="3876" t="n"/>
      <c r="AR54" s="3876" t="n"/>
      <c r="AS54" s="3876" t="n"/>
    </row>
    <row r="55">
      <c r="A55" s="3905" t="n"/>
      <c r="B55" s="3905" t="n"/>
      <c r="C55" s="3905" t="n"/>
      <c r="D55" s="3905" t="n"/>
      <c r="E55" s="3905" t="n"/>
      <c r="F55" s="3905" t="n"/>
      <c r="G55" s="3876" t="n"/>
      <c r="H55" s="3876" t="n"/>
      <c r="I55" s="3876" t="n"/>
      <c r="J55" s="3876" t="n"/>
      <c r="K55" s="3876" t="n"/>
      <c r="L55" s="3876" t="n"/>
      <c r="M55" s="3876" t="n"/>
      <c r="N55" s="3876" t="n"/>
      <c r="O55" s="3876" t="n"/>
      <c r="P55" s="3876" t="n"/>
      <c r="Q55" s="3876" t="n"/>
      <c r="R55" s="3876" t="n"/>
      <c r="S55" s="3876" t="n"/>
      <c r="T55" s="3876" t="n"/>
      <c r="U55" s="3876" t="n"/>
      <c r="V55" s="3876" t="n"/>
      <c r="W55" s="3876" t="n"/>
      <c r="X55" s="3876" t="n"/>
      <c r="Y55" s="3876" t="n"/>
      <c r="Z55" s="3876" t="n"/>
      <c r="AA55" s="3876" t="n"/>
      <c r="AB55" s="3876" t="n"/>
      <c r="AC55" s="3876" t="n"/>
      <c r="AD55" s="3876" t="n"/>
      <c r="AE55" s="3876" t="n"/>
      <c r="AF55" s="3876" t="n"/>
      <c r="AG55" s="3876" t="n"/>
      <c r="AH55" s="3876" t="n"/>
      <c r="AI55" s="3876" t="n"/>
      <c r="AJ55" s="3876" t="n"/>
      <c r="AK55" s="3876" t="n"/>
      <c r="AL55" s="3876" t="n"/>
      <c r="AM55" s="3876" t="n"/>
      <c r="AN55" s="3876" t="n"/>
      <c r="AO55" s="3876" t="n"/>
      <c r="AP55" s="3876" t="n"/>
      <c r="AQ55" s="3876" t="n"/>
      <c r="AR55" s="3876" t="n"/>
      <c r="AS55" s="3876" t="n"/>
    </row>
    <row r="56">
      <c r="A56" s="3905" t="n"/>
      <c r="B56" s="3905" t="n"/>
      <c r="C56" s="3905" t="n"/>
      <c r="D56" s="3905" t="n"/>
      <c r="E56" s="3905" t="n"/>
      <c r="F56" s="3905" t="n"/>
      <c r="G56" s="3876" t="n"/>
      <c r="H56" s="3876" t="n"/>
      <c r="I56" s="3876" t="n"/>
      <c r="J56" s="3876" t="n"/>
      <c r="K56" s="3876" t="n"/>
      <c r="L56" s="3876" t="n"/>
      <c r="M56" s="3876" t="n"/>
      <c r="N56" s="3876" t="n"/>
      <c r="O56" s="3876" t="n"/>
      <c r="P56" s="3876" t="n"/>
      <c r="Q56" s="3876" t="n"/>
      <c r="R56" s="3876" t="n"/>
      <c r="S56" s="3876" t="n"/>
      <c r="T56" s="3876" t="n"/>
      <c r="U56" s="3876" t="n"/>
      <c r="V56" s="3876" t="n"/>
      <c r="W56" s="3876" t="n"/>
      <c r="X56" s="3876" t="n"/>
      <c r="Y56" s="3876" t="n"/>
      <c r="Z56" s="3876" t="n"/>
      <c r="AA56" s="3876" t="n"/>
      <c r="AB56" s="3876" t="n"/>
      <c r="AC56" s="3876" t="n"/>
      <c r="AD56" s="3876" t="n"/>
      <c r="AE56" s="3876" t="n"/>
      <c r="AF56" s="3876" t="n"/>
      <c r="AG56" s="3876" t="n"/>
      <c r="AH56" s="3876" t="n"/>
      <c r="AI56" s="3876" t="n"/>
      <c r="AJ56" s="3876" t="n"/>
      <c r="AK56" s="3876" t="n"/>
      <c r="AL56" s="3876" t="n"/>
      <c r="AM56" s="3876" t="n"/>
      <c r="AN56" s="3876" t="n"/>
      <c r="AO56" s="3876" t="n"/>
      <c r="AP56" s="3876" t="n"/>
      <c r="AQ56" s="3876" t="n"/>
      <c r="AR56" s="3876" t="n"/>
      <c r="AS56" s="3876" t="n"/>
    </row>
    <row r="57">
      <c r="A57" s="3905" t="n"/>
      <c r="B57" s="3905" t="n"/>
      <c r="C57" s="3905" t="n"/>
      <c r="D57" s="3905" t="n"/>
      <c r="E57" s="3905" t="n"/>
      <c r="F57" s="3905" t="n"/>
      <c r="G57" s="3876" t="n"/>
      <c r="H57" s="3876" t="n"/>
      <c r="I57" s="3876" t="n"/>
      <c r="J57" s="3876" t="n"/>
      <c r="K57" s="3876" t="n"/>
      <c r="L57" s="3876" t="n"/>
      <c r="M57" s="3876" t="n"/>
      <c r="N57" s="3876" t="n"/>
      <c r="O57" s="3876" t="n"/>
      <c r="P57" s="3876" t="n"/>
      <c r="Q57" s="3876" t="n"/>
      <c r="R57" s="3876" t="n"/>
      <c r="S57" s="3876" t="n"/>
      <c r="T57" s="3876" t="n"/>
      <c r="U57" s="3876" t="n"/>
      <c r="V57" s="3876" t="n"/>
      <c r="W57" s="3876" t="n"/>
      <c r="X57" s="3876" t="n"/>
      <c r="Y57" s="3876" t="n"/>
      <c r="Z57" s="3876" t="n"/>
      <c r="AA57" s="3876" t="n"/>
      <c r="AB57" s="3876" t="n"/>
      <c r="AC57" s="3876" t="n"/>
      <c r="AD57" s="3876" t="n"/>
      <c r="AE57" s="3876" t="n"/>
      <c r="AF57" s="3876" t="n"/>
      <c r="AG57" s="3876" t="n"/>
      <c r="AH57" s="3876" t="n"/>
      <c r="AI57" s="3876" t="n"/>
      <c r="AJ57" s="3876" t="n"/>
      <c r="AK57" s="3876" t="n"/>
      <c r="AL57" s="3876" t="n"/>
      <c r="AM57" s="3876" t="n"/>
      <c r="AN57" s="3876" t="n"/>
      <c r="AO57" s="3876" t="n"/>
      <c r="AP57" s="3876" t="n"/>
      <c r="AQ57" s="3876" t="n"/>
      <c r="AR57" s="3876" t="n"/>
      <c r="AS57" s="3876" t="n"/>
    </row>
    <row r="58">
      <c r="A58" s="3905" t="n"/>
      <c r="B58" s="3905" t="n"/>
      <c r="C58" s="3905" t="n"/>
      <c r="D58" s="3905" t="n"/>
      <c r="E58" s="3905" t="n"/>
      <c r="F58" s="3905" t="n"/>
      <c r="G58" s="3876" t="n"/>
      <c r="H58" s="3876" t="n"/>
      <c r="I58" s="3876" t="n"/>
      <c r="J58" s="3876" t="n"/>
      <c r="K58" s="3876" t="n"/>
      <c r="L58" s="3876" t="n"/>
      <c r="M58" s="3876" t="n"/>
      <c r="N58" s="3876" t="n"/>
      <c r="O58" s="3876" t="n"/>
      <c r="P58" s="3876" t="n"/>
      <c r="Q58" s="3876" t="n"/>
      <c r="R58" s="3876" t="n"/>
      <c r="S58" s="3876" t="n"/>
      <c r="T58" s="3876" t="n"/>
      <c r="U58" s="3876" t="n"/>
      <c r="V58" s="3876" t="n"/>
      <c r="W58" s="3876" t="n"/>
      <c r="X58" s="3876" t="n"/>
      <c r="Y58" s="3876" t="n"/>
      <c r="Z58" s="3876" t="n"/>
      <c r="AA58" s="3876" t="n"/>
      <c r="AB58" s="3876" t="n"/>
      <c r="AC58" s="3876" t="n"/>
      <c r="AD58" s="3876" t="n"/>
      <c r="AE58" s="3876" t="n"/>
      <c r="AF58" s="3876" t="n"/>
      <c r="AG58" s="3876" t="n"/>
      <c r="AH58" s="3876" t="n"/>
      <c r="AI58" s="3876" t="n"/>
      <c r="AJ58" s="3876" t="n"/>
      <c r="AK58" s="3876" t="n"/>
      <c r="AL58" s="3876" t="n"/>
      <c r="AM58" s="3876" t="n"/>
      <c r="AN58" s="3876" t="n"/>
      <c r="AO58" s="3876" t="n"/>
      <c r="AP58" s="3876" t="n"/>
      <c r="AQ58" s="3876" t="n"/>
      <c r="AR58" s="3876" t="n"/>
      <c r="AS58" s="3876" t="n"/>
    </row>
    <row r="59">
      <c r="A59" s="3905" t="n"/>
      <c r="B59" s="3905" t="n"/>
      <c r="C59" s="3905" t="n"/>
      <c r="D59" s="3905" t="n"/>
      <c r="E59" s="3905" t="n"/>
      <c r="F59" s="3905" t="n"/>
      <c r="G59" s="3876" t="n"/>
      <c r="H59" s="3876" t="n"/>
      <c r="I59" s="3876" t="n"/>
      <c r="J59" s="3876" t="n"/>
      <c r="K59" s="3876" t="n"/>
      <c r="L59" s="3876" t="n"/>
      <c r="M59" s="3876" t="n"/>
      <c r="N59" s="3876" t="n"/>
      <c r="O59" s="3876" t="n"/>
      <c r="P59" s="3876" t="n"/>
      <c r="Q59" s="3876" t="n"/>
      <c r="R59" s="3876" t="n"/>
      <c r="S59" s="3876" t="n"/>
      <c r="T59" s="3876" t="n"/>
      <c r="U59" s="3876" t="n"/>
      <c r="V59" s="3876" t="n"/>
      <c r="W59" s="3876" t="n"/>
      <c r="X59" s="3876" t="n"/>
      <c r="Y59" s="3876" t="n"/>
      <c r="Z59" s="3876" t="n"/>
      <c r="AA59" s="3876" t="n"/>
      <c r="AB59" s="3876" t="n"/>
      <c r="AC59" s="3876" t="n"/>
      <c r="AD59" s="3876" t="n"/>
      <c r="AE59" s="3876" t="n"/>
      <c r="AF59" s="3876" t="n"/>
      <c r="AG59" s="3876" t="n"/>
      <c r="AH59" s="3876" t="n"/>
      <c r="AI59" s="3876" t="n"/>
      <c r="AJ59" s="3876" t="n"/>
      <c r="AK59" s="3876" t="n"/>
      <c r="AL59" s="3876" t="n"/>
      <c r="AM59" s="3876" t="n"/>
      <c r="AN59" s="3876" t="n"/>
      <c r="AO59" s="3876" t="n"/>
      <c r="AP59" s="3876" t="n"/>
      <c r="AQ59" s="3876" t="n"/>
      <c r="AR59" s="3876" t="n"/>
      <c r="AS59" s="3876" t="n"/>
    </row>
    <row r="60">
      <c r="A60" s="3905" t="n"/>
      <c r="B60" s="3905" t="n"/>
      <c r="C60" s="3905" t="n"/>
      <c r="D60" s="3905" t="n"/>
      <c r="E60" s="3905" t="n"/>
      <c r="F60" s="3905" t="n"/>
      <c r="G60" s="3876" t="n"/>
      <c r="H60" s="3876" t="n"/>
      <c r="I60" s="3876" t="n"/>
      <c r="J60" s="3876" t="n"/>
      <c r="K60" s="3876" t="n"/>
      <c r="L60" s="3876" t="n"/>
      <c r="M60" s="3876" t="n"/>
      <c r="N60" s="3876" t="n"/>
      <c r="O60" s="3876" t="n"/>
      <c r="P60" s="3876" t="n"/>
      <c r="Q60" s="3876" t="n"/>
      <c r="R60" s="3876" t="n"/>
      <c r="S60" s="3876" t="n"/>
      <c r="T60" s="3876" t="n"/>
      <c r="U60" s="3876" t="n"/>
      <c r="V60" s="3876" t="n"/>
      <c r="W60" s="3876" t="n"/>
      <c r="X60" s="3876" t="n"/>
      <c r="Y60" s="3876" t="n"/>
      <c r="Z60" s="3876" t="n"/>
      <c r="AA60" s="3876" t="n"/>
      <c r="AB60" s="3876" t="n"/>
      <c r="AC60" s="3876" t="n"/>
      <c r="AD60" s="3876" t="n"/>
      <c r="AE60" s="3876" t="n"/>
      <c r="AF60" s="3876" t="n"/>
      <c r="AG60" s="3876" t="n"/>
      <c r="AH60" s="3876" t="n"/>
      <c r="AI60" s="3876" t="n"/>
      <c r="AJ60" s="3876" t="n"/>
      <c r="AK60" s="3876" t="n"/>
      <c r="AL60" s="3876" t="n"/>
      <c r="AM60" s="3876" t="n"/>
      <c r="AN60" s="3876" t="n"/>
      <c r="AO60" s="3876" t="n"/>
      <c r="AP60" s="3876" t="n"/>
      <c r="AQ60" s="3876" t="n"/>
      <c r="AR60" s="3876" t="n"/>
      <c r="AS60" s="3876" t="n"/>
    </row>
    <row r="61">
      <c r="A61" s="3905" t="n"/>
      <c r="B61" s="3905" t="n"/>
      <c r="C61" s="3905" t="n"/>
      <c r="D61" s="3905" t="n"/>
      <c r="E61" s="3905" t="n"/>
      <c r="F61" s="3905" t="n"/>
      <c r="G61" s="3876" t="n"/>
      <c r="H61" s="3876" t="n"/>
      <c r="I61" s="3876" t="n"/>
      <c r="J61" s="3876" t="n"/>
      <c r="K61" s="3876" t="n"/>
      <c r="L61" s="3876" t="n"/>
      <c r="M61" s="3876" t="n"/>
      <c r="N61" s="3876" t="n"/>
      <c r="O61" s="3876" t="n"/>
      <c r="P61" s="3876" t="n"/>
      <c r="Q61" s="3876" t="n"/>
      <c r="R61" s="3876" t="n"/>
      <c r="S61" s="3876" t="n"/>
      <c r="T61" s="3876" t="n"/>
      <c r="U61" s="3876" t="n"/>
      <c r="V61" s="3876" t="n"/>
      <c r="W61" s="3876" t="n"/>
      <c r="X61" s="3876" t="n"/>
      <c r="Y61" s="3876" t="n"/>
      <c r="Z61" s="3876" t="n"/>
      <c r="AA61" s="3876" t="n"/>
      <c r="AB61" s="3876" t="n"/>
      <c r="AC61" s="3876" t="n"/>
      <c r="AD61" s="3876" t="n"/>
      <c r="AE61" s="3876" t="n"/>
      <c r="AF61" s="3876" t="n"/>
      <c r="AG61" s="3876" t="n"/>
      <c r="AH61" s="3876" t="n"/>
      <c r="AI61" s="3876" t="n"/>
      <c r="AJ61" s="3876" t="n"/>
      <c r="AK61" s="3876" t="n"/>
      <c r="AL61" s="3876" t="n"/>
      <c r="AM61" s="3876" t="n"/>
      <c r="AN61" s="3876" t="n"/>
      <c r="AO61" s="3876" t="n"/>
      <c r="AP61" s="3876" t="n"/>
      <c r="AQ61" s="3876" t="n"/>
      <c r="AR61" s="3876" t="n"/>
      <c r="AS61" s="3876" t="n"/>
    </row>
    <row r="62">
      <c r="A62" s="3905" t="n"/>
      <c r="B62" s="3905" t="n"/>
      <c r="C62" s="3905" t="n"/>
      <c r="D62" s="3905" t="n"/>
      <c r="E62" s="3905" t="n"/>
      <c r="F62" s="3905" t="n"/>
      <c r="G62" s="3876" t="n"/>
      <c r="H62" s="3876" t="n"/>
      <c r="I62" s="3876" t="n"/>
      <c r="J62" s="3876" t="n"/>
      <c r="K62" s="3876" t="n"/>
      <c r="L62" s="3876" t="n"/>
      <c r="M62" s="3876" t="n"/>
      <c r="N62" s="3876" t="n"/>
      <c r="O62" s="3876" t="n"/>
      <c r="P62" s="3876" t="n"/>
      <c r="Q62" s="3876" t="n"/>
      <c r="R62" s="3876" t="n"/>
      <c r="S62" s="3876" t="n"/>
      <c r="T62" s="3876" t="n"/>
      <c r="U62" s="3876" t="n"/>
      <c r="V62" s="3876" t="n"/>
      <c r="W62" s="3876" t="n"/>
      <c r="X62" s="3876" t="n"/>
      <c r="Y62" s="3876" t="n"/>
      <c r="Z62" s="3876" t="n"/>
      <c r="AA62" s="3876" t="n"/>
      <c r="AB62" s="3876" t="n"/>
      <c r="AC62" s="3876" t="n"/>
      <c r="AD62" s="3876" t="n"/>
      <c r="AE62" s="3876" t="n"/>
      <c r="AF62" s="3876" t="n"/>
      <c r="AG62" s="3876" t="n"/>
      <c r="AH62" s="3876" t="n"/>
      <c r="AI62" s="3876" t="n"/>
      <c r="AJ62" s="3876" t="n"/>
      <c r="AK62" s="3876" t="n"/>
      <c r="AL62" s="3876" t="n"/>
      <c r="AM62" s="3876" t="n"/>
      <c r="AN62" s="3876" t="n"/>
      <c r="AO62" s="3876" t="n"/>
      <c r="AP62" s="3876" t="n"/>
      <c r="AQ62" s="3876" t="n"/>
      <c r="AR62" s="3876" t="n"/>
      <c r="AS62" s="3876" t="n"/>
    </row>
    <row r="63">
      <c r="A63" s="3905" t="n"/>
      <c r="B63" s="3905" t="n"/>
      <c r="C63" s="3905" t="n"/>
      <c r="D63" s="3905" t="n"/>
      <c r="E63" s="3905" t="n"/>
      <c r="F63" s="3905" t="n"/>
      <c r="G63" s="3876" t="n"/>
      <c r="H63" s="3876" t="n"/>
      <c r="I63" s="3876" t="n"/>
      <c r="J63" s="3876" t="n"/>
      <c r="K63" s="3876" t="n"/>
      <c r="L63" s="3876" t="n"/>
      <c r="M63" s="3876" t="n"/>
      <c r="N63" s="3876" t="n"/>
      <c r="O63" s="3876" t="n"/>
      <c r="P63" s="3876" t="n"/>
      <c r="Q63" s="3876" t="n"/>
      <c r="R63" s="3876" t="n"/>
      <c r="S63" s="3876" t="n"/>
      <c r="T63" s="3876" t="n"/>
      <c r="U63" s="3876" t="n"/>
      <c r="V63" s="3876" t="n"/>
      <c r="W63" s="3876" t="n"/>
      <c r="X63" s="3876" t="n"/>
      <c r="Y63" s="3876" t="n"/>
      <c r="Z63" s="3876" t="n"/>
      <c r="AA63" s="3876" t="n"/>
      <c r="AB63" s="3876" t="n"/>
      <c r="AC63" s="3876" t="n"/>
      <c r="AD63" s="3876" t="n"/>
      <c r="AE63" s="3876" t="n"/>
      <c r="AF63" s="3876" t="n"/>
      <c r="AG63" s="3876" t="n"/>
      <c r="AH63" s="3876" t="n"/>
      <c r="AI63" s="3876" t="n"/>
      <c r="AJ63" s="3876" t="n"/>
      <c r="AK63" s="3876" t="n"/>
      <c r="AL63" s="3876" t="n"/>
      <c r="AM63" s="3876" t="n"/>
      <c r="AN63" s="3876" t="n"/>
      <c r="AO63" s="3876" t="n"/>
      <c r="AP63" s="3876" t="n"/>
      <c r="AQ63" s="3876" t="n"/>
      <c r="AR63" s="3876" t="n"/>
      <c r="AS63" s="3876" t="n"/>
    </row>
    <row r="64">
      <c r="A64" s="3905" t="n"/>
      <c r="B64" s="3905" t="n"/>
      <c r="C64" s="3905" t="n"/>
      <c r="D64" s="3905" t="n"/>
      <c r="E64" s="3905" t="n"/>
      <c r="F64" s="3905" t="n"/>
      <c r="G64" s="3876" t="n"/>
      <c r="H64" s="3876" t="n"/>
      <c r="I64" s="3876" t="n"/>
      <c r="J64" s="3876" t="n"/>
      <c r="K64" s="3876" t="n"/>
      <c r="L64" s="3876" t="n"/>
      <c r="M64" s="3876" t="n"/>
      <c r="N64" s="3876" t="n"/>
      <c r="O64" s="3876" t="n"/>
      <c r="P64" s="3876" t="n"/>
      <c r="Q64" s="3876" t="n"/>
      <c r="R64" s="3876" t="n"/>
      <c r="S64" s="3876" t="n"/>
      <c r="T64" s="3876" t="n"/>
      <c r="U64" s="3876" t="n"/>
      <c r="V64" s="3876" t="n"/>
      <c r="W64" s="3876" t="n"/>
      <c r="X64" s="3876" t="n"/>
      <c r="Y64" s="3876" t="n"/>
      <c r="Z64" s="3876" t="n"/>
      <c r="AA64" s="3876" t="n"/>
      <c r="AB64" s="3876" t="n"/>
      <c r="AC64" s="3876" t="n"/>
      <c r="AD64" s="3876" t="n"/>
      <c r="AE64" s="3876" t="n"/>
      <c r="AF64" s="3876" t="n"/>
      <c r="AG64" s="3876" t="n"/>
      <c r="AH64" s="3876" t="n"/>
      <c r="AI64" s="3876" t="n"/>
      <c r="AJ64" s="3876" t="n"/>
      <c r="AK64" s="3876" t="n"/>
      <c r="AL64" s="3876" t="n"/>
      <c r="AM64" s="3876" t="n"/>
      <c r="AN64" s="3876" t="n"/>
      <c r="AO64" s="3876" t="n"/>
      <c r="AP64" s="3876" t="n"/>
      <c r="AQ64" s="3876" t="n"/>
      <c r="AR64" s="3876" t="n"/>
      <c r="AS64" s="3876" t="n"/>
    </row>
    <row r="65">
      <c r="A65" s="3905" t="n"/>
      <c r="B65" s="3905" t="n"/>
      <c r="C65" s="3905" t="n"/>
      <c r="D65" s="3905" t="n"/>
      <c r="E65" s="3905" t="n"/>
      <c r="F65" s="3905" t="n"/>
      <c r="G65" s="3876" t="n"/>
      <c r="H65" s="3876" t="n"/>
      <c r="I65" s="3876" t="n"/>
      <c r="J65" s="3876" t="n"/>
      <c r="K65" s="3876" t="n"/>
      <c r="L65" s="3876" t="n"/>
      <c r="M65" s="3876" t="n"/>
      <c r="N65" s="3876" t="n"/>
      <c r="O65" s="3876" t="n"/>
      <c r="P65" s="3876" t="n"/>
      <c r="Q65" s="3876" t="n"/>
      <c r="R65" s="3876" t="n"/>
      <c r="S65" s="3876" t="n"/>
      <c r="T65" s="3876" t="n"/>
      <c r="U65" s="3876" t="n"/>
      <c r="V65" s="3876" t="n"/>
      <c r="W65" s="3876" t="n"/>
      <c r="X65" s="3876" t="n"/>
      <c r="Y65" s="3876" t="n"/>
      <c r="Z65" s="3876" t="n"/>
      <c r="AA65" s="3876" t="n"/>
      <c r="AB65" s="3876" t="n"/>
      <c r="AC65" s="3876" t="n"/>
      <c r="AD65" s="3876" t="n"/>
      <c r="AE65" s="3876" t="n"/>
      <c r="AF65" s="3876" t="n"/>
      <c r="AG65" s="3876" t="n"/>
      <c r="AH65" s="3876" t="n"/>
      <c r="AI65" s="3876" t="n"/>
      <c r="AJ65" s="3876" t="n"/>
      <c r="AK65" s="3876" t="n"/>
      <c r="AL65" s="3876" t="n"/>
      <c r="AM65" s="3876" t="n"/>
      <c r="AN65" s="3876" t="n"/>
      <c r="AO65" s="3876" t="n"/>
      <c r="AP65" s="3876" t="n"/>
      <c r="AQ65" s="3876" t="n"/>
      <c r="AR65" s="3876" t="n"/>
      <c r="AS65" s="3876" t="n"/>
    </row>
    <row r="66">
      <c r="A66" s="3905" t="n"/>
      <c r="B66" s="3905" t="n"/>
      <c r="C66" s="3905" t="n"/>
      <c r="D66" s="3905" t="n"/>
      <c r="E66" s="3905" t="n"/>
      <c r="F66" s="3905" t="n"/>
      <c r="G66" s="3876" t="n"/>
      <c r="H66" s="3876" t="n"/>
      <c r="I66" s="3876" t="n"/>
      <c r="J66" s="3876" t="n"/>
      <c r="K66" s="3876" t="n"/>
      <c r="L66" s="3876" t="n"/>
      <c r="M66" s="3876" t="n"/>
      <c r="N66" s="3876" t="n"/>
      <c r="O66" s="3876" t="n"/>
      <c r="P66" s="3876" t="n"/>
      <c r="Q66" s="3876" t="n"/>
      <c r="R66" s="3876" t="n"/>
      <c r="S66" s="3876" t="n"/>
      <c r="T66" s="3876" t="n"/>
      <c r="U66" s="3876" t="n"/>
      <c r="V66" s="3876" t="n"/>
      <c r="W66" s="3876" t="n"/>
      <c r="X66" s="3876" t="n"/>
      <c r="Y66" s="3876" t="n"/>
      <c r="Z66" s="3876" t="n"/>
      <c r="AA66" s="3876" t="n"/>
      <c r="AB66" s="3876" t="n"/>
      <c r="AC66" s="3876" t="n"/>
      <c r="AD66" s="3876" t="n"/>
      <c r="AE66" s="3876" t="n"/>
      <c r="AF66" s="3876" t="n"/>
      <c r="AG66" s="3876" t="n"/>
      <c r="AH66" s="3876" t="n"/>
      <c r="AI66" s="3876" t="n"/>
      <c r="AJ66" s="3876" t="n"/>
      <c r="AK66" s="3876" t="n"/>
      <c r="AL66" s="3876" t="n"/>
      <c r="AM66" s="3876" t="n"/>
      <c r="AN66" s="3876" t="n"/>
      <c r="AO66" s="3876" t="n"/>
      <c r="AP66" s="3876" t="n"/>
      <c r="AQ66" s="3876" t="n"/>
      <c r="AR66" s="3876" t="n"/>
      <c r="AS66" s="3876" t="n"/>
    </row>
    <row r="67">
      <c r="A67" s="3905" t="n"/>
      <c r="B67" s="3905" t="n"/>
      <c r="C67" s="3905" t="n"/>
      <c r="D67" s="3905" t="n"/>
      <c r="E67" s="3905" t="n"/>
      <c r="F67" s="3905" t="n"/>
      <c r="G67" s="3876" t="n"/>
      <c r="H67" s="3876" t="n"/>
      <c r="I67" s="3876" t="n"/>
      <c r="J67" s="3876" t="n"/>
      <c r="K67" s="3876" t="n"/>
      <c r="L67" s="3876" t="n"/>
      <c r="M67" s="3876" t="n"/>
      <c r="N67" s="3876" t="n"/>
      <c r="O67" s="3876" t="n"/>
      <c r="P67" s="3876" t="n"/>
      <c r="Q67" s="3876" t="n"/>
      <c r="R67" s="3876" t="n"/>
      <c r="S67" s="3876" t="n"/>
      <c r="T67" s="3876" t="n"/>
      <c r="U67" s="3876" t="n"/>
      <c r="V67" s="3876" t="n"/>
      <c r="W67" s="3876" t="n"/>
      <c r="X67" s="3876" t="n"/>
      <c r="Y67" s="3876" t="n"/>
      <c r="Z67" s="3876" t="n"/>
      <c r="AA67" s="3876" t="n"/>
      <c r="AB67" s="3876" t="n"/>
      <c r="AC67" s="3876" t="n"/>
      <c r="AD67" s="3876" t="n"/>
      <c r="AE67" s="3876" t="n"/>
      <c r="AF67" s="3876" t="n"/>
      <c r="AG67" s="3876" t="n"/>
      <c r="AH67" s="3876" t="n"/>
      <c r="AI67" s="3876" t="n"/>
      <c r="AJ67" s="3876" t="n"/>
      <c r="AK67" s="3876" t="n"/>
      <c r="AL67" s="3876" t="n"/>
      <c r="AM67" s="3876" t="n"/>
      <c r="AN67" s="3876" t="n"/>
      <c r="AO67" s="3876" t="n"/>
      <c r="AP67" s="3876" t="n"/>
      <c r="AQ67" s="3876" t="n"/>
      <c r="AR67" s="3876" t="n"/>
      <c r="AS67" s="3876" t="n"/>
    </row>
    <row r="68">
      <c r="A68" s="3905" t="n"/>
      <c r="B68" s="3905" t="n"/>
      <c r="C68" s="3905" t="n"/>
      <c r="D68" s="3905" t="n"/>
      <c r="E68" s="3905" t="n"/>
      <c r="F68" s="3905" t="n"/>
      <c r="G68" s="3876" t="n"/>
      <c r="H68" s="3876" t="n"/>
      <c r="I68" s="3876" t="n"/>
      <c r="J68" s="3876" t="n"/>
      <c r="K68" s="3876" t="n"/>
      <c r="L68" s="3876" t="n"/>
      <c r="M68" s="3876" t="n"/>
      <c r="N68" s="3876" t="n"/>
      <c r="O68" s="3876" t="n"/>
      <c r="P68" s="3876" t="n"/>
      <c r="Q68" s="3876" t="n"/>
      <c r="R68" s="3876" t="n"/>
      <c r="S68" s="3876" t="n"/>
      <c r="T68" s="3876" t="n"/>
      <c r="U68" s="3876" t="n"/>
      <c r="V68" s="3876" t="n"/>
      <c r="W68" s="3876" t="n"/>
      <c r="X68" s="3876" t="n"/>
      <c r="Y68" s="3876" t="n"/>
      <c r="Z68" s="3876" t="n"/>
      <c r="AA68" s="3876" t="n"/>
      <c r="AB68" s="3876" t="n"/>
      <c r="AC68" s="3876" t="n"/>
      <c r="AD68" s="3876" t="n"/>
      <c r="AE68" s="3876" t="n"/>
      <c r="AF68" s="3876" t="n"/>
      <c r="AG68" s="3876" t="n"/>
      <c r="AH68" s="3876" t="n"/>
      <c r="AI68" s="3876" t="n"/>
      <c r="AJ68" s="3876" t="n"/>
      <c r="AK68" s="3876" t="n"/>
      <c r="AL68" s="3876" t="n"/>
      <c r="AM68" s="3876" t="n"/>
      <c r="AN68" s="3876" t="n"/>
      <c r="AO68" s="3876" t="n"/>
      <c r="AP68" s="3876" t="n"/>
      <c r="AQ68" s="3876" t="n"/>
      <c r="AR68" s="3876" t="n"/>
      <c r="AS68" s="3876" t="n"/>
    </row>
    <row r="69">
      <c r="A69" s="3905" t="n"/>
      <c r="B69" s="3905" t="n"/>
      <c r="C69" s="3905" t="n"/>
      <c r="D69" s="3905" t="n"/>
      <c r="E69" s="3905" t="n"/>
      <c r="F69" s="3905" t="n"/>
      <c r="G69" s="3876" t="n"/>
      <c r="H69" s="3876" t="n"/>
      <c r="I69" s="3876" t="n"/>
      <c r="J69" s="3876" t="n"/>
      <c r="K69" s="3876" t="n"/>
      <c r="L69" s="3876" t="n"/>
      <c r="M69" s="3876" t="n"/>
      <c r="N69" s="3876" t="n"/>
      <c r="O69" s="3876" t="n"/>
      <c r="P69" s="3876" t="n"/>
      <c r="Q69" s="3876" t="n"/>
      <c r="R69" s="3876" t="n"/>
      <c r="S69" s="3876" t="n"/>
      <c r="T69" s="3876" t="n"/>
      <c r="U69" s="3876" t="n"/>
      <c r="V69" s="3876" t="n"/>
      <c r="W69" s="3876" t="n"/>
      <c r="X69" s="3876" t="n"/>
      <c r="Y69" s="3876" t="n"/>
      <c r="Z69" s="3876" t="n"/>
      <c r="AA69" s="3876" t="n"/>
      <c r="AB69" s="3876" t="n"/>
      <c r="AC69" s="3876" t="n"/>
      <c r="AD69" s="3876" t="n"/>
      <c r="AE69" s="3876" t="n"/>
      <c r="AF69" s="3876" t="n"/>
      <c r="AG69" s="3876" t="n"/>
      <c r="AH69" s="3876" t="n"/>
      <c r="AI69" s="3876" t="n"/>
      <c r="AJ69" s="3876" t="n"/>
      <c r="AK69" s="3876" t="n"/>
      <c r="AL69" s="3876" t="n"/>
      <c r="AM69" s="3876" t="n"/>
      <c r="AN69" s="3876" t="n"/>
      <c r="AO69" s="3876" t="n"/>
      <c r="AP69" s="3876" t="n"/>
      <c r="AQ69" s="3876" t="n"/>
      <c r="AR69" s="3876" t="n"/>
      <c r="AS69" s="3876" t="n"/>
    </row>
    <row r="70">
      <c r="A70" s="3905" t="n"/>
      <c r="B70" s="3905" t="n"/>
      <c r="C70" s="3905" t="n"/>
      <c r="D70" s="3905" t="n"/>
      <c r="E70" s="3905" t="n"/>
      <c r="F70" s="3905" t="n"/>
      <c r="G70" s="3876" t="n"/>
      <c r="H70" s="3876" t="n"/>
      <c r="I70" s="3876" t="n"/>
      <c r="J70" s="3876" t="n"/>
      <c r="K70" s="3876" t="n"/>
      <c r="L70" s="3876" t="n"/>
      <c r="M70" s="3876" t="n"/>
      <c r="N70" s="3876" t="n"/>
      <c r="O70" s="3876" t="n"/>
      <c r="P70" s="3876" t="n"/>
      <c r="Q70" s="3876" t="n"/>
      <c r="R70" s="3876" t="n"/>
      <c r="S70" s="3876" t="n"/>
      <c r="T70" s="3876" t="n"/>
      <c r="U70" s="3876" t="n"/>
      <c r="V70" s="3876" t="n"/>
      <c r="W70" s="3876" t="n"/>
      <c r="X70" s="3876" t="n"/>
      <c r="Y70" s="3876" t="n"/>
      <c r="Z70" s="3876" t="n"/>
      <c r="AA70" s="3876" t="n"/>
      <c r="AB70" s="3876" t="n"/>
      <c r="AC70" s="3876" t="n"/>
      <c r="AD70" s="3876" t="n"/>
      <c r="AE70" s="3876" t="n"/>
      <c r="AF70" s="3876" t="n"/>
      <c r="AG70" s="3876" t="n"/>
      <c r="AH70" s="3876" t="n"/>
      <c r="AI70" s="3876" t="n"/>
      <c r="AJ70" s="3876" t="n"/>
      <c r="AK70" s="3876" t="n"/>
      <c r="AL70" s="3876" t="n"/>
      <c r="AM70" s="3876" t="n"/>
      <c r="AN70" s="3876" t="n"/>
      <c r="AO70" s="3876" t="n"/>
      <c r="AP70" s="3876" t="n"/>
      <c r="AQ70" s="3876" t="n"/>
      <c r="AR70" s="3876" t="n"/>
      <c r="AS70" s="3876" t="n"/>
    </row>
    <row r="71">
      <c r="A71" s="3905" t="n"/>
      <c r="B71" s="3905" t="n"/>
      <c r="C71" s="3905" t="n"/>
      <c r="D71" s="3905" t="n"/>
      <c r="E71" s="3905" t="n"/>
      <c r="F71" s="3905" t="n"/>
      <c r="G71" s="3876" t="n"/>
      <c r="H71" s="3876" t="n"/>
      <c r="I71" s="3876" t="n"/>
      <c r="J71" s="3876" t="n"/>
      <c r="K71" s="3876" t="n"/>
      <c r="L71" s="3876" t="n"/>
      <c r="M71" s="3876" t="n"/>
      <c r="N71" s="3876" t="n"/>
      <c r="O71" s="3876" t="n"/>
      <c r="P71" s="3876" t="n"/>
      <c r="Q71" s="3876" t="n"/>
      <c r="R71" s="3876" t="n"/>
      <c r="S71" s="3876" t="n"/>
      <c r="T71" s="3876" t="n"/>
      <c r="U71" s="3876" t="n"/>
      <c r="V71" s="3876" t="n"/>
      <c r="W71" s="3876" t="n"/>
      <c r="X71" s="3876" t="n"/>
      <c r="Y71" s="3876" t="n"/>
      <c r="Z71" s="3876" t="n"/>
      <c r="AA71" s="3876" t="n"/>
      <c r="AB71" s="3876" t="n"/>
      <c r="AC71" s="3876" t="n"/>
      <c r="AD71" s="3876" t="n"/>
      <c r="AE71" s="3876" t="n"/>
      <c r="AF71" s="3876" t="n"/>
      <c r="AG71" s="3876" t="n"/>
      <c r="AH71" s="3876" t="n"/>
      <c r="AI71" s="3876" t="n"/>
      <c r="AJ71" s="3876" t="n"/>
      <c r="AK71" s="3876" t="n"/>
      <c r="AL71" s="3876" t="n"/>
      <c r="AM71" s="3876" t="n"/>
      <c r="AN71" s="3876" t="n"/>
      <c r="AO71" s="3876" t="n"/>
      <c r="AP71" s="3876" t="n"/>
      <c r="AQ71" s="3876" t="n"/>
      <c r="AR71" s="3876" t="n"/>
      <c r="AS71" s="3876" t="n"/>
    </row>
    <row r="72">
      <c r="A72" s="3905" t="n"/>
      <c r="B72" s="3905" t="n"/>
      <c r="C72" s="3905" t="n"/>
      <c r="D72" s="3905" t="n"/>
      <c r="E72" s="3905" t="n"/>
      <c r="F72" s="3905" t="n"/>
      <c r="G72" s="3876" t="n"/>
      <c r="H72" s="3876" t="n"/>
      <c r="I72" s="3876" t="n"/>
      <c r="J72" s="3876" t="n"/>
      <c r="K72" s="3876" t="n"/>
      <c r="L72" s="3876" t="n"/>
      <c r="M72" s="3876" t="n"/>
      <c r="N72" s="3876" t="n"/>
      <c r="O72" s="3876" t="n"/>
      <c r="P72" s="3876" t="n"/>
      <c r="Q72" s="3876" t="n"/>
      <c r="R72" s="3876" t="n"/>
      <c r="S72" s="3876" t="n"/>
      <c r="T72" s="3876" t="n"/>
      <c r="U72" s="3876" t="n"/>
      <c r="V72" s="3876" t="n"/>
      <c r="W72" s="3876" t="n"/>
      <c r="X72" s="3876" t="n"/>
      <c r="Y72" s="3876" t="n"/>
      <c r="Z72" s="3876" t="n"/>
      <c r="AA72" s="3876" t="n"/>
      <c r="AB72" s="3876" t="n"/>
      <c r="AC72" s="3876" t="n"/>
      <c r="AD72" s="3876" t="n"/>
      <c r="AE72" s="3876" t="n"/>
      <c r="AF72" s="3876" t="n"/>
      <c r="AG72" s="3876" t="n"/>
      <c r="AH72" s="3876" t="n"/>
      <c r="AI72" s="3876" t="n"/>
      <c r="AJ72" s="3876" t="n"/>
      <c r="AK72" s="3876" t="n"/>
      <c r="AL72" s="3876" t="n"/>
      <c r="AM72" s="3876" t="n"/>
      <c r="AN72" s="3876" t="n"/>
      <c r="AO72" s="3876" t="n"/>
      <c r="AP72" s="3876" t="n"/>
      <c r="AQ72" s="3876" t="n"/>
      <c r="AR72" s="3876" t="n"/>
      <c r="AS72" s="3876" t="n"/>
    </row>
    <row r="73">
      <c r="A73" s="3905" t="n"/>
      <c r="B73" s="3905" t="n"/>
      <c r="C73" s="3905" t="n"/>
      <c r="D73" s="3905" t="n"/>
      <c r="E73" s="3905" t="n"/>
      <c r="F73" s="3905" t="n"/>
      <c r="G73" s="3876" t="n"/>
      <c r="H73" s="3876" t="n"/>
      <c r="I73" s="3876" t="n"/>
      <c r="J73" s="3876" t="n"/>
      <c r="K73" s="3876" t="n"/>
      <c r="L73" s="3876" t="n"/>
      <c r="M73" s="3876" t="n"/>
      <c r="N73" s="3876" t="n"/>
      <c r="O73" s="3876" t="n"/>
      <c r="P73" s="3876" t="n"/>
      <c r="Q73" s="3876" t="n"/>
      <c r="R73" s="3876" t="n"/>
      <c r="S73" s="3876" t="n"/>
      <c r="T73" s="3876" t="n"/>
      <c r="U73" s="3876" t="n"/>
      <c r="V73" s="3876" t="n"/>
      <c r="W73" s="3876" t="n"/>
      <c r="X73" s="3876" t="n"/>
      <c r="Y73" s="3876" t="n"/>
      <c r="Z73" s="3876" t="n"/>
      <c r="AA73" s="3876" t="n"/>
      <c r="AB73" s="3876" t="n"/>
      <c r="AC73" s="3876" t="n"/>
      <c r="AD73" s="3876" t="n"/>
      <c r="AE73" s="3876" t="n"/>
      <c r="AF73" s="3876" t="n"/>
      <c r="AG73" s="3876" t="n"/>
      <c r="AH73" s="3876" t="n"/>
      <c r="AI73" s="3876" t="n"/>
      <c r="AJ73" s="3876" t="n"/>
      <c r="AK73" s="3876" t="n"/>
      <c r="AL73" s="3876" t="n"/>
      <c r="AM73" s="3876" t="n"/>
      <c r="AN73" s="3876" t="n"/>
      <c r="AO73" s="3876" t="n"/>
      <c r="AP73" s="3876" t="n"/>
      <c r="AQ73" s="3876" t="n"/>
      <c r="AR73" s="3876" t="n"/>
      <c r="AS73" s="3876" t="n"/>
    </row>
    <row r="74">
      <c r="A74" s="3905" t="n"/>
      <c r="B74" s="3905" t="n"/>
      <c r="C74" s="3905" t="n"/>
      <c r="D74" s="3905" t="n"/>
      <c r="E74" s="3905" t="n"/>
      <c r="F74" s="3905" t="n"/>
      <c r="G74" s="3876" t="n"/>
      <c r="H74" s="3876" t="n"/>
      <c r="I74" s="3876" t="n"/>
      <c r="J74" s="3876" t="n"/>
      <c r="K74" s="3876" t="n"/>
      <c r="L74" s="3876" t="n"/>
      <c r="M74" s="3876" t="n"/>
      <c r="N74" s="3876" t="n"/>
      <c r="O74" s="3876" t="n"/>
      <c r="P74" s="3876" t="n"/>
      <c r="Q74" s="3876" t="n"/>
      <c r="R74" s="3876" t="n"/>
      <c r="S74" s="3876" t="n"/>
      <c r="T74" s="3876" t="n"/>
      <c r="U74" s="3876" t="n"/>
      <c r="V74" s="3876" t="n"/>
      <c r="W74" s="3876" t="n"/>
      <c r="X74" s="3876" t="n"/>
      <c r="Y74" s="3876" t="n"/>
      <c r="Z74" s="3876" t="n"/>
      <c r="AA74" s="3876" t="n"/>
      <c r="AB74" s="3876" t="n"/>
      <c r="AC74" s="3876" t="n"/>
      <c r="AD74" s="3876" t="n"/>
      <c r="AE74" s="3876" t="n"/>
      <c r="AF74" s="3876" t="n"/>
      <c r="AG74" s="3876" t="n"/>
      <c r="AH74" s="3876" t="n"/>
      <c r="AI74" s="3876" t="n"/>
      <c r="AJ74" s="3876" t="n"/>
      <c r="AK74" s="3876" t="n"/>
      <c r="AL74" s="3876" t="n"/>
      <c r="AM74" s="3876" t="n"/>
      <c r="AN74" s="3876" t="n"/>
      <c r="AO74" s="3876" t="n"/>
      <c r="AP74" s="3876" t="n"/>
      <c r="AQ74" s="3876" t="n"/>
      <c r="AR74" s="3876" t="n"/>
      <c r="AS74" s="3876" t="n"/>
    </row>
    <row r="75">
      <c r="A75" s="3905" t="n"/>
      <c r="B75" s="3905" t="n"/>
      <c r="C75" s="3905" t="n"/>
      <c r="D75" s="3905" t="n"/>
      <c r="E75" s="3905" t="n"/>
      <c r="F75" s="3905" t="n"/>
      <c r="G75" s="3876" t="n"/>
      <c r="H75" s="3876" t="n"/>
      <c r="I75" s="3876" t="n"/>
      <c r="J75" s="3876" t="n"/>
      <c r="K75" s="3876" t="n"/>
      <c r="L75" s="3876" t="n"/>
      <c r="M75" s="3876" t="n"/>
      <c r="N75" s="3876" t="n"/>
      <c r="O75" s="3876" t="n"/>
      <c r="P75" s="3876" t="n"/>
      <c r="Q75" s="3876" t="n"/>
      <c r="R75" s="3876" t="n"/>
      <c r="S75" s="3876" t="n"/>
      <c r="T75" s="3876" t="n"/>
      <c r="U75" s="3876" t="n"/>
      <c r="V75" s="3876" t="n"/>
      <c r="W75" s="3876" t="n"/>
      <c r="X75" s="3876" t="n"/>
      <c r="Y75" s="3876" t="n"/>
      <c r="Z75" s="3876" t="n"/>
      <c r="AA75" s="3876" t="n"/>
      <c r="AB75" s="3876" t="n"/>
      <c r="AC75" s="3876" t="n"/>
      <c r="AD75" s="3876" t="n"/>
      <c r="AE75" s="3876" t="n"/>
      <c r="AF75" s="3876" t="n"/>
      <c r="AG75" s="3876" t="n"/>
      <c r="AH75" s="3876" t="n"/>
      <c r="AI75" s="3876" t="n"/>
      <c r="AJ75" s="3876" t="n"/>
      <c r="AK75" s="3876" t="n"/>
      <c r="AL75" s="3876" t="n"/>
      <c r="AM75" s="3876" t="n"/>
      <c r="AN75" s="3876" t="n"/>
      <c r="AO75" s="3876" t="n"/>
      <c r="AP75" s="3876" t="n"/>
      <c r="AQ75" s="3876" t="n"/>
      <c r="AR75" s="3876" t="n"/>
      <c r="AS75" s="3876" t="n"/>
    </row>
    <row r="76">
      <c r="A76" s="3905" t="n"/>
      <c r="B76" s="3905" t="n"/>
      <c r="C76" s="3905" t="n"/>
      <c r="D76" s="3905" t="n"/>
      <c r="E76" s="3905" t="n"/>
      <c r="F76" s="3905" t="n"/>
      <c r="G76" s="3876" t="n"/>
      <c r="H76" s="3876" t="n"/>
      <c r="I76" s="3876" t="n"/>
      <c r="J76" s="3876" t="n"/>
      <c r="K76" s="3876" t="n"/>
      <c r="L76" s="3876" t="n"/>
      <c r="M76" s="3876" t="n"/>
      <c r="N76" s="3876" t="n"/>
      <c r="O76" s="3876" t="n"/>
      <c r="P76" s="3876" t="n"/>
      <c r="Q76" s="3876" t="n"/>
      <c r="R76" s="3876" t="n"/>
      <c r="S76" s="3876" t="n"/>
      <c r="T76" s="3876" t="n"/>
      <c r="U76" s="3876" t="n"/>
      <c r="V76" s="3876" t="n"/>
      <c r="W76" s="3876" t="n"/>
      <c r="X76" s="3876" t="n"/>
      <c r="Y76" s="3876" t="n"/>
      <c r="Z76" s="3876" t="n"/>
      <c r="AA76" s="3876" t="n"/>
      <c r="AB76" s="3876" t="n"/>
      <c r="AC76" s="3876" t="n"/>
      <c r="AD76" s="3876" t="n"/>
      <c r="AE76" s="3876" t="n"/>
      <c r="AF76" s="3876" t="n"/>
      <c r="AG76" s="3876" t="n"/>
      <c r="AH76" s="3876" t="n"/>
      <c r="AI76" s="3876" t="n"/>
      <c r="AJ76" s="3876" t="n"/>
      <c r="AK76" s="3876" t="n"/>
      <c r="AL76" s="3876" t="n"/>
      <c r="AM76" s="3876" t="n"/>
      <c r="AN76" s="3876" t="n"/>
      <c r="AO76" s="3876" t="n"/>
      <c r="AP76" s="3876" t="n"/>
      <c r="AQ76" s="3876" t="n"/>
      <c r="AR76" s="3876" t="n"/>
      <c r="AS76" s="3876" t="n"/>
    </row>
    <row r="77">
      <c r="A77" s="3905" t="n"/>
      <c r="B77" s="3905" t="n"/>
      <c r="C77" s="3905" t="n"/>
      <c r="D77" s="3905" t="n"/>
      <c r="E77" s="3905" t="n"/>
      <c r="F77" s="3905" t="n"/>
      <c r="G77" s="3876" t="n"/>
      <c r="H77" s="3876" t="n"/>
      <c r="I77" s="3876" t="n"/>
      <c r="J77" s="3876" t="n"/>
      <c r="K77" s="3876" t="n"/>
      <c r="L77" s="3876" t="n"/>
      <c r="M77" s="3876" t="n"/>
      <c r="N77" s="3876" t="n"/>
      <c r="O77" s="3876" t="n"/>
      <c r="P77" s="3876" t="n"/>
      <c r="Q77" s="3876" t="n"/>
      <c r="R77" s="3876" t="n"/>
      <c r="S77" s="3876" t="n"/>
      <c r="T77" s="3876" t="n"/>
      <c r="U77" s="3876" t="n"/>
      <c r="V77" s="3876" t="n"/>
      <c r="W77" s="3876" t="n"/>
      <c r="X77" s="3876" t="n"/>
      <c r="Y77" s="3876" t="n"/>
      <c r="Z77" s="3876" t="n"/>
      <c r="AA77" s="3876" t="n"/>
      <c r="AB77" s="3876" t="n"/>
      <c r="AC77" s="3876" t="n"/>
      <c r="AD77" s="3876" t="n"/>
      <c r="AE77" s="3876" t="n"/>
      <c r="AF77" s="3876" t="n"/>
      <c r="AG77" s="3876" t="n"/>
      <c r="AH77" s="3876" t="n"/>
      <c r="AI77" s="3876" t="n"/>
      <c r="AJ77" s="3876" t="n"/>
      <c r="AK77" s="3876" t="n"/>
      <c r="AL77" s="3876" t="n"/>
      <c r="AM77" s="3876" t="n"/>
      <c r="AN77" s="3876" t="n"/>
      <c r="AO77" s="3876" t="n"/>
      <c r="AP77" s="3876" t="n"/>
      <c r="AQ77" s="3876" t="n"/>
      <c r="AR77" s="3876" t="n"/>
      <c r="AS77" s="3876" t="n"/>
    </row>
    <row r="78">
      <c r="A78" s="3905" t="n"/>
      <c r="B78" s="3905" t="n"/>
      <c r="C78" s="3905" t="n"/>
      <c r="D78" s="3905" t="n"/>
      <c r="E78" s="3905" t="n"/>
      <c r="F78" s="3905" t="n"/>
      <c r="G78" s="3876" t="n"/>
      <c r="H78" s="3876" t="n"/>
      <c r="I78" s="3876" t="n"/>
      <c r="J78" s="3876" t="n"/>
      <c r="K78" s="3876" t="n"/>
      <c r="L78" s="3876" t="n"/>
      <c r="M78" s="3876" t="n"/>
      <c r="N78" s="3876" t="n"/>
      <c r="O78" s="3876" t="n"/>
      <c r="P78" s="3876" t="n"/>
      <c r="Q78" s="3876" t="n"/>
      <c r="R78" s="3876" t="n"/>
      <c r="S78" s="3876" t="n"/>
      <c r="T78" s="3876" t="n"/>
      <c r="U78" s="3876" t="n"/>
      <c r="V78" s="3876" t="n"/>
      <c r="W78" s="3876" t="n"/>
      <c r="X78" s="3876" t="n"/>
      <c r="Y78" s="3876" t="n"/>
      <c r="Z78" s="3876" t="n"/>
      <c r="AA78" s="3876" t="n"/>
      <c r="AB78" s="3876" t="n"/>
      <c r="AC78" s="3876" t="n"/>
      <c r="AD78" s="3876" t="n"/>
      <c r="AE78" s="3876" t="n"/>
      <c r="AF78" s="3876" t="n"/>
      <c r="AG78" s="3876" t="n"/>
      <c r="AH78" s="3876" t="n"/>
      <c r="AI78" s="3876" t="n"/>
      <c r="AJ78" s="3876" t="n"/>
      <c r="AK78" s="3876" t="n"/>
      <c r="AL78" s="3876" t="n"/>
      <c r="AM78" s="3876" t="n"/>
      <c r="AN78" s="3876" t="n"/>
      <c r="AO78" s="3876" t="n"/>
      <c r="AP78" s="3876" t="n"/>
      <c r="AQ78" s="3876" t="n"/>
      <c r="AR78" s="3876" t="n"/>
      <c r="AS78" s="3876" t="n"/>
    </row>
    <row r="79">
      <c r="A79" s="3905" t="n"/>
      <c r="B79" s="3905" t="n"/>
      <c r="C79" s="3905" t="n"/>
      <c r="D79" s="3905" t="n"/>
      <c r="E79" s="3905" t="n"/>
      <c r="F79" s="3905" t="n"/>
      <c r="G79" s="3876" t="n"/>
      <c r="H79" s="3876" t="n"/>
      <c r="I79" s="3876" t="n"/>
      <c r="J79" s="3876" t="n"/>
      <c r="K79" s="3876" t="n"/>
      <c r="L79" s="3876" t="n"/>
      <c r="M79" s="3876" t="n"/>
      <c r="N79" s="3876" t="n"/>
      <c r="O79" s="3876" t="n"/>
      <c r="P79" s="3876" t="n"/>
      <c r="Q79" s="3876" t="n"/>
      <c r="R79" s="3876" t="n"/>
      <c r="S79" s="3876" t="n"/>
      <c r="T79" s="3876" t="n"/>
      <c r="U79" s="3876" t="n"/>
      <c r="V79" s="3876" t="n"/>
      <c r="W79" s="3876" t="n"/>
      <c r="X79" s="3876" t="n"/>
      <c r="Y79" s="3876" t="n"/>
      <c r="Z79" s="3876" t="n"/>
      <c r="AA79" s="3876" t="n"/>
      <c r="AB79" s="3876" t="n"/>
      <c r="AC79" s="3876" t="n"/>
      <c r="AD79" s="3876" t="n"/>
      <c r="AE79" s="3876" t="n"/>
      <c r="AF79" s="3876" t="n"/>
      <c r="AG79" s="3876" t="n"/>
      <c r="AH79" s="3876" t="n"/>
      <c r="AI79" s="3876" t="n"/>
      <c r="AJ79" s="3876" t="n"/>
      <c r="AK79" s="3876" t="n"/>
      <c r="AL79" s="3876" t="n"/>
      <c r="AM79" s="3876" t="n"/>
      <c r="AN79" s="3876" t="n"/>
      <c r="AO79" s="3876" t="n"/>
      <c r="AP79" s="3876" t="n"/>
      <c r="AQ79" s="3876" t="n"/>
      <c r="AR79" s="3876" t="n"/>
      <c r="AS79" s="3876" t="n"/>
    </row>
    <row r="80">
      <c r="A80" s="3905" t="n"/>
      <c r="B80" s="3905" t="n"/>
      <c r="C80" s="3905" t="n"/>
      <c r="D80" s="3905" t="n"/>
      <c r="E80" s="3905" t="n"/>
      <c r="F80" s="3905" t="n"/>
      <c r="G80" s="3876" t="n"/>
      <c r="H80" s="3876" t="n"/>
      <c r="I80" s="3876" t="n"/>
      <c r="J80" s="3876" t="n"/>
      <c r="K80" s="3876" t="n"/>
      <c r="L80" s="3876" t="n"/>
      <c r="M80" s="3876" t="n"/>
      <c r="N80" s="3876" t="n"/>
      <c r="O80" s="3876" t="n"/>
      <c r="P80" s="3876" t="n"/>
      <c r="Q80" s="3876" t="n"/>
      <c r="R80" s="3876" t="n"/>
      <c r="S80" s="3876" t="n"/>
      <c r="T80" s="3876" t="n"/>
      <c r="U80" s="3876" t="n"/>
      <c r="V80" s="3876" t="n"/>
      <c r="W80" s="3876" t="n"/>
      <c r="X80" s="3876" t="n"/>
      <c r="Y80" s="3876" t="n"/>
      <c r="Z80" s="3876" t="n"/>
      <c r="AA80" s="3876" t="n"/>
      <c r="AB80" s="3876" t="n"/>
      <c r="AC80" s="3876" t="n"/>
      <c r="AD80" s="3876" t="n"/>
      <c r="AE80" s="3876" t="n"/>
      <c r="AF80" s="3876" t="n"/>
      <c r="AG80" s="3876" t="n"/>
      <c r="AH80" s="3876" t="n"/>
      <c r="AI80" s="3876" t="n"/>
      <c r="AJ80" s="3876" t="n"/>
      <c r="AK80" s="3876" t="n"/>
      <c r="AL80" s="3876" t="n"/>
      <c r="AM80" s="3876" t="n"/>
      <c r="AN80" s="3876" t="n"/>
      <c r="AO80" s="3876" t="n"/>
      <c r="AP80" s="3876" t="n"/>
      <c r="AQ80" s="3876" t="n"/>
      <c r="AR80" s="3876" t="n"/>
      <c r="AS80" s="3876" t="n"/>
    </row>
    <row r="81">
      <c r="A81" s="3905" t="n"/>
      <c r="B81" s="3905" t="n"/>
      <c r="C81" s="3905" t="n"/>
      <c r="D81" s="3905" t="n"/>
      <c r="E81" s="3905" t="n"/>
      <c r="F81" s="3905" t="n"/>
      <c r="G81" s="3876" t="n"/>
      <c r="H81" s="3876" t="n"/>
      <c r="I81" s="3876" t="n"/>
      <c r="J81" s="3876" t="n"/>
      <c r="K81" s="3876" t="n"/>
      <c r="L81" s="3876" t="n"/>
      <c r="M81" s="3876" t="n"/>
      <c r="N81" s="3876" t="n"/>
      <c r="O81" s="3876" t="n"/>
      <c r="P81" s="3876" t="n"/>
      <c r="Q81" s="3876" t="n"/>
      <c r="R81" s="3876" t="n"/>
      <c r="S81" s="3876" t="n"/>
      <c r="T81" s="3876" t="n"/>
      <c r="U81" s="3876" t="n"/>
      <c r="V81" s="3876" t="n"/>
      <c r="W81" s="3876" t="n"/>
      <c r="X81" s="3876" t="n"/>
      <c r="Y81" s="3876" t="n"/>
      <c r="Z81" s="3876" t="n"/>
      <c r="AA81" s="3876" t="n"/>
      <c r="AB81" s="3876" t="n"/>
      <c r="AC81" s="3876" t="n"/>
      <c r="AD81" s="3876" t="n"/>
      <c r="AE81" s="3876" t="n"/>
      <c r="AF81" s="3876" t="n"/>
      <c r="AG81" s="3876" t="n"/>
      <c r="AH81" s="3876" t="n"/>
      <c r="AI81" s="3876" t="n"/>
      <c r="AJ81" s="3876" t="n"/>
      <c r="AK81" s="3876" t="n"/>
      <c r="AL81" s="3876" t="n"/>
      <c r="AM81" s="3876" t="n"/>
      <c r="AN81" s="3876" t="n"/>
      <c r="AO81" s="3876" t="n"/>
      <c r="AP81" s="3876" t="n"/>
      <c r="AQ81" s="3876" t="n"/>
      <c r="AR81" s="3876" t="n"/>
      <c r="AS81" s="3876" t="n"/>
    </row>
    <row r="82">
      <c r="A82" s="3905" t="n"/>
      <c r="B82" s="3905" t="n"/>
      <c r="C82" s="3905" t="n"/>
      <c r="D82" s="3905" t="n"/>
      <c r="E82" s="3905" t="n"/>
      <c r="F82" s="3905" t="n"/>
      <c r="G82" s="3876" t="n"/>
      <c r="H82" s="3876" t="n"/>
      <c r="I82" s="3876" t="n"/>
      <c r="J82" s="3876" t="n"/>
      <c r="K82" s="3876" t="n"/>
      <c r="L82" s="3876" t="n"/>
      <c r="M82" s="3876" t="n"/>
      <c r="N82" s="3876" t="n"/>
      <c r="O82" s="3876" t="n"/>
      <c r="P82" s="3876" t="n"/>
      <c r="Q82" s="3876" t="n"/>
      <c r="R82" s="3876" t="n"/>
      <c r="S82" s="3876" t="n"/>
      <c r="T82" s="3876" t="n"/>
      <c r="U82" s="3876" t="n"/>
      <c r="V82" s="3876" t="n"/>
      <c r="W82" s="3876" t="n"/>
      <c r="X82" s="3876" t="n"/>
      <c r="Y82" s="3876" t="n"/>
      <c r="Z82" s="3876" t="n"/>
      <c r="AA82" s="3876" t="n"/>
      <c r="AB82" s="3876" t="n"/>
      <c r="AC82" s="3876" t="n"/>
      <c r="AD82" s="3876" t="n"/>
      <c r="AE82" s="3876" t="n"/>
      <c r="AF82" s="3876" t="n"/>
      <c r="AG82" s="3876" t="n"/>
      <c r="AH82" s="3876" t="n"/>
      <c r="AI82" s="3876" t="n"/>
      <c r="AJ82" s="3876" t="n"/>
      <c r="AK82" s="3876" t="n"/>
      <c r="AL82" s="3876" t="n"/>
      <c r="AM82" s="3876" t="n"/>
      <c r="AN82" s="3876" t="n"/>
      <c r="AO82" s="3876" t="n"/>
      <c r="AP82" s="3876" t="n"/>
      <c r="AQ82" s="3876" t="n"/>
      <c r="AR82" s="3876" t="n"/>
      <c r="AS82" s="3876" t="n"/>
    </row>
    <row r="83">
      <c r="A83" s="3905" t="n"/>
      <c r="B83" s="3905" t="n"/>
      <c r="C83" s="3905" t="n"/>
      <c r="D83" s="3905" t="n"/>
      <c r="E83" s="3905" t="n"/>
      <c r="F83" s="3905" t="n"/>
      <c r="G83" s="3876" t="n"/>
      <c r="H83" s="3876" t="n"/>
      <c r="I83" s="3876" t="n"/>
      <c r="J83" s="3876" t="n"/>
      <c r="K83" s="3876" t="n"/>
      <c r="L83" s="3876" t="n"/>
      <c r="M83" s="3876" t="n"/>
      <c r="N83" s="3876" t="n"/>
      <c r="O83" s="3876" t="n"/>
      <c r="P83" s="3876" t="n"/>
      <c r="Q83" s="3876" t="n"/>
      <c r="R83" s="3876" t="n"/>
      <c r="S83" s="3876" t="n"/>
      <c r="T83" s="3876" t="n"/>
      <c r="U83" s="3876" t="n"/>
      <c r="V83" s="3876" t="n"/>
      <c r="W83" s="3876" t="n"/>
      <c r="X83" s="3876" t="n"/>
      <c r="Y83" s="3876" t="n"/>
      <c r="Z83" s="3876" t="n"/>
      <c r="AA83" s="3876" t="n"/>
      <c r="AB83" s="3876" t="n"/>
      <c r="AC83" s="3876" t="n"/>
      <c r="AD83" s="3876" t="n"/>
      <c r="AE83" s="3876" t="n"/>
      <c r="AF83" s="3876" t="n"/>
      <c r="AG83" s="3876" t="n"/>
      <c r="AH83" s="3876" t="n"/>
      <c r="AI83" s="3876" t="n"/>
      <c r="AJ83" s="3876" t="n"/>
      <c r="AK83" s="3876" t="n"/>
      <c r="AL83" s="3876" t="n"/>
      <c r="AM83" s="3876" t="n"/>
      <c r="AN83" s="3876" t="n"/>
      <c r="AO83" s="3876" t="n"/>
      <c r="AP83" s="3876" t="n"/>
      <c r="AQ83" s="3876" t="n"/>
      <c r="AR83" s="3876" t="n"/>
      <c r="AS83" s="3876" t="n"/>
    </row>
    <row r="84">
      <c r="A84" s="3905" t="n"/>
      <c r="B84" s="3905" t="n"/>
      <c r="C84" s="3905" t="n"/>
      <c r="D84" s="3905" t="n"/>
      <c r="E84" s="3905" t="n"/>
      <c r="F84" s="3905" t="n"/>
      <c r="G84" s="3876" t="n"/>
      <c r="H84" s="3876" t="n"/>
      <c r="I84" s="3876" t="n"/>
      <c r="J84" s="3876" t="n"/>
      <c r="K84" s="3876" t="n"/>
      <c r="L84" s="3876" t="n"/>
      <c r="M84" s="3876" t="n"/>
      <c r="N84" s="3876" t="n"/>
      <c r="O84" s="3876" t="n"/>
      <c r="P84" s="3876" t="n"/>
      <c r="Q84" s="3876" t="n"/>
      <c r="R84" s="3876" t="n"/>
      <c r="S84" s="3876" t="n"/>
      <c r="T84" s="3876" t="n"/>
      <c r="U84" s="3876" t="n"/>
      <c r="V84" s="3876" t="n"/>
      <c r="W84" s="3876" t="n"/>
      <c r="X84" s="3876" t="n"/>
      <c r="Y84" s="3876" t="n"/>
      <c r="Z84" s="3876" t="n"/>
      <c r="AA84" s="3876" t="n"/>
      <c r="AB84" s="3876" t="n"/>
      <c r="AC84" s="3876" t="n"/>
      <c r="AD84" s="3876" t="n"/>
      <c r="AE84" s="3876" t="n"/>
      <c r="AF84" s="3876" t="n"/>
      <c r="AG84" s="3876" t="n"/>
      <c r="AH84" s="3876" t="n"/>
      <c r="AI84" s="3876" t="n"/>
      <c r="AJ84" s="3876" t="n"/>
      <c r="AK84" s="3876" t="n"/>
      <c r="AL84" s="3876" t="n"/>
      <c r="AM84" s="3876" t="n"/>
      <c r="AN84" s="3876" t="n"/>
      <c r="AO84" s="3876" t="n"/>
      <c r="AP84" s="3876" t="n"/>
      <c r="AQ84" s="3876" t="n"/>
      <c r="AR84" s="3876" t="n"/>
      <c r="AS84" s="3876" t="n"/>
    </row>
    <row r="85">
      <c r="A85" s="3905" t="n"/>
      <c r="B85" s="3905" t="n"/>
      <c r="C85" s="3905" t="n"/>
      <c r="D85" s="3905" t="n"/>
      <c r="E85" s="3905" t="n"/>
      <c r="F85" s="3905" t="n"/>
      <c r="G85" s="3876" t="n"/>
      <c r="H85" s="3876" t="n"/>
      <c r="I85" s="3876" t="n"/>
      <c r="J85" s="3876" t="n"/>
      <c r="K85" s="3876" t="n"/>
      <c r="L85" s="3876" t="n"/>
      <c r="M85" s="3876" t="n"/>
      <c r="N85" s="3876" t="n"/>
      <c r="O85" s="3876" t="n"/>
      <c r="P85" s="3876" t="n"/>
      <c r="Q85" s="3876" t="n"/>
      <c r="R85" s="3876" t="n"/>
      <c r="S85" s="3876" t="n"/>
      <c r="T85" s="3876" t="n"/>
      <c r="U85" s="3876" t="n"/>
      <c r="V85" s="3876" t="n"/>
      <c r="W85" s="3876" t="n"/>
      <c r="X85" s="3876" t="n"/>
      <c r="Y85" s="3876" t="n"/>
      <c r="Z85" s="3876" t="n"/>
      <c r="AA85" s="3876" t="n"/>
      <c r="AB85" s="3876" t="n"/>
      <c r="AC85" s="3876" t="n"/>
      <c r="AD85" s="3876" t="n"/>
      <c r="AE85" s="3876" t="n"/>
      <c r="AF85" s="3876" t="n"/>
      <c r="AG85" s="3876" t="n"/>
      <c r="AH85" s="3876" t="n"/>
      <c r="AI85" s="3876" t="n"/>
      <c r="AJ85" s="3876" t="n"/>
      <c r="AK85" s="3876" t="n"/>
      <c r="AL85" s="3876" t="n"/>
      <c r="AM85" s="3876" t="n"/>
      <c r="AN85" s="3876" t="n"/>
      <c r="AO85" s="3876" t="n"/>
      <c r="AP85" s="3876" t="n"/>
      <c r="AQ85" s="3876" t="n"/>
      <c r="AR85" s="3876" t="n"/>
      <c r="AS85" s="3876" t="n"/>
    </row>
    <row r="86">
      <c r="A86" s="3905" t="n"/>
      <c r="B86" s="3905" t="n"/>
      <c r="C86" s="3905" t="n"/>
      <c r="D86" s="3905" t="n"/>
      <c r="E86" s="3905" t="n"/>
      <c r="F86" s="3905" t="n"/>
      <c r="G86" s="3876" t="n"/>
      <c r="H86" s="3876" t="n"/>
      <c r="I86" s="3876" t="n"/>
      <c r="J86" s="3876" t="n"/>
      <c r="K86" s="3876" t="n"/>
      <c r="L86" s="3876" t="n"/>
      <c r="M86" s="3876" t="n"/>
      <c r="N86" s="3876" t="n"/>
      <c r="O86" s="3876" t="n"/>
      <c r="P86" s="3876" t="n"/>
      <c r="Q86" s="3876" t="n"/>
      <c r="R86" s="3876" t="n"/>
      <c r="S86" s="3876" t="n"/>
      <c r="T86" s="3876" t="n"/>
      <c r="U86" s="3876" t="n"/>
      <c r="V86" s="3876" t="n"/>
      <c r="W86" s="3876" t="n"/>
      <c r="X86" s="3876" t="n"/>
      <c r="Y86" s="3876" t="n"/>
      <c r="Z86" s="3876" t="n"/>
      <c r="AA86" s="3876" t="n"/>
      <c r="AB86" s="3876" t="n"/>
      <c r="AC86" s="3876" t="n"/>
      <c r="AD86" s="3876" t="n"/>
      <c r="AE86" s="3876" t="n"/>
      <c r="AF86" s="3876" t="n"/>
      <c r="AG86" s="3876" t="n"/>
      <c r="AH86" s="3876" t="n"/>
      <c r="AI86" s="3876" t="n"/>
      <c r="AJ86" s="3876" t="n"/>
      <c r="AK86" s="3876" t="n"/>
      <c r="AL86" s="3876" t="n"/>
      <c r="AM86" s="3876" t="n"/>
      <c r="AN86" s="3876" t="n"/>
      <c r="AO86" s="3876" t="n"/>
      <c r="AP86" s="3876" t="n"/>
      <c r="AQ86" s="3876" t="n"/>
      <c r="AR86" s="3876" t="n"/>
      <c r="AS86" s="3876" t="n"/>
    </row>
    <row r="87">
      <c r="A87" s="3905" t="n"/>
      <c r="B87" s="3905" t="n"/>
      <c r="C87" s="3905" t="n"/>
      <c r="D87" s="3905" t="n"/>
      <c r="E87" s="3905" t="n"/>
      <c r="F87" s="3905" t="n"/>
      <c r="G87" s="3876" t="n"/>
      <c r="H87" s="3876" t="n"/>
      <c r="I87" s="3876" t="n"/>
      <c r="J87" s="3876" t="n"/>
      <c r="K87" s="3876" t="n"/>
      <c r="L87" s="3876" t="n"/>
      <c r="M87" s="3876" t="n"/>
      <c r="N87" s="3876" t="n"/>
      <c r="O87" s="3876" t="n"/>
      <c r="P87" s="3876" t="n"/>
      <c r="Q87" s="3876" t="n"/>
      <c r="R87" s="3876" t="n"/>
      <c r="S87" s="3876" t="n"/>
      <c r="T87" s="3876" t="n"/>
      <c r="U87" s="3876" t="n"/>
      <c r="V87" s="3876" t="n"/>
      <c r="W87" s="3876" t="n"/>
      <c r="X87" s="3876" t="n"/>
      <c r="Y87" s="3876" t="n"/>
      <c r="Z87" s="3876" t="n"/>
      <c r="AA87" s="3876" t="n"/>
      <c r="AB87" s="3876" t="n"/>
      <c r="AC87" s="3876" t="n"/>
      <c r="AD87" s="3876" t="n"/>
      <c r="AE87" s="3876" t="n"/>
      <c r="AF87" s="3876" t="n"/>
      <c r="AG87" s="3876" t="n"/>
      <c r="AH87" s="3876" t="n"/>
      <c r="AI87" s="3876" t="n"/>
      <c r="AJ87" s="3876" t="n"/>
      <c r="AK87" s="3876" t="n"/>
      <c r="AL87" s="3876" t="n"/>
      <c r="AM87" s="3876" t="n"/>
      <c r="AN87" s="3876" t="n"/>
      <c r="AO87" s="3876" t="n"/>
      <c r="AP87" s="3876" t="n"/>
      <c r="AQ87" s="3876" t="n"/>
      <c r="AR87" s="3876" t="n"/>
      <c r="AS87" s="3876" t="n"/>
    </row>
    <row r="88">
      <c r="A88" s="3905" t="n"/>
      <c r="B88" s="3905" t="n"/>
      <c r="C88" s="3905" t="n"/>
      <c r="D88" s="3905" t="n"/>
      <c r="E88" s="3905" t="n"/>
      <c r="F88" s="3905" t="n"/>
      <c r="G88" s="3876" t="n"/>
      <c r="H88" s="3876" t="n"/>
      <c r="I88" s="3876" t="n"/>
      <c r="J88" s="3876" t="n"/>
      <c r="K88" s="3876" t="n"/>
      <c r="L88" s="3876" t="n"/>
      <c r="M88" s="3876" t="n"/>
      <c r="N88" s="3876" t="n"/>
      <c r="O88" s="3876" t="n"/>
      <c r="P88" s="3876" t="n"/>
      <c r="Q88" s="3876" t="n"/>
      <c r="R88" s="3876" t="n"/>
      <c r="S88" s="3876" t="n"/>
      <c r="T88" s="3876" t="n"/>
      <c r="U88" s="3876" t="n"/>
      <c r="V88" s="3876" t="n"/>
      <c r="W88" s="3876" t="n"/>
      <c r="X88" s="3876" t="n"/>
      <c r="Y88" s="3876" t="n"/>
      <c r="Z88" s="3876" t="n"/>
      <c r="AA88" s="3876" t="n"/>
      <c r="AB88" s="3876" t="n"/>
      <c r="AC88" s="3876" t="n"/>
      <c r="AD88" s="3876" t="n"/>
      <c r="AE88" s="3876" t="n"/>
      <c r="AF88" s="3876" t="n"/>
      <c r="AG88" s="3876" t="n"/>
      <c r="AH88" s="3876" t="n"/>
      <c r="AI88" s="3876" t="n"/>
      <c r="AJ88" s="3876" t="n"/>
      <c r="AK88" s="3876" t="n"/>
      <c r="AL88" s="3876" t="n"/>
      <c r="AM88" s="3876" t="n"/>
      <c r="AN88" s="3876" t="n"/>
      <c r="AO88" s="3876" t="n"/>
      <c r="AP88" s="3876" t="n"/>
      <c r="AQ88" s="3876" t="n"/>
      <c r="AR88" s="3876" t="n"/>
      <c r="AS88" s="3876" t="n"/>
    </row>
    <row r="89">
      <c r="A89" s="3905" t="n"/>
      <c r="B89" s="3905" t="n"/>
      <c r="C89" s="3905" t="n"/>
      <c r="D89" s="3905" t="n"/>
      <c r="E89" s="3905" t="n"/>
      <c r="F89" s="3905" t="n"/>
      <c r="G89" s="3876" t="n"/>
      <c r="H89" s="3876" t="n"/>
      <c r="I89" s="3876" t="n"/>
      <c r="J89" s="3876" t="n"/>
      <c r="K89" s="3876" t="n"/>
      <c r="L89" s="3876" t="n"/>
      <c r="M89" s="3876" t="n"/>
      <c r="N89" s="3876" t="n"/>
      <c r="O89" s="3876" t="n"/>
      <c r="P89" s="3876" t="n"/>
      <c r="Q89" s="3876" t="n"/>
      <c r="R89" s="3876" t="n"/>
      <c r="S89" s="3876" t="n"/>
      <c r="T89" s="3876" t="n"/>
      <c r="U89" s="3876" t="n"/>
      <c r="V89" s="3876" t="n"/>
      <c r="W89" s="3876" t="n"/>
      <c r="X89" s="3876" t="n"/>
      <c r="Y89" s="3876" t="n"/>
      <c r="Z89" s="3876" t="n"/>
      <c r="AA89" s="3876" t="n"/>
      <c r="AB89" s="3876" t="n"/>
      <c r="AC89" s="3876" t="n"/>
      <c r="AD89" s="3876" t="n"/>
      <c r="AE89" s="3876" t="n"/>
      <c r="AF89" s="3876" t="n"/>
      <c r="AG89" s="3876" t="n"/>
      <c r="AH89" s="3876" t="n"/>
      <c r="AI89" s="3876" t="n"/>
      <c r="AJ89" s="3876" t="n"/>
      <c r="AK89" s="3876" t="n"/>
      <c r="AL89" s="3876" t="n"/>
      <c r="AM89" s="3876" t="n"/>
      <c r="AN89" s="3876" t="n"/>
      <c r="AO89" s="3876" t="n"/>
      <c r="AP89" s="3876" t="n"/>
      <c r="AQ89" s="3876" t="n"/>
      <c r="AR89" s="3876" t="n"/>
      <c r="AS89" s="3876" t="n"/>
    </row>
    <row r="90">
      <c r="A90" s="3905" t="n"/>
      <c r="B90" s="3905" t="n"/>
      <c r="C90" s="3905" t="n"/>
      <c r="D90" s="3905" t="n"/>
      <c r="E90" s="3905" t="n"/>
      <c r="F90" s="3905" t="n"/>
      <c r="G90" s="3876" t="n"/>
      <c r="H90" s="3876" t="n"/>
      <c r="I90" s="3876" t="n"/>
      <c r="J90" s="3876" t="n"/>
      <c r="K90" s="3876" t="n"/>
      <c r="L90" s="3876" t="n"/>
      <c r="M90" s="3876" t="n"/>
      <c r="N90" s="3876" t="n"/>
      <c r="O90" s="3876" t="n"/>
      <c r="P90" s="3876" t="n"/>
      <c r="Q90" s="3876" t="n"/>
      <c r="R90" s="3876" t="n"/>
      <c r="S90" s="3876" t="n"/>
      <c r="T90" s="3876" t="n"/>
      <c r="U90" s="3876" t="n"/>
      <c r="V90" s="3876" t="n"/>
      <c r="W90" s="3876" t="n"/>
      <c r="X90" s="3876" t="n"/>
      <c r="Y90" s="3876" t="n"/>
      <c r="Z90" s="3876" t="n"/>
      <c r="AA90" s="3876" t="n"/>
      <c r="AB90" s="3876" t="n"/>
      <c r="AC90" s="3876" t="n"/>
      <c r="AD90" s="3876" t="n"/>
      <c r="AE90" s="3876" t="n"/>
      <c r="AF90" s="3876" t="n"/>
      <c r="AG90" s="3876" t="n"/>
      <c r="AH90" s="3876" t="n"/>
      <c r="AI90" s="3876" t="n"/>
      <c r="AJ90" s="3876" t="n"/>
      <c r="AK90" s="3876" t="n"/>
      <c r="AL90" s="3876" t="n"/>
      <c r="AM90" s="3876" t="n"/>
      <c r="AN90" s="3876" t="n"/>
      <c r="AO90" s="3876" t="n"/>
      <c r="AP90" s="3876" t="n"/>
      <c r="AQ90" s="3876" t="n"/>
      <c r="AR90" s="3876" t="n"/>
      <c r="AS90" s="3876" t="n"/>
    </row>
    <row r="91">
      <c r="A91" s="3905" t="n"/>
      <c r="B91" s="3905" t="n"/>
      <c r="C91" s="3905" t="n"/>
      <c r="D91" s="3905" t="n"/>
      <c r="E91" s="3905" t="n"/>
      <c r="F91" s="3905" t="n"/>
      <c r="G91" s="3876" t="n"/>
      <c r="H91" s="3876" t="n"/>
      <c r="I91" s="3876" t="n"/>
      <c r="J91" s="3876" t="n"/>
      <c r="K91" s="3876" t="n"/>
      <c r="L91" s="3876" t="n"/>
      <c r="M91" s="3876" t="n"/>
      <c r="N91" s="3876" t="n"/>
      <c r="O91" s="3876" t="n"/>
      <c r="P91" s="3876" t="n"/>
      <c r="Q91" s="3876" t="n"/>
      <c r="R91" s="3876" t="n"/>
      <c r="S91" s="3876" t="n"/>
      <c r="T91" s="3876" t="n"/>
      <c r="U91" s="3876" t="n"/>
      <c r="V91" s="3876" t="n"/>
      <c r="W91" s="3876" t="n"/>
      <c r="X91" s="3876" t="n"/>
      <c r="Y91" s="3876" t="n"/>
      <c r="Z91" s="3876" t="n"/>
      <c r="AA91" s="3876" t="n"/>
      <c r="AB91" s="3876" t="n"/>
      <c r="AC91" s="3876" t="n"/>
      <c r="AD91" s="3876" t="n"/>
      <c r="AE91" s="3876" t="n"/>
      <c r="AF91" s="3876" t="n"/>
      <c r="AG91" s="3876" t="n"/>
      <c r="AH91" s="3876" t="n"/>
      <c r="AI91" s="3876" t="n"/>
      <c r="AJ91" s="3876" t="n"/>
      <c r="AK91" s="3876" t="n"/>
      <c r="AL91" s="3876" t="n"/>
      <c r="AM91" s="3876" t="n"/>
      <c r="AN91" s="3876" t="n"/>
      <c r="AO91" s="3876" t="n"/>
      <c r="AP91" s="3876" t="n"/>
      <c r="AQ91" s="3876" t="n"/>
      <c r="AR91" s="3876" t="n"/>
      <c r="AS91" s="3876" t="n"/>
    </row>
    <row r="92">
      <c r="A92" s="3905" t="n"/>
      <c r="B92" s="3905" t="n"/>
      <c r="C92" s="3905" t="n"/>
      <c r="D92" s="3905" t="n"/>
      <c r="E92" s="3905" t="n"/>
      <c r="F92" s="3905" t="n"/>
      <c r="G92" s="3876" t="n"/>
      <c r="H92" s="3876" t="n"/>
      <c r="I92" s="3876" t="n"/>
      <c r="J92" s="3876" t="n"/>
      <c r="K92" s="3876" t="n"/>
      <c r="L92" s="3876" t="n"/>
      <c r="M92" s="3876" t="n"/>
      <c r="N92" s="3876" t="n"/>
      <c r="O92" s="3876" t="n"/>
      <c r="P92" s="3876" t="n"/>
      <c r="Q92" s="3876" t="n"/>
      <c r="R92" s="3876" t="n"/>
      <c r="S92" s="3876" t="n"/>
      <c r="T92" s="3876" t="n"/>
      <c r="U92" s="3876" t="n"/>
      <c r="V92" s="3876" t="n"/>
      <c r="W92" s="3876" t="n"/>
      <c r="X92" s="3876" t="n"/>
      <c r="Y92" s="3876" t="n"/>
      <c r="Z92" s="3876" t="n"/>
      <c r="AA92" s="3876" t="n"/>
      <c r="AB92" s="3876" t="n"/>
      <c r="AC92" s="3876" t="n"/>
      <c r="AD92" s="3876" t="n"/>
      <c r="AE92" s="3876" t="n"/>
      <c r="AF92" s="3876" t="n"/>
      <c r="AG92" s="3876" t="n"/>
      <c r="AH92" s="3876" t="n"/>
      <c r="AI92" s="3876" t="n"/>
      <c r="AJ92" s="3876" t="n"/>
      <c r="AK92" s="3876" t="n"/>
      <c r="AL92" s="3876" t="n"/>
      <c r="AM92" s="3876" t="n"/>
      <c r="AN92" s="3876" t="n"/>
      <c r="AO92" s="3876" t="n"/>
      <c r="AP92" s="3876" t="n"/>
      <c r="AQ92" s="3876" t="n"/>
      <c r="AR92" s="3876" t="n"/>
      <c r="AS92" s="3876" t="n"/>
    </row>
    <row r="93">
      <c r="A93" s="3905" t="n"/>
      <c r="B93" s="3905" t="n"/>
      <c r="C93" s="3905" t="n"/>
      <c r="D93" s="3905" t="n"/>
      <c r="E93" s="3905" t="n"/>
      <c r="F93" s="3905" t="n"/>
      <c r="G93" s="3876" t="n"/>
      <c r="H93" s="3876" t="n"/>
      <c r="I93" s="3876" t="n"/>
      <c r="J93" s="3876" t="n"/>
      <c r="K93" s="3876" t="n"/>
      <c r="L93" s="3876" t="n"/>
      <c r="M93" s="3876" t="n"/>
      <c r="N93" s="3876" t="n"/>
      <c r="O93" s="3876" t="n"/>
      <c r="P93" s="3876" t="n"/>
      <c r="Q93" s="3876" t="n"/>
      <c r="R93" s="3876" t="n"/>
      <c r="S93" s="3876" t="n"/>
      <c r="T93" s="3876" t="n"/>
      <c r="U93" s="3876" t="n"/>
      <c r="V93" s="3876" t="n"/>
      <c r="W93" s="3876" t="n"/>
      <c r="X93" s="3876" t="n"/>
      <c r="Y93" s="3876" t="n"/>
      <c r="Z93" s="3876" t="n"/>
      <c r="AA93" s="3876" t="n"/>
      <c r="AB93" s="3876" t="n"/>
      <c r="AC93" s="3876" t="n"/>
      <c r="AD93" s="3876" t="n"/>
      <c r="AE93" s="3876" t="n"/>
      <c r="AF93" s="3876" t="n"/>
      <c r="AG93" s="3876" t="n"/>
      <c r="AH93" s="3876" t="n"/>
      <c r="AI93" s="3876" t="n"/>
      <c r="AJ93" s="3876" t="n"/>
      <c r="AK93" s="3876" t="n"/>
      <c r="AL93" s="3876" t="n"/>
      <c r="AM93" s="3876" t="n"/>
      <c r="AN93" s="3876" t="n"/>
      <c r="AO93" s="3876" t="n"/>
      <c r="AP93" s="3876" t="n"/>
      <c r="AQ93" s="3876" t="n"/>
      <c r="AR93" s="3876" t="n"/>
      <c r="AS93" s="3876" t="n"/>
    </row>
    <row r="94">
      <c r="A94" s="3905" t="n"/>
      <c r="B94" s="3905" t="n"/>
      <c r="C94" s="3905" t="n"/>
      <c r="D94" s="3905" t="n"/>
      <c r="E94" s="3905" t="n"/>
      <c r="F94" s="3905" t="n"/>
      <c r="G94" s="3876" t="n"/>
      <c r="H94" s="3876" t="n"/>
      <c r="I94" s="3876" t="n"/>
      <c r="J94" s="3876" t="n"/>
      <c r="K94" s="3876" t="n"/>
      <c r="L94" s="3876" t="n"/>
      <c r="M94" s="3876" t="n"/>
      <c r="N94" s="3876" t="n"/>
      <c r="O94" s="3876" t="n"/>
      <c r="P94" s="3876" t="n"/>
      <c r="Q94" s="3876" t="n"/>
      <c r="R94" s="3876" t="n"/>
      <c r="S94" s="3876" t="n"/>
      <c r="T94" s="3876" t="n"/>
      <c r="U94" s="3876" t="n"/>
      <c r="V94" s="3876" t="n"/>
      <c r="W94" s="3876" t="n"/>
      <c r="X94" s="3876" t="n"/>
      <c r="Y94" s="3876" t="n"/>
      <c r="Z94" s="3876" t="n"/>
      <c r="AA94" s="3876" t="n"/>
      <c r="AB94" s="3876" t="n"/>
      <c r="AC94" s="3876" t="n"/>
      <c r="AD94" s="3876" t="n"/>
      <c r="AE94" s="3876" t="n"/>
      <c r="AF94" s="3876" t="n"/>
      <c r="AG94" s="3876" t="n"/>
      <c r="AH94" s="3876" t="n"/>
      <c r="AI94" s="3876" t="n"/>
      <c r="AJ94" s="3876" t="n"/>
      <c r="AK94" s="3876" t="n"/>
      <c r="AL94" s="3876" t="n"/>
      <c r="AM94" s="3876" t="n"/>
      <c r="AN94" s="3876" t="n"/>
      <c r="AO94" s="3876" t="n"/>
      <c r="AP94" s="3876" t="n"/>
      <c r="AQ94" s="3876" t="n"/>
      <c r="AR94" s="3876" t="n"/>
      <c r="AS94" s="3876" t="n"/>
    </row>
    <row r="95">
      <c r="A95" s="3905" t="n"/>
      <c r="B95" s="3905" t="n"/>
      <c r="C95" s="3905" t="n"/>
      <c r="D95" s="3905" t="n"/>
      <c r="E95" s="3905" t="n"/>
      <c r="F95" s="3905" t="n"/>
      <c r="G95" s="3876" t="n"/>
      <c r="H95" s="3876" t="n"/>
      <c r="I95" s="3876" t="n"/>
      <c r="J95" s="3876" t="n"/>
      <c r="K95" s="3876" t="n"/>
      <c r="L95" s="3876" t="n"/>
      <c r="M95" s="3876" t="n"/>
      <c r="N95" s="3876" t="n"/>
      <c r="O95" s="3876" t="n"/>
      <c r="P95" s="3876" t="n"/>
      <c r="Q95" s="3876" t="n"/>
      <c r="R95" s="3876" t="n"/>
      <c r="S95" s="3876" t="n"/>
      <c r="T95" s="3876" t="n"/>
      <c r="U95" s="3876" t="n"/>
      <c r="V95" s="3876" t="n"/>
      <c r="W95" s="3876" t="n"/>
      <c r="X95" s="3876" t="n"/>
      <c r="Y95" s="3876" t="n"/>
      <c r="Z95" s="3876" t="n"/>
      <c r="AA95" s="3876" t="n"/>
      <c r="AB95" s="3876" t="n"/>
      <c r="AC95" s="3876" t="n"/>
      <c r="AD95" s="3876" t="n"/>
      <c r="AE95" s="3876" t="n"/>
      <c r="AF95" s="3876" t="n"/>
      <c r="AG95" s="3876" t="n"/>
      <c r="AH95" s="3876" t="n"/>
      <c r="AI95" s="3876" t="n"/>
      <c r="AJ95" s="3876" t="n"/>
      <c r="AK95" s="3876" t="n"/>
      <c r="AL95" s="3876" t="n"/>
      <c r="AM95" s="3876" t="n"/>
      <c r="AN95" s="3876" t="n"/>
      <c r="AO95" s="3876" t="n"/>
      <c r="AP95" s="3876" t="n"/>
      <c r="AQ95" s="3876" t="n"/>
      <c r="AR95" s="3876" t="n"/>
      <c r="AS95" s="3876" t="n"/>
    </row>
    <row r="96">
      <c r="A96" s="3905" t="n"/>
      <c r="B96" s="3905" t="n"/>
      <c r="C96" s="3905" t="n"/>
      <c r="D96" s="3905" t="n"/>
      <c r="E96" s="3905" t="n"/>
      <c r="F96" s="3905" t="n"/>
      <c r="G96" s="3876" t="n"/>
      <c r="H96" s="3876" t="n"/>
      <c r="I96" s="3876" t="n"/>
      <c r="J96" s="3876" t="n"/>
      <c r="K96" s="3876" t="n"/>
      <c r="L96" s="3876" t="n"/>
      <c r="M96" s="3876" t="n"/>
      <c r="N96" s="3876" t="n"/>
      <c r="O96" s="3876" t="n"/>
      <c r="P96" s="3876" t="n"/>
      <c r="Q96" s="3876" t="n"/>
      <c r="R96" s="3876" t="n"/>
      <c r="S96" s="3876" t="n"/>
      <c r="T96" s="3876" t="n"/>
      <c r="U96" s="3876" t="n"/>
      <c r="V96" s="3876" t="n"/>
      <c r="W96" s="3876" t="n"/>
      <c r="X96" s="3876" t="n"/>
      <c r="Y96" s="3876" t="n"/>
      <c r="Z96" s="3876" t="n"/>
      <c r="AA96" s="3876" t="n"/>
      <c r="AB96" s="3876" t="n"/>
      <c r="AC96" s="3876" t="n"/>
      <c r="AD96" s="3876" t="n"/>
      <c r="AE96" s="3876" t="n"/>
      <c r="AF96" s="3876" t="n"/>
      <c r="AG96" s="3876" t="n"/>
      <c r="AH96" s="3876" t="n"/>
      <c r="AI96" s="3876" t="n"/>
      <c r="AJ96" s="3876" t="n"/>
      <c r="AK96" s="3876" t="n"/>
      <c r="AL96" s="3876" t="n"/>
      <c r="AM96" s="3876" t="n"/>
      <c r="AN96" s="3876" t="n"/>
      <c r="AO96" s="3876" t="n"/>
      <c r="AP96" s="3876" t="n"/>
      <c r="AQ96" s="3876" t="n"/>
      <c r="AR96" s="3876" t="n"/>
      <c r="AS96" s="3876" t="n"/>
    </row>
    <row r="97">
      <c r="A97" s="3905" t="n"/>
      <c r="B97" s="3905" t="n"/>
      <c r="C97" s="3905" t="n"/>
      <c r="D97" s="3905" t="n"/>
      <c r="E97" s="3905" t="n"/>
      <c r="F97" s="3905" t="n"/>
      <c r="G97" s="3876" t="n"/>
      <c r="H97" s="3876" t="n"/>
      <c r="I97" s="3876" t="n"/>
      <c r="J97" s="3876" t="n"/>
      <c r="K97" s="3876" t="n"/>
      <c r="L97" s="3876" t="n"/>
      <c r="M97" s="3876" t="n"/>
      <c r="N97" s="3876" t="n"/>
      <c r="O97" s="3876" t="n"/>
      <c r="P97" s="3876" t="n"/>
      <c r="Q97" s="3876" t="n"/>
      <c r="R97" s="3876" t="n"/>
      <c r="S97" s="3876" t="n"/>
      <c r="T97" s="3876" t="n"/>
      <c r="U97" s="3876" t="n"/>
      <c r="V97" s="3876" t="n"/>
      <c r="W97" s="3876" t="n"/>
      <c r="X97" s="3876" t="n"/>
      <c r="Y97" s="3876" t="n"/>
      <c r="Z97" s="3876" t="n"/>
      <c r="AA97" s="3876" t="n"/>
      <c r="AB97" s="3876" t="n"/>
      <c r="AC97" s="3876" t="n"/>
      <c r="AD97" s="3876" t="n"/>
      <c r="AE97" s="3876" t="n"/>
      <c r="AF97" s="3876" t="n"/>
      <c r="AG97" s="3876" t="n"/>
      <c r="AH97" s="3876" t="n"/>
      <c r="AI97" s="3876" t="n"/>
      <c r="AJ97" s="3876" t="n"/>
      <c r="AK97" s="3876" t="n"/>
      <c r="AL97" s="3876" t="n"/>
      <c r="AM97" s="3876" t="n"/>
      <c r="AN97" s="3876" t="n"/>
      <c r="AO97" s="3876" t="n"/>
      <c r="AP97" s="3876" t="n"/>
      <c r="AQ97" s="3876" t="n"/>
      <c r="AR97" s="3876" t="n"/>
      <c r="AS97" s="3876" t="n"/>
    </row>
    <row r="98">
      <c r="A98" s="3905" t="n"/>
      <c r="B98" s="3905" t="n"/>
      <c r="C98" s="3905" t="n"/>
      <c r="D98" s="3905" t="n"/>
      <c r="E98" s="3905" t="n"/>
      <c r="F98" s="3905" t="n"/>
      <c r="G98" s="3876" t="n"/>
      <c r="H98" s="3876" t="n"/>
      <c r="I98" s="3876" t="n"/>
      <c r="J98" s="3876" t="n"/>
      <c r="K98" s="3876" t="n"/>
      <c r="L98" s="3876" t="n"/>
      <c r="M98" s="3876" t="n"/>
      <c r="N98" s="3876" t="n"/>
      <c r="O98" s="3876" t="n"/>
      <c r="P98" s="3876" t="n"/>
      <c r="Q98" s="3876" t="n"/>
      <c r="R98" s="3876" t="n"/>
      <c r="S98" s="3876" t="n"/>
      <c r="T98" s="3876" t="n"/>
      <c r="U98" s="3876" t="n"/>
      <c r="V98" s="3876" t="n"/>
      <c r="W98" s="3876" t="n"/>
      <c r="X98" s="3876" t="n"/>
      <c r="Y98" s="3876" t="n"/>
      <c r="Z98" s="3876" t="n"/>
      <c r="AA98" s="3876" t="n"/>
      <c r="AB98" s="3876" t="n"/>
      <c r="AC98" s="3876" t="n"/>
      <c r="AD98" s="3876" t="n"/>
      <c r="AE98" s="3876" t="n"/>
      <c r="AF98" s="3876" t="n"/>
      <c r="AG98" s="3876" t="n"/>
      <c r="AH98" s="3876" t="n"/>
      <c r="AI98" s="3876" t="n"/>
      <c r="AJ98" s="3876" t="n"/>
      <c r="AK98" s="3876" t="n"/>
      <c r="AL98" s="3876" t="n"/>
      <c r="AM98" s="3876" t="n"/>
      <c r="AN98" s="3876" t="n"/>
      <c r="AO98" s="3876" t="n"/>
      <c r="AP98" s="3876" t="n"/>
      <c r="AQ98" s="3876" t="n"/>
      <c r="AR98" s="3876" t="n"/>
      <c r="AS98" s="3876" t="n"/>
    </row>
    <row r="99">
      <c r="A99" s="3905" t="n"/>
      <c r="B99" s="3905" t="n"/>
      <c r="C99" s="3905" t="n"/>
      <c r="D99" s="3905" t="n"/>
      <c r="E99" s="3905" t="n"/>
      <c r="F99" s="3905" t="n"/>
      <c r="G99" s="3876" t="n"/>
      <c r="H99" s="3876" t="n"/>
      <c r="I99" s="3876" t="n"/>
      <c r="J99" s="3876" t="n"/>
      <c r="K99" s="3876" t="n"/>
      <c r="L99" s="3876" t="n"/>
      <c r="M99" s="3876" t="n"/>
      <c r="N99" s="3876" t="n"/>
      <c r="O99" s="3876" t="n"/>
      <c r="P99" s="3876" t="n"/>
      <c r="Q99" s="3876" t="n"/>
      <c r="R99" s="3876" t="n"/>
      <c r="S99" s="3876" t="n"/>
      <c r="T99" s="3876" t="n"/>
      <c r="U99" s="3876" t="n"/>
      <c r="V99" s="3876" t="n"/>
      <c r="W99" s="3876" t="n"/>
      <c r="X99" s="3876" t="n"/>
      <c r="Y99" s="3876" t="n"/>
      <c r="Z99" s="3876" t="n"/>
      <c r="AA99" s="3876" t="n"/>
      <c r="AB99" s="3876" t="n"/>
      <c r="AC99" s="3876" t="n"/>
      <c r="AD99" s="3876" t="n"/>
      <c r="AE99" s="3876" t="n"/>
      <c r="AF99" s="3876" t="n"/>
      <c r="AG99" s="3876" t="n"/>
      <c r="AH99" s="3876" t="n"/>
      <c r="AI99" s="3876" t="n"/>
      <c r="AJ99" s="3876" t="n"/>
      <c r="AK99" s="3876" t="n"/>
      <c r="AL99" s="3876" t="n"/>
      <c r="AM99" s="3876" t="n"/>
      <c r="AN99" s="3876" t="n"/>
      <c r="AO99" s="3876" t="n"/>
      <c r="AP99" s="3876" t="n"/>
      <c r="AQ99" s="3876" t="n"/>
      <c r="AR99" s="3876" t="n"/>
      <c r="AS99" s="3876" t="n"/>
    </row>
    <row r="100">
      <c r="A100" s="3905" t="n"/>
      <c r="B100" s="3905" t="n"/>
      <c r="C100" s="3905" t="n"/>
      <c r="D100" s="3905" t="n"/>
      <c r="E100" s="3905" t="n"/>
      <c r="F100" s="3905" t="n"/>
      <c r="G100" s="3876" t="n"/>
      <c r="H100" s="3876" t="n"/>
      <c r="I100" s="3876" t="n"/>
      <c r="J100" s="3876" t="n"/>
      <c r="K100" s="3876" t="n"/>
      <c r="L100" s="3876" t="n"/>
      <c r="M100" s="3876" t="n"/>
      <c r="N100" s="3876" t="n"/>
      <c r="O100" s="3876" t="n"/>
      <c r="P100" s="3876" t="n"/>
      <c r="Q100" s="3876" t="n"/>
      <c r="R100" s="3876" t="n"/>
      <c r="S100" s="3876" t="n"/>
      <c r="T100" s="3876" t="n"/>
      <c r="U100" s="3876" t="n"/>
      <c r="V100" s="3876" t="n"/>
      <c r="W100" s="3876" t="n"/>
      <c r="X100" s="3876" t="n"/>
      <c r="Y100" s="3876" t="n"/>
      <c r="Z100" s="3876" t="n"/>
      <c r="AA100" s="3876" t="n"/>
      <c r="AB100" s="3876" t="n"/>
      <c r="AC100" s="3876" t="n"/>
      <c r="AD100" s="3876" t="n"/>
      <c r="AE100" s="3876" t="n"/>
      <c r="AF100" s="3876" t="n"/>
      <c r="AG100" s="3876" t="n"/>
      <c r="AH100" s="3876" t="n"/>
      <c r="AI100" s="3876" t="n"/>
      <c r="AJ100" s="3876" t="n"/>
      <c r="AK100" s="3876" t="n"/>
      <c r="AL100" s="3876" t="n"/>
      <c r="AM100" s="3876" t="n"/>
      <c r="AN100" s="3876" t="n"/>
      <c r="AO100" s="3876" t="n"/>
      <c r="AP100" s="3876" t="n"/>
      <c r="AQ100" s="3876" t="n"/>
      <c r="AR100" s="3876" t="n"/>
      <c r="AS100" s="3876" t="n"/>
    </row>
    <row r="101">
      <c r="A101" s="3905" t="n"/>
      <c r="B101" s="3905" t="n"/>
      <c r="C101" s="3905" t="n"/>
      <c r="D101" s="3905" t="n"/>
      <c r="E101" s="3905" t="n"/>
      <c r="F101" s="3905" t="n"/>
      <c r="G101" s="3876" t="n"/>
      <c r="H101" s="3876" t="n"/>
      <c r="I101" s="3876" t="n"/>
      <c r="J101" s="3876" t="n"/>
      <c r="K101" s="3876" t="n"/>
      <c r="L101" s="3876" t="n"/>
      <c r="M101" s="3876" t="n"/>
      <c r="N101" s="3876" t="n"/>
      <c r="O101" s="3876" t="n"/>
      <c r="P101" s="3876" t="n"/>
      <c r="Q101" s="3876" t="n"/>
      <c r="R101" s="3876" t="n"/>
      <c r="S101" s="3876" t="n"/>
      <c r="T101" s="3876" t="n"/>
      <c r="U101" s="3876" t="n"/>
      <c r="V101" s="3876" t="n"/>
      <c r="W101" s="3876" t="n"/>
      <c r="X101" s="3876" t="n"/>
      <c r="Y101" s="3876" t="n"/>
      <c r="Z101" s="3876" t="n"/>
      <c r="AA101" s="3876" t="n"/>
      <c r="AB101" s="3876" t="n"/>
      <c r="AC101" s="3876" t="n"/>
      <c r="AD101" s="3876" t="n"/>
      <c r="AE101" s="3876" t="n"/>
      <c r="AF101" s="3876" t="n"/>
      <c r="AG101" s="3876" t="n"/>
      <c r="AH101" s="3876" t="n"/>
      <c r="AI101" s="3876" t="n"/>
      <c r="AJ101" s="3876" t="n"/>
      <c r="AK101" s="3876" t="n"/>
      <c r="AL101" s="3876" t="n"/>
      <c r="AM101" s="3876" t="n"/>
      <c r="AN101" s="3876" t="n"/>
      <c r="AO101" s="3876" t="n"/>
      <c r="AP101" s="3876" t="n"/>
      <c r="AQ101" s="3876" t="n"/>
      <c r="AR101" s="3876" t="n"/>
      <c r="AS101" s="3876" t="n"/>
    </row>
    <row r="102">
      <c r="A102" s="3905" t="n"/>
      <c r="B102" s="3905" t="n"/>
      <c r="C102" s="3905" t="n"/>
      <c r="D102" s="3905" t="n"/>
      <c r="E102" s="3905" t="n"/>
      <c r="F102" s="3905" t="n"/>
      <c r="G102" s="3876" t="n"/>
      <c r="H102" s="3876" t="n"/>
      <c r="I102" s="3876" t="n"/>
      <c r="J102" s="3876" t="n"/>
      <c r="K102" s="3876" t="n"/>
      <c r="L102" s="3876" t="n"/>
      <c r="M102" s="3876" t="n"/>
      <c r="N102" s="3876" t="n"/>
      <c r="O102" s="3876" t="n"/>
      <c r="P102" s="3876" t="n"/>
      <c r="Q102" s="3876" t="n"/>
      <c r="R102" s="3876" t="n"/>
      <c r="S102" s="3876" t="n"/>
      <c r="T102" s="3876" t="n"/>
      <c r="U102" s="3876" t="n"/>
      <c r="V102" s="3876" t="n"/>
      <c r="W102" s="3876" t="n"/>
      <c r="X102" s="3876" t="n"/>
      <c r="Y102" s="3876" t="n"/>
      <c r="Z102" s="3876" t="n"/>
      <c r="AA102" s="3876" t="n"/>
      <c r="AB102" s="3876" t="n"/>
      <c r="AC102" s="3876" t="n"/>
      <c r="AD102" s="3876" t="n"/>
      <c r="AE102" s="3876" t="n"/>
      <c r="AF102" s="3876" t="n"/>
      <c r="AG102" s="3876" t="n"/>
      <c r="AH102" s="3876" t="n"/>
      <c r="AI102" s="3876" t="n"/>
      <c r="AJ102" s="3876" t="n"/>
      <c r="AK102" s="3876" t="n"/>
      <c r="AL102" s="3876" t="n"/>
      <c r="AM102" s="3876" t="n"/>
      <c r="AN102" s="3876" t="n"/>
      <c r="AO102" s="3876" t="n"/>
      <c r="AP102" s="3876" t="n"/>
      <c r="AQ102" s="3876" t="n"/>
      <c r="AR102" s="3876" t="n"/>
      <c r="AS102" s="3876" t="n"/>
    </row>
    <row r="103">
      <c r="A103" s="3905" t="n"/>
      <c r="B103" s="3905" t="n"/>
      <c r="C103" s="3905" t="n"/>
      <c r="D103" s="3905" t="n"/>
      <c r="E103" s="3905" t="n"/>
      <c r="F103" s="3905" t="n"/>
      <c r="G103" s="3876" t="n"/>
      <c r="H103" s="3876" t="n"/>
      <c r="I103" s="3876" t="n"/>
      <c r="J103" s="3876" t="n"/>
      <c r="K103" s="3876" t="n"/>
      <c r="L103" s="3876" t="n"/>
      <c r="M103" s="3876" t="n"/>
      <c r="N103" s="3876" t="n"/>
      <c r="O103" s="3876" t="n"/>
      <c r="P103" s="3876" t="n"/>
      <c r="Q103" s="3876" t="n"/>
      <c r="R103" s="3876" t="n"/>
      <c r="S103" s="3876" t="n"/>
      <c r="T103" s="3876" t="n"/>
      <c r="U103" s="3876" t="n"/>
      <c r="V103" s="3876" t="n"/>
      <c r="W103" s="3876" t="n"/>
      <c r="X103" s="3876" t="n"/>
      <c r="Y103" s="3876" t="n"/>
      <c r="Z103" s="3876" t="n"/>
      <c r="AA103" s="3876" t="n"/>
      <c r="AB103" s="3876" t="n"/>
      <c r="AC103" s="3876" t="n"/>
      <c r="AD103" s="3876" t="n"/>
      <c r="AE103" s="3876" t="n"/>
      <c r="AF103" s="3876" t="n"/>
      <c r="AG103" s="3876" t="n"/>
      <c r="AH103" s="3876" t="n"/>
      <c r="AI103" s="3876" t="n"/>
      <c r="AJ103" s="3876" t="n"/>
      <c r="AK103" s="3876" t="n"/>
      <c r="AL103" s="3876" t="n"/>
      <c r="AM103" s="3876" t="n"/>
      <c r="AN103" s="3876" t="n"/>
      <c r="AO103" s="3876" t="n"/>
      <c r="AP103" s="3876" t="n"/>
      <c r="AQ103" s="3876" t="n"/>
      <c r="AR103" s="3876" t="n"/>
      <c r="AS103" s="3876" t="n"/>
    </row>
    <row r="104">
      <c r="A104" s="3905" t="n"/>
      <c r="B104" s="3905" t="n"/>
      <c r="C104" s="3905" t="n"/>
      <c r="D104" s="3905" t="n"/>
      <c r="E104" s="3905" t="n"/>
      <c r="F104" s="3905" t="n"/>
      <c r="G104" s="3876" t="n"/>
      <c r="H104" s="3876" t="n"/>
      <c r="I104" s="3876" t="n"/>
      <c r="J104" s="3876" t="n"/>
      <c r="K104" s="3876" t="n"/>
      <c r="L104" s="3876" t="n"/>
      <c r="M104" s="3876" t="n"/>
      <c r="N104" s="3876" t="n"/>
      <c r="O104" s="3876" t="n"/>
      <c r="P104" s="3876" t="n"/>
      <c r="Q104" s="3876" t="n"/>
      <c r="R104" s="3876" t="n"/>
      <c r="S104" s="3876" t="n"/>
      <c r="T104" s="3876" t="n"/>
      <c r="U104" s="3876" t="n"/>
      <c r="V104" s="3876" t="n"/>
      <c r="W104" s="3876" t="n"/>
      <c r="X104" s="3876" t="n"/>
      <c r="Y104" s="3876" t="n"/>
      <c r="Z104" s="3876" t="n"/>
      <c r="AA104" s="3876" t="n"/>
      <c r="AB104" s="3876" t="n"/>
      <c r="AC104" s="3876" t="n"/>
      <c r="AD104" s="3876" t="n"/>
      <c r="AE104" s="3876" t="n"/>
      <c r="AF104" s="3876" t="n"/>
      <c r="AG104" s="3876" t="n"/>
      <c r="AH104" s="3876" t="n"/>
      <c r="AI104" s="3876" t="n"/>
      <c r="AJ104" s="3876" t="n"/>
      <c r="AK104" s="3876" t="n"/>
      <c r="AL104" s="3876" t="n"/>
      <c r="AM104" s="3876" t="n"/>
      <c r="AN104" s="3876" t="n"/>
      <c r="AO104" s="3876" t="n"/>
      <c r="AP104" s="3876" t="n"/>
      <c r="AQ104" s="3876" t="n"/>
      <c r="AR104" s="3876" t="n"/>
      <c r="AS104" s="3876" t="n"/>
    </row>
    <row r="105">
      <c r="A105" s="3905" t="n"/>
      <c r="B105" s="3905" t="n"/>
      <c r="C105" s="3905" t="n"/>
      <c r="D105" s="3905" t="n"/>
      <c r="E105" s="3905" t="n"/>
      <c r="F105" s="3905" t="n"/>
      <c r="G105" s="3876" t="n"/>
      <c r="H105" s="3876" t="n"/>
      <c r="I105" s="3876" t="n"/>
      <c r="J105" s="3876" t="n"/>
      <c r="K105" s="3876" t="n"/>
      <c r="L105" s="3876" t="n"/>
      <c r="M105" s="3876" t="n"/>
      <c r="N105" s="3876" t="n"/>
      <c r="O105" s="3876" t="n"/>
      <c r="P105" s="3876" t="n"/>
      <c r="Q105" s="3876" t="n"/>
      <c r="R105" s="3876" t="n"/>
      <c r="S105" s="3876" t="n"/>
      <c r="T105" s="3876" t="n"/>
      <c r="U105" s="3876" t="n"/>
      <c r="V105" s="3876" t="n"/>
      <c r="W105" s="3876" t="n"/>
      <c r="X105" s="3876" t="n"/>
      <c r="Y105" s="3876" t="n"/>
      <c r="Z105" s="3876" t="n"/>
      <c r="AA105" s="3876" t="n"/>
      <c r="AB105" s="3876" t="n"/>
      <c r="AC105" s="3876" t="n"/>
      <c r="AD105" s="3876" t="n"/>
      <c r="AE105" s="3876" t="n"/>
      <c r="AF105" s="3876" t="n"/>
      <c r="AG105" s="3876" t="n"/>
      <c r="AH105" s="3876" t="n"/>
      <c r="AI105" s="3876" t="n"/>
      <c r="AJ105" s="3876" t="n"/>
      <c r="AK105" s="3876" t="n"/>
      <c r="AL105" s="3876" t="n"/>
      <c r="AM105" s="3876" t="n"/>
      <c r="AN105" s="3876" t="n"/>
      <c r="AO105" s="3876" t="n"/>
      <c r="AP105" s="3876" t="n"/>
      <c r="AQ105" s="3876" t="n"/>
      <c r="AR105" s="3876" t="n"/>
      <c r="AS105" s="3876" t="n"/>
    </row>
    <row r="106">
      <c r="A106" s="3905" t="n"/>
      <c r="B106" s="3905" t="n"/>
      <c r="C106" s="3905" t="n"/>
      <c r="D106" s="3905" t="n"/>
      <c r="E106" s="3905" t="n"/>
      <c r="F106" s="3905" t="n"/>
      <c r="G106" s="3876" t="n"/>
      <c r="H106" s="3876" t="n"/>
      <c r="I106" s="3876" t="n"/>
      <c r="J106" s="3876" t="n"/>
      <c r="K106" s="3876" t="n"/>
      <c r="L106" s="3876" t="n"/>
      <c r="M106" s="3876" t="n"/>
      <c r="N106" s="3876" t="n"/>
      <c r="O106" s="3876" t="n"/>
      <c r="P106" s="3876" t="n"/>
      <c r="Q106" s="3876" t="n"/>
      <c r="R106" s="3876" t="n"/>
      <c r="S106" s="3876" t="n"/>
      <c r="T106" s="3876" t="n"/>
      <c r="U106" s="3876" t="n"/>
      <c r="V106" s="3876" t="n"/>
      <c r="W106" s="3876" t="n"/>
      <c r="X106" s="3876" t="n"/>
      <c r="Y106" s="3876" t="n"/>
      <c r="Z106" s="3876" t="n"/>
      <c r="AA106" s="3876" t="n"/>
      <c r="AB106" s="3876" t="n"/>
      <c r="AC106" s="3876" t="n"/>
      <c r="AD106" s="3876" t="n"/>
      <c r="AE106" s="3876" t="n"/>
      <c r="AF106" s="3876" t="n"/>
      <c r="AG106" s="3876" t="n"/>
      <c r="AH106" s="3876" t="n"/>
      <c r="AI106" s="3876" t="n"/>
      <c r="AJ106" s="3876" t="n"/>
      <c r="AK106" s="3876" t="n"/>
      <c r="AL106" s="3876" t="n"/>
      <c r="AM106" s="3876" t="n"/>
      <c r="AN106" s="3876" t="n"/>
      <c r="AO106" s="3876" t="n"/>
      <c r="AP106" s="3876" t="n"/>
      <c r="AQ106" s="3876" t="n"/>
      <c r="AR106" s="3876" t="n"/>
      <c r="AS106" s="3876" t="n"/>
    </row>
    <row r="107">
      <c r="A107" s="3905" t="n"/>
      <c r="B107" s="3905" t="n"/>
      <c r="C107" s="3905" t="n"/>
      <c r="D107" s="3905" t="n"/>
      <c r="E107" s="3905" t="n"/>
      <c r="F107" s="3905" t="n"/>
      <c r="G107" s="3876" t="n"/>
      <c r="H107" s="3876" t="n"/>
      <c r="I107" s="3876" t="n"/>
      <c r="J107" s="3876" t="n"/>
      <c r="K107" s="3876" t="n"/>
      <c r="L107" s="3876" t="n"/>
      <c r="M107" s="3876" t="n"/>
      <c r="N107" s="3876" t="n"/>
      <c r="O107" s="3876" t="n"/>
      <c r="P107" s="3876" t="n"/>
      <c r="Q107" s="3876" t="n"/>
      <c r="R107" s="3876" t="n"/>
      <c r="S107" s="3876" t="n"/>
      <c r="T107" s="3876" t="n"/>
      <c r="U107" s="3876" t="n"/>
      <c r="V107" s="3876" t="n"/>
      <c r="W107" s="3876" t="n"/>
      <c r="X107" s="3876" t="n"/>
      <c r="Y107" s="3876" t="n"/>
      <c r="Z107" s="3876" t="n"/>
      <c r="AA107" s="3876" t="n"/>
      <c r="AB107" s="3876" t="n"/>
      <c r="AC107" s="3876" t="n"/>
      <c r="AD107" s="3876" t="n"/>
      <c r="AE107" s="3876" t="n"/>
      <c r="AF107" s="3876" t="n"/>
      <c r="AG107" s="3876" t="n"/>
      <c r="AH107" s="3876" t="n"/>
      <c r="AI107" s="3876" t="n"/>
      <c r="AJ107" s="3876" t="n"/>
      <c r="AK107" s="3876" t="n"/>
      <c r="AL107" s="3876" t="n"/>
      <c r="AM107" s="3876" t="n"/>
      <c r="AN107" s="3876" t="n"/>
      <c r="AO107" s="3876" t="n"/>
      <c r="AP107" s="3876" t="n"/>
      <c r="AQ107" s="3876" t="n"/>
      <c r="AR107" s="3876" t="n"/>
      <c r="AS107" s="3876" t="n"/>
    </row>
    <row r="108">
      <c r="A108" s="3905" t="n"/>
      <c r="B108" s="3905" t="n"/>
      <c r="C108" s="3905" t="n"/>
      <c r="D108" s="3905" t="n"/>
      <c r="E108" s="3905" t="n"/>
      <c r="F108" s="3905" t="n"/>
      <c r="G108" s="3876" t="n"/>
      <c r="H108" s="3876" t="n"/>
      <c r="I108" s="3876" t="n"/>
      <c r="J108" s="3876" t="n"/>
      <c r="K108" s="3876" t="n"/>
      <c r="L108" s="3876" t="n"/>
      <c r="M108" s="3876" t="n"/>
      <c r="N108" s="3876" t="n"/>
      <c r="O108" s="3876" t="n"/>
      <c r="P108" s="3876" t="n"/>
      <c r="Q108" s="3876" t="n"/>
      <c r="R108" s="3876" t="n"/>
      <c r="S108" s="3876" t="n"/>
      <c r="T108" s="3876" t="n"/>
      <c r="U108" s="3876" t="n"/>
      <c r="V108" s="3876" t="n"/>
      <c r="W108" s="3876" t="n"/>
      <c r="X108" s="3876" t="n"/>
      <c r="Y108" s="3876" t="n"/>
      <c r="Z108" s="3876" t="n"/>
      <c r="AA108" s="3876" t="n"/>
      <c r="AB108" s="3876" t="n"/>
      <c r="AC108" s="3876" t="n"/>
      <c r="AD108" s="3876" t="n"/>
      <c r="AE108" s="3876" t="n"/>
      <c r="AF108" s="3876" t="n"/>
      <c r="AG108" s="3876" t="n"/>
      <c r="AH108" s="3876" t="n"/>
      <c r="AI108" s="3876" t="n"/>
      <c r="AJ108" s="3876" t="n"/>
      <c r="AK108" s="3876" t="n"/>
      <c r="AL108" s="3876" t="n"/>
      <c r="AM108" s="3876" t="n"/>
      <c r="AN108" s="3876" t="n"/>
      <c r="AO108" s="3876" t="n"/>
      <c r="AP108" s="3876" t="n"/>
      <c r="AQ108" s="3876" t="n"/>
      <c r="AR108" s="3876" t="n"/>
      <c r="AS108" s="3876" t="n"/>
    </row>
    <row r="109">
      <c r="A109" s="3905" t="n"/>
      <c r="B109" s="3905" t="n"/>
      <c r="C109" s="3905" t="n"/>
      <c r="D109" s="3905" t="n"/>
      <c r="E109" s="3905" t="n"/>
      <c r="F109" s="3905" t="n"/>
      <c r="G109" s="3876" t="n"/>
      <c r="H109" s="3876" t="n"/>
      <c r="I109" s="3876" t="n"/>
      <c r="J109" s="3876" t="n"/>
      <c r="K109" s="3876" t="n"/>
      <c r="L109" s="3876" t="n"/>
      <c r="M109" s="3876" t="n"/>
      <c r="N109" s="3876" t="n"/>
      <c r="O109" s="3876" t="n"/>
      <c r="P109" s="3876" t="n"/>
      <c r="Q109" s="3876" t="n"/>
      <c r="R109" s="3876" t="n"/>
      <c r="S109" s="3876" t="n"/>
      <c r="T109" s="3876" t="n"/>
      <c r="U109" s="3876" t="n"/>
      <c r="V109" s="3876" t="n"/>
      <c r="W109" s="3876" t="n"/>
      <c r="X109" s="3876" t="n"/>
      <c r="Y109" s="3876" t="n"/>
      <c r="Z109" s="3876" t="n"/>
      <c r="AA109" s="3876" t="n"/>
      <c r="AB109" s="3876" t="n"/>
      <c r="AC109" s="3876" t="n"/>
      <c r="AD109" s="3876" t="n"/>
      <c r="AE109" s="3876" t="n"/>
      <c r="AF109" s="3876" t="n"/>
      <c r="AG109" s="3876" t="n"/>
      <c r="AH109" s="3876" t="n"/>
      <c r="AI109" s="3876" t="n"/>
      <c r="AJ109" s="3876" t="n"/>
      <c r="AK109" s="3876" t="n"/>
      <c r="AL109" s="3876" t="n"/>
      <c r="AM109" s="3876" t="n"/>
      <c r="AN109" s="3876" t="n"/>
      <c r="AO109" s="3876" t="n"/>
      <c r="AP109" s="3876" t="n"/>
      <c r="AQ109" s="3876" t="n"/>
      <c r="AR109" s="3876" t="n"/>
      <c r="AS109" s="3876" t="n"/>
    </row>
    <row r="110">
      <c r="A110" s="3905" t="n"/>
      <c r="B110" s="3905" t="n"/>
      <c r="C110" s="3905" t="n"/>
      <c r="D110" s="3905" t="n"/>
      <c r="E110" s="3905" t="n"/>
      <c r="F110" s="3905" t="n"/>
      <c r="G110" s="3876" t="n"/>
      <c r="H110" s="3876" t="n"/>
      <c r="I110" s="3876" t="n"/>
      <c r="J110" s="3876" t="n"/>
      <c r="K110" s="3876" t="n"/>
      <c r="L110" s="3876" t="n"/>
      <c r="M110" s="3876" t="n"/>
      <c r="N110" s="3876" t="n"/>
      <c r="O110" s="3876" t="n"/>
      <c r="P110" s="3876" t="n"/>
      <c r="Q110" s="3876" t="n"/>
      <c r="R110" s="3876" t="n"/>
      <c r="S110" s="3876" t="n"/>
      <c r="T110" s="3876" t="n"/>
      <c r="U110" s="3876" t="n"/>
      <c r="V110" s="3876" t="n"/>
      <c r="W110" s="3876" t="n"/>
      <c r="X110" s="3876" t="n"/>
      <c r="Y110" s="3876" t="n"/>
      <c r="Z110" s="3876" t="n"/>
      <c r="AA110" s="3876" t="n"/>
      <c r="AB110" s="3876" t="n"/>
      <c r="AC110" s="3876" t="n"/>
      <c r="AD110" s="3876" t="n"/>
      <c r="AE110" s="3876" t="n"/>
      <c r="AF110" s="3876" t="n"/>
      <c r="AG110" s="3876" t="n"/>
      <c r="AH110" s="3876" t="n"/>
      <c r="AI110" s="3876" t="n"/>
      <c r="AJ110" s="3876" t="n"/>
      <c r="AK110" s="3876" t="n"/>
      <c r="AL110" s="3876" t="n"/>
      <c r="AM110" s="3876" t="n"/>
      <c r="AN110" s="3876" t="n"/>
      <c r="AO110" s="3876" t="n"/>
      <c r="AP110" s="3876" t="n"/>
      <c r="AQ110" s="3876" t="n"/>
      <c r="AR110" s="3876" t="n"/>
      <c r="AS110" s="3876" t="n"/>
    </row>
    <row r="111">
      <c r="A111" s="3905" t="n"/>
      <c r="B111" s="3905" t="n"/>
      <c r="C111" s="3905" t="n"/>
      <c r="D111" s="3905" t="n"/>
      <c r="E111" s="3905" t="n"/>
      <c r="F111" s="3905" t="n"/>
      <c r="G111" s="3876" t="n"/>
      <c r="H111" s="3876" t="n"/>
      <c r="I111" s="3876" t="n"/>
      <c r="J111" s="3876" t="n"/>
      <c r="K111" s="3876" t="n"/>
      <c r="L111" s="3876" t="n"/>
      <c r="M111" s="3876" t="n"/>
      <c r="N111" s="3876" t="n"/>
      <c r="O111" s="3876" t="n"/>
      <c r="P111" s="3876" t="n"/>
      <c r="Q111" s="3876" t="n"/>
      <c r="R111" s="3876" t="n"/>
      <c r="S111" s="3876" t="n"/>
      <c r="T111" s="3876" t="n"/>
      <c r="U111" s="3876" t="n"/>
      <c r="V111" s="3876" t="n"/>
      <c r="W111" s="3876" t="n"/>
      <c r="X111" s="3876" t="n"/>
      <c r="Y111" s="3876" t="n"/>
      <c r="Z111" s="3876" t="n"/>
      <c r="AA111" s="3876" t="n"/>
      <c r="AB111" s="3876" t="n"/>
      <c r="AC111" s="3876" t="n"/>
      <c r="AD111" s="3876" t="n"/>
      <c r="AE111" s="3876" t="n"/>
      <c r="AF111" s="3876" t="n"/>
      <c r="AG111" s="3876" t="n"/>
      <c r="AH111" s="3876" t="n"/>
      <c r="AI111" s="3876" t="n"/>
      <c r="AJ111" s="3876" t="n"/>
      <c r="AK111" s="3876" t="n"/>
      <c r="AL111" s="3876" t="n"/>
      <c r="AM111" s="3876" t="n"/>
      <c r="AN111" s="3876" t="n"/>
      <c r="AO111" s="3876" t="n"/>
      <c r="AP111" s="3876" t="n"/>
      <c r="AQ111" s="3876" t="n"/>
      <c r="AR111" s="3876" t="n"/>
      <c r="AS111" s="3876" t="n"/>
    </row>
    <row r="112">
      <c r="A112" s="3905" t="n"/>
      <c r="B112" s="3905" t="n"/>
      <c r="C112" s="3905" t="n"/>
      <c r="D112" s="3905" t="n"/>
      <c r="E112" s="3905" t="n"/>
      <c r="F112" s="3905" t="n"/>
      <c r="G112" s="3876" t="n"/>
      <c r="H112" s="3876" t="n"/>
      <c r="I112" s="3876" t="n"/>
      <c r="J112" s="3876" t="n"/>
      <c r="K112" s="3876" t="n"/>
      <c r="L112" s="3876" t="n"/>
      <c r="M112" s="3876" t="n"/>
      <c r="N112" s="3876" t="n"/>
      <c r="O112" s="3876" t="n"/>
      <c r="P112" s="3876" t="n"/>
      <c r="Q112" s="3876" t="n"/>
      <c r="R112" s="3876" t="n"/>
      <c r="S112" s="3876" t="n"/>
      <c r="T112" s="3876" t="n"/>
      <c r="U112" s="3876" t="n"/>
      <c r="V112" s="3876" t="n"/>
      <c r="W112" s="3876" t="n"/>
      <c r="X112" s="3876" t="n"/>
      <c r="Y112" s="3876" t="n"/>
      <c r="Z112" s="3876" t="n"/>
      <c r="AA112" s="3876" t="n"/>
      <c r="AB112" s="3876" t="n"/>
      <c r="AC112" s="3876" t="n"/>
      <c r="AD112" s="3876" t="n"/>
      <c r="AE112" s="3876" t="n"/>
      <c r="AF112" s="3876" t="n"/>
      <c r="AG112" s="3876" t="n"/>
      <c r="AH112" s="3876" t="n"/>
      <c r="AI112" s="3876" t="n"/>
      <c r="AJ112" s="3876" t="n"/>
      <c r="AK112" s="3876" t="n"/>
      <c r="AL112" s="3876" t="n"/>
      <c r="AM112" s="3876" t="n"/>
      <c r="AN112" s="3876" t="n"/>
      <c r="AO112" s="3876" t="n"/>
      <c r="AP112" s="3876" t="n"/>
      <c r="AQ112" s="3876" t="n"/>
      <c r="AR112" s="3876" t="n"/>
      <c r="AS112" s="3876" t="n"/>
    </row>
    <row r="113">
      <c r="A113" s="3905" t="n"/>
      <c r="B113" s="3905" t="n"/>
      <c r="C113" s="3905" t="n"/>
      <c r="D113" s="3905" t="n"/>
      <c r="E113" s="3905" t="n"/>
      <c r="F113" s="3905" t="n"/>
      <c r="G113" s="3876" t="n"/>
      <c r="H113" s="3876" t="n"/>
      <c r="I113" s="3876" t="n"/>
      <c r="J113" s="3876" t="n"/>
      <c r="K113" s="3876" t="n"/>
      <c r="L113" s="3876" t="n"/>
      <c r="M113" s="3876" t="n"/>
      <c r="N113" s="3876" t="n"/>
      <c r="O113" s="3876" t="n"/>
      <c r="P113" s="3876" t="n"/>
      <c r="Q113" s="3876" t="n"/>
      <c r="R113" s="3876" t="n"/>
      <c r="S113" s="3876" t="n"/>
      <c r="T113" s="3876" t="n"/>
      <c r="U113" s="3876" t="n"/>
      <c r="V113" s="3876" t="n"/>
      <c r="W113" s="3876" t="n"/>
      <c r="X113" s="3876" t="n"/>
      <c r="Y113" s="3876" t="n"/>
      <c r="Z113" s="3876" t="n"/>
      <c r="AA113" s="3876" t="n"/>
      <c r="AB113" s="3876" t="n"/>
      <c r="AC113" s="3876" t="n"/>
      <c r="AD113" s="3876" t="n"/>
      <c r="AE113" s="3876" t="n"/>
      <c r="AF113" s="3876" t="n"/>
      <c r="AG113" s="3876" t="n"/>
      <c r="AH113" s="3876" t="n"/>
      <c r="AI113" s="3876" t="n"/>
      <c r="AJ113" s="3876" t="n"/>
      <c r="AK113" s="3876" t="n"/>
      <c r="AL113" s="3876" t="n"/>
      <c r="AM113" s="3876" t="n"/>
      <c r="AN113" s="3876" t="n"/>
      <c r="AO113" s="3876" t="n"/>
      <c r="AP113" s="3876" t="n"/>
      <c r="AQ113" s="3876" t="n"/>
      <c r="AR113" s="3876" t="n"/>
      <c r="AS113" s="3876" t="n"/>
    </row>
    <row r="114">
      <c r="A114" s="3905" t="n"/>
      <c r="B114" s="3905" t="n"/>
      <c r="C114" s="3905" t="n"/>
      <c r="D114" s="3905" t="n"/>
      <c r="E114" s="3905" t="n"/>
      <c r="F114" s="3905" t="n"/>
      <c r="G114" s="3876" t="n"/>
      <c r="H114" s="3876" t="n"/>
      <c r="I114" s="3876" t="n"/>
      <c r="J114" s="3876" t="n"/>
      <c r="K114" s="3876" t="n"/>
      <c r="L114" s="3876" t="n"/>
      <c r="M114" s="3876" t="n"/>
      <c r="N114" s="3876" t="n"/>
      <c r="O114" s="3876" t="n"/>
      <c r="P114" s="3876" t="n"/>
      <c r="Q114" s="3876" t="n"/>
      <c r="R114" s="3876" t="n"/>
      <c r="S114" s="3876" t="n"/>
      <c r="T114" s="3876" t="n"/>
      <c r="U114" s="3876" t="n"/>
      <c r="V114" s="3876" t="n"/>
      <c r="W114" s="3876" t="n"/>
      <c r="X114" s="3876" t="n"/>
      <c r="Y114" s="3876" t="n"/>
      <c r="Z114" s="3876" t="n"/>
      <c r="AA114" s="3876" t="n"/>
      <c r="AB114" s="3876" t="n"/>
      <c r="AC114" s="3876" t="n"/>
      <c r="AD114" s="3876" t="n"/>
      <c r="AE114" s="3876" t="n"/>
      <c r="AF114" s="3876" t="n"/>
      <c r="AG114" s="3876" t="n"/>
      <c r="AH114" s="3876" t="n"/>
      <c r="AI114" s="3876" t="n"/>
      <c r="AJ114" s="3876" t="n"/>
      <c r="AK114" s="3876" t="n"/>
      <c r="AL114" s="3876" t="n"/>
      <c r="AM114" s="3876" t="n"/>
      <c r="AN114" s="3876" t="n"/>
      <c r="AO114" s="3876" t="n"/>
      <c r="AP114" s="3876" t="n"/>
      <c r="AQ114" s="3876" t="n"/>
      <c r="AR114" s="3876" t="n"/>
      <c r="AS114" s="3876" t="n"/>
    </row>
    <row r="115">
      <c r="A115" s="3905" t="n"/>
      <c r="B115" s="3905" t="n"/>
      <c r="C115" s="3905" t="n"/>
      <c r="D115" s="3905" t="n"/>
      <c r="E115" s="3905" t="n"/>
      <c r="F115" s="3905" t="n"/>
      <c r="G115" s="3876" t="n"/>
      <c r="H115" s="3876" t="n"/>
      <c r="I115" s="3876" t="n"/>
      <c r="J115" s="3876" t="n"/>
      <c r="K115" s="3876" t="n"/>
      <c r="L115" s="3876" t="n"/>
      <c r="M115" s="3876" t="n"/>
      <c r="N115" s="3876" t="n"/>
      <c r="O115" s="3876" t="n"/>
      <c r="P115" s="3876" t="n"/>
      <c r="Q115" s="3876" t="n"/>
      <c r="R115" s="3876" t="n"/>
      <c r="S115" s="3876" t="n"/>
      <c r="T115" s="3876" t="n"/>
      <c r="U115" s="3876" t="n"/>
      <c r="V115" s="3876" t="n"/>
      <c r="W115" s="3876" t="n"/>
      <c r="X115" s="3876" t="n"/>
      <c r="Y115" s="3876" t="n"/>
      <c r="Z115" s="3876" t="n"/>
      <c r="AA115" s="3876" t="n"/>
      <c r="AB115" s="3876" t="n"/>
      <c r="AC115" s="3876" t="n"/>
      <c r="AD115" s="3876" t="n"/>
      <c r="AE115" s="3876" t="n"/>
      <c r="AF115" s="3876" t="n"/>
      <c r="AG115" s="3876" t="n"/>
      <c r="AH115" s="3876" t="n"/>
      <c r="AI115" s="3876" t="n"/>
      <c r="AJ115" s="3876" t="n"/>
      <c r="AK115" s="3876" t="n"/>
      <c r="AL115" s="3876" t="n"/>
      <c r="AM115" s="3876" t="n"/>
      <c r="AN115" s="3876" t="n"/>
      <c r="AO115" s="3876" t="n"/>
      <c r="AP115" s="3876" t="n"/>
      <c r="AQ115" s="3876" t="n"/>
      <c r="AR115" s="3876" t="n"/>
      <c r="AS115" s="3876" t="n"/>
    </row>
    <row r="116">
      <c r="A116" s="3905" t="n"/>
      <c r="B116" s="3905" t="n"/>
      <c r="C116" s="3905" t="n"/>
      <c r="D116" s="3905" t="n"/>
      <c r="E116" s="3905" t="n"/>
      <c r="F116" s="3905" t="n"/>
      <c r="G116" s="3876" t="n"/>
      <c r="H116" s="3876" t="n"/>
      <c r="I116" s="3876" t="n"/>
      <c r="J116" s="3876" t="n"/>
      <c r="K116" s="3876" t="n"/>
      <c r="L116" s="3876" t="n"/>
      <c r="M116" s="3876" t="n"/>
      <c r="N116" s="3876" t="n"/>
      <c r="O116" s="3876" t="n"/>
      <c r="P116" s="3876" t="n"/>
      <c r="Q116" s="3876" t="n"/>
      <c r="R116" s="3876" t="n"/>
      <c r="S116" s="3876" t="n"/>
      <c r="T116" s="3876" t="n"/>
      <c r="U116" s="3876" t="n"/>
      <c r="V116" s="3876" t="n"/>
      <c r="W116" s="3876" t="n"/>
      <c r="X116" s="3876" t="n"/>
      <c r="Y116" s="3876" t="n"/>
      <c r="Z116" s="3876" t="n"/>
      <c r="AA116" s="3876" t="n"/>
      <c r="AB116" s="3876" t="n"/>
      <c r="AC116" s="3876" t="n"/>
      <c r="AD116" s="3876" t="n"/>
      <c r="AE116" s="3876" t="n"/>
      <c r="AF116" s="3876" t="n"/>
      <c r="AG116" s="3876" t="n"/>
      <c r="AH116" s="3876" t="n"/>
      <c r="AI116" s="3876" t="n"/>
      <c r="AJ116" s="3876" t="n"/>
      <c r="AK116" s="3876" t="n"/>
      <c r="AL116" s="3876" t="n"/>
      <c r="AM116" s="3876" t="n"/>
      <c r="AN116" s="3876" t="n"/>
      <c r="AO116" s="3876" t="n"/>
      <c r="AP116" s="3876" t="n"/>
      <c r="AQ116" s="3876" t="n"/>
      <c r="AR116" s="3876" t="n"/>
      <c r="AS116" s="3876" t="n"/>
    </row>
    <row r="117">
      <c r="A117" s="3905" t="n"/>
      <c r="B117" s="3905" t="n"/>
      <c r="C117" s="3905" t="n"/>
      <c r="D117" s="3905" t="n"/>
      <c r="E117" s="3905" t="n"/>
      <c r="F117" s="3905" t="n"/>
      <c r="G117" s="3876" t="n"/>
      <c r="H117" s="3876" t="n"/>
      <c r="I117" s="3876" t="n"/>
      <c r="J117" s="3876" t="n"/>
      <c r="K117" s="3876" t="n"/>
      <c r="L117" s="3876" t="n"/>
      <c r="M117" s="3876" t="n"/>
      <c r="N117" s="3876" t="n"/>
      <c r="O117" s="3876" t="n"/>
      <c r="P117" s="3876" t="n"/>
      <c r="Q117" s="3876" t="n"/>
      <c r="R117" s="3876" t="n"/>
      <c r="S117" s="3876" t="n"/>
      <c r="T117" s="3876" t="n"/>
      <c r="U117" s="3876" t="n"/>
      <c r="V117" s="3876" t="n"/>
      <c r="W117" s="3876" t="n"/>
      <c r="X117" s="3876" t="n"/>
      <c r="Y117" s="3876" t="n"/>
      <c r="Z117" s="3876" t="n"/>
      <c r="AA117" s="3876" t="n"/>
      <c r="AB117" s="3876" t="n"/>
      <c r="AC117" s="3876" t="n"/>
      <c r="AD117" s="3876" t="n"/>
      <c r="AE117" s="3876" t="n"/>
      <c r="AF117" s="3876" t="n"/>
      <c r="AG117" s="3876" t="n"/>
      <c r="AH117" s="3876" t="n"/>
      <c r="AI117" s="3876" t="n"/>
      <c r="AJ117" s="3876" t="n"/>
      <c r="AK117" s="3876" t="n"/>
      <c r="AL117" s="3876" t="n"/>
      <c r="AM117" s="3876" t="n"/>
      <c r="AN117" s="3876" t="n"/>
      <c r="AO117" s="3876" t="n"/>
      <c r="AP117" s="3876" t="n"/>
      <c r="AQ117" s="3876" t="n"/>
      <c r="AR117" s="3876" t="n"/>
      <c r="AS117" s="3876" t="n"/>
    </row>
    <row r="118">
      <c r="A118" s="3905" t="n"/>
      <c r="B118" s="3905" t="n"/>
      <c r="C118" s="3905" t="n"/>
      <c r="D118" s="3905" t="n"/>
      <c r="E118" s="3905" t="n"/>
      <c r="F118" s="3905" t="n"/>
      <c r="G118" s="3876" t="n"/>
      <c r="H118" s="3876" t="n"/>
      <c r="I118" s="3876" t="n"/>
      <c r="J118" s="3876" t="n"/>
      <c r="K118" s="3876" t="n"/>
      <c r="L118" s="3876" t="n"/>
      <c r="M118" s="3876" t="n"/>
      <c r="N118" s="3876" t="n"/>
      <c r="O118" s="3876" t="n"/>
      <c r="P118" s="3876" t="n"/>
      <c r="Q118" s="3876" t="n"/>
      <c r="R118" s="3876" t="n"/>
      <c r="S118" s="3876" t="n"/>
      <c r="T118" s="3876" t="n"/>
      <c r="U118" s="3876" t="n"/>
      <c r="V118" s="3876" t="n"/>
      <c r="W118" s="3876" t="n"/>
      <c r="X118" s="3876" t="n"/>
      <c r="Y118" s="3876" t="n"/>
      <c r="Z118" s="3876" t="n"/>
      <c r="AA118" s="3876" t="n"/>
      <c r="AB118" s="3876" t="n"/>
      <c r="AC118" s="3876" t="n"/>
      <c r="AD118" s="3876" t="n"/>
      <c r="AE118" s="3876" t="n"/>
      <c r="AF118" s="3876" t="n"/>
      <c r="AG118" s="3876" t="n"/>
      <c r="AH118" s="3876" t="n"/>
      <c r="AI118" s="3876" t="n"/>
      <c r="AJ118" s="3876" t="n"/>
      <c r="AK118" s="3876" t="n"/>
      <c r="AL118" s="3876" t="n"/>
      <c r="AM118" s="3876" t="n"/>
      <c r="AN118" s="3876" t="n"/>
      <c r="AO118" s="3876" t="n"/>
      <c r="AP118" s="3876" t="n"/>
      <c r="AQ118" s="3876" t="n"/>
      <c r="AR118" s="3876" t="n"/>
      <c r="AS118" s="3876" t="n"/>
    </row>
    <row r="119">
      <c r="A119" s="3905" t="n"/>
      <c r="B119" s="3905" t="n"/>
      <c r="C119" s="3905" t="n"/>
      <c r="D119" s="3905" t="n"/>
      <c r="E119" s="3905" t="n"/>
      <c r="F119" s="3905" t="n"/>
      <c r="G119" s="3876" t="n"/>
      <c r="H119" s="3876" t="n"/>
      <c r="I119" s="3876" t="n"/>
      <c r="J119" s="3876" t="n"/>
      <c r="K119" s="3876" t="n"/>
      <c r="L119" s="3876" t="n"/>
      <c r="M119" s="3876" t="n"/>
      <c r="N119" s="3876" t="n"/>
      <c r="O119" s="3876" t="n"/>
      <c r="P119" s="3876" t="n"/>
      <c r="Q119" s="3876" t="n"/>
      <c r="R119" s="3876" t="n"/>
      <c r="S119" s="3876" t="n"/>
      <c r="T119" s="3876" t="n"/>
      <c r="U119" s="3876" t="n"/>
      <c r="V119" s="3876" t="n"/>
      <c r="W119" s="3876" t="n"/>
      <c r="X119" s="3876" t="n"/>
      <c r="Y119" s="3876" t="n"/>
      <c r="Z119" s="3876" t="n"/>
      <c r="AA119" s="3876" t="n"/>
      <c r="AB119" s="3876" t="n"/>
      <c r="AC119" s="3876" t="n"/>
      <c r="AD119" s="3876" t="n"/>
      <c r="AE119" s="3876" t="n"/>
      <c r="AF119" s="3876" t="n"/>
      <c r="AG119" s="3876" t="n"/>
      <c r="AH119" s="3876" t="n"/>
      <c r="AI119" s="3876" t="n"/>
      <c r="AJ119" s="3876" t="n"/>
      <c r="AK119" s="3876" t="n"/>
      <c r="AL119" s="3876" t="n"/>
      <c r="AM119" s="3876" t="n"/>
      <c r="AN119" s="3876" t="n"/>
      <c r="AO119" s="3876" t="n"/>
      <c r="AP119" s="3876" t="n"/>
      <c r="AQ119" s="3876" t="n"/>
      <c r="AR119" s="3876" t="n"/>
      <c r="AS119" s="3876" t="n"/>
    </row>
    <row r="120">
      <c r="A120" s="3905" t="n"/>
      <c r="B120" s="3905" t="n"/>
      <c r="C120" s="3905" t="n"/>
      <c r="D120" s="3905" t="n"/>
      <c r="E120" s="3905" t="n"/>
      <c r="F120" s="3905" t="n"/>
      <c r="G120" s="3876" t="n"/>
      <c r="H120" s="3876" t="n"/>
      <c r="I120" s="3876" t="n"/>
      <c r="J120" s="3876" t="n"/>
      <c r="K120" s="3876" t="n"/>
      <c r="L120" s="3876" t="n"/>
      <c r="M120" s="3876" t="n"/>
      <c r="N120" s="3876" t="n"/>
      <c r="O120" s="3876" t="n"/>
      <c r="P120" s="3876" t="n"/>
      <c r="Q120" s="3876" t="n"/>
      <c r="R120" s="3876" t="n"/>
      <c r="S120" s="3876" t="n"/>
      <c r="T120" s="3876" t="n"/>
      <c r="U120" s="3876" t="n"/>
      <c r="V120" s="3876" t="n"/>
      <c r="W120" s="3876" t="n"/>
      <c r="X120" s="3876" t="n"/>
      <c r="Y120" s="3876" t="n"/>
      <c r="Z120" s="3876" t="n"/>
      <c r="AA120" s="3876" t="n"/>
      <c r="AB120" s="3876" t="n"/>
      <c r="AC120" s="3876" t="n"/>
      <c r="AD120" s="3876" t="n"/>
      <c r="AE120" s="3876" t="n"/>
      <c r="AF120" s="3876" t="n"/>
      <c r="AG120" s="3876" t="n"/>
      <c r="AH120" s="3876" t="n"/>
      <c r="AI120" s="3876" t="n"/>
      <c r="AJ120" s="3876" t="n"/>
      <c r="AK120" s="3876" t="n"/>
      <c r="AL120" s="3876" t="n"/>
      <c r="AM120" s="3876" t="n"/>
      <c r="AN120" s="3876" t="n"/>
      <c r="AO120" s="3876" t="n"/>
      <c r="AP120" s="3876" t="n"/>
      <c r="AQ120" s="3876" t="n"/>
      <c r="AR120" s="3876" t="n"/>
      <c r="AS120" s="3876" t="n"/>
    </row>
    <row r="121">
      <c r="A121" s="3905" t="n"/>
      <c r="B121" s="3905" t="n"/>
      <c r="C121" s="3905" t="n"/>
      <c r="D121" s="3905" t="n"/>
      <c r="E121" s="3905" t="n"/>
      <c r="F121" s="3905" t="n"/>
      <c r="G121" s="3876" t="n"/>
      <c r="H121" s="3876" t="n"/>
      <c r="I121" s="3876" t="n"/>
      <c r="J121" s="3876" t="n"/>
      <c r="K121" s="3876" t="n"/>
      <c r="L121" s="3876" t="n"/>
      <c r="M121" s="3876" t="n"/>
      <c r="N121" s="3876" t="n"/>
      <c r="O121" s="3876" t="n"/>
      <c r="P121" s="3876" t="n"/>
      <c r="Q121" s="3876" t="n"/>
      <c r="R121" s="3876" t="n"/>
      <c r="S121" s="3876" t="n"/>
      <c r="T121" s="3876" t="n"/>
      <c r="U121" s="3876" t="n"/>
      <c r="V121" s="3876" t="n"/>
      <c r="W121" s="3876" t="n"/>
      <c r="X121" s="3876" t="n"/>
      <c r="Y121" s="3876" t="n"/>
      <c r="Z121" s="3876" t="n"/>
      <c r="AA121" s="3876" t="n"/>
      <c r="AB121" s="3876" t="n"/>
      <c r="AC121" s="3876" t="n"/>
      <c r="AD121" s="3876" t="n"/>
      <c r="AE121" s="3876" t="n"/>
      <c r="AF121" s="3876" t="n"/>
      <c r="AG121" s="3876" t="n"/>
      <c r="AH121" s="3876" t="n"/>
      <c r="AI121" s="3876" t="n"/>
      <c r="AJ121" s="3876" t="n"/>
      <c r="AK121" s="3876" t="n"/>
      <c r="AL121" s="3876" t="n"/>
      <c r="AM121" s="3876" t="n"/>
      <c r="AN121" s="3876" t="n"/>
      <c r="AO121" s="3876" t="n"/>
      <c r="AP121" s="3876" t="n"/>
      <c r="AQ121" s="3876" t="n"/>
      <c r="AR121" s="3876" t="n"/>
      <c r="AS121" s="3876" t="n"/>
    </row>
    <row r="122">
      <c r="A122" s="3905" t="n"/>
      <c r="B122" s="3905" t="n"/>
      <c r="C122" s="3905" t="n"/>
      <c r="D122" s="3905" t="n"/>
      <c r="E122" s="3905" t="n"/>
      <c r="F122" s="3905" t="n"/>
      <c r="G122" s="3876" t="n"/>
      <c r="H122" s="3876" t="n"/>
      <c r="I122" s="3876" t="n"/>
      <c r="J122" s="3876" t="n"/>
      <c r="K122" s="3876" t="n"/>
      <c r="L122" s="3876" t="n"/>
      <c r="M122" s="3876" t="n"/>
      <c r="N122" s="3876" t="n"/>
      <c r="O122" s="3876" t="n"/>
      <c r="P122" s="3876" t="n"/>
      <c r="Q122" s="3876" t="n"/>
      <c r="R122" s="3876" t="n"/>
      <c r="S122" s="3876" t="n"/>
      <c r="T122" s="3876" t="n"/>
      <c r="U122" s="3876" t="n"/>
      <c r="V122" s="3876" t="n"/>
      <c r="W122" s="3876" t="n"/>
      <c r="X122" s="3876" t="n"/>
      <c r="Y122" s="3876" t="n"/>
      <c r="Z122" s="3876" t="n"/>
      <c r="AA122" s="3876" t="n"/>
      <c r="AB122" s="3876" t="n"/>
      <c r="AC122" s="3876" t="n"/>
      <c r="AD122" s="3876" t="n"/>
      <c r="AE122" s="3876" t="n"/>
      <c r="AF122" s="3876" t="n"/>
      <c r="AG122" s="3876" t="n"/>
      <c r="AH122" s="3876" t="n"/>
      <c r="AI122" s="3876" t="n"/>
      <c r="AJ122" s="3876" t="n"/>
      <c r="AK122" s="3876" t="n"/>
      <c r="AL122" s="3876" t="n"/>
      <c r="AM122" s="3876" t="n"/>
      <c r="AN122" s="3876" t="n"/>
      <c r="AO122" s="3876" t="n"/>
      <c r="AP122" s="3876" t="n"/>
      <c r="AQ122" s="3876" t="n"/>
      <c r="AR122" s="3876" t="n"/>
      <c r="AS122" s="3876" t="n"/>
    </row>
    <row r="123">
      <c r="A123" s="3905" t="n"/>
      <c r="B123" s="3905" t="n"/>
      <c r="C123" s="3905" t="n"/>
      <c r="D123" s="3905" t="n"/>
      <c r="E123" s="3905" t="n"/>
      <c r="F123" s="3905" t="n"/>
      <c r="G123" s="3876" t="n"/>
      <c r="H123" s="3876" t="n"/>
      <c r="I123" s="3876" t="n"/>
      <c r="J123" s="3876" t="n"/>
      <c r="K123" s="3876" t="n"/>
      <c r="L123" s="3876" t="n"/>
      <c r="M123" s="3876" t="n"/>
      <c r="N123" s="3876" t="n"/>
      <c r="O123" s="3876" t="n"/>
      <c r="P123" s="3876" t="n"/>
      <c r="Q123" s="3876" t="n"/>
      <c r="R123" s="3876" t="n"/>
      <c r="S123" s="3876" t="n"/>
      <c r="T123" s="3876" t="n"/>
      <c r="U123" s="3876" t="n"/>
      <c r="V123" s="3876" t="n"/>
      <c r="W123" s="3876" t="n"/>
      <c r="X123" s="3876" t="n"/>
      <c r="Y123" s="3876" t="n"/>
      <c r="Z123" s="3876" t="n"/>
      <c r="AA123" s="3876" t="n"/>
      <c r="AB123" s="3876" t="n"/>
      <c r="AC123" s="3876" t="n"/>
      <c r="AD123" s="3876" t="n"/>
      <c r="AE123" s="3876" t="n"/>
      <c r="AF123" s="3876" t="n"/>
      <c r="AG123" s="3876" t="n"/>
      <c r="AH123" s="3876" t="n"/>
      <c r="AI123" s="3876" t="n"/>
      <c r="AJ123" s="3876" t="n"/>
      <c r="AK123" s="3876" t="n"/>
      <c r="AL123" s="3876" t="n"/>
      <c r="AM123" s="3876" t="n"/>
      <c r="AN123" s="3876" t="n"/>
      <c r="AO123" s="3876" t="n"/>
      <c r="AP123" s="3876" t="n"/>
      <c r="AQ123" s="3876" t="n"/>
      <c r="AR123" s="3876" t="n"/>
      <c r="AS123" s="3876" t="n"/>
    </row>
    <row r="124">
      <c r="A124" s="3905" t="n"/>
      <c r="B124" s="3905" t="n"/>
      <c r="C124" s="3905" t="n"/>
      <c r="D124" s="3905" t="n"/>
      <c r="E124" s="3905" t="n"/>
      <c r="F124" s="3905" t="n"/>
      <c r="G124" s="3876" t="n"/>
      <c r="H124" s="3876" t="n"/>
      <c r="I124" s="3876" t="n"/>
      <c r="J124" s="3876" t="n"/>
      <c r="K124" s="3876" t="n"/>
      <c r="L124" s="3876" t="n"/>
      <c r="M124" s="3876" t="n"/>
      <c r="N124" s="3876" t="n"/>
      <c r="O124" s="3876" t="n"/>
      <c r="P124" s="3876" t="n"/>
      <c r="Q124" s="3876" t="n"/>
      <c r="R124" s="3876" t="n"/>
      <c r="S124" s="3876" t="n"/>
      <c r="T124" s="3876" t="n"/>
      <c r="U124" s="3876" t="n"/>
      <c r="V124" s="3876" t="n"/>
      <c r="W124" s="3876" t="n"/>
      <c r="X124" s="3876" t="n"/>
      <c r="Y124" s="3876" t="n"/>
      <c r="Z124" s="3876" t="n"/>
      <c r="AA124" s="3876" t="n"/>
      <c r="AB124" s="3876" t="n"/>
      <c r="AC124" s="3876" t="n"/>
      <c r="AD124" s="3876" t="n"/>
      <c r="AE124" s="3876" t="n"/>
      <c r="AF124" s="3876" t="n"/>
      <c r="AG124" s="3876" t="n"/>
      <c r="AH124" s="3876" t="n"/>
      <c r="AI124" s="3876" t="n"/>
      <c r="AJ124" s="3876" t="n"/>
      <c r="AK124" s="3876" t="n"/>
      <c r="AL124" s="3876" t="n"/>
      <c r="AM124" s="3876" t="n"/>
      <c r="AN124" s="3876" t="n"/>
      <c r="AO124" s="3876" t="n"/>
      <c r="AP124" s="3876" t="n"/>
      <c r="AQ124" s="3876" t="n"/>
      <c r="AR124" s="3876" t="n"/>
      <c r="AS124" s="3876" t="n"/>
    </row>
    <row r="125">
      <c r="A125" s="3905" t="n"/>
      <c r="B125" s="3905" t="n"/>
      <c r="C125" s="3905" t="n"/>
      <c r="D125" s="3905" t="n"/>
      <c r="E125" s="3905" t="n"/>
      <c r="F125" s="3905" t="n"/>
      <c r="G125" s="3876" t="n"/>
      <c r="H125" s="3876" t="n"/>
      <c r="I125" s="3876" t="n"/>
      <c r="J125" s="3876" t="n"/>
      <c r="K125" s="3876" t="n"/>
      <c r="L125" s="3876" t="n"/>
      <c r="M125" s="3876" t="n"/>
      <c r="N125" s="3876" t="n"/>
      <c r="O125" s="3876" t="n"/>
      <c r="P125" s="3876" t="n"/>
      <c r="Q125" s="3876" t="n"/>
      <c r="R125" s="3876" t="n"/>
      <c r="S125" s="3876" t="n"/>
      <c r="T125" s="3876" t="n"/>
      <c r="U125" s="3876" t="n"/>
      <c r="V125" s="3876" t="n"/>
      <c r="W125" s="3876" t="n"/>
      <c r="X125" s="3876" t="n"/>
      <c r="Y125" s="3876" t="n"/>
      <c r="Z125" s="3876" t="n"/>
      <c r="AA125" s="3876" t="n"/>
      <c r="AB125" s="3876" t="n"/>
      <c r="AC125" s="3876" t="n"/>
      <c r="AD125" s="3876" t="n"/>
      <c r="AE125" s="3876" t="n"/>
      <c r="AF125" s="3876" t="n"/>
      <c r="AG125" s="3876" t="n"/>
      <c r="AH125" s="3876" t="n"/>
      <c r="AI125" s="3876" t="n"/>
      <c r="AJ125" s="3876" t="n"/>
      <c r="AK125" s="3876" t="n"/>
      <c r="AL125" s="3876" t="n"/>
      <c r="AM125" s="3876" t="n"/>
      <c r="AN125" s="3876" t="n"/>
      <c r="AO125" s="3876" t="n"/>
      <c r="AP125" s="3876" t="n"/>
      <c r="AQ125" s="3876" t="n"/>
      <c r="AR125" s="3876" t="n"/>
      <c r="AS125" s="3876" t="n"/>
    </row>
    <row r="126">
      <c r="A126" s="3905" t="n"/>
      <c r="B126" s="3905" t="n"/>
      <c r="C126" s="3905" t="n"/>
      <c r="D126" s="3905" t="n"/>
      <c r="E126" s="3905" t="n"/>
      <c r="F126" s="3905" t="n"/>
      <c r="G126" s="3876" t="n"/>
      <c r="H126" s="3876" t="n"/>
      <c r="I126" s="3876" t="n"/>
      <c r="J126" s="3876" t="n"/>
      <c r="K126" s="3876" t="n"/>
      <c r="L126" s="3876" t="n"/>
      <c r="M126" s="3876" t="n"/>
      <c r="N126" s="3876" t="n"/>
      <c r="O126" s="3876" t="n"/>
      <c r="P126" s="3876" t="n"/>
      <c r="Q126" s="3876" t="n"/>
      <c r="R126" s="3876" t="n"/>
      <c r="S126" s="3876" t="n"/>
      <c r="T126" s="3876" t="n"/>
      <c r="U126" s="3876" t="n"/>
      <c r="V126" s="3876" t="n"/>
      <c r="W126" s="3876" t="n"/>
      <c r="X126" s="3876" t="n"/>
      <c r="Y126" s="3876" t="n"/>
      <c r="Z126" s="3876" t="n"/>
      <c r="AA126" s="3876" t="n"/>
      <c r="AB126" s="3876" t="n"/>
      <c r="AC126" s="3876" t="n"/>
      <c r="AD126" s="3876" t="n"/>
      <c r="AE126" s="3876" t="n"/>
      <c r="AF126" s="3876" t="n"/>
      <c r="AG126" s="3876" t="n"/>
      <c r="AH126" s="3876" t="n"/>
      <c r="AI126" s="3876" t="n"/>
      <c r="AJ126" s="3876" t="n"/>
      <c r="AK126" s="3876" t="n"/>
      <c r="AL126" s="3876" t="n"/>
      <c r="AM126" s="3876" t="n"/>
      <c r="AN126" s="3876" t="n"/>
      <c r="AO126" s="3876" t="n"/>
      <c r="AP126" s="3876" t="n"/>
      <c r="AQ126" s="3876" t="n"/>
      <c r="AR126" s="3876" t="n"/>
      <c r="AS126" s="3876" t="n"/>
    </row>
    <row r="127">
      <c r="A127" s="3905" t="n"/>
      <c r="B127" s="3905" t="n"/>
      <c r="C127" s="3905" t="n"/>
      <c r="D127" s="3905" t="n"/>
      <c r="E127" s="3905" t="n"/>
      <c r="F127" s="3905" t="n"/>
      <c r="G127" s="3876" t="n"/>
      <c r="H127" s="3876" t="n"/>
      <c r="I127" s="3876" t="n"/>
      <c r="J127" s="3876" t="n"/>
      <c r="K127" s="3876" t="n"/>
      <c r="L127" s="3876" t="n"/>
      <c r="M127" s="3876" t="n"/>
      <c r="N127" s="3876" t="n"/>
      <c r="O127" s="3876" t="n"/>
      <c r="P127" s="3876" t="n"/>
      <c r="Q127" s="3876" t="n"/>
      <c r="R127" s="3876" t="n"/>
      <c r="S127" s="3876" t="n"/>
      <c r="T127" s="3876" t="n"/>
      <c r="U127" s="3876" t="n"/>
      <c r="V127" s="3876" t="n"/>
      <c r="W127" s="3876" t="n"/>
      <c r="X127" s="3876" t="n"/>
      <c r="Y127" s="3876" t="n"/>
      <c r="Z127" s="3876" t="n"/>
      <c r="AA127" s="3876" t="n"/>
      <c r="AB127" s="3876" t="n"/>
      <c r="AC127" s="3876" t="n"/>
      <c r="AD127" s="3876" t="n"/>
      <c r="AE127" s="3876" t="n"/>
      <c r="AF127" s="3876" t="n"/>
      <c r="AG127" s="3876" t="n"/>
      <c r="AH127" s="3876" t="n"/>
      <c r="AI127" s="3876" t="n"/>
      <c r="AJ127" s="3876" t="n"/>
      <c r="AK127" s="3876" t="n"/>
      <c r="AL127" s="3876" t="n"/>
      <c r="AM127" s="3876" t="n"/>
      <c r="AN127" s="3876" t="n"/>
      <c r="AO127" s="3876" t="n"/>
      <c r="AP127" s="3876" t="n"/>
      <c r="AQ127" s="3876" t="n"/>
      <c r="AR127" s="3876" t="n"/>
      <c r="AS127" s="3876" t="n"/>
    </row>
    <row r="128">
      <c r="A128" s="3905" t="n"/>
      <c r="B128" s="3905" t="n"/>
      <c r="C128" s="3905" t="n"/>
      <c r="D128" s="3905" t="n"/>
      <c r="E128" s="3905" t="n"/>
      <c r="F128" s="3905" t="n"/>
      <c r="G128" s="3876" t="n"/>
      <c r="H128" s="3876" t="n"/>
      <c r="I128" s="3876" t="n"/>
      <c r="J128" s="3876" t="n"/>
      <c r="K128" s="3876" t="n"/>
      <c r="L128" s="3876" t="n"/>
      <c r="M128" s="3876" t="n"/>
      <c r="N128" s="3876" t="n"/>
      <c r="O128" s="3876" t="n"/>
      <c r="P128" s="3876" t="n"/>
      <c r="Q128" s="3876" t="n"/>
      <c r="R128" s="3876" t="n"/>
      <c r="S128" s="3876" t="n"/>
      <c r="T128" s="3876" t="n"/>
      <c r="U128" s="3876" t="n"/>
      <c r="V128" s="3876" t="n"/>
      <c r="W128" s="3876" t="n"/>
      <c r="X128" s="3876" t="n"/>
      <c r="Y128" s="3876" t="n"/>
      <c r="Z128" s="3876" t="n"/>
      <c r="AA128" s="3876" t="n"/>
      <c r="AB128" s="3876" t="n"/>
      <c r="AC128" s="3876" t="n"/>
      <c r="AD128" s="3876" t="n"/>
      <c r="AE128" s="3876" t="n"/>
      <c r="AF128" s="3876" t="n"/>
      <c r="AG128" s="3876" t="n"/>
      <c r="AH128" s="3876" t="n"/>
      <c r="AI128" s="3876" t="n"/>
      <c r="AJ128" s="3876" t="n"/>
      <c r="AK128" s="3876" t="n"/>
      <c r="AL128" s="3876" t="n"/>
      <c r="AM128" s="3876" t="n"/>
      <c r="AN128" s="3876" t="n"/>
      <c r="AO128" s="3876" t="n"/>
      <c r="AP128" s="3876" t="n"/>
      <c r="AQ128" s="3876" t="n"/>
      <c r="AR128" s="3876" t="n"/>
      <c r="AS128" s="3876" t="n"/>
    </row>
    <row r="129">
      <c r="A129" s="3905" t="n"/>
      <c r="B129" s="3905" t="n"/>
      <c r="C129" s="3905" t="n"/>
      <c r="D129" s="3905" t="n"/>
      <c r="E129" s="3905" t="n"/>
      <c r="F129" s="3905" t="n"/>
      <c r="G129" s="3876" t="n"/>
      <c r="H129" s="3876" t="n"/>
      <c r="I129" s="3876" t="n"/>
      <c r="J129" s="3876" t="n"/>
      <c r="K129" s="3876" t="n"/>
      <c r="L129" s="3876" t="n"/>
      <c r="M129" s="3876" t="n"/>
      <c r="N129" s="3876" t="n"/>
      <c r="O129" s="3876" t="n"/>
      <c r="P129" s="3876" t="n"/>
      <c r="Q129" s="3876" t="n"/>
      <c r="R129" s="3876" t="n"/>
      <c r="S129" s="3876" t="n"/>
      <c r="T129" s="3876" t="n"/>
      <c r="U129" s="3876" t="n"/>
      <c r="V129" s="3876" t="n"/>
      <c r="W129" s="3876" t="n"/>
      <c r="X129" s="3876" t="n"/>
      <c r="Y129" s="3876" t="n"/>
      <c r="Z129" s="3876" t="n"/>
      <c r="AA129" s="3876" t="n"/>
      <c r="AB129" s="3876" t="n"/>
      <c r="AC129" s="3876" t="n"/>
      <c r="AD129" s="3876" t="n"/>
      <c r="AE129" s="3876" t="n"/>
      <c r="AF129" s="3876" t="n"/>
      <c r="AG129" s="3876" t="n"/>
      <c r="AH129" s="3876" t="n"/>
      <c r="AI129" s="3876" t="n"/>
      <c r="AJ129" s="3876" t="n"/>
      <c r="AK129" s="3876" t="n"/>
      <c r="AL129" s="3876" t="n"/>
      <c r="AM129" s="3876" t="n"/>
      <c r="AN129" s="3876" t="n"/>
      <c r="AO129" s="3876" t="n"/>
      <c r="AP129" s="3876" t="n"/>
      <c r="AQ129" s="3876" t="n"/>
      <c r="AR129" s="3876" t="n"/>
      <c r="AS129" s="3876" t="n"/>
    </row>
    <row r="130">
      <c r="A130" s="3905" t="n"/>
      <c r="B130" s="3905" t="n"/>
      <c r="C130" s="3905" t="n"/>
      <c r="D130" s="3905" t="n"/>
      <c r="E130" s="3905" t="n"/>
      <c r="F130" s="3905" t="n"/>
      <c r="G130" s="3876" t="n"/>
      <c r="H130" s="3876" t="n"/>
      <c r="I130" s="3876" t="n"/>
      <c r="J130" s="3876" t="n"/>
      <c r="K130" s="3876" t="n"/>
      <c r="L130" s="3876" t="n"/>
      <c r="M130" s="3876" t="n"/>
      <c r="N130" s="3876" t="n"/>
      <c r="O130" s="3876" t="n"/>
      <c r="P130" s="3876" t="n"/>
      <c r="Q130" s="3876" t="n"/>
      <c r="R130" s="3876" t="n"/>
      <c r="S130" s="3876" t="n"/>
      <c r="T130" s="3876" t="n"/>
      <c r="U130" s="3876" t="n"/>
      <c r="V130" s="3876" t="n"/>
      <c r="W130" s="3876" t="n"/>
      <c r="X130" s="3876" t="n"/>
      <c r="Y130" s="3876" t="n"/>
      <c r="Z130" s="3876" t="n"/>
      <c r="AA130" s="3876" t="n"/>
      <c r="AB130" s="3876" t="n"/>
      <c r="AC130" s="3876" t="n"/>
      <c r="AD130" s="3876" t="n"/>
      <c r="AE130" s="3876" t="n"/>
      <c r="AF130" s="3876" t="n"/>
      <c r="AG130" s="3876" t="n"/>
      <c r="AH130" s="3876" t="n"/>
      <c r="AI130" s="3876" t="n"/>
      <c r="AJ130" s="3876" t="n"/>
      <c r="AK130" s="3876" t="n"/>
      <c r="AL130" s="3876" t="n"/>
      <c r="AM130" s="3876" t="n"/>
      <c r="AN130" s="3876" t="n"/>
      <c r="AO130" s="3876" t="n"/>
      <c r="AP130" s="3876" t="n"/>
      <c r="AQ130" s="3876" t="n"/>
      <c r="AR130" s="3876" t="n"/>
      <c r="AS130" s="3876" t="n"/>
    </row>
    <row r="131">
      <c r="A131" s="3905" t="n"/>
      <c r="B131" s="3905" t="n"/>
      <c r="C131" s="3905" t="n"/>
      <c r="D131" s="3905" t="n"/>
      <c r="E131" s="3905" t="n"/>
      <c r="F131" s="3905" t="n"/>
      <c r="G131" s="3876" t="n"/>
      <c r="H131" s="3876" t="n"/>
      <c r="I131" s="3876" t="n"/>
      <c r="J131" s="3876" t="n"/>
      <c r="K131" s="3876" t="n"/>
      <c r="L131" s="3876" t="n"/>
      <c r="M131" s="3876" t="n"/>
      <c r="N131" s="3876" t="n"/>
      <c r="O131" s="3876" t="n"/>
      <c r="P131" s="3876" t="n"/>
      <c r="Q131" s="3876" t="n"/>
      <c r="R131" s="3876" t="n"/>
      <c r="S131" s="3876" t="n"/>
      <c r="T131" s="3876" t="n"/>
      <c r="U131" s="3876" t="n"/>
      <c r="V131" s="3876" t="n"/>
      <c r="W131" s="3876" t="n"/>
      <c r="X131" s="3876" t="n"/>
      <c r="Y131" s="3876" t="n"/>
      <c r="Z131" s="3876" t="n"/>
      <c r="AA131" s="3876" t="n"/>
      <c r="AB131" s="3876" t="n"/>
      <c r="AC131" s="3876" t="n"/>
      <c r="AD131" s="3876" t="n"/>
      <c r="AE131" s="3876" t="n"/>
      <c r="AF131" s="3876" t="n"/>
      <c r="AG131" s="3876" t="n"/>
      <c r="AH131" s="3876" t="n"/>
      <c r="AI131" s="3876" t="n"/>
      <c r="AJ131" s="3876" t="n"/>
      <c r="AK131" s="3876" t="n"/>
      <c r="AL131" s="3876" t="n"/>
      <c r="AM131" s="3876" t="n"/>
      <c r="AN131" s="3876" t="n"/>
      <c r="AO131" s="3876" t="n"/>
      <c r="AP131" s="3876" t="n"/>
      <c r="AQ131" s="3876" t="n"/>
      <c r="AR131" s="3876" t="n"/>
      <c r="AS131" s="3876" t="n"/>
    </row>
    <row r="132">
      <c r="A132" s="3905" t="n"/>
      <c r="B132" s="3905" t="n"/>
      <c r="C132" s="3905" t="n"/>
      <c r="D132" s="3905" t="n"/>
      <c r="E132" s="3905" t="n"/>
      <c r="F132" s="3905" t="n"/>
      <c r="G132" s="3876" t="n"/>
      <c r="H132" s="3876" t="n"/>
      <c r="I132" s="3876" t="n"/>
      <c r="J132" s="3876" t="n"/>
      <c r="K132" s="3876" t="n"/>
      <c r="L132" s="3876" t="n"/>
      <c r="M132" s="3876" t="n"/>
      <c r="N132" s="3876" t="n"/>
      <c r="O132" s="3876" t="n"/>
      <c r="P132" s="3876" t="n"/>
      <c r="Q132" s="3876" t="n"/>
      <c r="R132" s="3876" t="n"/>
      <c r="S132" s="3876" t="n"/>
      <c r="T132" s="3876" t="n"/>
      <c r="U132" s="3876" t="n"/>
      <c r="V132" s="3876" t="n"/>
      <c r="W132" s="3876" t="n"/>
      <c r="X132" s="3876" t="n"/>
      <c r="Y132" s="3876" t="n"/>
      <c r="Z132" s="3876" t="n"/>
      <c r="AA132" s="3876" t="n"/>
      <c r="AB132" s="3876" t="n"/>
      <c r="AC132" s="3876" t="n"/>
      <c r="AD132" s="3876" t="n"/>
      <c r="AE132" s="3876" t="n"/>
      <c r="AF132" s="3876" t="n"/>
      <c r="AG132" s="3876" t="n"/>
      <c r="AH132" s="3876" t="n"/>
      <c r="AI132" s="3876" t="n"/>
      <c r="AJ132" s="3876" t="n"/>
      <c r="AK132" s="3876" t="n"/>
      <c r="AL132" s="3876" t="n"/>
      <c r="AM132" s="3876" t="n"/>
      <c r="AN132" s="3876" t="n"/>
      <c r="AO132" s="3876" t="n"/>
      <c r="AP132" s="3876" t="n"/>
      <c r="AQ132" s="3876" t="n"/>
      <c r="AR132" s="3876" t="n"/>
      <c r="AS132" s="3876" t="n"/>
    </row>
    <row r="133">
      <c r="A133" s="3905" t="n"/>
      <c r="B133" s="3905" t="n"/>
      <c r="C133" s="3905" t="n"/>
      <c r="D133" s="3905" t="n"/>
      <c r="E133" s="3905" t="n"/>
      <c r="F133" s="3905" t="n"/>
      <c r="G133" s="3876" t="n"/>
      <c r="H133" s="3876" t="n"/>
      <c r="I133" s="3876" t="n"/>
      <c r="J133" s="3876" t="n"/>
      <c r="K133" s="3876" t="n"/>
      <c r="L133" s="3876" t="n"/>
      <c r="M133" s="3876" t="n"/>
      <c r="N133" s="3876" t="n"/>
      <c r="O133" s="3876" t="n"/>
      <c r="P133" s="3876" t="n"/>
      <c r="Q133" s="3876" t="n"/>
      <c r="R133" s="3876" t="n"/>
      <c r="S133" s="3876" t="n"/>
      <c r="T133" s="3876" t="n"/>
      <c r="U133" s="3876" t="n"/>
      <c r="V133" s="3876" t="n"/>
      <c r="W133" s="3876" t="n"/>
      <c r="X133" s="3876" t="n"/>
      <c r="Y133" s="3876" t="n"/>
      <c r="Z133" s="3876" t="n"/>
      <c r="AA133" s="3876" t="n"/>
      <c r="AB133" s="3876" t="n"/>
      <c r="AC133" s="3876" t="n"/>
      <c r="AD133" s="3876" t="n"/>
      <c r="AE133" s="3876" t="n"/>
      <c r="AF133" s="3876" t="n"/>
      <c r="AG133" s="3876" t="n"/>
      <c r="AH133" s="3876" t="n"/>
      <c r="AI133" s="3876" t="n"/>
      <c r="AJ133" s="3876" t="n"/>
      <c r="AK133" s="3876" t="n"/>
      <c r="AL133" s="3876" t="n"/>
      <c r="AM133" s="3876" t="n"/>
      <c r="AN133" s="3876" t="n"/>
      <c r="AO133" s="3876" t="n"/>
      <c r="AP133" s="3876" t="n"/>
      <c r="AQ133" s="3876" t="n"/>
      <c r="AR133" s="3876" t="n"/>
      <c r="AS133" s="3876" t="n"/>
    </row>
    <row r="134">
      <c r="A134" s="3905" t="n"/>
      <c r="B134" s="3905" t="n"/>
      <c r="C134" s="3905" t="n"/>
      <c r="D134" s="3905" t="n"/>
      <c r="E134" s="3905" t="n"/>
      <c r="F134" s="3905" t="n"/>
      <c r="G134" s="3876" t="n"/>
      <c r="H134" s="3876" t="n"/>
      <c r="I134" s="3876" t="n"/>
      <c r="J134" s="3876" t="n"/>
      <c r="K134" s="3876" t="n"/>
      <c r="L134" s="3876" t="n"/>
      <c r="M134" s="3876" t="n"/>
      <c r="N134" s="3876" t="n"/>
      <c r="O134" s="3876" t="n"/>
      <c r="P134" s="3876" t="n"/>
      <c r="Q134" s="3876" t="n"/>
      <c r="R134" s="3876" t="n"/>
      <c r="S134" s="3876" t="n"/>
      <c r="T134" s="3876" t="n"/>
      <c r="U134" s="3876" t="n"/>
      <c r="V134" s="3876" t="n"/>
      <c r="W134" s="3876" t="n"/>
      <c r="X134" s="3876" t="n"/>
      <c r="Y134" s="3876" t="n"/>
      <c r="Z134" s="3876" t="n"/>
      <c r="AA134" s="3876" t="n"/>
      <c r="AB134" s="3876" t="n"/>
      <c r="AC134" s="3876" t="n"/>
      <c r="AD134" s="3876" t="n"/>
      <c r="AE134" s="3876" t="n"/>
      <c r="AF134" s="3876" t="n"/>
      <c r="AG134" s="3876" t="n"/>
      <c r="AH134" s="3876" t="n"/>
      <c r="AI134" s="3876" t="n"/>
      <c r="AJ134" s="3876" t="n"/>
      <c r="AK134" s="3876" t="n"/>
      <c r="AL134" s="3876" t="n"/>
      <c r="AM134" s="3876" t="n"/>
      <c r="AN134" s="3876" t="n"/>
      <c r="AO134" s="3876" t="n"/>
      <c r="AP134" s="3876" t="n"/>
      <c r="AQ134" s="3876" t="n"/>
      <c r="AR134" s="3876" t="n"/>
      <c r="AS134" s="3876" t="n"/>
    </row>
    <row r="135">
      <c r="A135" s="3905" t="n"/>
      <c r="B135" s="3905" t="n"/>
      <c r="C135" s="3905" t="n"/>
      <c r="D135" s="3905" t="n"/>
      <c r="E135" s="3905" t="n"/>
      <c r="F135" s="3905" t="n"/>
      <c r="G135" s="3876" t="n"/>
      <c r="H135" s="3876" t="n"/>
      <c r="I135" s="3876" t="n"/>
      <c r="J135" s="3876" t="n"/>
      <c r="K135" s="3876" t="n"/>
      <c r="L135" s="3876" t="n"/>
      <c r="M135" s="3876" t="n"/>
      <c r="N135" s="3876" t="n"/>
      <c r="O135" s="3876" t="n"/>
      <c r="P135" s="3876" t="n"/>
      <c r="Q135" s="3876" t="n"/>
      <c r="R135" s="3876" t="n"/>
      <c r="S135" s="3876" t="n"/>
      <c r="T135" s="3876" t="n"/>
      <c r="U135" s="3876" t="n"/>
      <c r="V135" s="3876" t="n"/>
      <c r="W135" s="3876" t="n"/>
      <c r="X135" s="3876" t="n"/>
      <c r="Y135" s="3876" t="n"/>
      <c r="Z135" s="3876" t="n"/>
      <c r="AA135" s="3876" t="n"/>
      <c r="AB135" s="3876" t="n"/>
      <c r="AC135" s="3876" t="n"/>
      <c r="AD135" s="3876" t="n"/>
      <c r="AE135" s="3876" t="n"/>
      <c r="AF135" s="3876" t="n"/>
      <c r="AG135" s="3876" t="n"/>
      <c r="AH135" s="3876" t="n"/>
      <c r="AI135" s="3876" t="n"/>
      <c r="AJ135" s="3876" t="n"/>
      <c r="AK135" s="3876" t="n"/>
      <c r="AL135" s="3876" t="n"/>
      <c r="AM135" s="3876" t="n"/>
      <c r="AN135" s="3876" t="n"/>
      <c r="AO135" s="3876" t="n"/>
      <c r="AP135" s="3876" t="n"/>
      <c r="AQ135" s="3876" t="n"/>
      <c r="AR135" s="3876" t="n"/>
      <c r="AS135" s="3876" t="n"/>
    </row>
    <row r="136">
      <c r="A136" s="3905" t="n"/>
      <c r="B136" s="3905" t="n"/>
      <c r="C136" s="3905" t="n"/>
      <c r="D136" s="3905" t="n"/>
      <c r="E136" s="3905" t="n"/>
      <c r="F136" s="3905" t="n"/>
      <c r="G136" s="3876" t="n"/>
      <c r="H136" s="3876" t="n"/>
      <c r="I136" s="3876" t="n"/>
      <c r="J136" s="3876" t="n"/>
      <c r="K136" s="3876" t="n"/>
      <c r="L136" s="3876" t="n"/>
      <c r="M136" s="3876" t="n"/>
      <c r="N136" s="3876" t="n"/>
      <c r="O136" s="3876" t="n"/>
      <c r="P136" s="3876" t="n"/>
      <c r="Q136" s="3876" t="n"/>
      <c r="R136" s="3876" t="n"/>
      <c r="S136" s="3876" t="n"/>
      <c r="T136" s="3876" t="n"/>
      <c r="U136" s="3876" t="n"/>
      <c r="V136" s="3876" t="n"/>
      <c r="W136" s="3876" t="n"/>
      <c r="X136" s="3876" t="n"/>
      <c r="Y136" s="3876" t="n"/>
      <c r="Z136" s="3876" t="n"/>
      <c r="AA136" s="3876" t="n"/>
      <c r="AB136" s="3876" t="n"/>
      <c r="AC136" s="3876" t="n"/>
      <c r="AD136" s="3876" t="n"/>
      <c r="AE136" s="3876" t="n"/>
      <c r="AF136" s="3876" t="n"/>
      <c r="AG136" s="3876" t="n"/>
      <c r="AH136" s="3876" t="n"/>
      <c r="AI136" s="3876" t="n"/>
      <c r="AJ136" s="3876" t="n"/>
      <c r="AK136" s="3876" t="n"/>
      <c r="AL136" s="3876" t="n"/>
      <c r="AM136" s="3876" t="n"/>
      <c r="AN136" s="3876" t="n"/>
      <c r="AO136" s="3876" t="n"/>
      <c r="AP136" s="3876" t="n"/>
      <c r="AQ136" s="3876" t="n"/>
      <c r="AR136" s="3876" t="n"/>
      <c r="AS136" s="3876" t="n"/>
    </row>
    <row r="137">
      <c r="A137" s="3905" t="n"/>
      <c r="B137" s="3905" t="n"/>
      <c r="C137" s="3905" t="n"/>
      <c r="D137" s="3905" t="n"/>
      <c r="E137" s="3905" t="n"/>
      <c r="F137" s="3905" t="n"/>
      <c r="G137" s="3876" t="n"/>
      <c r="H137" s="3876" t="n"/>
      <c r="I137" s="3876" t="n"/>
      <c r="J137" s="3876" t="n"/>
      <c r="K137" s="3876" t="n"/>
      <c r="L137" s="3876" t="n"/>
      <c r="M137" s="3876" t="n"/>
      <c r="N137" s="3876" t="n"/>
      <c r="O137" s="3876" t="n"/>
      <c r="P137" s="3876" t="n"/>
      <c r="Q137" s="3876" t="n"/>
      <c r="R137" s="3876" t="n"/>
      <c r="S137" s="3876" t="n"/>
      <c r="T137" s="3876" t="n"/>
      <c r="U137" s="3876" t="n"/>
      <c r="V137" s="3876" t="n"/>
      <c r="W137" s="3876" t="n"/>
      <c r="X137" s="3876" t="n"/>
      <c r="Y137" s="3876" t="n"/>
      <c r="Z137" s="3876" t="n"/>
      <c r="AA137" s="3876" t="n"/>
      <c r="AB137" s="3876" t="n"/>
      <c r="AC137" s="3876" t="n"/>
      <c r="AD137" s="3876" t="n"/>
      <c r="AE137" s="3876" t="n"/>
      <c r="AF137" s="3876" t="n"/>
      <c r="AG137" s="3876" t="n"/>
      <c r="AH137" s="3876" t="n"/>
      <c r="AI137" s="3876" t="n"/>
      <c r="AJ137" s="3876" t="n"/>
      <c r="AK137" s="3876" t="n"/>
      <c r="AL137" s="3876" t="n"/>
      <c r="AM137" s="3876" t="n"/>
      <c r="AN137" s="3876" t="n"/>
      <c r="AO137" s="3876" t="n"/>
      <c r="AP137" s="3876" t="n"/>
      <c r="AQ137" s="3876" t="n"/>
      <c r="AR137" s="3876" t="n"/>
      <c r="AS137" s="3876" t="n"/>
    </row>
    <row r="138">
      <c r="A138" s="3905" t="n"/>
      <c r="B138" s="3905" t="n"/>
      <c r="C138" s="3905" t="n"/>
      <c r="D138" s="3905" t="n"/>
      <c r="E138" s="3905" t="n"/>
      <c r="F138" s="3905" t="n"/>
      <c r="G138" s="3876" t="n"/>
      <c r="H138" s="3876" t="n"/>
      <c r="I138" s="3876" t="n"/>
      <c r="J138" s="3876" t="n"/>
      <c r="K138" s="3876" t="n"/>
      <c r="L138" s="3876" t="n"/>
      <c r="M138" s="3876" t="n"/>
      <c r="N138" s="3876" t="n"/>
      <c r="O138" s="3876" t="n"/>
      <c r="P138" s="3876" t="n"/>
      <c r="Q138" s="3876" t="n"/>
      <c r="R138" s="3876" t="n"/>
      <c r="S138" s="3876" t="n"/>
      <c r="T138" s="3876" t="n"/>
      <c r="U138" s="3876" t="n"/>
      <c r="V138" s="3876" t="n"/>
      <c r="W138" s="3876" t="n"/>
      <c r="X138" s="3876" t="n"/>
      <c r="Y138" s="3876" t="n"/>
      <c r="Z138" s="3876" t="n"/>
      <c r="AA138" s="3876" t="n"/>
      <c r="AB138" s="3876" t="n"/>
      <c r="AC138" s="3876" t="n"/>
      <c r="AD138" s="3876" t="n"/>
      <c r="AE138" s="3876" t="n"/>
      <c r="AF138" s="3876" t="n"/>
      <c r="AG138" s="3876" t="n"/>
      <c r="AH138" s="3876" t="n"/>
      <c r="AI138" s="3876" t="n"/>
      <c r="AJ138" s="3876" t="n"/>
      <c r="AK138" s="3876" t="n"/>
      <c r="AL138" s="3876" t="n"/>
      <c r="AM138" s="3876" t="n"/>
      <c r="AN138" s="3876" t="n"/>
      <c r="AO138" s="3876" t="n"/>
      <c r="AP138" s="3876" t="n"/>
      <c r="AQ138" s="3876" t="n"/>
      <c r="AR138" s="3876" t="n"/>
      <c r="AS138" s="3876" t="n"/>
    </row>
    <row r="139">
      <c r="A139" s="3905" t="n"/>
      <c r="B139" s="3905" t="n"/>
      <c r="C139" s="3905" t="n"/>
      <c r="D139" s="3905" t="n"/>
      <c r="E139" s="3905" t="n"/>
      <c r="F139" s="3905" t="n"/>
      <c r="G139" s="3876" t="n"/>
      <c r="H139" s="3876" t="n"/>
      <c r="I139" s="3876" t="n"/>
      <c r="J139" s="3876" t="n"/>
      <c r="K139" s="3876" t="n"/>
      <c r="L139" s="3876" t="n"/>
      <c r="M139" s="3876" t="n"/>
      <c r="N139" s="3876" t="n"/>
      <c r="O139" s="3876" t="n"/>
      <c r="P139" s="3876" t="n"/>
      <c r="Q139" s="3876" t="n"/>
      <c r="R139" s="3876" t="n"/>
      <c r="S139" s="3876" t="n"/>
      <c r="T139" s="3876" t="n"/>
      <c r="U139" s="3876" t="n"/>
      <c r="V139" s="3876" t="n"/>
      <c r="W139" s="3876" t="n"/>
      <c r="X139" s="3876" t="n"/>
      <c r="Y139" s="3876" t="n"/>
      <c r="Z139" s="3876" t="n"/>
      <c r="AA139" s="3876" t="n"/>
      <c r="AB139" s="3876" t="n"/>
      <c r="AC139" s="3876" t="n"/>
      <c r="AD139" s="3876" t="n"/>
      <c r="AE139" s="3876" t="n"/>
      <c r="AF139" s="3876" t="n"/>
      <c r="AG139" s="3876" t="n"/>
      <c r="AH139" s="3876" t="n"/>
      <c r="AI139" s="3876" t="n"/>
      <c r="AJ139" s="3876" t="n"/>
      <c r="AK139" s="3876" t="n"/>
      <c r="AL139" s="3876" t="n"/>
      <c r="AM139" s="3876" t="n"/>
      <c r="AN139" s="3876" t="n"/>
      <c r="AO139" s="3876" t="n"/>
      <c r="AP139" s="3876" t="n"/>
      <c r="AQ139" s="3876" t="n"/>
      <c r="AR139" s="3876" t="n"/>
      <c r="AS139" s="3876" t="n"/>
    </row>
    <row r="140">
      <c r="A140" s="3905" t="n"/>
      <c r="B140" s="3905" t="n"/>
      <c r="C140" s="3905" t="n"/>
      <c r="D140" s="3905" t="n"/>
      <c r="E140" s="3905" t="n"/>
      <c r="F140" s="3905" t="n"/>
      <c r="G140" s="3876" t="n"/>
      <c r="H140" s="3876" t="n"/>
      <c r="I140" s="3876" t="n"/>
      <c r="J140" s="3876" t="n"/>
      <c r="K140" s="3876" t="n"/>
      <c r="L140" s="3876" t="n"/>
      <c r="M140" s="3876" t="n"/>
      <c r="N140" s="3876" t="n"/>
      <c r="O140" s="3876" t="n"/>
      <c r="P140" s="3876" t="n"/>
      <c r="Q140" s="3876" t="n"/>
      <c r="R140" s="3876" t="n"/>
      <c r="S140" s="3876" t="n"/>
      <c r="T140" s="3876" t="n"/>
      <c r="U140" s="3876" t="n"/>
      <c r="V140" s="3876" t="n"/>
      <c r="W140" s="3876" t="n"/>
      <c r="X140" s="3876" t="n"/>
      <c r="Y140" s="3876" t="n"/>
      <c r="Z140" s="3876" t="n"/>
      <c r="AA140" s="3876" t="n"/>
      <c r="AB140" s="3876" t="n"/>
      <c r="AC140" s="3876" t="n"/>
      <c r="AD140" s="3876" t="n"/>
      <c r="AE140" s="3876" t="n"/>
      <c r="AF140" s="3876" t="n"/>
      <c r="AG140" s="3876" t="n"/>
      <c r="AH140" s="3876" t="n"/>
      <c r="AI140" s="3876" t="n"/>
      <c r="AJ140" s="3876" t="n"/>
      <c r="AK140" s="3876" t="n"/>
      <c r="AL140" s="3876" t="n"/>
      <c r="AM140" s="3876" t="n"/>
      <c r="AN140" s="3876" t="n"/>
      <c r="AO140" s="3876" t="n"/>
      <c r="AP140" s="3876" t="n"/>
      <c r="AQ140" s="3876" t="n"/>
      <c r="AR140" s="3876" t="n"/>
      <c r="AS140" s="3876" t="n"/>
    </row>
    <row r="141">
      <c r="A141" s="3905" t="n"/>
      <c r="B141" s="3905" t="n"/>
      <c r="C141" s="3905" t="n"/>
      <c r="D141" s="3905" t="n"/>
      <c r="E141" s="3905" t="n"/>
      <c r="F141" s="3905" t="n"/>
      <c r="G141" s="3876" t="n"/>
      <c r="H141" s="3876" t="n"/>
      <c r="I141" s="3876" t="n"/>
      <c r="J141" s="3876" t="n"/>
      <c r="K141" s="3876" t="n"/>
      <c r="L141" s="3876" t="n"/>
      <c r="M141" s="3876" t="n"/>
      <c r="N141" s="3876" t="n"/>
      <c r="O141" s="3876" t="n"/>
      <c r="P141" s="3876" t="n"/>
      <c r="Q141" s="3876" t="n"/>
      <c r="R141" s="3876" t="n"/>
      <c r="S141" s="3876" t="n"/>
      <c r="T141" s="3876" t="n"/>
      <c r="U141" s="3876" t="n"/>
      <c r="V141" s="3876" t="n"/>
      <c r="W141" s="3876" t="n"/>
      <c r="X141" s="3876" t="n"/>
      <c r="Y141" s="3876" t="n"/>
      <c r="Z141" s="3876" t="n"/>
      <c r="AA141" s="3876" t="n"/>
      <c r="AB141" s="3876" t="n"/>
      <c r="AC141" s="3876" t="n"/>
      <c r="AD141" s="3876" t="n"/>
      <c r="AE141" s="3876" t="n"/>
      <c r="AF141" s="3876" t="n"/>
      <c r="AG141" s="3876" t="n"/>
      <c r="AH141" s="3876" t="n"/>
      <c r="AI141" s="3876" t="n"/>
      <c r="AJ141" s="3876" t="n"/>
      <c r="AK141" s="3876" t="n"/>
      <c r="AL141" s="3876" t="n"/>
      <c r="AM141" s="3876" t="n"/>
      <c r="AN141" s="3876" t="n"/>
      <c r="AO141" s="3876" t="n"/>
      <c r="AP141" s="3876" t="n"/>
      <c r="AQ141" s="3876" t="n"/>
      <c r="AR141" s="3876" t="n"/>
      <c r="AS141" s="3876" t="n"/>
    </row>
    <row r="142">
      <c r="A142" s="3905" t="n"/>
      <c r="B142" s="3905" t="n"/>
      <c r="C142" s="3905" t="n"/>
      <c r="D142" s="3905" t="n"/>
      <c r="E142" s="3905" t="n"/>
      <c r="F142" s="3905" t="n"/>
      <c r="G142" s="3876" t="n"/>
      <c r="H142" s="3876" t="n"/>
      <c r="I142" s="3876" t="n"/>
      <c r="J142" s="3876" t="n"/>
      <c r="K142" s="3876" t="n"/>
      <c r="L142" s="3876" t="n"/>
      <c r="M142" s="3876" t="n"/>
      <c r="N142" s="3876" t="n"/>
      <c r="O142" s="3876" t="n"/>
      <c r="P142" s="3876" t="n"/>
      <c r="Q142" s="3876" t="n"/>
      <c r="R142" s="3876" t="n"/>
      <c r="S142" s="3876" t="n"/>
      <c r="T142" s="3876" t="n"/>
      <c r="U142" s="3876" t="n"/>
      <c r="V142" s="3876" t="n"/>
      <c r="W142" s="3876" t="n"/>
      <c r="X142" s="3876" t="n"/>
      <c r="Y142" s="3876" t="n"/>
      <c r="Z142" s="3876" t="n"/>
      <c r="AA142" s="3876" t="n"/>
      <c r="AB142" s="3876" t="n"/>
      <c r="AC142" s="3876" t="n"/>
      <c r="AD142" s="3876" t="n"/>
      <c r="AE142" s="3876" t="n"/>
      <c r="AF142" s="3876" t="n"/>
      <c r="AG142" s="3876" t="n"/>
      <c r="AH142" s="3876" t="n"/>
      <c r="AI142" s="3876" t="n"/>
      <c r="AJ142" s="3876" t="n"/>
      <c r="AK142" s="3876" t="n"/>
      <c r="AL142" s="3876" t="n"/>
      <c r="AM142" s="3876" t="n"/>
      <c r="AN142" s="3876" t="n"/>
      <c r="AO142" s="3876" t="n"/>
      <c r="AP142" s="3876" t="n"/>
      <c r="AQ142" s="3876" t="n"/>
      <c r="AR142" s="3876" t="n"/>
      <c r="AS142" s="3876" t="n"/>
    </row>
    <row r="143">
      <c r="A143" s="3905" t="n"/>
      <c r="B143" s="3905" t="n"/>
      <c r="C143" s="3905" t="n"/>
      <c r="D143" s="3905" t="n"/>
      <c r="E143" s="3905" t="n"/>
      <c r="F143" s="3905" t="n"/>
      <c r="G143" s="3876" t="n"/>
      <c r="H143" s="3876" t="n"/>
      <c r="I143" s="3876" t="n"/>
      <c r="J143" s="3876" t="n"/>
      <c r="K143" s="3876" t="n"/>
      <c r="L143" s="3876" t="n"/>
      <c r="M143" s="3876" t="n"/>
      <c r="N143" s="3876" t="n"/>
      <c r="O143" s="3876" t="n"/>
      <c r="P143" s="3876" t="n"/>
      <c r="Q143" s="3876" t="n"/>
      <c r="R143" s="3876" t="n"/>
      <c r="S143" s="3876" t="n"/>
      <c r="T143" s="3876" t="n"/>
      <c r="U143" s="3876" t="n"/>
      <c r="V143" s="3876" t="n"/>
      <c r="W143" s="3876" t="n"/>
      <c r="X143" s="3876" t="n"/>
      <c r="Y143" s="3876" t="n"/>
      <c r="Z143" s="3876" t="n"/>
      <c r="AA143" s="3876" t="n"/>
      <c r="AB143" s="3876" t="n"/>
      <c r="AC143" s="3876" t="n"/>
      <c r="AD143" s="3876" t="n"/>
      <c r="AE143" s="3876" t="n"/>
      <c r="AF143" s="3876" t="n"/>
      <c r="AG143" s="3876" t="n"/>
      <c r="AH143" s="3876" t="n"/>
      <c r="AI143" s="3876" t="n"/>
      <c r="AJ143" s="3876" t="n"/>
      <c r="AK143" s="3876" t="n"/>
      <c r="AL143" s="3876" t="n"/>
      <c r="AM143" s="3876" t="n"/>
      <c r="AN143" s="3876" t="n"/>
      <c r="AO143" s="3876" t="n"/>
      <c r="AP143" s="3876" t="n"/>
      <c r="AQ143" s="3876" t="n"/>
      <c r="AR143" s="3876" t="n"/>
      <c r="AS143" s="3876" t="n"/>
    </row>
    <row r="144">
      <c r="A144" s="3905" t="n"/>
      <c r="B144" s="3905" t="n"/>
      <c r="C144" s="3905" t="n"/>
      <c r="D144" s="3905" t="n"/>
      <c r="E144" s="3905" t="n"/>
      <c r="F144" s="3905" t="n"/>
      <c r="G144" s="3876" t="n"/>
      <c r="H144" s="3876" t="n"/>
      <c r="I144" s="3876" t="n"/>
      <c r="J144" s="3876" t="n"/>
      <c r="K144" s="3876" t="n"/>
      <c r="L144" s="3876" t="n"/>
      <c r="M144" s="3876" t="n"/>
      <c r="N144" s="3876" t="n"/>
      <c r="O144" s="3876" t="n"/>
      <c r="P144" s="3876" t="n"/>
      <c r="Q144" s="3876" t="n"/>
      <c r="R144" s="3876" t="n"/>
      <c r="S144" s="3876" t="n"/>
      <c r="T144" s="3876" t="n"/>
      <c r="U144" s="3876" t="n"/>
      <c r="V144" s="3876" t="n"/>
      <c r="W144" s="3876" t="n"/>
      <c r="X144" s="3876" t="n"/>
      <c r="Y144" s="3876" t="n"/>
      <c r="Z144" s="3876" t="n"/>
      <c r="AA144" s="3876" t="n"/>
      <c r="AB144" s="3876" t="n"/>
      <c r="AC144" s="3876" t="n"/>
      <c r="AD144" s="3876" t="n"/>
      <c r="AE144" s="3876" t="n"/>
      <c r="AF144" s="3876" t="n"/>
      <c r="AG144" s="3876" t="n"/>
      <c r="AH144" s="3876" t="n"/>
      <c r="AI144" s="3876" t="n"/>
      <c r="AJ144" s="3876" t="n"/>
      <c r="AK144" s="3876" t="n"/>
      <c r="AL144" s="3876" t="n"/>
      <c r="AM144" s="3876" t="n"/>
      <c r="AN144" s="3876" t="n"/>
      <c r="AO144" s="3876" t="n"/>
      <c r="AP144" s="3876" t="n"/>
      <c r="AQ144" s="3876" t="n"/>
      <c r="AR144" s="3876" t="n"/>
      <c r="AS144" s="3876" t="n"/>
    </row>
    <row r="145">
      <c r="A145" s="3905" t="n"/>
      <c r="B145" s="3905" t="n"/>
      <c r="C145" s="3905" t="n"/>
      <c r="D145" s="3905" t="n"/>
      <c r="E145" s="3905" t="n"/>
      <c r="F145" s="3905" t="n"/>
      <c r="G145" s="3876" t="n"/>
      <c r="H145" s="3876" t="n"/>
      <c r="I145" s="3876" t="n"/>
      <c r="J145" s="3876" t="n"/>
      <c r="K145" s="3876" t="n"/>
      <c r="L145" s="3876" t="n"/>
      <c r="M145" s="3876" t="n"/>
      <c r="N145" s="3876" t="n"/>
      <c r="O145" s="3876" t="n"/>
      <c r="P145" s="3876" t="n"/>
      <c r="Q145" s="3876" t="n"/>
      <c r="R145" s="3876" t="n"/>
      <c r="S145" s="3876" t="n"/>
      <c r="T145" s="3876" t="n"/>
      <c r="U145" s="3876" t="n"/>
      <c r="V145" s="3876" t="n"/>
      <c r="W145" s="3876" t="n"/>
      <c r="X145" s="3876" t="n"/>
      <c r="Y145" s="3876" t="n"/>
      <c r="Z145" s="3876" t="n"/>
      <c r="AA145" s="3876" t="n"/>
      <c r="AB145" s="3876" t="n"/>
      <c r="AC145" s="3876" t="n"/>
      <c r="AD145" s="3876" t="n"/>
      <c r="AE145" s="3876" t="n"/>
      <c r="AF145" s="3876" t="n"/>
      <c r="AG145" s="3876" t="n"/>
      <c r="AH145" s="3876" t="n"/>
      <c r="AI145" s="3876" t="n"/>
      <c r="AJ145" s="3876" t="n"/>
      <c r="AK145" s="3876" t="n"/>
      <c r="AL145" s="3876" t="n"/>
      <c r="AM145" s="3876" t="n"/>
      <c r="AN145" s="3876" t="n"/>
      <c r="AO145" s="3876" t="n"/>
      <c r="AP145" s="3876" t="n"/>
      <c r="AQ145" s="3876" t="n"/>
      <c r="AR145" s="3876" t="n"/>
      <c r="AS145" s="3876" t="n"/>
    </row>
    <row r="146">
      <c r="A146" s="3905" t="n"/>
      <c r="B146" s="3905" t="n"/>
      <c r="C146" s="3905" t="n"/>
      <c r="D146" s="3905" t="n"/>
      <c r="E146" s="3905" t="n"/>
      <c r="F146" s="3905" t="n"/>
      <c r="G146" s="3876" t="n"/>
      <c r="H146" s="3876" t="n"/>
      <c r="I146" s="3876" t="n"/>
      <c r="J146" s="3876" t="n"/>
      <c r="K146" s="3876" t="n"/>
      <c r="L146" s="3876" t="n"/>
      <c r="M146" s="3876" t="n"/>
      <c r="N146" s="3876" t="n"/>
      <c r="O146" s="3876" t="n"/>
      <c r="P146" s="3876" t="n"/>
      <c r="Q146" s="3876" t="n"/>
      <c r="R146" s="3876" t="n"/>
      <c r="S146" s="3876" t="n"/>
      <c r="T146" s="3876" t="n"/>
      <c r="U146" s="3876" t="n"/>
      <c r="V146" s="3876" t="n"/>
      <c r="W146" s="3876" t="n"/>
      <c r="X146" s="3876" t="n"/>
      <c r="Y146" s="3876" t="n"/>
      <c r="Z146" s="3876" t="n"/>
      <c r="AA146" s="3876" t="n"/>
      <c r="AB146" s="3876" t="n"/>
      <c r="AC146" s="3876" t="n"/>
      <c r="AD146" s="3876" t="n"/>
      <c r="AE146" s="3876" t="n"/>
      <c r="AF146" s="3876" t="n"/>
      <c r="AG146" s="3876" t="n"/>
      <c r="AH146" s="3876" t="n"/>
      <c r="AI146" s="3876" t="n"/>
      <c r="AJ146" s="3876" t="n"/>
      <c r="AK146" s="3876" t="n"/>
      <c r="AL146" s="3876" t="n"/>
      <c r="AM146" s="3876" t="n"/>
      <c r="AN146" s="3876" t="n"/>
      <c r="AO146" s="3876" t="n"/>
      <c r="AP146" s="3876" t="n"/>
      <c r="AQ146" s="3876" t="n"/>
      <c r="AR146" s="3876" t="n"/>
      <c r="AS146" s="3876" t="n"/>
    </row>
    <row r="147">
      <c r="A147" s="3905" t="n"/>
      <c r="B147" s="3905" t="n"/>
      <c r="C147" s="3905" t="n"/>
      <c r="D147" s="3905" t="n"/>
      <c r="E147" s="3905" t="n"/>
      <c r="F147" s="3905" t="n"/>
      <c r="G147" s="3876" t="n"/>
      <c r="H147" s="3876" t="n"/>
      <c r="I147" s="3876" t="n"/>
      <c r="J147" s="3876" t="n"/>
      <c r="K147" s="3876" t="n"/>
      <c r="L147" s="3876" t="n"/>
      <c r="M147" s="3876" t="n"/>
      <c r="N147" s="3876" t="n"/>
      <c r="O147" s="3876" t="n"/>
      <c r="P147" s="3876" t="n"/>
      <c r="Q147" s="3876" t="n"/>
      <c r="R147" s="3876" t="n"/>
      <c r="S147" s="3876" t="n"/>
      <c r="T147" s="3876" t="n"/>
      <c r="U147" s="3876" t="n"/>
      <c r="V147" s="3876" t="n"/>
      <c r="W147" s="3876" t="n"/>
      <c r="X147" s="3876" t="n"/>
      <c r="Y147" s="3876" t="n"/>
      <c r="Z147" s="3876" t="n"/>
      <c r="AA147" s="3876" t="n"/>
      <c r="AB147" s="3876" t="n"/>
      <c r="AC147" s="3876" t="n"/>
      <c r="AD147" s="3876" t="n"/>
      <c r="AE147" s="3876" t="n"/>
      <c r="AF147" s="3876" t="n"/>
      <c r="AG147" s="3876" t="n"/>
      <c r="AH147" s="3876" t="n"/>
      <c r="AI147" s="3876" t="n"/>
      <c r="AJ147" s="3876" t="n"/>
      <c r="AK147" s="3876" t="n"/>
      <c r="AL147" s="3876" t="n"/>
      <c r="AM147" s="3876" t="n"/>
      <c r="AN147" s="3876" t="n"/>
      <c r="AO147" s="3876" t="n"/>
      <c r="AP147" s="3876" t="n"/>
      <c r="AQ147" s="3876" t="n"/>
      <c r="AR147" s="3876" t="n"/>
      <c r="AS147" s="3876" t="n"/>
    </row>
    <row r="148">
      <c r="A148" s="3905" t="n"/>
      <c r="B148" s="3905" t="n"/>
      <c r="C148" s="3905" t="n"/>
      <c r="D148" s="3905" t="n"/>
      <c r="E148" s="3905" t="n"/>
      <c r="F148" s="3905" t="n"/>
      <c r="G148" s="3876" t="n"/>
      <c r="H148" s="3876" t="n"/>
      <c r="I148" s="3876" t="n"/>
      <c r="J148" s="3876" t="n"/>
      <c r="K148" s="3876" t="n"/>
      <c r="L148" s="3876" t="n"/>
      <c r="M148" s="3876" t="n"/>
      <c r="N148" s="3876" t="n"/>
      <c r="O148" s="3876" t="n"/>
      <c r="P148" s="3876" t="n"/>
      <c r="Q148" s="3876" t="n"/>
      <c r="R148" s="3876" t="n"/>
      <c r="S148" s="3876" t="n"/>
      <c r="T148" s="3876" t="n"/>
      <c r="U148" s="3876" t="n"/>
      <c r="V148" s="3876" t="n"/>
      <c r="W148" s="3876" t="n"/>
      <c r="X148" s="3876" t="n"/>
      <c r="Y148" s="3876" t="n"/>
      <c r="Z148" s="3876" t="n"/>
      <c r="AA148" s="3876" t="n"/>
      <c r="AB148" s="3876" t="n"/>
      <c r="AC148" s="3876" t="n"/>
      <c r="AD148" s="3876" t="n"/>
      <c r="AE148" s="3876" t="n"/>
      <c r="AF148" s="3876" t="n"/>
      <c r="AG148" s="3876" t="n"/>
      <c r="AH148" s="3876" t="n"/>
      <c r="AI148" s="3876" t="n"/>
      <c r="AJ148" s="3876" t="n"/>
      <c r="AK148" s="3876" t="n"/>
      <c r="AL148" s="3876" t="n"/>
      <c r="AM148" s="3876" t="n"/>
      <c r="AN148" s="3876" t="n"/>
      <c r="AO148" s="3876" t="n"/>
      <c r="AP148" s="3876" t="n"/>
      <c r="AQ148" s="3876" t="n"/>
      <c r="AR148" s="3876" t="n"/>
      <c r="AS148" s="3876" t="n"/>
    </row>
    <row r="149">
      <c r="A149" s="3905" t="n"/>
      <c r="B149" s="3905" t="n"/>
      <c r="C149" s="3905" t="n"/>
      <c r="D149" s="3905" t="n"/>
      <c r="E149" s="3905" t="n"/>
      <c r="F149" s="3905" t="n"/>
      <c r="G149" s="3876" t="n"/>
      <c r="H149" s="3876" t="n"/>
      <c r="I149" s="3876" t="n"/>
      <c r="J149" s="3876" t="n"/>
      <c r="K149" s="3876" t="n"/>
      <c r="L149" s="3876" t="n"/>
      <c r="M149" s="3876" t="n"/>
      <c r="N149" s="3876" t="n"/>
      <c r="O149" s="3876" t="n"/>
      <c r="P149" s="3876" t="n"/>
      <c r="Q149" s="3876" t="n"/>
      <c r="R149" s="3876" t="n"/>
      <c r="S149" s="3876" t="n"/>
      <c r="T149" s="3876" t="n"/>
      <c r="U149" s="3876" t="n"/>
      <c r="V149" s="3876" t="n"/>
      <c r="W149" s="3876" t="n"/>
      <c r="X149" s="3876" t="n"/>
      <c r="Y149" s="3876" t="n"/>
      <c r="Z149" s="3876" t="n"/>
      <c r="AA149" s="3876" t="n"/>
      <c r="AB149" s="3876" t="n"/>
      <c r="AC149" s="3876" t="n"/>
      <c r="AD149" s="3876" t="n"/>
      <c r="AE149" s="3876" t="n"/>
      <c r="AF149" s="3876" t="n"/>
      <c r="AG149" s="3876" t="n"/>
      <c r="AH149" s="3876" t="n"/>
      <c r="AI149" s="3876" t="n"/>
      <c r="AJ149" s="3876" t="n"/>
      <c r="AK149" s="3876" t="n"/>
      <c r="AL149" s="3876" t="n"/>
      <c r="AM149" s="3876" t="n"/>
      <c r="AN149" s="3876" t="n"/>
      <c r="AO149" s="3876" t="n"/>
      <c r="AP149" s="3876" t="n"/>
      <c r="AQ149" s="3876" t="n"/>
      <c r="AR149" s="3876" t="n"/>
      <c r="AS149" s="3876" t="n"/>
    </row>
    <row r="150">
      <c r="A150" s="3905" t="n"/>
      <c r="B150" s="3905" t="n"/>
      <c r="C150" s="3905" t="n"/>
      <c r="D150" s="3905" t="n"/>
      <c r="E150" s="3905" t="n"/>
      <c r="F150" s="3905" t="n"/>
      <c r="G150" s="3876" t="n"/>
      <c r="H150" s="3876" t="n"/>
      <c r="I150" s="3876" t="n"/>
      <c r="J150" s="3876" t="n"/>
      <c r="K150" s="3876" t="n"/>
      <c r="L150" s="3876" t="n"/>
      <c r="M150" s="3876" t="n"/>
      <c r="N150" s="3876" t="n"/>
      <c r="O150" s="3876" t="n"/>
      <c r="P150" s="3876" t="n"/>
      <c r="Q150" s="3876" t="n"/>
      <c r="R150" s="3876" t="n"/>
      <c r="S150" s="3876" t="n"/>
      <c r="T150" s="3876" t="n"/>
      <c r="U150" s="3876" t="n"/>
      <c r="V150" s="3876" t="n"/>
      <c r="W150" s="3876" t="n"/>
      <c r="X150" s="3876" t="n"/>
      <c r="Y150" s="3876" t="n"/>
      <c r="Z150" s="3876" t="n"/>
      <c r="AA150" s="3876" t="n"/>
      <c r="AB150" s="3876" t="n"/>
      <c r="AC150" s="3876" t="n"/>
      <c r="AD150" s="3876" t="n"/>
      <c r="AE150" s="3876" t="n"/>
      <c r="AF150" s="3876" t="n"/>
      <c r="AG150" s="3876" t="n"/>
      <c r="AH150" s="3876" t="n"/>
      <c r="AI150" s="3876" t="n"/>
      <c r="AJ150" s="3876" t="n"/>
      <c r="AK150" s="3876" t="n"/>
      <c r="AL150" s="3876" t="n"/>
      <c r="AM150" s="3876" t="n"/>
      <c r="AN150" s="3876" t="n"/>
      <c r="AO150" s="3876" t="n"/>
      <c r="AP150" s="3876" t="n"/>
      <c r="AQ150" s="3876" t="n"/>
      <c r="AR150" s="3876" t="n"/>
      <c r="AS150" s="3876" t="n"/>
    </row>
    <row r="151">
      <c r="A151" s="3905" t="n"/>
      <c r="B151" s="3905" t="n"/>
      <c r="C151" s="3905" t="n"/>
      <c r="D151" s="3905" t="n"/>
      <c r="E151" s="3905" t="n"/>
      <c r="F151" s="3905" t="n"/>
      <c r="G151" s="3876" t="n"/>
      <c r="H151" s="3876" t="n"/>
      <c r="I151" s="3876" t="n"/>
      <c r="J151" s="3876" t="n"/>
      <c r="K151" s="3876" t="n"/>
      <c r="L151" s="3876" t="n"/>
      <c r="M151" s="3876" t="n"/>
      <c r="N151" s="3876" t="n"/>
      <c r="O151" s="3876" t="n"/>
      <c r="P151" s="3876" t="n"/>
      <c r="Q151" s="3876" t="n"/>
      <c r="R151" s="3876" t="n"/>
      <c r="S151" s="3876" t="n"/>
      <c r="T151" s="3876" t="n"/>
      <c r="U151" s="3876" t="n"/>
      <c r="V151" s="3876" t="n"/>
      <c r="W151" s="3876" t="n"/>
      <c r="X151" s="3876" t="n"/>
      <c r="Y151" s="3876" t="n"/>
      <c r="Z151" s="3876" t="n"/>
      <c r="AA151" s="3876" t="n"/>
      <c r="AB151" s="3876" t="n"/>
      <c r="AC151" s="3876" t="n"/>
      <c r="AD151" s="3876" t="n"/>
      <c r="AE151" s="3876" t="n"/>
      <c r="AF151" s="3876" t="n"/>
      <c r="AG151" s="3876" t="n"/>
      <c r="AH151" s="3876" t="n"/>
      <c r="AI151" s="3876" t="n"/>
      <c r="AJ151" s="3876" t="n"/>
      <c r="AK151" s="3876" t="n"/>
      <c r="AL151" s="3876" t="n"/>
      <c r="AM151" s="3876" t="n"/>
      <c r="AN151" s="3876" t="n"/>
      <c r="AO151" s="3876" t="n"/>
      <c r="AP151" s="3876" t="n"/>
      <c r="AQ151" s="3876" t="n"/>
      <c r="AR151" s="3876" t="n"/>
      <c r="AS151" s="3876" t="n"/>
    </row>
    <row r="152">
      <c r="A152" s="3905" t="n"/>
      <c r="B152" s="3905" t="n"/>
      <c r="C152" s="3905" t="n"/>
      <c r="D152" s="3905" t="n"/>
      <c r="E152" s="3905" t="n"/>
      <c r="F152" s="3905" t="n"/>
      <c r="G152" s="3876" t="n"/>
      <c r="H152" s="3876" t="n"/>
      <c r="I152" s="3876" t="n"/>
      <c r="J152" s="3876" t="n"/>
      <c r="K152" s="3876" t="n"/>
      <c r="L152" s="3876" t="n"/>
      <c r="M152" s="3876" t="n"/>
      <c r="N152" s="3876" t="n"/>
      <c r="O152" s="3876" t="n"/>
      <c r="P152" s="3876" t="n"/>
      <c r="Q152" s="3876" t="n"/>
      <c r="R152" s="3876" t="n"/>
      <c r="S152" s="3876" t="n"/>
      <c r="T152" s="3876" t="n"/>
      <c r="U152" s="3876" t="n"/>
      <c r="V152" s="3876" t="n"/>
      <c r="W152" s="3876" t="n"/>
      <c r="X152" s="3876" t="n"/>
      <c r="Y152" s="3876" t="n"/>
      <c r="Z152" s="3876" t="n"/>
      <c r="AA152" s="3876" t="n"/>
      <c r="AB152" s="3876" t="n"/>
      <c r="AC152" s="3876" t="n"/>
      <c r="AD152" s="3876" t="n"/>
      <c r="AE152" s="3876" t="n"/>
      <c r="AF152" s="3876" t="n"/>
      <c r="AG152" s="3876" t="n"/>
      <c r="AH152" s="3876" t="n"/>
      <c r="AI152" s="3876" t="n"/>
      <c r="AJ152" s="3876" t="n"/>
      <c r="AK152" s="3876" t="n"/>
      <c r="AL152" s="3876" t="n"/>
      <c r="AM152" s="3876" t="n"/>
      <c r="AN152" s="3876" t="n"/>
      <c r="AO152" s="3876" t="n"/>
      <c r="AP152" s="3876" t="n"/>
      <c r="AQ152" s="3876" t="n"/>
      <c r="AR152" s="3876" t="n"/>
      <c r="AS152" s="3876" t="n"/>
    </row>
    <row r="153">
      <c r="A153" s="3905" t="n"/>
      <c r="B153" s="3905" t="n"/>
      <c r="C153" s="3905" t="n"/>
      <c r="D153" s="3905" t="n"/>
      <c r="E153" s="3905" t="n"/>
      <c r="F153" s="3905" t="n"/>
      <c r="G153" s="3876" t="n"/>
      <c r="H153" s="3876" t="n"/>
      <c r="I153" s="3876" t="n"/>
      <c r="J153" s="3876" t="n"/>
      <c r="K153" s="3876" t="n"/>
      <c r="L153" s="3876" t="n"/>
      <c r="M153" s="3876" t="n"/>
      <c r="N153" s="3876" t="n"/>
      <c r="O153" s="3876" t="n"/>
      <c r="P153" s="3876" t="n"/>
      <c r="Q153" s="3876" t="n"/>
      <c r="R153" s="3876" t="n"/>
      <c r="S153" s="3876" t="n"/>
      <c r="T153" s="3876" t="n"/>
      <c r="U153" s="3876" t="n"/>
      <c r="V153" s="3876" t="n"/>
      <c r="W153" s="3876" t="n"/>
      <c r="X153" s="3876" t="n"/>
      <c r="Y153" s="3876" t="n"/>
      <c r="Z153" s="3876" t="n"/>
      <c r="AA153" s="3876" t="n"/>
      <c r="AB153" s="3876" t="n"/>
      <c r="AC153" s="3876" t="n"/>
      <c r="AD153" s="3876" t="n"/>
      <c r="AE153" s="3876" t="n"/>
      <c r="AF153" s="3876" t="n"/>
      <c r="AG153" s="3876" t="n"/>
      <c r="AH153" s="3876" t="n"/>
      <c r="AI153" s="3876" t="n"/>
      <c r="AJ153" s="3876" t="n"/>
      <c r="AK153" s="3876" t="n"/>
      <c r="AL153" s="3876" t="n"/>
      <c r="AM153" s="3876" t="n"/>
      <c r="AN153" s="3876" t="n"/>
      <c r="AO153" s="3876" t="n"/>
      <c r="AP153" s="3876" t="n"/>
      <c r="AQ153" s="3876" t="n"/>
      <c r="AR153" s="3876" t="n"/>
      <c r="AS153" s="3876" t="n"/>
    </row>
    <row r="154">
      <c r="A154" s="3905" t="n"/>
      <c r="B154" s="3905" t="n"/>
      <c r="C154" s="3905" t="n"/>
      <c r="D154" s="3905" t="n"/>
      <c r="E154" s="3905" t="n"/>
      <c r="F154" s="3905" t="n"/>
      <c r="G154" s="3876" t="n"/>
      <c r="H154" s="3876" t="n"/>
      <c r="I154" s="3876" t="n"/>
      <c r="J154" s="3876" t="n"/>
      <c r="K154" s="3876" t="n"/>
      <c r="L154" s="3876" t="n"/>
      <c r="M154" s="3876" t="n"/>
      <c r="N154" s="3876" t="n"/>
      <c r="O154" s="3876" t="n"/>
      <c r="P154" s="3876" t="n"/>
      <c r="Q154" s="3876" t="n"/>
      <c r="R154" s="3876" t="n"/>
      <c r="S154" s="3876" t="n"/>
      <c r="T154" s="3876" t="n"/>
      <c r="U154" s="3876" t="n"/>
      <c r="V154" s="3876" t="n"/>
      <c r="W154" s="3876" t="n"/>
      <c r="X154" s="3876" t="n"/>
      <c r="Y154" s="3876" t="n"/>
      <c r="Z154" s="3876" t="n"/>
      <c r="AA154" s="3876" t="n"/>
      <c r="AB154" s="3876" t="n"/>
      <c r="AC154" s="3876" t="n"/>
      <c r="AD154" s="3876" t="n"/>
      <c r="AE154" s="3876" t="n"/>
      <c r="AF154" s="3876" t="n"/>
      <c r="AG154" s="3876" t="n"/>
      <c r="AH154" s="3876" t="n"/>
      <c r="AI154" s="3876" t="n"/>
      <c r="AJ154" s="3876" t="n"/>
      <c r="AK154" s="3876" t="n"/>
      <c r="AL154" s="3876" t="n"/>
      <c r="AM154" s="3876" t="n"/>
      <c r="AN154" s="3876" t="n"/>
      <c r="AO154" s="3876" t="n"/>
      <c r="AP154" s="3876" t="n"/>
      <c r="AQ154" s="3876" t="n"/>
      <c r="AR154" s="3876" t="n"/>
      <c r="AS154" s="3876" t="n"/>
    </row>
    <row r="155">
      <c r="A155" s="3905" t="n"/>
      <c r="B155" s="3905" t="n"/>
      <c r="C155" s="3905" t="n"/>
      <c r="D155" s="3905" t="n"/>
      <c r="E155" s="3905" t="n"/>
      <c r="F155" s="3905" t="n"/>
      <c r="G155" s="3876" t="n"/>
      <c r="H155" s="3876" t="n"/>
      <c r="I155" s="3876" t="n"/>
      <c r="J155" s="3876" t="n"/>
      <c r="K155" s="3876" t="n"/>
      <c r="L155" s="3876" t="n"/>
      <c r="M155" s="3876" t="n"/>
      <c r="N155" s="3876" t="n"/>
      <c r="O155" s="3876" t="n"/>
      <c r="P155" s="3876" t="n"/>
      <c r="Q155" s="3876" t="n"/>
      <c r="R155" s="3876" t="n"/>
      <c r="S155" s="3876" t="n"/>
      <c r="T155" s="3876" t="n"/>
      <c r="U155" s="3876" t="n"/>
      <c r="V155" s="3876" t="n"/>
      <c r="W155" s="3876" t="n"/>
      <c r="X155" s="3876" t="n"/>
      <c r="Y155" s="3876" t="n"/>
      <c r="Z155" s="3876" t="n"/>
      <c r="AA155" s="3876" t="n"/>
      <c r="AB155" s="3876" t="n"/>
      <c r="AC155" s="3876" t="n"/>
      <c r="AD155" s="3876" t="n"/>
      <c r="AE155" s="3876" t="n"/>
      <c r="AF155" s="3876" t="n"/>
      <c r="AG155" s="3876" t="n"/>
      <c r="AH155" s="3876" t="n"/>
      <c r="AI155" s="3876" t="n"/>
      <c r="AJ155" s="3876" t="n"/>
      <c r="AK155" s="3876" t="n"/>
      <c r="AL155" s="3876" t="n"/>
      <c r="AM155" s="3876" t="n"/>
      <c r="AN155" s="3876" t="n"/>
      <c r="AO155" s="3876" t="n"/>
      <c r="AP155" s="3876" t="n"/>
      <c r="AQ155" s="3876" t="n"/>
      <c r="AR155" s="3876" t="n"/>
      <c r="AS155" s="3876" t="n"/>
    </row>
    <row r="156">
      <c r="A156" s="3905" t="n"/>
      <c r="B156" s="3905" t="n"/>
      <c r="C156" s="3905" t="n"/>
      <c r="D156" s="3905" t="n"/>
      <c r="E156" s="3905" t="n"/>
      <c r="F156" s="3905" t="n"/>
      <c r="G156" s="3876" t="n"/>
      <c r="H156" s="3876" t="n"/>
      <c r="I156" s="3876" t="n"/>
      <c r="J156" s="3876" t="n"/>
      <c r="K156" s="3876" t="n"/>
      <c r="L156" s="3876" t="n"/>
      <c r="M156" s="3876" t="n"/>
      <c r="N156" s="3876" t="n"/>
      <c r="O156" s="3876" t="n"/>
      <c r="P156" s="3876" t="n"/>
      <c r="Q156" s="3876" t="n"/>
      <c r="R156" s="3876" t="n"/>
      <c r="S156" s="3876" t="n"/>
      <c r="T156" s="3876" t="n"/>
      <c r="U156" s="3876" t="n"/>
      <c r="V156" s="3876" t="n"/>
      <c r="W156" s="3876" t="n"/>
      <c r="X156" s="3876" t="n"/>
      <c r="Y156" s="3876" t="n"/>
      <c r="Z156" s="3876" t="n"/>
      <c r="AA156" s="3876" t="n"/>
      <c r="AB156" s="3876" t="n"/>
      <c r="AC156" s="3876" t="n"/>
      <c r="AD156" s="3876" t="n"/>
      <c r="AE156" s="3876" t="n"/>
      <c r="AF156" s="3876" t="n"/>
      <c r="AG156" s="3876" t="n"/>
      <c r="AH156" s="3876" t="n"/>
      <c r="AI156" s="3876" t="n"/>
      <c r="AJ156" s="3876" t="n"/>
      <c r="AK156" s="3876" t="n"/>
      <c r="AL156" s="3876" t="n"/>
      <c r="AM156" s="3876" t="n"/>
      <c r="AN156" s="3876" t="n"/>
      <c r="AO156" s="3876" t="n"/>
      <c r="AP156" s="3876" t="n"/>
      <c r="AQ156" s="3876" t="n"/>
      <c r="AR156" s="3876" t="n"/>
      <c r="AS156" s="3876" t="n"/>
    </row>
    <row r="157">
      <c r="A157" s="3905" t="n"/>
      <c r="B157" s="3905" t="n"/>
      <c r="C157" s="3905" t="n"/>
      <c r="D157" s="3905" t="n"/>
      <c r="E157" s="3905" t="n"/>
      <c r="F157" s="3905" t="n"/>
      <c r="G157" s="3876" t="n"/>
      <c r="H157" s="3876" t="n"/>
      <c r="I157" s="3876" t="n"/>
      <c r="J157" s="3876" t="n"/>
      <c r="K157" s="3876" t="n"/>
      <c r="L157" s="3876" t="n"/>
      <c r="M157" s="3876" t="n"/>
      <c r="N157" s="3876" t="n"/>
      <c r="O157" s="3876" t="n"/>
      <c r="P157" s="3876" t="n"/>
      <c r="Q157" s="3876" t="n"/>
      <c r="R157" s="3876" t="n"/>
      <c r="S157" s="3876" t="n"/>
      <c r="T157" s="3876" t="n"/>
      <c r="U157" s="3876" t="n"/>
      <c r="V157" s="3876" t="n"/>
      <c r="W157" s="3876" t="n"/>
      <c r="X157" s="3876" t="n"/>
      <c r="Y157" s="3876" t="n"/>
      <c r="Z157" s="3876" t="n"/>
      <c r="AA157" s="3876" t="n"/>
      <c r="AB157" s="3876" t="n"/>
      <c r="AC157" s="3876" t="n"/>
      <c r="AD157" s="3876" t="n"/>
      <c r="AE157" s="3876" t="n"/>
      <c r="AF157" s="3876" t="n"/>
      <c r="AG157" s="3876" t="n"/>
      <c r="AH157" s="3876" t="n"/>
      <c r="AI157" s="3876" t="n"/>
      <c r="AJ157" s="3876" t="n"/>
      <c r="AK157" s="3876" t="n"/>
      <c r="AL157" s="3876" t="n"/>
      <c r="AM157" s="3876" t="n"/>
      <c r="AN157" s="3876" t="n"/>
      <c r="AO157" s="3876" t="n"/>
      <c r="AP157" s="3876" t="n"/>
      <c r="AQ157" s="3876" t="n"/>
      <c r="AR157" s="3876" t="n"/>
      <c r="AS157" s="3876" t="n"/>
    </row>
    <row r="158">
      <c r="A158" s="3905" t="n"/>
      <c r="B158" s="3905" t="n"/>
      <c r="C158" s="3905" t="n"/>
      <c r="D158" s="3905" t="n"/>
      <c r="E158" s="3905" t="n"/>
      <c r="F158" s="3905" t="n"/>
      <c r="G158" s="3876" t="n"/>
      <c r="H158" s="3876" t="n"/>
      <c r="I158" s="3876" t="n"/>
      <c r="J158" s="3876" t="n"/>
      <c r="K158" s="3876" t="n"/>
      <c r="L158" s="3876" t="n"/>
      <c r="M158" s="3876" t="n"/>
      <c r="N158" s="3876" t="n"/>
      <c r="O158" s="3876" t="n"/>
      <c r="P158" s="3876" t="n"/>
      <c r="Q158" s="3876" t="n"/>
      <c r="R158" s="3876" t="n"/>
      <c r="S158" s="3876" t="n"/>
      <c r="T158" s="3876" t="n"/>
      <c r="U158" s="3876" t="n"/>
      <c r="V158" s="3876" t="n"/>
      <c r="W158" s="3876" t="n"/>
      <c r="X158" s="3876" t="n"/>
      <c r="Y158" s="3876" t="n"/>
      <c r="Z158" s="3876" t="n"/>
      <c r="AA158" s="3876" t="n"/>
      <c r="AB158" s="3876" t="n"/>
      <c r="AC158" s="3876" t="n"/>
      <c r="AD158" s="3876" t="n"/>
      <c r="AE158" s="3876" t="n"/>
      <c r="AF158" s="3876" t="n"/>
      <c r="AG158" s="3876" t="n"/>
      <c r="AH158" s="3876" t="n"/>
      <c r="AI158" s="3876" t="n"/>
      <c r="AJ158" s="3876" t="n"/>
      <c r="AK158" s="3876" t="n"/>
      <c r="AL158" s="3876" t="n"/>
      <c r="AM158" s="3876" t="n"/>
      <c r="AN158" s="3876" t="n"/>
      <c r="AO158" s="3876" t="n"/>
      <c r="AP158" s="3876" t="n"/>
      <c r="AQ158" s="3876" t="n"/>
      <c r="AR158" s="3876" t="n"/>
      <c r="AS158" s="3876" t="n"/>
    </row>
    <row r="159">
      <c r="A159" s="3905" t="n"/>
      <c r="B159" s="3905" t="n"/>
      <c r="C159" s="3905" t="n"/>
      <c r="D159" s="3905" t="n"/>
      <c r="E159" s="3905" t="n"/>
      <c r="F159" s="3905" t="n"/>
      <c r="G159" s="3876" t="n"/>
      <c r="H159" s="3876" t="n"/>
      <c r="I159" s="3876" t="n"/>
      <c r="J159" s="3876" t="n"/>
      <c r="K159" s="3876" t="n"/>
      <c r="L159" s="3876" t="n"/>
      <c r="M159" s="3876" t="n"/>
      <c r="N159" s="3876" t="n"/>
      <c r="O159" s="3876" t="n"/>
      <c r="P159" s="3876" t="n"/>
      <c r="Q159" s="3876" t="n"/>
      <c r="R159" s="3876" t="n"/>
      <c r="S159" s="3876" t="n"/>
      <c r="T159" s="3876" t="n"/>
      <c r="U159" s="3876" t="n"/>
      <c r="V159" s="3876" t="n"/>
      <c r="W159" s="3876" t="n"/>
      <c r="X159" s="3876" t="n"/>
      <c r="Y159" s="3876" t="n"/>
      <c r="Z159" s="3876" t="n"/>
      <c r="AA159" s="3876" t="n"/>
      <c r="AB159" s="3876" t="n"/>
      <c r="AC159" s="3876" t="n"/>
      <c r="AD159" s="3876" t="n"/>
      <c r="AE159" s="3876" t="n"/>
      <c r="AF159" s="3876" t="n"/>
      <c r="AG159" s="3876" t="n"/>
      <c r="AH159" s="3876" t="n"/>
      <c r="AI159" s="3876" t="n"/>
      <c r="AJ159" s="3876" t="n"/>
      <c r="AK159" s="3876" t="n"/>
      <c r="AL159" s="3876" t="n"/>
      <c r="AM159" s="3876" t="n"/>
      <c r="AN159" s="3876" t="n"/>
      <c r="AO159" s="3876" t="n"/>
      <c r="AP159" s="3876" t="n"/>
      <c r="AQ159" s="3876" t="n"/>
      <c r="AR159" s="3876" t="n"/>
      <c r="AS159" s="3876" t="n"/>
    </row>
    <row r="160">
      <c r="A160" s="3905" t="n"/>
      <c r="B160" s="3905" t="n"/>
      <c r="C160" s="3905" t="n"/>
      <c r="D160" s="3905" t="n"/>
      <c r="E160" s="3905" t="n"/>
      <c r="F160" s="3905" t="n"/>
      <c r="G160" s="3876" t="n"/>
      <c r="H160" s="3876" t="n"/>
      <c r="I160" s="3876" t="n"/>
      <c r="J160" s="3876" t="n"/>
      <c r="K160" s="3876" t="n"/>
      <c r="L160" s="3876" t="n"/>
      <c r="M160" s="3876" t="n"/>
      <c r="N160" s="3876" t="n"/>
      <c r="O160" s="3876" t="n"/>
      <c r="P160" s="3876" t="n"/>
      <c r="Q160" s="3876" t="n"/>
      <c r="R160" s="3876" t="n"/>
      <c r="S160" s="3876" t="n"/>
      <c r="T160" s="3876" t="n"/>
      <c r="U160" s="3876" t="n"/>
      <c r="V160" s="3876" t="n"/>
      <c r="W160" s="3876" t="n"/>
      <c r="X160" s="3876" t="n"/>
      <c r="Y160" s="3876" t="n"/>
      <c r="Z160" s="3876" t="n"/>
      <c r="AA160" s="3876" t="n"/>
      <c r="AB160" s="3876" t="n"/>
      <c r="AC160" s="3876" t="n"/>
      <c r="AD160" s="3876" t="n"/>
      <c r="AE160" s="3876" t="n"/>
      <c r="AF160" s="3876" t="n"/>
      <c r="AG160" s="3876" t="n"/>
      <c r="AH160" s="3876" t="n"/>
      <c r="AI160" s="3876" t="n"/>
      <c r="AJ160" s="3876" t="n"/>
      <c r="AK160" s="3876" t="n"/>
      <c r="AL160" s="3876" t="n"/>
      <c r="AM160" s="3876" t="n"/>
      <c r="AN160" s="3876" t="n"/>
      <c r="AO160" s="3876" t="n"/>
      <c r="AP160" s="3876" t="n"/>
      <c r="AQ160" s="3876" t="n"/>
      <c r="AR160" s="3876" t="n"/>
      <c r="AS160" s="3876" t="n"/>
    </row>
    <row r="161">
      <c r="A161" s="3905" t="n"/>
      <c r="B161" s="3905" t="n"/>
      <c r="C161" s="3905" t="n"/>
      <c r="D161" s="3905" t="n"/>
      <c r="E161" s="3905" t="n"/>
      <c r="F161" s="3905" t="n"/>
      <c r="G161" s="3876" t="n"/>
      <c r="H161" s="3876" t="n"/>
      <c r="I161" s="3876" t="n"/>
      <c r="J161" s="3876" t="n"/>
      <c r="K161" s="3876" t="n"/>
      <c r="L161" s="3876" t="n"/>
      <c r="M161" s="3876" t="n"/>
      <c r="N161" s="3876" t="n"/>
      <c r="O161" s="3876" t="n"/>
      <c r="P161" s="3876" t="n"/>
      <c r="Q161" s="3876" t="n"/>
      <c r="R161" s="3876" t="n"/>
      <c r="S161" s="3876" t="n"/>
      <c r="T161" s="3876" t="n"/>
      <c r="U161" s="3876" t="n"/>
      <c r="V161" s="3876" t="n"/>
      <c r="W161" s="3876" t="n"/>
      <c r="X161" s="3876" t="n"/>
      <c r="Y161" s="3876" t="n"/>
      <c r="Z161" s="3876" t="n"/>
      <c r="AA161" s="3876" t="n"/>
      <c r="AB161" s="3876" t="n"/>
      <c r="AC161" s="3876" t="n"/>
      <c r="AD161" s="3876" t="n"/>
      <c r="AE161" s="3876" t="n"/>
      <c r="AF161" s="3876" t="n"/>
      <c r="AG161" s="3876" t="n"/>
      <c r="AH161" s="3876" t="n"/>
      <c r="AI161" s="3876" t="n"/>
      <c r="AJ161" s="3876" t="n"/>
      <c r="AK161" s="3876" t="n"/>
      <c r="AL161" s="3876" t="n"/>
      <c r="AM161" s="3876" t="n"/>
      <c r="AN161" s="3876" t="n"/>
      <c r="AO161" s="3876" t="n"/>
      <c r="AP161" s="3876" t="n"/>
      <c r="AQ161" s="3876" t="n"/>
      <c r="AR161" s="3876" t="n"/>
      <c r="AS161" s="3876" t="n"/>
    </row>
    <row r="162">
      <c r="A162" s="3905" t="n"/>
      <c r="B162" s="3905" t="n"/>
      <c r="C162" s="3905" t="n"/>
      <c r="D162" s="3905" t="n"/>
      <c r="E162" s="3905" t="n"/>
      <c r="F162" s="3905" t="n"/>
      <c r="G162" s="3876" t="n"/>
      <c r="H162" s="3876" t="n"/>
      <c r="I162" s="3876" t="n"/>
      <c r="J162" s="3876" t="n"/>
      <c r="K162" s="3876" t="n"/>
      <c r="L162" s="3876" t="n"/>
      <c r="M162" s="3876" t="n"/>
      <c r="N162" s="3876" t="n"/>
      <c r="O162" s="3876" t="n"/>
      <c r="P162" s="3876" t="n"/>
      <c r="Q162" s="3876" t="n"/>
      <c r="R162" s="3876" t="n"/>
      <c r="S162" s="3876" t="n"/>
      <c r="T162" s="3876" t="n"/>
      <c r="U162" s="3876" t="n"/>
      <c r="V162" s="3876" t="n"/>
      <c r="W162" s="3876" t="n"/>
      <c r="X162" s="3876" t="n"/>
      <c r="Y162" s="3876" t="n"/>
      <c r="Z162" s="3876" t="n"/>
      <c r="AA162" s="3876" t="n"/>
      <c r="AB162" s="3876" t="n"/>
      <c r="AC162" s="3876" t="n"/>
      <c r="AD162" s="3876" t="n"/>
      <c r="AE162" s="3876" t="n"/>
      <c r="AF162" s="3876" t="n"/>
      <c r="AG162" s="3876" t="n"/>
      <c r="AH162" s="3876" t="n"/>
      <c r="AI162" s="3876" t="n"/>
      <c r="AJ162" s="3876" t="n"/>
      <c r="AK162" s="3876" t="n"/>
      <c r="AL162" s="3876" t="n"/>
      <c r="AM162" s="3876" t="n"/>
      <c r="AN162" s="3876" t="n"/>
      <c r="AO162" s="3876" t="n"/>
      <c r="AP162" s="3876" t="n"/>
      <c r="AQ162" s="3876" t="n"/>
      <c r="AR162" s="3876" t="n"/>
      <c r="AS162" s="3876" t="n"/>
    </row>
    <row r="163">
      <c r="A163" s="3905" t="n"/>
      <c r="B163" s="3905" t="n"/>
      <c r="C163" s="3905" t="n"/>
      <c r="D163" s="3905" t="n"/>
      <c r="E163" s="3905" t="n"/>
      <c r="F163" s="3905" t="n"/>
      <c r="G163" s="3876" t="n"/>
      <c r="H163" s="3876" t="n"/>
      <c r="I163" s="3876" t="n"/>
      <c r="J163" s="3876" t="n"/>
      <c r="K163" s="3876" t="n"/>
      <c r="L163" s="3876" t="n"/>
      <c r="M163" s="3876" t="n"/>
      <c r="N163" s="3876" t="n"/>
      <c r="O163" s="3876" t="n"/>
      <c r="P163" s="3876" t="n"/>
      <c r="Q163" s="3876" t="n"/>
      <c r="R163" s="3876" t="n"/>
      <c r="S163" s="3876" t="n"/>
      <c r="T163" s="3876" t="n"/>
      <c r="U163" s="3876" t="n"/>
      <c r="V163" s="3876" t="n"/>
      <c r="W163" s="3876" t="n"/>
      <c r="X163" s="3876" t="n"/>
      <c r="Y163" s="3876" t="n"/>
      <c r="Z163" s="3876" t="n"/>
      <c r="AA163" s="3876" t="n"/>
      <c r="AB163" s="3876" t="n"/>
      <c r="AC163" s="3876" t="n"/>
      <c r="AD163" s="3876" t="n"/>
      <c r="AE163" s="3876" t="n"/>
      <c r="AF163" s="3876" t="n"/>
      <c r="AG163" s="3876" t="n"/>
      <c r="AH163" s="3876" t="n"/>
      <c r="AI163" s="3876" t="n"/>
      <c r="AJ163" s="3876" t="n"/>
      <c r="AK163" s="3876" t="n"/>
      <c r="AL163" s="3876" t="n"/>
      <c r="AM163" s="3876" t="n"/>
      <c r="AN163" s="3876" t="n"/>
      <c r="AO163" s="3876" t="n"/>
      <c r="AP163" s="3876" t="n"/>
      <c r="AQ163" s="3876" t="n"/>
      <c r="AR163" s="3876" t="n"/>
      <c r="AS163" s="3876" t="n"/>
    </row>
    <row r="164">
      <c r="A164" s="3905" t="n"/>
      <c r="B164" s="3905" t="n"/>
      <c r="C164" s="3905" t="n"/>
      <c r="D164" s="3905" t="n"/>
      <c r="E164" s="3905" t="n"/>
      <c r="F164" s="3905" t="n"/>
      <c r="G164" s="3876" t="n"/>
      <c r="H164" s="3876" t="n"/>
      <c r="I164" s="3876" t="n"/>
      <c r="J164" s="3876" t="n"/>
      <c r="K164" s="3876" t="n"/>
      <c r="L164" s="3876" t="n"/>
      <c r="M164" s="3876" t="n"/>
      <c r="N164" s="3876" t="n"/>
      <c r="O164" s="3876" t="n"/>
      <c r="P164" s="3876" t="n"/>
      <c r="Q164" s="3876" t="n"/>
      <c r="R164" s="3876" t="n"/>
      <c r="S164" s="3876" t="n"/>
      <c r="T164" s="3876" t="n"/>
      <c r="U164" s="3876" t="n"/>
      <c r="V164" s="3876" t="n"/>
      <c r="W164" s="3876" t="n"/>
      <c r="X164" s="3876" t="n"/>
      <c r="Y164" s="3876" t="n"/>
      <c r="Z164" s="3876" t="n"/>
      <c r="AA164" s="3876" t="n"/>
      <c r="AB164" s="3876" t="n"/>
      <c r="AC164" s="3876" t="n"/>
      <c r="AD164" s="3876" t="n"/>
      <c r="AE164" s="3876" t="n"/>
      <c r="AF164" s="3876" t="n"/>
      <c r="AG164" s="3876" t="n"/>
      <c r="AH164" s="3876" t="n"/>
      <c r="AI164" s="3876" t="n"/>
      <c r="AJ164" s="3876" t="n"/>
      <c r="AK164" s="3876" t="n"/>
      <c r="AL164" s="3876" t="n"/>
      <c r="AM164" s="3876" t="n"/>
      <c r="AN164" s="3876" t="n"/>
      <c r="AO164" s="3876" t="n"/>
      <c r="AP164" s="3876" t="n"/>
      <c r="AQ164" s="3876" t="n"/>
      <c r="AR164" s="3876" t="n"/>
      <c r="AS164" s="3876" t="n"/>
    </row>
    <row r="165">
      <c r="A165" s="3905" t="n"/>
      <c r="B165" s="3905" t="n"/>
      <c r="C165" s="3905" t="n"/>
      <c r="D165" s="3905" t="n"/>
      <c r="E165" s="3905" t="n"/>
      <c r="F165" s="3905" t="n"/>
      <c r="G165" s="3876" t="n"/>
      <c r="H165" s="3876" t="n"/>
      <c r="I165" s="3876" t="n"/>
      <c r="J165" s="3876" t="n"/>
      <c r="K165" s="3876" t="n"/>
      <c r="L165" s="3876" t="n"/>
      <c r="M165" s="3876" t="n"/>
      <c r="N165" s="3876" t="n"/>
      <c r="O165" s="3876" t="n"/>
      <c r="P165" s="3876" t="n"/>
      <c r="Q165" s="3876" t="n"/>
      <c r="R165" s="3876" t="n"/>
      <c r="S165" s="3876" t="n"/>
      <c r="T165" s="3876" t="n"/>
      <c r="U165" s="3876" t="n"/>
      <c r="V165" s="3876" t="n"/>
      <c r="W165" s="3876" t="n"/>
      <c r="X165" s="3876" t="n"/>
      <c r="Y165" s="3876" t="n"/>
      <c r="Z165" s="3876" t="n"/>
      <c r="AA165" s="3876" t="n"/>
      <c r="AB165" s="3876" t="n"/>
      <c r="AC165" s="3876" t="n"/>
      <c r="AD165" s="3876" t="n"/>
      <c r="AE165" s="3876" t="n"/>
      <c r="AF165" s="3876" t="n"/>
      <c r="AG165" s="3876" t="n"/>
      <c r="AH165" s="3876" t="n"/>
      <c r="AI165" s="3876" t="n"/>
      <c r="AJ165" s="3876" t="n"/>
      <c r="AK165" s="3876" t="n"/>
      <c r="AL165" s="3876" t="n"/>
      <c r="AM165" s="3876" t="n"/>
      <c r="AN165" s="3876" t="n"/>
      <c r="AO165" s="3876" t="n"/>
      <c r="AP165" s="3876" t="n"/>
      <c r="AQ165" s="3876" t="n"/>
      <c r="AR165" s="3876" t="n"/>
      <c r="AS165" s="3876" t="n"/>
    </row>
    <row r="166">
      <c r="A166" s="3905" t="n"/>
      <c r="B166" s="3905" t="n"/>
      <c r="C166" s="3905" t="n"/>
      <c r="D166" s="3905" t="n"/>
      <c r="E166" s="3905" t="n"/>
      <c r="F166" s="3905" t="n"/>
      <c r="G166" s="3876" t="n"/>
      <c r="H166" s="3876" t="n"/>
      <c r="I166" s="3876" t="n"/>
      <c r="J166" s="3876" t="n"/>
      <c r="K166" s="3876" t="n"/>
      <c r="L166" s="3876" t="n"/>
      <c r="M166" s="3876" t="n"/>
      <c r="N166" s="3876" t="n"/>
      <c r="O166" s="3876" t="n"/>
      <c r="P166" s="3876" t="n"/>
      <c r="Q166" s="3876" t="n"/>
      <c r="R166" s="3876" t="n"/>
      <c r="S166" s="3876" t="n"/>
      <c r="T166" s="3876" t="n"/>
      <c r="U166" s="3876" t="n"/>
      <c r="V166" s="3876" t="n"/>
      <c r="W166" s="3876" t="n"/>
      <c r="X166" s="3876" t="n"/>
      <c r="Y166" s="3876" t="n"/>
      <c r="Z166" s="3876" t="n"/>
      <c r="AA166" s="3876" t="n"/>
      <c r="AB166" s="3876" t="n"/>
      <c r="AC166" s="3876" t="n"/>
      <c r="AD166" s="3876" t="n"/>
      <c r="AE166" s="3876" t="n"/>
      <c r="AF166" s="3876" t="n"/>
      <c r="AG166" s="3876" t="n"/>
      <c r="AH166" s="3876" t="n"/>
      <c r="AI166" s="3876" t="n"/>
      <c r="AJ166" s="3876" t="n"/>
      <c r="AK166" s="3876" t="n"/>
      <c r="AL166" s="3876" t="n"/>
      <c r="AM166" s="3876" t="n"/>
      <c r="AN166" s="3876" t="n"/>
      <c r="AO166" s="3876" t="n"/>
      <c r="AP166" s="3876" t="n"/>
      <c r="AQ166" s="3876" t="n"/>
      <c r="AR166" s="3876" t="n"/>
      <c r="AS166" s="3876" t="n"/>
    </row>
    <row r="167">
      <c r="A167" s="3905" t="n"/>
      <c r="B167" s="3905" t="n"/>
      <c r="C167" s="3905" t="n"/>
      <c r="D167" s="3905" t="n"/>
      <c r="E167" s="3905" t="n"/>
      <c r="F167" s="3905" t="n"/>
      <c r="G167" s="3876" t="n"/>
      <c r="H167" s="3876" t="n"/>
      <c r="I167" s="3876" t="n"/>
      <c r="J167" s="3876" t="n"/>
      <c r="K167" s="3876" t="n"/>
      <c r="L167" s="3876" t="n"/>
      <c r="M167" s="3876" t="n"/>
      <c r="N167" s="3876" t="n"/>
      <c r="O167" s="3876" t="n"/>
      <c r="P167" s="3876" t="n"/>
      <c r="Q167" s="3876" t="n"/>
      <c r="R167" s="3876" t="n"/>
      <c r="S167" s="3876" t="n"/>
      <c r="T167" s="3876" t="n"/>
      <c r="U167" s="3876" t="n"/>
      <c r="V167" s="3876" t="n"/>
      <c r="W167" s="3876" t="n"/>
      <c r="X167" s="3876" t="n"/>
      <c r="Y167" s="3876" t="n"/>
      <c r="Z167" s="3876" t="n"/>
      <c r="AA167" s="3876" t="n"/>
      <c r="AB167" s="3876" t="n"/>
      <c r="AC167" s="3876" t="n"/>
      <c r="AD167" s="3876" t="n"/>
      <c r="AE167" s="3876" t="n"/>
      <c r="AF167" s="3876" t="n"/>
      <c r="AG167" s="3876" t="n"/>
      <c r="AH167" s="3876" t="n"/>
      <c r="AI167" s="3876" t="n"/>
      <c r="AJ167" s="3876" t="n"/>
      <c r="AK167" s="3876" t="n"/>
      <c r="AL167" s="3876" t="n"/>
      <c r="AM167" s="3876" t="n"/>
      <c r="AN167" s="3876" t="n"/>
      <c r="AO167" s="3876" t="n"/>
      <c r="AP167" s="3876" t="n"/>
      <c r="AQ167" s="3876" t="n"/>
      <c r="AR167" s="3876" t="n"/>
      <c r="AS167" s="3876" t="n"/>
    </row>
    <row r="168">
      <c r="A168" s="3905" t="n"/>
      <c r="B168" s="3905" t="n"/>
      <c r="C168" s="3905" t="n"/>
      <c r="D168" s="3905" t="n"/>
      <c r="E168" s="3905" t="n"/>
      <c r="F168" s="3905" t="n"/>
      <c r="G168" s="3876" t="n"/>
      <c r="H168" s="3876" t="n"/>
      <c r="I168" s="3876" t="n"/>
      <c r="J168" s="3876" t="n"/>
      <c r="K168" s="3876" t="n"/>
      <c r="L168" s="3876" t="n"/>
      <c r="M168" s="3876" t="n"/>
      <c r="N168" s="3876" t="n"/>
      <c r="O168" s="3876" t="n"/>
      <c r="P168" s="3876" t="n"/>
      <c r="Q168" s="3876" t="n"/>
      <c r="R168" s="3876" t="n"/>
      <c r="S168" s="3876" t="n"/>
      <c r="T168" s="3876" t="n"/>
      <c r="U168" s="3876" t="n"/>
      <c r="V168" s="3876" t="n"/>
      <c r="W168" s="3876" t="n"/>
      <c r="X168" s="3876" t="n"/>
      <c r="Y168" s="3876" t="n"/>
      <c r="Z168" s="3876" t="n"/>
      <c r="AA168" s="3876" t="n"/>
      <c r="AB168" s="3876" t="n"/>
      <c r="AC168" s="3876" t="n"/>
      <c r="AD168" s="3876" t="n"/>
      <c r="AE168" s="3876" t="n"/>
      <c r="AF168" s="3876" t="n"/>
      <c r="AG168" s="3876" t="n"/>
      <c r="AH168" s="3876" t="n"/>
      <c r="AI168" s="3876" t="n"/>
      <c r="AJ168" s="3876" t="n"/>
      <c r="AK168" s="3876" t="n"/>
      <c r="AL168" s="3876" t="n"/>
      <c r="AM168" s="3876" t="n"/>
      <c r="AN168" s="3876" t="n"/>
      <c r="AO168" s="3876" t="n"/>
      <c r="AP168" s="3876" t="n"/>
      <c r="AQ168" s="3876" t="n"/>
      <c r="AR168" s="3876" t="n"/>
      <c r="AS168" s="3876" t="n"/>
    </row>
    <row r="169">
      <c r="A169" s="3905" t="n"/>
      <c r="B169" s="3905" t="n"/>
      <c r="C169" s="3905" t="n"/>
      <c r="D169" s="3905" t="n"/>
      <c r="E169" s="3905" t="n"/>
      <c r="F169" s="3905" t="n"/>
      <c r="G169" s="3876" t="n"/>
      <c r="H169" s="3876" t="n"/>
      <c r="I169" s="3876" t="n"/>
      <c r="J169" s="3876" t="n"/>
      <c r="K169" s="3876" t="n"/>
      <c r="L169" s="3876" t="n"/>
      <c r="M169" s="3876" t="n"/>
      <c r="N169" s="3876" t="n"/>
      <c r="O169" s="3876" t="n"/>
      <c r="P169" s="3876" t="n"/>
      <c r="Q169" s="3876" t="n"/>
      <c r="R169" s="3876" t="n"/>
      <c r="S169" s="3876" t="n"/>
      <c r="T169" s="3876" t="n"/>
      <c r="U169" s="3876" t="n"/>
      <c r="V169" s="3876" t="n"/>
      <c r="W169" s="3876" t="n"/>
      <c r="X169" s="3876" t="n"/>
      <c r="Y169" s="3876" t="n"/>
      <c r="Z169" s="3876" t="n"/>
      <c r="AA169" s="3876" t="n"/>
      <c r="AB169" s="3876" t="n"/>
      <c r="AC169" s="3876" t="n"/>
      <c r="AD169" s="3876" t="n"/>
      <c r="AE169" s="3876" t="n"/>
      <c r="AF169" s="3876" t="n"/>
      <c r="AG169" s="3876" t="n"/>
      <c r="AH169" s="3876" t="n"/>
      <c r="AI169" s="3876" t="n"/>
      <c r="AJ169" s="3876" t="n"/>
      <c r="AK169" s="3876" t="n"/>
      <c r="AL169" s="3876" t="n"/>
      <c r="AM169" s="3876" t="n"/>
      <c r="AN169" s="3876" t="n"/>
      <c r="AO169" s="3876" t="n"/>
      <c r="AP169" s="3876" t="n"/>
      <c r="AQ169" s="3876" t="n"/>
      <c r="AR169" s="3876" t="n"/>
      <c r="AS169" s="3876" t="n"/>
    </row>
    <row r="170">
      <c r="A170" s="3905" t="n"/>
      <c r="B170" s="3905" t="n"/>
      <c r="C170" s="3905" t="n"/>
      <c r="D170" s="3905" t="n"/>
      <c r="E170" s="3905" t="n"/>
      <c r="F170" s="3905" t="n"/>
      <c r="G170" s="3876" t="n"/>
      <c r="H170" s="3876" t="n"/>
      <c r="I170" s="3876" t="n"/>
      <c r="J170" s="3876" t="n"/>
      <c r="K170" s="3876" t="n"/>
      <c r="L170" s="3876" t="n"/>
      <c r="M170" s="3876" t="n"/>
      <c r="N170" s="3876" t="n"/>
      <c r="O170" s="3876" t="n"/>
      <c r="P170" s="3876" t="n"/>
      <c r="Q170" s="3876" t="n"/>
      <c r="R170" s="3876" t="n"/>
      <c r="S170" s="3876" t="n"/>
      <c r="T170" s="3876" t="n"/>
      <c r="U170" s="3876" t="n"/>
      <c r="V170" s="3876" t="n"/>
      <c r="W170" s="3876" t="n"/>
      <c r="X170" s="3876" t="n"/>
      <c r="Y170" s="3876" t="n"/>
      <c r="Z170" s="3876" t="n"/>
      <c r="AA170" s="3876" t="n"/>
      <c r="AB170" s="3876" t="n"/>
      <c r="AC170" s="3876" t="n"/>
      <c r="AD170" s="3876" t="n"/>
      <c r="AE170" s="3876" t="n"/>
      <c r="AF170" s="3876" t="n"/>
      <c r="AG170" s="3876" t="n"/>
      <c r="AH170" s="3876" t="n"/>
      <c r="AI170" s="3876" t="n"/>
      <c r="AJ170" s="3876" t="n"/>
      <c r="AK170" s="3876" t="n"/>
      <c r="AL170" s="3876" t="n"/>
      <c r="AM170" s="3876" t="n"/>
      <c r="AN170" s="3876" t="n"/>
      <c r="AO170" s="3876" t="n"/>
      <c r="AP170" s="3876" t="n"/>
      <c r="AQ170" s="3876" t="n"/>
      <c r="AR170" s="3876" t="n"/>
      <c r="AS170" s="3876" t="n"/>
    </row>
    <row r="171">
      <c r="A171" s="3905" t="n"/>
      <c r="B171" s="3905" t="n"/>
      <c r="C171" s="3905" t="n"/>
      <c r="D171" s="3905" t="n"/>
      <c r="E171" s="3905" t="n"/>
      <c r="F171" s="3905" t="n"/>
      <c r="G171" s="3876" t="n"/>
      <c r="H171" s="3876" t="n"/>
      <c r="I171" s="3876" t="n"/>
      <c r="J171" s="3876" t="n"/>
      <c r="K171" s="3876" t="n"/>
      <c r="L171" s="3876" t="n"/>
      <c r="M171" s="3876" t="n"/>
      <c r="N171" s="3876" t="n"/>
      <c r="O171" s="3876" t="n"/>
      <c r="P171" s="3876" t="n"/>
      <c r="Q171" s="3876" t="n"/>
      <c r="R171" s="3876" t="n"/>
      <c r="S171" s="3876" t="n"/>
      <c r="T171" s="3876" t="n"/>
      <c r="U171" s="3876" t="n"/>
      <c r="V171" s="3876" t="n"/>
      <c r="W171" s="3876" t="n"/>
      <c r="X171" s="3876" t="n"/>
      <c r="Y171" s="3876" t="n"/>
      <c r="Z171" s="3876" t="n"/>
      <c r="AA171" s="3876" t="n"/>
      <c r="AB171" s="3876" t="n"/>
      <c r="AC171" s="3876" t="n"/>
      <c r="AD171" s="3876" t="n"/>
      <c r="AE171" s="3876" t="n"/>
      <c r="AF171" s="3876" t="n"/>
      <c r="AG171" s="3876" t="n"/>
      <c r="AH171" s="3876" t="n"/>
      <c r="AI171" s="3876" t="n"/>
      <c r="AJ171" s="3876" t="n"/>
      <c r="AK171" s="3876" t="n"/>
      <c r="AL171" s="3876" t="n"/>
      <c r="AM171" s="3876" t="n"/>
      <c r="AN171" s="3876" t="n"/>
      <c r="AO171" s="3876" t="n"/>
      <c r="AP171" s="3876" t="n"/>
      <c r="AQ171" s="3876" t="n"/>
      <c r="AR171" s="3876" t="n"/>
      <c r="AS171" s="3876" t="n"/>
    </row>
    <row r="172">
      <c r="A172" s="3905" t="n"/>
      <c r="B172" s="3905" t="n"/>
      <c r="C172" s="3905" t="n"/>
      <c r="D172" s="3905" t="n"/>
      <c r="E172" s="3905" t="n"/>
      <c r="F172" s="3905" t="n"/>
      <c r="G172" s="3876" t="n"/>
      <c r="H172" s="3876" t="n"/>
      <c r="I172" s="3876" t="n"/>
      <c r="J172" s="3876" t="n"/>
      <c r="K172" s="3876" t="n"/>
      <c r="L172" s="3876" t="n"/>
      <c r="M172" s="3876" t="n"/>
      <c r="N172" s="3876" t="n"/>
      <c r="O172" s="3876" t="n"/>
      <c r="P172" s="3876" t="n"/>
      <c r="Q172" s="3876" t="n"/>
      <c r="R172" s="3876" t="n"/>
      <c r="S172" s="3876" t="n"/>
      <c r="T172" s="3876" t="n"/>
      <c r="U172" s="3876" t="n"/>
      <c r="V172" s="3876" t="n"/>
      <c r="W172" s="3876" t="n"/>
      <c r="X172" s="3876" t="n"/>
      <c r="Y172" s="3876" t="n"/>
      <c r="Z172" s="3876" t="n"/>
      <c r="AA172" s="3876" t="n"/>
      <c r="AB172" s="3876" t="n"/>
      <c r="AC172" s="3876" t="n"/>
      <c r="AD172" s="3876" t="n"/>
      <c r="AE172" s="3876" t="n"/>
      <c r="AF172" s="3876" t="n"/>
      <c r="AG172" s="3876" t="n"/>
      <c r="AH172" s="3876" t="n"/>
      <c r="AI172" s="3876" t="n"/>
      <c r="AJ172" s="3876" t="n"/>
      <c r="AK172" s="3876" t="n"/>
      <c r="AL172" s="3876" t="n"/>
      <c r="AM172" s="3876" t="n"/>
      <c r="AN172" s="3876" t="n"/>
      <c r="AO172" s="3876" t="n"/>
      <c r="AP172" s="3876" t="n"/>
      <c r="AQ172" s="3876" t="n"/>
      <c r="AR172" s="3876" t="n"/>
      <c r="AS172" s="3876" t="n"/>
    </row>
    <row r="173">
      <c r="A173" s="3905" t="n"/>
      <c r="B173" s="3905" t="n"/>
      <c r="C173" s="3905" t="n"/>
      <c r="D173" s="3905" t="n"/>
      <c r="E173" s="3905" t="n"/>
      <c r="F173" s="3905" t="n"/>
      <c r="G173" s="3876" t="n"/>
      <c r="H173" s="3876" t="n"/>
      <c r="I173" s="3876" t="n"/>
      <c r="J173" s="3876" t="n"/>
      <c r="K173" s="3876" t="n"/>
      <c r="L173" s="3876" t="n"/>
      <c r="M173" s="3876" t="n"/>
      <c r="N173" s="3876" t="n"/>
      <c r="O173" s="3876" t="n"/>
      <c r="P173" s="3876" t="n"/>
      <c r="Q173" s="3876" t="n"/>
      <c r="R173" s="3876" t="n"/>
      <c r="S173" s="3876" t="n"/>
      <c r="T173" s="3876" t="n"/>
      <c r="U173" s="3876" t="n"/>
      <c r="V173" s="3876" t="n"/>
      <c r="W173" s="3876" t="n"/>
      <c r="X173" s="3876" t="n"/>
      <c r="Y173" s="3876" t="n"/>
      <c r="Z173" s="3876" t="n"/>
      <c r="AA173" s="3876" t="n"/>
      <c r="AB173" s="3876" t="n"/>
      <c r="AC173" s="3876" t="n"/>
      <c r="AD173" s="3876" t="n"/>
      <c r="AE173" s="3876" t="n"/>
      <c r="AF173" s="3876" t="n"/>
      <c r="AG173" s="3876" t="n"/>
      <c r="AH173" s="3876" t="n"/>
      <c r="AI173" s="3876" t="n"/>
      <c r="AJ173" s="3876" t="n"/>
      <c r="AK173" s="3876" t="n"/>
      <c r="AL173" s="3876" t="n"/>
      <c r="AM173" s="3876" t="n"/>
      <c r="AN173" s="3876" t="n"/>
      <c r="AO173" s="3876" t="n"/>
      <c r="AP173" s="3876" t="n"/>
      <c r="AQ173" s="3876" t="n"/>
      <c r="AR173" s="3876" t="n"/>
      <c r="AS173" s="3876" t="n"/>
    </row>
    <row r="174">
      <c r="A174" s="3905" t="n"/>
      <c r="B174" s="3905" t="n"/>
      <c r="C174" s="3905" t="n"/>
      <c r="D174" s="3905" t="n"/>
      <c r="E174" s="3905" t="n"/>
      <c r="F174" s="3905" t="n"/>
      <c r="G174" s="3876" t="n"/>
      <c r="H174" s="3876" t="n"/>
      <c r="I174" s="3876" t="n"/>
      <c r="J174" s="3876" t="n"/>
      <c r="K174" s="3876" t="n"/>
      <c r="L174" s="3876" t="n"/>
      <c r="M174" s="3876" t="n"/>
      <c r="N174" s="3876" t="n"/>
      <c r="O174" s="3876" t="n"/>
      <c r="P174" s="3876" t="n"/>
      <c r="Q174" s="3876" t="n"/>
      <c r="R174" s="3876" t="n"/>
      <c r="S174" s="3876" t="n"/>
      <c r="T174" s="3876" t="n"/>
      <c r="U174" s="3876" t="n"/>
      <c r="V174" s="3876" t="n"/>
      <c r="W174" s="3876" t="n"/>
      <c r="X174" s="3876" t="n"/>
      <c r="Y174" s="3876" t="n"/>
      <c r="Z174" s="3876" t="n"/>
      <c r="AA174" s="3876" t="n"/>
      <c r="AB174" s="3876" t="n"/>
      <c r="AC174" s="3876" t="n"/>
      <c r="AD174" s="3876" t="n"/>
      <c r="AE174" s="3876" t="n"/>
      <c r="AF174" s="3876" t="n"/>
      <c r="AG174" s="3876" t="n"/>
      <c r="AH174" s="3876" t="n"/>
      <c r="AI174" s="3876" t="n"/>
      <c r="AJ174" s="3876" t="n"/>
      <c r="AK174" s="3876" t="n"/>
      <c r="AL174" s="3876" t="n"/>
      <c r="AM174" s="3876" t="n"/>
      <c r="AN174" s="3876" t="n"/>
      <c r="AO174" s="3876" t="n"/>
      <c r="AP174" s="3876" t="n"/>
      <c r="AQ174" s="3876" t="n"/>
      <c r="AR174" s="3876" t="n"/>
      <c r="AS174" s="3876" t="n"/>
    </row>
    <row r="175">
      <c r="A175" s="3905" t="n"/>
      <c r="B175" s="3905" t="n"/>
      <c r="C175" s="3905" t="n"/>
      <c r="D175" s="3905" t="n"/>
      <c r="E175" s="3905" t="n"/>
      <c r="F175" s="3905" t="n"/>
      <c r="G175" s="3876" t="n"/>
      <c r="H175" s="3876" t="n"/>
      <c r="I175" s="3876" t="n"/>
      <c r="J175" s="3876" t="n"/>
      <c r="K175" s="3876" t="n"/>
      <c r="L175" s="3876" t="n"/>
      <c r="M175" s="3876" t="n"/>
      <c r="N175" s="3876" t="n"/>
      <c r="O175" s="3876" t="n"/>
      <c r="P175" s="3876" t="n"/>
      <c r="Q175" s="3876" t="n"/>
      <c r="R175" s="3876" t="n"/>
      <c r="S175" s="3876" t="n"/>
      <c r="T175" s="3876" t="n"/>
      <c r="U175" s="3876" t="n"/>
      <c r="V175" s="3876" t="n"/>
      <c r="W175" s="3876" t="n"/>
      <c r="X175" s="3876" t="n"/>
      <c r="Y175" s="3876" t="n"/>
      <c r="Z175" s="3876" t="n"/>
      <c r="AA175" s="3876" t="n"/>
      <c r="AB175" s="3876" t="n"/>
      <c r="AC175" s="3876" t="n"/>
      <c r="AD175" s="3876" t="n"/>
      <c r="AE175" s="3876" t="n"/>
      <c r="AF175" s="3876" t="n"/>
      <c r="AG175" s="3876" t="n"/>
      <c r="AH175" s="3876" t="n"/>
      <c r="AI175" s="3876" t="n"/>
      <c r="AJ175" s="3876" t="n"/>
      <c r="AK175" s="3876" t="n"/>
      <c r="AL175" s="3876" t="n"/>
      <c r="AM175" s="3876" t="n"/>
      <c r="AN175" s="3876" t="n"/>
      <c r="AO175" s="3876" t="n"/>
      <c r="AP175" s="3876" t="n"/>
      <c r="AQ175" s="3876" t="n"/>
      <c r="AR175" s="3876" t="n"/>
      <c r="AS175" s="3876" t="n"/>
    </row>
    <row r="176">
      <c r="A176" s="3905" t="n"/>
      <c r="B176" s="3905" t="n"/>
      <c r="C176" s="3905" t="n"/>
      <c r="D176" s="3905" t="n"/>
      <c r="E176" s="3905" t="n"/>
      <c r="F176" s="3905" t="n"/>
      <c r="G176" s="3876" t="n"/>
      <c r="H176" s="3876" t="n"/>
      <c r="I176" s="3876" t="n"/>
      <c r="J176" s="3876" t="n"/>
      <c r="K176" s="3876" t="n"/>
      <c r="L176" s="3876" t="n"/>
      <c r="M176" s="3876" t="n"/>
      <c r="N176" s="3876" t="n"/>
      <c r="O176" s="3876" t="n"/>
      <c r="P176" s="3876" t="n"/>
      <c r="Q176" s="3876" t="n"/>
      <c r="R176" s="3876" t="n"/>
      <c r="S176" s="3876" t="n"/>
      <c r="T176" s="3876" t="n"/>
      <c r="U176" s="3876" t="n"/>
      <c r="V176" s="3876" t="n"/>
      <c r="W176" s="3876" t="n"/>
      <c r="X176" s="3876" t="n"/>
      <c r="Y176" s="3876" t="n"/>
      <c r="Z176" s="3876" t="n"/>
      <c r="AA176" s="3876" t="n"/>
      <c r="AB176" s="3876" t="n"/>
      <c r="AC176" s="3876" t="n"/>
      <c r="AD176" s="3876" t="n"/>
      <c r="AE176" s="3876" t="n"/>
      <c r="AF176" s="3876" t="n"/>
      <c r="AG176" s="3876" t="n"/>
      <c r="AH176" s="3876" t="n"/>
      <c r="AI176" s="3876" t="n"/>
      <c r="AJ176" s="3876" t="n"/>
      <c r="AK176" s="3876" t="n"/>
      <c r="AL176" s="3876" t="n"/>
      <c r="AM176" s="3876" t="n"/>
      <c r="AN176" s="3876" t="n"/>
      <c r="AO176" s="3876" t="n"/>
      <c r="AP176" s="3876" t="n"/>
      <c r="AQ176" s="3876" t="n"/>
      <c r="AR176" s="3876" t="n"/>
      <c r="AS176" s="3876" t="n"/>
    </row>
    <row r="177">
      <c r="A177" s="3905" t="n"/>
      <c r="B177" s="3905" t="n"/>
      <c r="C177" s="3905" t="n"/>
      <c r="D177" s="3905" t="n"/>
      <c r="E177" s="3905" t="n"/>
      <c r="F177" s="3905" t="n"/>
      <c r="G177" s="3876" t="n"/>
      <c r="H177" s="3876" t="n"/>
      <c r="I177" s="3876" t="n"/>
      <c r="J177" s="3876" t="n"/>
      <c r="K177" s="3876" t="n"/>
      <c r="L177" s="3876" t="n"/>
      <c r="M177" s="3876" t="n"/>
      <c r="N177" s="3876" t="n"/>
      <c r="O177" s="3876" t="n"/>
      <c r="P177" s="3876" t="n"/>
      <c r="Q177" s="3876" t="n"/>
      <c r="R177" s="3876" t="n"/>
      <c r="S177" s="3876" t="n"/>
      <c r="T177" s="3876" t="n"/>
      <c r="U177" s="3876" t="n"/>
      <c r="V177" s="3876" t="n"/>
      <c r="W177" s="3876" t="n"/>
      <c r="X177" s="3876" t="n"/>
      <c r="Y177" s="3876" t="n"/>
      <c r="Z177" s="3876" t="n"/>
      <c r="AA177" s="3876" t="n"/>
      <c r="AB177" s="3876" t="n"/>
      <c r="AC177" s="3876" t="n"/>
      <c r="AD177" s="3876" t="n"/>
      <c r="AE177" s="3876" t="n"/>
      <c r="AF177" s="3876" t="n"/>
      <c r="AG177" s="3876" t="n"/>
      <c r="AH177" s="3876" t="n"/>
      <c r="AI177" s="3876" t="n"/>
      <c r="AJ177" s="3876" t="n"/>
      <c r="AK177" s="3876" t="n"/>
      <c r="AL177" s="3876" t="n"/>
      <c r="AM177" s="3876" t="n"/>
      <c r="AN177" s="3876" t="n"/>
      <c r="AO177" s="3876" t="n"/>
      <c r="AP177" s="3876" t="n"/>
      <c r="AQ177" s="3876" t="n"/>
      <c r="AR177" s="3876" t="n"/>
      <c r="AS177" s="3876" t="n"/>
    </row>
    <row r="178">
      <c r="A178" s="3905" t="n"/>
      <c r="B178" s="3905" t="n"/>
      <c r="C178" s="3905" t="n"/>
      <c r="D178" s="3905" t="n"/>
      <c r="E178" s="3905" t="n"/>
      <c r="F178" s="3905" t="n"/>
      <c r="G178" s="3876" t="n"/>
      <c r="H178" s="3876" t="n"/>
      <c r="I178" s="3876" t="n"/>
      <c r="J178" s="3876" t="n"/>
      <c r="K178" s="3876" t="n"/>
      <c r="L178" s="3876" t="n"/>
      <c r="M178" s="3876" t="n"/>
      <c r="N178" s="3876" t="n"/>
      <c r="O178" s="3876" t="n"/>
      <c r="P178" s="3876" t="n"/>
      <c r="Q178" s="3876" t="n"/>
      <c r="R178" s="3876" t="n"/>
      <c r="S178" s="3876" t="n"/>
      <c r="T178" s="3876" t="n"/>
      <c r="U178" s="3876" t="n"/>
      <c r="V178" s="3876" t="n"/>
      <c r="W178" s="3876" t="n"/>
      <c r="X178" s="3876" t="n"/>
      <c r="Y178" s="3876" t="n"/>
      <c r="Z178" s="3876" t="n"/>
      <c r="AA178" s="3876" t="n"/>
      <c r="AB178" s="3876" t="n"/>
      <c r="AC178" s="3876" t="n"/>
      <c r="AD178" s="3876" t="n"/>
      <c r="AE178" s="3876" t="n"/>
      <c r="AF178" s="3876" t="n"/>
      <c r="AG178" s="3876" t="n"/>
      <c r="AH178" s="3876" t="n"/>
      <c r="AI178" s="3876" t="n"/>
      <c r="AJ178" s="3876" t="n"/>
      <c r="AK178" s="3876" t="n"/>
      <c r="AL178" s="3876" t="n"/>
      <c r="AM178" s="3876" t="n"/>
      <c r="AN178" s="3876" t="n"/>
      <c r="AO178" s="3876" t="n"/>
      <c r="AP178" s="3876" t="n"/>
      <c r="AQ178" s="3876" t="n"/>
      <c r="AR178" s="3876" t="n"/>
      <c r="AS178" s="3876" t="n"/>
    </row>
    <row r="179">
      <c r="A179" s="3905" t="n"/>
      <c r="B179" s="3905" t="n"/>
      <c r="C179" s="3905" t="n"/>
      <c r="D179" s="3905" t="n"/>
      <c r="E179" s="3905" t="n"/>
      <c r="F179" s="3905" t="n"/>
      <c r="G179" s="3876" t="n"/>
      <c r="H179" s="3876" t="n"/>
      <c r="I179" s="3876" t="n"/>
      <c r="J179" s="3876" t="n"/>
      <c r="K179" s="3876" t="n"/>
      <c r="L179" s="3876" t="n"/>
      <c r="M179" s="3876" t="n"/>
      <c r="N179" s="3876" t="n"/>
      <c r="O179" s="3876" t="n"/>
      <c r="P179" s="3876" t="n"/>
      <c r="Q179" s="3876" t="n"/>
      <c r="R179" s="3876" t="n"/>
      <c r="S179" s="3876" t="n"/>
      <c r="T179" s="3876" t="n"/>
      <c r="U179" s="3876" t="n"/>
      <c r="V179" s="3876" t="n"/>
      <c r="W179" s="3876" t="n"/>
      <c r="X179" s="3876" t="n"/>
      <c r="Y179" s="3876" t="n"/>
      <c r="Z179" s="3876" t="n"/>
      <c r="AA179" s="3876" t="n"/>
      <c r="AB179" s="3876" t="n"/>
      <c r="AC179" s="3876" t="n"/>
      <c r="AD179" s="3876" t="n"/>
      <c r="AE179" s="3876" t="n"/>
      <c r="AF179" s="3876" t="n"/>
      <c r="AG179" s="3876" t="n"/>
      <c r="AH179" s="3876" t="n"/>
      <c r="AI179" s="3876" t="n"/>
      <c r="AJ179" s="3876" t="n"/>
      <c r="AK179" s="3876" t="n"/>
      <c r="AL179" s="3876" t="n"/>
      <c r="AM179" s="3876" t="n"/>
      <c r="AN179" s="3876" t="n"/>
      <c r="AO179" s="3876" t="n"/>
      <c r="AP179" s="3876" t="n"/>
      <c r="AQ179" s="3876" t="n"/>
      <c r="AR179" s="3876" t="n"/>
      <c r="AS179" s="3876" t="n"/>
    </row>
    <row r="180">
      <c r="A180" s="3905" t="n"/>
      <c r="B180" s="3905" t="n"/>
      <c r="C180" s="3905" t="n"/>
      <c r="D180" s="3905" t="n"/>
      <c r="E180" s="3905" t="n"/>
      <c r="F180" s="3905" t="n"/>
      <c r="G180" s="3876" t="n"/>
      <c r="H180" s="3876" t="n"/>
      <c r="I180" s="3876" t="n"/>
      <c r="J180" s="3876" t="n"/>
      <c r="K180" s="3876" t="n"/>
      <c r="L180" s="3876" t="n"/>
      <c r="M180" s="3876" t="n"/>
      <c r="N180" s="3876" t="n"/>
      <c r="O180" s="3876" t="n"/>
      <c r="P180" s="3876" t="n"/>
      <c r="Q180" s="3876" t="n"/>
      <c r="R180" s="3876" t="n"/>
      <c r="S180" s="3876" t="n"/>
      <c r="T180" s="3876" t="n"/>
      <c r="U180" s="3876" t="n"/>
      <c r="V180" s="3876" t="n"/>
      <c r="W180" s="3876" t="n"/>
      <c r="X180" s="3876" t="n"/>
      <c r="Y180" s="3876" t="n"/>
      <c r="Z180" s="3876" t="n"/>
      <c r="AA180" s="3876" t="n"/>
      <c r="AB180" s="3876" t="n"/>
      <c r="AC180" s="3876" t="n"/>
      <c r="AD180" s="3876" t="n"/>
      <c r="AE180" s="3876" t="n"/>
      <c r="AF180" s="3876" t="n"/>
      <c r="AG180" s="3876" t="n"/>
      <c r="AH180" s="3876" t="n"/>
      <c r="AI180" s="3876" t="n"/>
      <c r="AJ180" s="3876" t="n"/>
      <c r="AK180" s="3876" t="n"/>
      <c r="AL180" s="3876" t="n"/>
      <c r="AM180" s="3876" t="n"/>
      <c r="AN180" s="3876" t="n"/>
      <c r="AO180" s="3876" t="n"/>
      <c r="AP180" s="3876" t="n"/>
      <c r="AQ180" s="3876" t="n"/>
      <c r="AR180" s="3876" t="n"/>
      <c r="AS180" s="3876" t="n"/>
    </row>
    <row r="181">
      <c r="A181" s="3905" t="n"/>
      <c r="B181" s="3905" t="n"/>
      <c r="C181" s="3905" t="n"/>
      <c r="D181" s="3905" t="n"/>
      <c r="E181" s="3905" t="n"/>
      <c r="F181" s="3905" t="n"/>
      <c r="G181" s="3876" t="n"/>
      <c r="H181" s="3876" t="n"/>
      <c r="I181" s="3876" t="n"/>
      <c r="J181" s="3876" t="n"/>
      <c r="K181" s="3876" t="n"/>
      <c r="L181" s="3876" t="n"/>
      <c r="M181" s="3876" t="n"/>
      <c r="N181" s="3876" t="n"/>
      <c r="O181" s="3876" t="n"/>
      <c r="P181" s="3876" t="n"/>
      <c r="Q181" s="3876" t="n"/>
      <c r="R181" s="3876" t="n"/>
      <c r="S181" s="3876" t="n"/>
      <c r="T181" s="3876" t="n"/>
      <c r="U181" s="3876" t="n"/>
      <c r="V181" s="3876" t="n"/>
      <c r="W181" s="3876" t="n"/>
      <c r="X181" s="3876" t="n"/>
      <c r="Y181" s="3876" t="n"/>
      <c r="Z181" s="3876" t="n"/>
      <c r="AA181" s="3876" t="n"/>
      <c r="AB181" s="3876" t="n"/>
      <c r="AC181" s="3876" t="n"/>
      <c r="AD181" s="3876" t="n"/>
      <c r="AE181" s="3876" t="n"/>
      <c r="AF181" s="3876" t="n"/>
      <c r="AG181" s="3876" t="n"/>
      <c r="AH181" s="3876" t="n"/>
      <c r="AI181" s="3876" t="n"/>
      <c r="AJ181" s="3876" t="n"/>
      <c r="AK181" s="3876" t="n"/>
      <c r="AL181" s="3876" t="n"/>
      <c r="AM181" s="3876" t="n"/>
      <c r="AN181" s="3876" t="n"/>
      <c r="AO181" s="3876" t="n"/>
      <c r="AP181" s="3876" t="n"/>
      <c r="AQ181" s="3876" t="n"/>
      <c r="AR181" s="3876" t="n"/>
      <c r="AS181" s="3876" t="n"/>
    </row>
    <row r="182">
      <c r="A182" s="3905" t="n"/>
      <c r="B182" s="3905" t="n"/>
      <c r="C182" s="3905" t="n"/>
      <c r="D182" s="3905" t="n"/>
      <c r="E182" s="3905" t="n"/>
      <c r="F182" s="3905" t="n"/>
      <c r="G182" s="3876" t="n"/>
      <c r="H182" s="3876" t="n"/>
      <c r="I182" s="3876" t="n"/>
      <c r="J182" s="3876" t="n"/>
      <c r="K182" s="3876" t="n"/>
      <c r="L182" s="3876" t="n"/>
      <c r="M182" s="3876" t="n"/>
      <c r="N182" s="3876" t="n"/>
      <c r="O182" s="3876" t="n"/>
      <c r="P182" s="3876" t="n"/>
      <c r="Q182" s="3876" t="n"/>
      <c r="R182" s="3876" t="n"/>
      <c r="S182" s="3876" t="n"/>
      <c r="T182" s="3876" t="n"/>
      <c r="U182" s="3876" t="n"/>
      <c r="V182" s="3876" t="n"/>
      <c r="W182" s="3876" t="n"/>
      <c r="X182" s="3876" t="n"/>
      <c r="Y182" s="3876" t="n"/>
      <c r="Z182" s="3876" t="n"/>
      <c r="AA182" s="3876" t="n"/>
      <c r="AB182" s="3876" t="n"/>
      <c r="AC182" s="3876" t="n"/>
      <c r="AD182" s="3876" t="n"/>
      <c r="AE182" s="3876" t="n"/>
      <c r="AF182" s="3876" t="n"/>
      <c r="AG182" s="3876" t="n"/>
      <c r="AH182" s="3876" t="n"/>
      <c r="AI182" s="3876" t="n"/>
      <c r="AJ182" s="3876" t="n"/>
      <c r="AK182" s="3876" t="n"/>
      <c r="AL182" s="3876" t="n"/>
      <c r="AM182" s="3876" t="n"/>
      <c r="AN182" s="3876" t="n"/>
      <c r="AO182" s="3876" t="n"/>
      <c r="AP182" s="3876" t="n"/>
      <c r="AQ182" s="3876" t="n"/>
      <c r="AR182" s="3876" t="n"/>
      <c r="AS182" s="3876" t="n"/>
    </row>
    <row r="183">
      <c r="A183" s="3905" t="n"/>
      <c r="B183" s="3905" t="n"/>
      <c r="C183" s="3905" t="n"/>
      <c r="D183" s="3905" t="n"/>
      <c r="E183" s="3905" t="n"/>
      <c r="F183" s="3905" t="n"/>
      <c r="G183" s="3876" t="n"/>
      <c r="H183" s="3876" t="n"/>
      <c r="I183" s="3876" t="n"/>
      <c r="J183" s="3876" t="n"/>
      <c r="K183" s="3876" t="n"/>
      <c r="L183" s="3876" t="n"/>
      <c r="M183" s="3876" t="n"/>
      <c r="N183" s="3876" t="n"/>
      <c r="O183" s="3876" t="n"/>
      <c r="P183" s="3876" t="n"/>
      <c r="Q183" s="3876" t="n"/>
      <c r="R183" s="3876" t="n"/>
      <c r="S183" s="3876" t="n"/>
      <c r="T183" s="3876" t="n"/>
      <c r="U183" s="3876" t="n"/>
      <c r="V183" s="3876" t="n"/>
      <c r="W183" s="3876" t="n"/>
      <c r="X183" s="3876" t="n"/>
      <c r="Y183" s="3876" t="n"/>
      <c r="Z183" s="3876" t="n"/>
      <c r="AA183" s="3876" t="n"/>
      <c r="AB183" s="3876" t="n"/>
      <c r="AC183" s="3876" t="n"/>
      <c r="AD183" s="3876" t="n"/>
      <c r="AE183" s="3876" t="n"/>
      <c r="AF183" s="3876" t="n"/>
      <c r="AG183" s="3876" t="n"/>
      <c r="AH183" s="3876" t="n"/>
      <c r="AI183" s="3876" t="n"/>
      <c r="AJ183" s="3876" t="n"/>
      <c r="AK183" s="3876" t="n"/>
      <c r="AL183" s="3876" t="n"/>
      <c r="AM183" s="3876" t="n"/>
      <c r="AN183" s="3876" t="n"/>
      <c r="AO183" s="3876" t="n"/>
      <c r="AP183" s="3876" t="n"/>
      <c r="AQ183" s="3876" t="n"/>
      <c r="AR183" s="3876" t="n"/>
      <c r="AS183" s="3876" t="n"/>
    </row>
    <row r="184">
      <c r="A184" s="3905" t="n"/>
      <c r="B184" s="3905" t="n"/>
      <c r="C184" s="3905" t="n"/>
      <c r="D184" s="3905" t="n"/>
      <c r="E184" s="3905" t="n"/>
      <c r="F184" s="3905" t="n"/>
      <c r="G184" s="3876" t="n"/>
      <c r="H184" s="3876" t="n"/>
      <c r="I184" s="3876" t="n"/>
      <c r="J184" s="3876" t="n"/>
      <c r="K184" s="3876" t="n"/>
      <c r="L184" s="3876" t="n"/>
      <c r="M184" s="3876" t="n"/>
      <c r="N184" s="3876" t="n"/>
      <c r="O184" s="3876" t="n"/>
      <c r="P184" s="3876" t="n"/>
      <c r="Q184" s="3876" t="n"/>
      <c r="R184" s="3876" t="n"/>
      <c r="S184" s="3876" t="n"/>
      <c r="T184" s="3876" t="n"/>
      <c r="U184" s="3876" t="n"/>
      <c r="V184" s="3876" t="n"/>
      <c r="W184" s="3876" t="n"/>
      <c r="X184" s="3876" t="n"/>
      <c r="Y184" s="3876" t="n"/>
      <c r="Z184" s="3876" t="n"/>
      <c r="AA184" s="3876" t="n"/>
      <c r="AB184" s="3876" t="n"/>
      <c r="AC184" s="3876" t="n"/>
      <c r="AD184" s="3876" t="n"/>
      <c r="AE184" s="3876" t="n"/>
      <c r="AF184" s="3876" t="n"/>
      <c r="AG184" s="3876" t="n"/>
      <c r="AH184" s="3876" t="n"/>
      <c r="AI184" s="3876" t="n"/>
      <c r="AJ184" s="3876" t="n"/>
      <c r="AK184" s="3876" t="n"/>
      <c r="AL184" s="3876" t="n"/>
      <c r="AM184" s="3876" t="n"/>
      <c r="AN184" s="3876" t="n"/>
      <c r="AO184" s="3876" t="n"/>
      <c r="AP184" s="3876" t="n"/>
      <c r="AQ184" s="3876" t="n"/>
      <c r="AR184" s="3876" t="n"/>
      <c r="AS184" s="3876" t="n"/>
    </row>
    <row r="185">
      <c r="A185" s="3905" t="n"/>
      <c r="B185" s="3905" t="n"/>
      <c r="C185" s="3905" t="n"/>
      <c r="D185" s="3905" t="n"/>
      <c r="E185" s="3905" t="n"/>
      <c r="F185" s="3905" t="n"/>
      <c r="G185" s="3876" t="n"/>
      <c r="H185" s="3876" t="n"/>
      <c r="I185" s="3876" t="n"/>
      <c r="J185" s="3876" t="n"/>
      <c r="K185" s="3876" t="n"/>
      <c r="L185" s="3876" t="n"/>
      <c r="M185" s="3876" t="n"/>
      <c r="N185" s="3876" t="n"/>
      <c r="O185" s="3876" t="n"/>
      <c r="P185" s="3876" t="n"/>
      <c r="Q185" s="3876" t="n"/>
      <c r="R185" s="3876" t="n"/>
      <c r="S185" s="3876" t="n"/>
      <c r="T185" s="3876" t="n"/>
      <c r="U185" s="3876" t="n"/>
      <c r="V185" s="3876" t="n"/>
      <c r="W185" s="3876" t="n"/>
      <c r="X185" s="3876" t="n"/>
      <c r="Y185" s="3876" t="n"/>
      <c r="Z185" s="3876" t="n"/>
      <c r="AA185" s="3876" t="n"/>
      <c r="AB185" s="3876" t="n"/>
      <c r="AC185" s="3876" t="n"/>
      <c r="AD185" s="3876" t="n"/>
      <c r="AE185" s="3876" t="n"/>
      <c r="AF185" s="3876" t="n"/>
      <c r="AG185" s="3876" t="n"/>
      <c r="AH185" s="3876" t="n"/>
      <c r="AI185" s="3876" t="n"/>
      <c r="AJ185" s="3876" t="n"/>
      <c r="AK185" s="3876" t="n"/>
      <c r="AL185" s="3876" t="n"/>
      <c r="AM185" s="3876" t="n"/>
      <c r="AN185" s="3876" t="n"/>
      <c r="AO185" s="3876" t="n"/>
      <c r="AP185" s="3876" t="n"/>
      <c r="AQ185" s="3876" t="n"/>
      <c r="AR185" s="3876" t="n"/>
      <c r="AS185" s="3876" t="n"/>
    </row>
    <row r="186">
      <c r="A186" s="3905" t="n"/>
      <c r="B186" s="3905" t="n"/>
      <c r="C186" s="3905" t="n"/>
      <c r="D186" s="3905" t="n"/>
      <c r="E186" s="3905" t="n"/>
      <c r="F186" s="3905" t="n"/>
      <c r="G186" s="3876" t="n"/>
      <c r="H186" s="3876" t="n"/>
      <c r="I186" s="3876" t="n"/>
      <c r="J186" s="3876" t="n"/>
      <c r="K186" s="3876" t="n"/>
      <c r="L186" s="3876" t="n"/>
      <c r="M186" s="3876" t="n"/>
      <c r="N186" s="3876" t="n"/>
      <c r="O186" s="3876" t="n"/>
      <c r="P186" s="3876" t="n"/>
      <c r="Q186" s="3876" t="n"/>
      <c r="R186" s="3876" t="n"/>
      <c r="S186" s="3876" t="n"/>
      <c r="T186" s="3876" t="n"/>
      <c r="U186" s="3876" t="n"/>
      <c r="V186" s="3876" t="n"/>
      <c r="W186" s="3876" t="n"/>
      <c r="X186" s="3876" t="n"/>
      <c r="Y186" s="3876" t="n"/>
      <c r="Z186" s="3876" t="n"/>
      <c r="AA186" s="3876" t="n"/>
      <c r="AB186" s="3876" t="n"/>
      <c r="AC186" s="3876" t="n"/>
      <c r="AD186" s="3876" t="n"/>
      <c r="AE186" s="3876" t="n"/>
      <c r="AF186" s="3876" t="n"/>
      <c r="AG186" s="3876" t="n"/>
      <c r="AH186" s="3876" t="n"/>
      <c r="AI186" s="3876" t="n"/>
      <c r="AJ186" s="3876" t="n"/>
      <c r="AK186" s="3876" t="n"/>
      <c r="AL186" s="3876" t="n"/>
      <c r="AM186" s="3876" t="n"/>
      <c r="AN186" s="3876" t="n"/>
      <c r="AO186" s="3876" t="n"/>
      <c r="AP186" s="3876" t="n"/>
      <c r="AQ186" s="3876" t="n"/>
      <c r="AR186" s="3876" t="n"/>
      <c r="AS186" s="3876" t="n"/>
    </row>
    <row r="187">
      <c r="A187" s="3905" t="n"/>
      <c r="B187" s="3905" t="n"/>
      <c r="C187" s="3905" t="n"/>
      <c r="D187" s="3905" t="n"/>
      <c r="E187" s="3905" t="n"/>
      <c r="F187" s="3905" t="n"/>
      <c r="G187" s="3876" t="n"/>
      <c r="H187" s="3876" t="n"/>
      <c r="I187" s="3876" t="n"/>
      <c r="J187" s="3876" t="n"/>
      <c r="K187" s="3876" t="n"/>
      <c r="L187" s="3876" t="n"/>
      <c r="M187" s="3876" t="n"/>
      <c r="N187" s="3876" t="n"/>
      <c r="O187" s="3876" t="n"/>
      <c r="P187" s="3876" t="n"/>
      <c r="Q187" s="3876" t="n"/>
      <c r="R187" s="3876" t="n"/>
      <c r="S187" s="3876" t="n"/>
      <c r="T187" s="3876" t="n"/>
      <c r="U187" s="3876" t="n"/>
      <c r="V187" s="3876" t="n"/>
      <c r="W187" s="3876" t="n"/>
      <c r="X187" s="3876" t="n"/>
      <c r="Y187" s="3876" t="n"/>
      <c r="Z187" s="3876" t="n"/>
      <c r="AA187" s="3876" t="n"/>
      <c r="AB187" s="3876" t="n"/>
      <c r="AC187" s="3876" t="n"/>
      <c r="AD187" s="3876" t="n"/>
      <c r="AE187" s="3876" t="n"/>
      <c r="AF187" s="3876" t="n"/>
      <c r="AG187" s="3876" t="n"/>
      <c r="AH187" s="3876" t="n"/>
      <c r="AI187" s="3876" t="n"/>
      <c r="AJ187" s="3876" t="n"/>
      <c r="AK187" s="3876" t="n"/>
      <c r="AL187" s="3876" t="n"/>
      <c r="AM187" s="3876" t="n"/>
      <c r="AN187" s="3876" t="n"/>
      <c r="AO187" s="3876" t="n"/>
      <c r="AP187" s="3876" t="n"/>
      <c r="AQ187" s="3876" t="n"/>
      <c r="AR187" s="3876" t="n"/>
      <c r="AS187" s="3876" t="n"/>
    </row>
    <row r="188">
      <c r="A188" s="3905" t="n"/>
      <c r="B188" s="3905" t="n"/>
      <c r="C188" s="3905" t="n"/>
      <c r="D188" s="3905" t="n"/>
      <c r="E188" s="3905" t="n"/>
      <c r="F188" s="3905" t="n"/>
      <c r="G188" s="3876" t="n"/>
      <c r="H188" s="3876" t="n"/>
      <c r="I188" s="3876" t="n"/>
      <c r="J188" s="3876" t="n"/>
      <c r="K188" s="3876" t="n"/>
      <c r="L188" s="3876" t="n"/>
      <c r="M188" s="3876" t="n"/>
      <c r="N188" s="3876" t="n"/>
      <c r="O188" s="3876" t="n"/>
      <c r="P188" s="3876" t="n"/>
      <c r="Q188" s="3876" t="n"/>
      <c r="R188" s="3876" t="n"/>
      <c r="S188" s="3876" t="n"/>
      <c r="T188" s="3876" t="n"/>
      <c r="U188" s="3876" t="n"/>
      <c r="V188" s="3876" t="n"/>
      <c r="W188" s="3876" t="n"/>
      <c r="X188" s="3876" t="n"/>
      <c r="Y188" s="3876" t="n"/>
      <c r="Z188" s="3876" t="n"/>
      <c r="AA188" s="3876" t="n"/>
      <c r="AB188" s="3876" t="n"/>
      <c r="AC188" s="3876" t="n"/>
      <c r="AD188" s="3876" t="n"/>
      <c r="AE188" s="3876" t="n"/>
      <c r="AF188" s="3876" t="n"/>
      <c r="AG188" s="3876" t="n"/>
      <c r="AH188" s="3876" t="n"/>
      <c r="AI188" s="3876" t="n"/>
      <c r="AJ188" s="3876" t="n"/>
      <c r="AK188" s="3876" t="n"/>
      <c r="AL188" s="3876" t="n"/>
      <c r="AM188" s="3876" t="n"/>
      <c r="AN188" s="3876" t="n"/>
      <c r="AO188" s="3876" t="n"/>
      <c r="AP188" s="3876" t="n"/>
      <c r="AQ188" s="3876" t="n"/>
      <c r="AR188" s="3876" t="n"/>
      <c r="AS188" s="3876" t="n"/>
    </row>
    <row r="189">
      <c r="A189" s="3905" t="n"/>
      <c r="B189" s="3905" t="n"/>
      <c r="C189" s="3905" t="n"/>
      <c r="D189" s="3905" t="n"/>
      <c r="E189" s="3905" t="n"/>
      <c r="F189" s="3905" t="n"/>
      <c r="G189" s="3876" t="n"/>
      <c r="H189" s="3876" t="n"/>
      <c r="I189" s="3876" t="n"/>
      <c r="J189" s="3876" t="n"/>
      <c r="K189" s="3876" t="n"/>
      <c r="L189" s="3876" t="n"/>
      <c r="M189" s="3876" t="n"/>
      <c r="N189" s="3876" t="n"/>
      <c r="O189" s="3876" t="n"/>
      <c r="P189" s="3876" t="n"/>
      <c r="Q189" s="3876" t="n"/>
      <c r="R189" s="3876" t="n"/>
      <c r="S189" s="3876" t="n"/>
      <c r="T189" s="3876" t="n"/>
      <c r="U189" s="3876" t="n"/>
      <c r="V189" s="3876" t="n"/>
      <c r="W189" s="3876" t="n"/>
      <c r="X189" s="3876" t="n"/>
      <c r="Y189" s="3876" t="n"/>
      <c r="Z189" s="3876" t="n"/>
      <c r="AA189" s="3876" t="n"/>
      <c r="AB189" s="3876" t="n"/>
      <c r="AC189" s="3876" t="n"/>
      <c r="AD189" s="3876" t="n"/>
      <c r="AE189" s="3876" t="n"/>
      <c r="AF189" s="3876" t="n"/>
      <c r="AG189" s="3876" t="n"/>
      <c r="AH189" s="3876" t="n"/>
      <c r="AI189" s="3876" t="n"/>
      <c r="AJ189" s="3876" t="n"/>
      <c r="AK189" s="3876" t="n"/>
      <c r="AL189" s="3876" t="n"/>
      <c r="AM189" s="3876" t="n"/>
      <c r="AN189" s="3876" t="n"/>
      <c r="AO189" s="3876" t="n"/>
      <c r="AP189" s="3876" t="n"/>
      <c r="AQ189" s="3876" t="n"/>
      <c r="AR189" s="3876" t="n"/>
      <c r="AS189" s="3876" t="n"/>
    </row>
    <row r="190">
      <c r="A190" s="3905" t="n"/>
      <c r="B190" s="3905" t="n"/>
      <c r="C190" s="3905" t="n"/>
      <c r="D190" s="3905" t="n"/>
      <c r="E190" s="3905" t="n"/>
      <c r="F190" s="3905" t="n"/>
      <c r="G190" s="3876" t="n"/>
      <c r="H190" s="3876" t="n"/>
      <c r="I190" s="3876" t="n"/>
      <c r="J190" s="3876" t="n"/>
      <c r="K190" s="3876" t="n"/>
      <c r="L190" s="3876" t="n"/>
      <c r="M190" s="3876" t="n"/>
      <c r="N190" s="3876" t="n"/>
      <c r="O190" s="3876" t="n"/>
      <c r="P190" s="3876" t="n"/>
      <c r="Q190" s="3876" t="n"/>
      <c r="R190" s="3876" t="n"/>
      <c r="S190" s="3876" t="n"/>
      <c r="T190" s="3876" t="n"/>
      <c r="U190" s="3876" t="n"/>
      <c r="V190" s="3876" t="n"/>
      <c r="W190" s="3876" t="n"/>
      <c r="X190" s="3876" t="n"/>
      <c r="Y190" s="3876" t="n"/>
      <c r="Z190" s="3876" t="n"/>
      <c r="AA190" s="3876" t="n"/>
      <c r="AB190" s="3876" t="n"/>
      <c r="AC190" s="3876" t="n"/>
      <c r="AD190" s="3876" t="n"/>
      <c r="AE190" s="3876" t="n"/>
      <c r="AF190" s="3876" t="n"/>
      <c r="AG190" s="3876" t="n"/>
      <c r="AH190" s="3876" t="n"/>
      <c r="AI190" s="3876" t="n"/>
      <c r="AJ190" s="3876" t="n"/>
      <c r="AK190" s="3876" t="n"/>
      <c r="AL190" s="3876" t="n"/>
      <c r="AM190" s="3876" t="n"/>
      <c r="AN190" s="3876" t="n"/>
      <c r="AO190" s="3876" t="n"/>
      <c r="AP190" s="3876" t="n"/>
      <c r="AQ190" s="3876" t="n"/>
      <c r="AR190" s="3876" t="n"/>
      <c r="AS190" s="3876" t="n"/>
    </row>
    <row r="191">
      <c r="A191" s="3905" t="n"/>
      <c r="B191" s="3905" t="n"/>
      <c r="C191" s="3905" t="n"/>
      <c r="D191" s="3905" t="n"/>
      <c r="E191" s="3905" t="n"/>
      <c r="F191" s="3905" t="n"/>
      <c r="G191" s="3876" t="n"/>
      <c r="H191" s="3876" t="n"/>
      <c r="I191" s="3876" t="n"/>
      <c r="J191" s="3876" t="n"/>
      <c r="K191" s="3876" t="n"/>
      <c r="L191" s="3876" t="n"/>
      <c r="M191" s="3876" t="n"/>
      <c r="N191" s="3876" t="n"/>
      <c r="O191" s="3876" t="n"/>
      <c r="P191" s="3876" t="n"/>
      <c r="Q191" s="3876" t="n"/>
      <c r="R191" s="3876" t="n"/>
      <c r="S191" s="3876" t="n"/>
      <c r="T191" s="3876" t="n"/>
      <c r="U191" s="3876" t="n"/>
      <c r="V191" s="3876" t="n"/>
      <c r="W191" s="3876" t="n"/>
      <c r="X191" s="3876" t="n"/>
      <c r="Y191" s="3876" t="n"/>
      <c r="Z191" s="3876" t="n"/>
      <c r="AA191" s="3876" t="n"/>
      <c r="AB191" s="3876" t="n"/>
      <c r="AC191" s="3876" t="n"/>
      <c r="AD191" s="3876" t="n"/>
      <c r="AE191" s="3876" t="n"/>
      <c r="AF191" s="3876" t="n"/>
      <c r="AG191" s="3876" t="n"/>
      <c r="AH191" s="3876" t="n"/>
      <c r="AI191" s="3876" t="n"/>
      <c r="AJ191" s="3876" t="n"/>
      <c r="AK191" s="3876" t="n"/>
      <c r="AL191" s="3876" t="n"/>
      <c r="AM191" s="3876" t="n"/>
      <c r="AN191" s="3876" t="n"/>
      <c r="AO191" s="3876" t="n"/>
      <c r="AP191" s="3876" t="n"/>
      <c r="AQ191" s="3876" t="n"/>
      <c r="AR191" s="3876" t="n"/>
      <c r="AS191" s="3876" t="n"/>
    </row>
    <row r="192">
      <c r="A192" s="3905" t="n"/>
      <c r="B192" s="3905" t="n"/>
      <c r="C192" s="3905" t="n"/>
      <c r="D192" s="3905" t="n"/>
      <c r="E192" s="3905" t="n"/>
      <c r="F192" s="3905" t="n"/>
      <c r="G192" s="3876" t="n"/>
      <c r="H192" s="3876" t="n"/>
      <c r="I192" s="3876" t="n"/>
      <c r="J192" s="3876" t="n"/>
      <c r="K192" s="3876" t="n"/>
      <c r="L192" s="3876" t="n"/>
      <c r="M192" s="3876" t="n"/>
      <c r="N192" s="3876" t="n"/>
      <c r="O192" s="3876" t="n"/>
      <c r="P192" s="3876" t="n"/>
      <c r="Q192" s="3876" t="n"/>
      <c r="R192" s="3876" t="n"/>
      <c r="S192" s="3876" t="n"/>
      <c r="T192" s="3876" t="n"/>
      <c r="U192" s="3876" t="n"/>
      <c r="V192" s="3876" t="n"/>
      <c r="W192" s="3876" t="n"/>
      <c r="X192" s="3876" t="n"/>
      <c r="Y192" s="3876" t="n"/>
      <c r="Z192" s="3876" t="n"/>
      <c r="AA192" s="3876" t="n"/>
      <c r="AB192" s="3876" t="n"/>
      <c r="AC192" s="3876" t="n"/>
      <c r="AD192" s="3876" t="n"/>
      <c r="AE192" s="3876" t="n"/>
      <c r="AF192" s="3876" t="n"/>
      <c r="AG192" s="3876" t="n"/>
      <c r="AH192" s="3876" t="n"/>
      <c r="AI192" s="3876" t="n"/>
      <c r="AJ192" s="3876" t="n"/>
      <c r="AK192" s="3876" t="n"/>
      <c r="AL192" s="3876" t="n"/>
      <c r="AM192" s="3876" t="n"/>
      <c r="AN192" s="3876" t="n"/>
      <c r="AO192" s="3876" t="n"/>
      <c r="AP192" s="3876" t="n"/>
      <c r="AQ192" s="3876" t="n"/>
      <c r="AR192" s="3876" t="n"/>
      <c r="AS192" s="3876" t="n"/>
    </row>
    <row r="193">
      <c r="A193" s="3905" t="n"/>
      <c r="B193" s="3905" t="n"/>
      <c r="C193" s="3905" t="n"/>
      <c r="D193" s="3905" t="n"/>
      <c r="E193" s="3905" t="n"/>
      <c r="F193" s="3905" t="n"/>
      <c r="G193" s="3876" t="n"/>
      <c r="H193" s="3876" t="n"/>
      <c r="I193" s="3876" t="n"/>
      <c r="J193" s="3876" t="n"/>
      <c r="K193" s="3876" t="n"/>
      <c r="L193" s="3876" t="n"/>
      <c r="M193" s="3876" t="n"/>
      <c r="N193" s="3876" t="n"/>
      <c r="O193" s="3876" t="n"/>
      <c r="P193" s="3876" t="n"/>
      <c r="Q193" s="3876" t="n"/>
      <c r="R193" s="3876" t="n"/>
      <c r="S193" s="3876" t="n"/>
      <c r="T193" s="3876" t="n"/>
      <c r="U193" s="3876" t="n"/>
      <c r="V193" s="3876" t="n"/>
      <c r="W193" s="3876" t="n"/>
      <c r="X193" s="3876" t="n"/>
      <c r="Y193" s="3876" t="n"/>
      <c r="Z193" s="3876" t="n"/>
      <c r="AA193" s="3876" t="n"/>
      <c r="AB193" s="3876" t="n"/>
      <c r="AC193" s="3876" t="n"/>
      <c r="AD193" s="3876" t="n"/>
      <c r="AE193" s="3876" t="n"/>
      <c r="AF193" s="3876" t="n"/>
      <c r="AG193" s="3876" t="n"/>
      <c r="AH193" s="3876" t="n"/>
      <c r="AI193" s="3876" t="n"/>
      <c r="AJ193" s="3876" t="n"/>
      <c r="AK193" s="3876" t="n"/>
      <c r="AL193" s="3876" t="n"/>
      <c r="AM193" s="3876" t="n"/>
      <c r="AN193" s="3876" t="n"/>
      <c r="AO193" s="3876" t="n"/>
      <c r="AP193" s="3876" t="n"/>
      <c r="AQ193" s="3876" t="n"/>
      <c r="AR193" s="3876" t="n"/>
      <c r="AS193" s="3876" t="n"/>
    </row>
    <row r="194">
      <c r="A194" s="3905" t="n"/>
      <c r="B194" s="3905" t="n"/>
      <c r="C194" s="3905" t="n"/>
      <c r="D194" s="3905" t="n"/>
      <c r="E194" s="3905" t="n"/>
      <c r="F194" s="3905" t="n"/>
      <c r="G194" s="3876" t="n"/>
      <c r="H194" s="3876" t="n"/>
      <c r="I194" s="3876" t="n"/>
      <c r="J194" s="3876" t="n"/>
      <c r="K194" s="3876" t="n"/>
      <c r="L194" s="3876" t="n"/>
      <c r="M194" s="3876" t="n"/>
      <c r="N194" s="3876" t="n"/>
      <c r="O194" s="3876" t="n"/>
      <c r="P194" s="3876" t="n"/>
      <c r="Q194" s="3876" t="n"/>
      <c r="R194" s="3876" t="n"/>
      <c r="S194" s="3876" t="n"/>
      <c r="T194" s="3876" t="n"/>
      <c r="U194" s="3876" t="n"/>
      <c r="V194" s="3876" t="n"/>
      <c r="W194" s="3876" t="n"/>
      <c r="X194" s="3876" t="n"/>
      <c r="Y194" s="3876" t="n"/>
      <c r="Z194" s="3876" t="n"/>
      <c r="AA194" s="3876" t="n"/>
      <c r="AB194" s="3876" t="n"/>
      <c r="AC194" s="3876" t="n"/>
      <c r="AD194" s="3876" t="n"/>
      <c r="AE194" s="3876" t="n"/>
      <c r="AF194" s="3876" t="n"/>
      <c r="AG194" s="3876" t="n"/>
      <c r="AH194" s="3876" t="n"/>
      <c r="AI194" s="3876" t="n"/>
      <c r="AJ194" s="3876" t="n"/>
      <c r="AK194" s="3876" t="n"/>
      <c r="AL194" s="3876" t="n"/>
      <c r="AM194" s="3876" t="n"/>
      <c r="AN194" s="3876" t="n"/>
      <c r="AO194" s="3876" t="n"/>
      <c r="AP194" s="3876" t="n"/>
      <c r="AQ194" s="3876" t="n"/>
      <c r="AR194" s="3876" t="n"/>
      <c r="AS194" s="3876" t="n"/>
    </row>
    <row r="195">
      <c r="A195" s="3905" t="n"/>
      <c r="B195" s="3905" t="n"/>
      <c r="C195" s="3905" t="n"/>
      <c r="D195" s="3905" t="n"/>
      <c r="E195" s="3905" t="n"/>
      <c r="F195" s="3905" t="n"/>
      <c r="G195" s="3876" t="n"/>
      <c r="H195" s="3876" t="n"/>
      <c r="I195" s="3876" t="n"/>
      <c r="J195" s="3876" t="n"/>
      <c r="K195" s="3876" t="n"/>
      <c r="L195" s="3876" t="n"/>
      <c r="M195" s="3876" t="n"/>
      <c r="N195" s="3876" t="n"/>
      <c r="O195" s="3876" t="n"/>
      <c r="P195" s="3876" t="n"/>
      <c r="Q195" s="3876" t="n"/>
      <c r="R195" s="3876" t="n"/>
      <c r="S195" s="3876" t="n"/>
      <c r="T195" s="3876" t="n"/>
      <c r="U195" s="3876" t="n"/>
      <c r="V195" s="3876" t="n"/>
      <c r="W195" s="3876" t="n"/>
      <c r="X195" s="3876" t="n"/>
      <c r="Y195" s="3876" t="n"/>
      <c r="Z195" s="3876" t="n"/>
      <c r="AA195" s="3876" t="n"/>
      <c r="AB195" s="3876" t="n"/>
      <c r="AC195" s="3876" t="n"/>
      <c r="AD195" s="3876" t="n"/>
      <c r="AE195" s="3876" t="n"/>
      <c r="AF195" s="3876" t="n"/>
      <c r="AG195" s="3876" t="n"/>
      <c r="AH195" s="3876" t="n"/>
      <c r="AI195" s="3876" t="n"/>
      <c r="AJ195" s="3876" t="n"/>
      <c r="AK195" s="3876" t="n"/>
      <c r="AL195" s="3876" t="n"/>
      <c r="AM195" s="3876" t="n"/>
      <c r="AN195" s="3876" t="n"/>
      <c r="AO195" s="3876" t="n"/>
      <c r="AP195" s="3876" t="n"/>
      <c r="AQ195" s="3876" t="n"/>
      <c r="AR195" s="3876" t="n"/>
      <c r="AS195" s="3876" t="n"/>
    </row>
    <row r="196">
      <c r="A196" s="3905" t="n"/>
      <c r="B196" s="3905" t="n"/>
      <c r="C196" s="3905" t="n"/>
      <c r="D196" s="3905" t="n"/>
      <c r="E196" s="3905" t="n"/>
      <c r="F196" s="3905" t="n"/>
      <c r="G196" s="3876" t="n"/>
      <c r="H196" s="3876" t="n"/>
      <c r="I196" s="3876" t="n"/>
      <c r="J196" s="3876" t="n"/>
      <c r="K196" s="3876" t="n"/>
      <c r="L196" s="3876" t="n"/>
      <c r="M196" s="3876" t="n"/>
      <c r="N196" s="3876" t="n"/>
      <c r="O196" s="3876" t="n"/>
      <c r="P196" s="3876" t="n"/>
      <c r="Q196" s="3876" t="n"/>
      <c r="R196" s="3876" t="n"/>
      <c r="S196" s="3876" t="n"/>
      <c r="T196" s="3876" t="n"/>
      <c r="U196" s="3876" t="n"/>
      <c r="V196" s="3876" t="n"/>
      <c r="W196" s="3876" t="n"/>
      <c r="X196" s="3876" t="n"/>
      <c r="Y196" s="3876" t="n"/>
      <c r="Z196" s="3876" t="n"/>
      <c r="AA196" s="3876" t="n"/>
      <c r="AB196" s="3876" t="n"/>
      <c r="AC196" s="3876" t="n"/>
      <c r="AD196" s="3876" t="n"/>
      <c r="AE196" s="3876" t="n"/>
      <c r="AF196" s="3876" t="n"/>
      <c r="AG196" s="3876" t="n"/>
      <c r="AH196" s="3876" t="n"/>
      <c r="AI196" s="3876" t="n"/>
      <c r="AJ196" s="3876" t="n"/>
      <c r="AK196" s="3876" t="n"/>
      <c r="AL196" s="3876" t="n"/>
      <c r="AM196" s="3876" t="n"/>
      <c r="AN196" s="3876" t="n"/>
      <c r="AO196" s="3876" t="n"/>
      <c r="AP196" s="3876" t="n"/>
      <c r="AQ196" s="3876" t="n"/>
      <c r="AR196" s="3876" t="n"/>
      <c r="AS196" s="3876" t="n"/>
    </row>
    <row r="197">
      <c r="A197" s="3905" t="n"/>
      <c r="B197" s="3905" t="n"/>
      <c r="C197" s="3905" t="n"/>
      <c r="D197" s="3905" t="n"/>
      <c r="E197" s="3905" t="n"/>
      <c r="F197" s="3905" t="n"/>
      <c r="G197" s="3876" t="n"/>
      <c r="H197" s="3876" t="n"/>
      <c r="I197" s="3876" t="n"/>
      <c r="J197" s="3876" t="n"/>
      <c r="K197" s="3876" t="n"/>
      <c r="L197" s="3876" t="n"/>
      <c r="M197" s="3876" t="n"/>
      <c r="N197" s="3876" t="n"/>
      <c r="O197" s="3876" t="n"/>
      <c r="P197" s="3876" t="n"/>
      <c r="Q197" s="3876" t="n"/>
      <c r="R197" s="3876" t="n"/>
      <c r="S197" s="3876" t="n"/>
      <c r="T197" s="3876" t="n"/>
      <c r="U197" s="3876" t="n"/>
      <c r="V197" s="3876" t="n"/>
      <c r="W197" s="3876" t="n"/>
      <c r="X197" s="3876" t="n"/>
      <c r="Y197" s="3876" t="n"/>
      <c r="Z197" s="3876" t="n"/>
      <c r="AA197" s="3876" t="n"/>
      <c r="AB197" s="3876" t="n"/>
      <c r="AC197" s="3876" t="n"/>
      <c r="AD197" s="3876" t="n"/>
      <c r="AE197" s="3876" t="n"/>
      <c r="AF197" s="3876" t="n"/>
      <c r="AG197" s="3876" t="n"/>
      <c r="AH197" s="3876" t="n"/>
      <c r="AI197" s="3876" t="n"/>
      <c r="AJ197" s="3876" t="n"/>
      <c r="AK197" s="3876" t="n"/>
      <c r="AL197" s="3876" t="n"/>
      <c r="AM197" s="3876" t="n"/>
      <c r="AN197" s="3876" t="n"/>
      <c r="AO197" s="3876" t="n"/>
      <c r="AP197" s="3876" t="n"/>
      <c r="AQ197" s="3876" t="n"/>
      <c r="AR197" s="3876" t="n"/>
      <c r="AS197" s="3876" t="n"/>
    </row>
    <row r="198">
      <c r="A198" s="3905" t="n"/>
      <c r="B198" s="3905" t="n"/>
      <c r="C198" s="3905" t="n"/>
      <c r="D198" s="3905" t="n"/>
      <c r="E198" s="3905" t="n"/>
      <c r="F198" s="3905" t="n"/>
      <c r="G198" s="3876" t="n"/>
      <c r="H198" s="3876" t="n"/>
      <c r="I198" s="3876" t="n"/>
      <c r="J198" s="3876" t="n"/>
      <c r="K198" s="3876" t="n"/>
      <c r="L198" s="3876" t="n"/>
      <c r="M198" s="3876" t="n"/>
      <c r="N198" s="3876" t="n"/>
      <c r="O198" s="3876" t="n"/>
      <c r="P198" s="3876" t="n"/>
      <c r="Q198" s="3876" t="n"/>
      <c r="R198" s="3876" t="n"/>
      <c r="S198" s="3876" t="n"/>
      <c r="T198" s="3876" t="n"/>
      <c r="U198" s="3876" t="n"/>
      <c r="V198" s="3876" t="n"/>
      <c r="W198" s="3876" t="n"/>
      <c r="X198" s="3876" t="n"/>
      <c r="Y198" s="3876" t="n"/>
      <c r="Z198" s="3876" t="n"/>
      <c r="AA198" s="3876" t="n"/>
      <c r="AB198" s="3876" t="n"/>
      <c r="AC198" s="3876" t="n"/>
      <c r="AD198" s="3876" t="n"/>
      <c r="AE198" s="3876" t="n"/>
      <c r="AF198" s="3876" t="n"/>
      <c r="AG198" s="3876" t="n"/>
      <c r="AH198" s="3876" t="n"/>
      <c r="AI198" s="3876" t="n"/>
      <c r="AJ198" s="3876" t="n"/>
      <c r="AK198" s="3876" t="n"/>
      <c r="AL198" s="3876" t="n"/>
      <c r="AM198" s="3876" t="n"/>
      <c r="AN198" s="3876" t="n"/>
      <c r="AO198" s="3876" t="n"/>
      <c r="AP198" s="3876" t="n"/>
      <c r="AQ198" s="3876" t="n"/>
      <c r="AR198" s="3876" t="n"/>
      <c r="AS198" s="3876" t="n"/>
    </row>
    <row r="199">
      <c r="A199" s="3905" t="n"/>
      <c r="B199" s="3905" t="n"/>
      <c r="C199" s="3905" t="n"/>
      <c r="D199" s="3905" t="n"/>
      <c r="E199" s="3905" t="n"/>
      <c r="F199" s="3905" t="n"/>
      <c r="G199" s="3876" t="n"/>
      <c r="H199" s="3876" t="n"/>
      <c r="I199" s="3876" t="n"/>
      <c r="J199" s="3876" t="n"/>
      <c r="K199" s="3876" t="n"/>
      <c r="L199" s="3876" t="n"/>
      <c r="M199" s="3876" t="n"/>
      <c r="N199" s="3876" t="n"/>
      <c r="O199" s="3876" t="n"/>
      <c r="P199" s="3876" t="n"/>
      <c r="Q199" s="3876" t="n"/>
      <c r="R199" s="3876" t="n"/>
      <c r="S199" s="3876" t="n"/>
      <c r="T199" s="3876" t="n"/>
      <c r="U199" s="3876" t="n"/>
      <c r="V199" s="3876" t="n"/>
      <c r="W199" s="3876" t="n"/>
      <c r="X199" s="3876" t="n"/>
      <c r="Y199" s="3876" t="n"/>
      <c r="Z199" s="3876" t="n"/>
      <c r="AA199" s="3876" t="n"/>
      <c r="AB199" s="3876" t="n"/>
      <c r="AC199" s="3876" t="n"/>
      <c r="AD199" s="3876" t="n"/>
      <c r="AE199" s="3876" t="n"/>
      <c r="AF199" s="3876" t="n"/>
      <c r="AG199" s="3876" t="n"/>
      <c r="AH199" s="3876" t="n"/>
      <c r="AI199" s="3876" t="n"/>
      <c r="AJ199" s="3876" t="n"/>
      <c r="AK199" s="3876" t="n"/>
      <c r="AL199" s="3876" t="n"/>
      <c r="AM199" s="3876" t="n"/>
      <c r="AN199" s="3876" t="n"/>
      <c r="AO199" s="3876" t="n"/>
      <c r="AP199" s="3876" t="n"/>
      <c r="AQ199" s="3876" t="n"/>
      <c r="AR199" s="3876" t="n"/>
      <c r="AS199" s="3876" t="n"/>
    </row>
    <row r="200">
      <c r="A200" s="3905" t="n"/>
      <c r="B200" s="3905" t="n"/>
      <c r="C200" s="3905" t="n"/>
      <c r="D200" s="3905" t="n"/>
      <c r="E200" s="3905" t="n"/>
      <c r="F200" s="3905" t="n"/>
      <c r="G200" s="3876" t="n"/>
      <c r="H200" s="3876" t="n"/>
      <c r="I200" s="3876" t="n"/>
      <c r="J200" s="3876" t="n"/>
      <c r="K200" s="3876" t="n"/>
      <c r="L200" s="3876" t="n"/>
      <c r="M200" s="3876" t="n"/>
      <c r="N200" s="3876" t="n"/>
      <c r="O200" s="3876" t="n"/>
      <c r="P200" s="3876" t="n"/>
      <c r="Q200" s="3876" t="n"/>
      <c r="R200" s="3876" t="n"/>
      <c r="S200" s="3876" t="n"/>
      <c r="T200" s="3876" t="n"/>
      <c r="U200" s="3876" t="n"/>
      <c r="V200" s="3876" t="n"/>
      <c r="W200" s="3876" t="n"/>
      <c r="X200" s="3876" t="n"/>
      <c r="Y200" s="3876" t="n"/>
      <c r="Z200" s="3876" t="n"/>
      <c r="AA200" s="3876" t="n"/>
      <c r="AB200" s="3876" t="n"/>
      <c r="AC200" s="3876" t="n"/>
      <c r="AD200" s="3876" t="n"/>
      <c r="AE200" s="3876" t="n"/>
      <c r="AF200" s="3876" t="n"/>
      <c r="AG200" s="3876" t="n"/>
      <c r="AH200" s="3876" t="n"/>
      <c r="AI200" s="3876" t="n"/>
      <c r="AJ200" s="3876" t="n"/>
      <c r="AK200" s="3876" t="n"/>
      <c r="AL200" s="3876" t="n"/>
      <c r="AM200" s="3876" t="n"/>
      <c r="AN200" s="3876" t="n"/>
      <c r="AO200" s="3876" t="n"/>
      <c r="AP200" s="3876" t="n"/>
      <c r="AQ200" s="3876" t="n"/>
      <c r="AR200" s="3876" t="n"/>
      <c r="AS200" s="3876" t="n"/>
    </row>
    <row r="201">
      <c r="A201" s="3905" t="n"/>
      <c r="B201" s="3905" t="n"/>
      <c r="C201" s="3905" t="n"/>
      <c r="D201" s="3905" t="n"/>
      <c r="E201" s="3905" t="n"/>
      <c r="F201" s="3905" t="n"/>
      <c r="G201" s="3876" t="n"/>
      <c r="H201" s="3876" t="n"/>
      <c r="I201" s="3876" t="n"/>
      <c r="J201" s="3876" t="n"/>
      <c r="K201" s="3876" t="n"/>
      <c r="L201" s="3876" t="n"/>
      <c r="M201" s="3876" t="n"/>
      <c r="N201" s="3876" t="n"/>
      <c r="O201" s="3876" t="n"/>
      <c r="P201" s="3876" t="n"/>
      <c r="Q201" s="3876" t="n"/>
      <c r="R201" s="3876" t="n"/>
      <c r="S201" s="3876" t="n"/>
      <c r="T201" s="3876" t="n"/>
      <c r="U201" s="3876" t="n"/>
      <c r="V201" s="3876" t="n"/>
      <c r="W201" s="3876" t="n"/>
      <c r="X201" s="3876" t="n"/>
      <c r="Y201" s="3876" t="n"/>
      <c r="Z201" s="3876" t="n"/>
      <c r="AA201" s="3876" t="n"/>
      <c r="AB201" s="3876" t="n"/>
      <c r="AC201" s="3876" t="n"/>
      <c r="AD201" s="3876" t="n"/>
      <c r="AE201" s="3876" t="n"/>
      <c r="AF201" s="3876" t="n"/>
      <c r="AG201" s="3876" t="n"/>
      <c r="AH201" s="3876" t="n"/>
      <c r="AI201" s="3876" t="n"/>
      <c r="AJ201" s="3876" t="n"/>
      <c r="AK201" s="3876" t="n"/>
      <c r="AL201" s="3876" t="n"/>
      <c r="AM201" s="3876" t="n"/>
      <c r="AN201" s="3876" t="n"/>
      <c r="AO201" s="3876" t="n"/>
      <c r="AP201" s="3876" t="n"/>
      <c r="AQ201" s="3876" t="n"/>
      <c r="AR201" s="3876" t="n"/>
      <c r="AS201" s="3876" t="n"/>
    </row>
    <row r="202">
      <c r="A202" s="3905" t="n"/>
      <c r="B202" s="3905" t="n"/>
      <c r="C202" s="3905" t="n"/>
      <c r="D202" s="3905" t="n"/>
      <c r="E202" s="3905" t="n"/>
      <c r="F202" s="3905" t="n"/>
      <c r="G202" s="3876" t="n"/>
      <c r="H202" s="3876" t="n"/>
      <c r="I202" s="3876" t="n"/>
      <c r="J202" s="3876" t="n"/>
      <c r="K202" s="3876" t="n"/>
      <c r="L202" s="3876" t="n"/>
      <c r="M202" s="3876" t="n"/>
      <c r="N202" s="3876" t="n"/>
      <c r="O202" s="3876" t="n"/>
      <c r="P202" s="3876" t="n"/>
      <c r="Q202" s="3876" t="n"/>
      <c r="R202" s="3876" t="n"/>
      <c r="S202" s="3876" t="n"/>
      <c r="T202" s="3876" t="n"/>
      <c r="U202" s="3876" t="n"/>
      <c r="V202" s="3876" t="n"/>
      <c r="W202" s="3876" t="n"/>
      <c r="X202" s="3876" t="n"/>
      <c r="Y202" s="3876" t="n"/>
      <c r="Z202" s="3876" t="n"/>
      <c r="AA202" s="3876" t="n"/>
      <c r="AB202" s="3876" t="n"/>
      <c r="AC202" s="3876" t="n"/>
      <c r="AD202" s="3876" t="n"/>
      <c r="AE202" s="3876" t="n"/>
      <c r="AF202" s="3876" t="n"/>
      <c r="AG202" s="3876" t="n"/>
      <c r="AH202" s="3876" t="n"/>
      <c r="AI202" s="3876" t="n"/>
      <c r="AJ202" s="3876" t="n"/>
      <c r="AK202" s="3876" t="n"/>
      <c r="AL202" s="3876" t="n"/>
      <c r="AM202" s="3876" t="n"/>
      <c r="AN202" s="3876" t="n"/>
      <c r="AO202" s="3876" t="n"/>
      <c r="AP202" s="3876" t="n"/>
      <c r="AQ202" s="3876" t="n"/>
      <c r="AR202" s="3876" t="n"/>
      <c r="AS202" s="3876" t="n"/>
    </row>
    <row r="203">
      <c r="A203" s="3905" t="n"/>
      <c r="B203" s="3905" t="n"/>
      <c r="C203" s="3905" t="n"/>
      <c r="D203" s="3905" t="n"/>
      <c r="E203" s="3905" t="n"/>
      <c r="F203" s="3905" t="n"/>
      <c r="G203" s="3876" t="n"/>
      <c r="H203" s="3876" t="n"/>
      <c r="I203" s="3876" t="n"/>
      <c r="J203" s="3876" t="n"/>
      <c r="K203" s="3876" t="n"/>
      <c r="L203" s="3876" t="n"/>
      <c r="M203" s="3876" t="n"/>
      <c r="N203" s="3876" t="n"/>
      <c r="O203" s="3876" t="n"/>
      <c r="P203" s="3876" t="n"/>
      <c r="Q203" s="3876" t="n"/>
      <c r="R203" s="3876" t="n"/>
      <c r="S203" s="3876" t="n"/>
      <c r="T203" s="3876" t="n"/>
      <c r="U203" s="3876" t="n"/>
      <c r="V203" s="3876" t="n"/>
      <c r="W203" s="3876" t="n"/>
      <c r="X203" s="3876" t="n"/>
      <c r="Y203" s="3876" t="n"/>
      <c r="Z203" s="3876" t="n"/>
      <c r="AA203" s="3876" t="n"/>
      <c r="AB203" s="3876" t="n"/>
      <c r="AC203" s="3876" t="n"/>
      <c r="AD203" s="3876" t="n"/>
      <c r="AE203" s="3876" t="n"/>
      <c r="AF203" s="3876" t="n"/>
      <c r="AG203" s="3876" t="n"/>
      <c r="AH203" s="3876" t="n"/>
      <c r="AI203" s="3876" t="n"/>
      <c r="AJ203" s="3876" t="n"/>
      <c r="AK203" s="3876" t="n"/>
      <c r="AL203" s="3876" t="n"/>
      <c r="AM203" s="3876" t="n"/>
      <c r="AN203" s="3876" t="n"/>
      <c r="AO203" s="3876" t="n"/>
      <c r="AP203" s="3876" t="n"/>
      <c r="AQ203" s="3876" t="n"/>
      <c r="AR203" s="3876" t="n"/>
      <c r="AS203" s="3876" t="n"/>
    </row>
    <row r="204">
      <c r="A204" s="3905" t="n"/>
      <c r="B204" s="3905" t="n"/>
      <c r="C204" s="3905" t="n"/>
      <c r="D204" s="3905" t="n"/>
      <c r="E204" s="3905" t="n"/>
      <c r="F204" s="3905" t="n"/>
      <c r="G204" s="3876" t="n"/>
      <c r="H204" s="3876" t="n"/>
      <c r="I204" s="3876" t="n"/>
      <c r="J204" s="3876" t="n"/>
      <c r="K204" s="3876" t="n"/>
      <c r="L204" s="3876" t="n"/>
      <c r="M204" s="3876" t="n"/>
      <c r="N204" s="3876" t="n"/>
      <c r="O204" s="3876" t="n"/>
      <c r="P204" s="3876" t="n"/>
      <c r="Q204" s="3876" t="n"/>
      <c r="R204" s="3876" t="n"/>
      <c r="S204" s="3876" t="n"/>
      <c r="T204" s="3876" t="n"/>
      <c r="U204" s="3876" t="n"/>
      <c r="V204" s="3876" t="n"/>
      <c r="W204" s="3876" t="n"/>
      <c r="X204" s="3876" t="n"/>
      <c r="Y204" s="3876" t="n"/>
      <c r="Z204" s="3876" t="n"/>
      <c r="AA204" s="3876" t="n"/>
      <c r="AB204" s="3876" t="n"/>
      <c r="AC204" s="3876" t="n"/>
      <c r="AD204" s="3876" t="n"/>
      <c r="AE204" s="3876" t="n"/>
      <c r="AF204" s="3876" t="n"/>
      <c r="AG204" s="3876" t="n"/>
      <c r="AH204" s="3876" t="n"/>
      <c r="AI204" s="3876" t="n"/>
      <c r="AJ204" s="3876" t="n"/>
      <c r="AK204" s="3876" t="n"/>
      <c r="AL204" s="3876" t="n"/>
      <c r="AM204" s="3876" t="n"/>
      <c r="AN204" s="3876" t="n"/>
      <c r="AO204" s="3876" t="n"/>
      <c r="AP204" s="3876" t="n"/>
      <c r="AQ204" s="3876" t="n"/>
      <c r="AR204" s="3876" t="n"/>
      <c r="AS204" s="3876" t="n"/>
    </row>
    <row r="205">
      <c r="A205" s="3905" t="n"/>
      <c r="B205" s="3905" t="n"/>
      <c r="C205" s="3905" t="n"/>
      <c r="D205" s="3905" t="n"/>
      <c r="E205" s="3905" t="n"/>
      <c r="F205" s="3905" t="n"/>
      <c r="G205" s="3876" t="n"/>
      <c r="H205" s="3876" t="n"/>
      <c r="I205" s="3876" t="n"/>
      <c r="J205" s="3876" t="n"/>
      <c r="K205" s="3876" t="n"/>
      <c r="L205" s="3876" t="n"/>
      <c r="M205" s="3876" t="n"/>
      <c r="N205" s="3876" t="n"/>
      <c r="O205" s="3876" t="n"/>
      <c r="P205" s="3876" t="n"/>
      <c r="Q205" s="3876" t="n"/>
      <c r="R205" s="3876" t="n"/>
      <c r="S205" s="3876" t="n"/>
      <c r="T205" s="3876" t="n"/>
      <c r="U205" s="3876" t="n"/>
      <c r="V205" s="3876" t="n"/>
      <c r="W205" s="3876" t="n"/>
      <c r="X205" s="3876" t="n"/>
      <c r="Y205" s="3876" t="n"/>
      <c r="Z205" s="3876" t="n"/>
      <c r="AA205" s="3876" t="n"/>
      <c r="AB205" s="3876" t="n"/>
      <c r="AC205" s="3876" t="n"/>
      <c r="AD205" s="3876" t="n"/>
      <c r="AE205" s="3876" t="n"/>
      <c r="AF205" s="3876" t="n"/>
      <c r="AG205" s="3876" t="n"/>
      <c r="AH205" s="3876" t="n"/>
      <c r="AI205" s="3876" t="n"/>
      <c r="AJ205" s="3876" t="n"/>
      <c r="AK205" s="3876" t="n"/>
      <c r="AL205" s="3876" t="n"/>
      <c r="AM205" s="3876" t="n"/>
      <c r="AN205" s="3876" t="n"/>
      <c r="AO205" s="3876" t="n"/>
      <c r="AP205" s="3876" t="n"/>
      <c r="AQ205" s="3876" t="n"/>
      <c r="AR205" s="3876" t="n"/>
      <c r="AS205" s="3876" t="n"/>
    </row>
    <row r="206">
      <c r="A206" s="3905" t="n"/>
      <c r="B206" s="3905" t="n"/>
      <c r="C206" s="3905" t="n"/>
      <c r="D206" s="3905" t="n"/>
      <c r="E206" s="3905" t="n"/>
      <c r="F206" s="3905" t="n"/>
      <c r="G206" s="3876" t="n"/>
      <c r="H206" s="3876" t="n"/>
      <c r="I206" s="3876" t="n"/>
      <c r="J206" s="3876" t="n"/>
      <c r="K206" s="3876" t="n"/>
      <c r="L206" s="3876" t="n"/>
      <c r="M206" s="3876" t="n"/>
      <c r="N206" s="3876" t="n"/>
      <c r="O206" s="3876" t="n"/>
      <c r="P206" s="3876" t="n"/>
      <c r="Q206" s="3876" t="n"/>
      <c r="R206" s="3876" t="n"/>
      <c r="S206" s="3876" t="n"/>
      <c r="T206" s="3876" t="n"/>
      <c r="U206" s="3876" t="n"/>
      <c r="V206" s="3876" t="n"/>
      <c r="W206" s="3876" t="n"/>
      <c r="X206" s="3876" t="n"/>
      <c r="Y206" s="3876" t="n"/>
      <c r="Z206" s="3876" t="n"/>
      <c r="AA206" s="3876" t="n"/>
      <c r="AB206" s="3876" t="n"/>
      <c r="AC206" s="3876" t="n"/>
      <c r="AD206" s="3876" t="n"/>
      <c r="AE206" s="3876" t="n"/>
      <c r="AF206" s="3876" t="n"/>
      <c r="AG206" s="3876" t="n"/>
      <c r="AH206" s="3876" t="n"/>
      <c r="AI206" s="3876" t="n"/>
      <c r="AJ206" s="3876" t="n"/>
      <c r="AK206" s="3876" t="n"/>
      <c r="AL206" s="3876" t="n"/>
      <c r="AM206" s="3876" t="n"/>
      <c r="AN206" s="3876" t="n"/>
      <c r="AO206" s="3876" t="n"/>
      <c r="AP206" s="3876" t="n"/>
      <c r="AQ206" s="3876" t="n"/>
      <c r="AR206" s="3876" t="n"/>
      <c r="AS206" s="3876" t="n"/>
    </row>
    <row r="207">
      <c r="A207" s="3905" t="n"/>
      <c r="B207" s="3905" t="n"/>
      <c r="C207" s="3905" t="n"/>
      <c r="D207" s="3905" t="n"/>
      <c r="E207" s="3905" t="n"/>
      <c r="F207" s="3905" t="n"/>
      <c r="G207" s="3876" t="n"/>
      <c r="H207" s="3876" t="n"/>
      <c r="I207" s="3876" t="n"/>
      <c r="J207" s="3876" t="n"/>
      <c r="K207" s="3876" t="n"/>
      <c r="L207" s="3876" t="n"/>
      <c r="M207" s="3876" t="n"/>
      <c r="N207" s="3876" t="n"/>
      <c r="O207" s="3876" t="n"/>
      <c r="P207" s="3876" t="n"/>
      <c r="Q207" s="3876" t="n"/>
      <c r="R207" s="3876" t="n"/>
      <c r="S207" s="3876" t="n"/>
      <c r="T207" s="3876" t="n"/>
      <c r="U207" s="3876" t="n"/>
      <c r="V207" s="3876" t="n"/>
      <c r="W207" s="3876" t="n"/>
      <c r="X207" s="3876" t="n"/>
      <c r="Y207" s="3876" t="n"/>
      <c r="Z207" s="3876" t="n"/>
      <c r="AA207" s="3876" t="n"/>
      <c r="AB207" s="3876" t="n"/>
      <c r="AC207" s="3876" t="n"/>
      <c r="AD207" s="3876" t="n"/>
      <c r="AE207" s="3876" t="n"/>
      <c r="AF207" s="3876" t="n"/>
      <c r="AG207" s="3876" t="n"/>
      <c r="AH207" s="3876" t="n"/>
      <c r="AI207" s="3876" t="n"/>
      <c r="AJ207" s="3876" t="n"/>
      <c r="AK207" s="3876" t="n"/>
      <c r="AL207" s="3876" t="n"/>
      <c r="AM207" s="3876" t="n"/>
      <c r="AN207" s="3876" t="n"/>
      <c r="AO207" s="3876" t="n"/>
      <c r="AP207" s="3876" t="n"/>
      <c r="AQ207" s="3876" t="n"/>
      <c r="AR207" s="3876" t="n"/>
      <c r="AS207" s="3876" t="n"/>
    </row>
    <row r="208">
      <c r="A208" s="3905" t="n"/>
      <c r="B208" s="3905" t="n"/>
      <c r="C208" s="3905" t="n"/>
      <c r="D208" s="3905" t="n"/>
      <c r="E208" s="3905" t="n"/>
      <c r="F208" s="3905" t="n"/>
      <c r="G208" s="3876" t="n"/>
      <c r="H208" s="3876" t="n"/>
      <c r="I208" s="3876" t="n"/>
      <c r="J208" s="3876" t="n"/>
      <c r="K208" s="3876" t="n"/>
      <c r="L208" s="3876" t="n"/>
      <c r="M208" s="3876" t="n"/>
      <c r="N208" s="3876" t="n"/>
      <c r="O208" s="3876" t="n"/>
      <c r="P208" s="3876" t="n"/>
      <c r="Q208" s="3876" t="n"/>
      <c r="R208" s="3876" t="n"/>
      <c r="S208" s="3876" t="n"/>
      <c r="T208" s="3876" t="n"/>
      <c r="U208" s="3876" t="n"/>
      <c r="V208" s="3876" t="n"/>
      <c r="W208" s="3876" t="n"/>
      <c r="X208" s="3876" t="n"/>
      <c r="Y208" s="3876" t="n"/>
      <c r="Z208" s="3876" t="n"/>
      <c r="AA208" s="3876" t="n"/>
      <c r="AB208" s="3876" t="n"/>
      <c r="AC208" s="3876" t="n"/>
      <c r="AD208" s="3876" t="n"/>
      <c r="AE208" s="3876" t="n"/>
      <c r="AF208" s="3876" t="n"/>
      <c r="AG208" s="3876" t="n"/>
      <c r="AH208" s="3876" t="n"/>
      <c r="AI208" s="3876" t="n"/>
      <c r="AJ208" s="3876" t="n"/>
      <c r="AK208" s="3876" t="n"/>
      <c r="AL208" s="3876" t="n"/>
      <c r="AM208" s="3876" t="n"/>
      <c r="AN208" s="3876" t="n"/>
      <c r="AO208" s="3876" t="n"/>
      <c r="AP208" s="3876" t="n"/>
      <c r="AQ208" s="3876" t="n"/>
      <c r="AR208" s="3876" t="n"/>
      <c r="AS208" s="387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863" t="inlineStr">
        <is>
          <t>Data | AR Aging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</row>
    <row r="2">
      <c r="A2" s="3865" t="inlineStr">
        <is>
          <t>Canonical aging input block with fixed buckets and total check.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</row>
    <row r="8">
      <c r="A8" s="3904" t="inlineStr">
        <is>
          <t>AsAtDate</t>
        </is>
      </c>
      <c r="B8" s="3904" t="inlineStr">
        <is>
          <t>Entity</t>
        </is>
      </c>
      <c r="C8" s="3904" t="inlineStr">
        <is>
          <t>CounterpartyName</t>
        </is>
      </c>
      <c r="D8" s="3904" t="inlineStr">
        <is>
          <t>CounterpartyID</t>
        </is>
      </c>
      <c r="E8" s="3904" t="inlineStr">
        <is>
          <t>Current</t>
        </is>
      </c>
      <c r="F8" s="3904" t="inlineStr">
        <is>
          <t>1-30</t>
        </is>
      </c>
      <c r="G8" s="3904" t="inlineStr">
        <is>
          <t>31-60</t>
        </is>
      </c>
      <c r="H8" s="3904" t="inlineStr">
        <is>
          <t>61-90</t>
        </is>
      </c>
      <c r="I8" s="3904" t="inlineStr">
        <is>
          <t>91-120</t>
        </is>
      </c>
      <c r="J8" s="3904" t="inlineStr">
        <is>
          <t>&gt;120</t>
        </is>
      </c>
      <c r="K8" s="3904" t="inlineStr">
        <is>
          <t>Total</t>
        </is>
      </c>
    </row>
    <row r="9">
      <c r="A9" s="3906" t="n"/>
      <c r="B9" s="3905" t="n"/>
      <c r="C9" s="3905" t="n"/>
      <c r="D9" s="3905" t="n"/>
      <c r="E9" s="3905" t="n"/>
      <c r="F9" s="3905" t="n"/>
      <c r="G9" s="3905" t="n"/>
      <c r="H9" s="3905" t="n"/>
      <c r="I9" s="3905" t="n"/>
      <c r="J9" s="3905" t="n"/>
      <c r="K9" s="3876">
        <f>IF(A9="","",SUM(E9:J9))</f>
        <v/>
      </c>
    </row>
    <row r="10">
      <c r="A10" s="3906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  <c r="J10" s="3905" t="n"/>
      <c r="K10" s="3876">
        <f>IF(A10="","",SUM(E10:J10))</f>
        <v/>
      </c>
    </row>
    <row r="11">
      <c r="A11" s="3906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  <c r="J11" s="3905" t="n"/>
      <c r="K11" s="3876">
        <f>IF(A11="","",SUM(E11:J11))</f>
        <v/>
      </c>
    </row>
    <row r="12">
      <c r="A12" s="3906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  <c r="J12" s="3905" t="n"/>
      <c r="K12" s="3876">
        <f>IF(A12="","",SUM(E12:J12))</f>
        <v/>
      </c>
    </row>
    <row r="13">
      <c r="A13" s="3906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  <c r="J13" s="3905" t="n"/>
      <c r="K13" s="3876">
        <f>IF(A13="","",SUM(E13:J13))</f>
        <v/>
      </c>
    </row>
    <row r="14">
      <c r="A14" s="3906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  <c r="J14" s="3905" t="n"/>
      <c r="K14" s="3876">
        <f>IF(A14="","",SUM(E14:J14))</f>
        <v/>
      </c>
    </row>
    <row r="15">
      <c r="A15" s="3906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  <c r="J15" s="3905" t="n"/>
      <c r="K15" s="3876">
        <f>IF(A15="","",SUM(E15:J15))</f>
        <v/>
      </c>
    </row>
    <row r="16">
      <c r="A16" s="3906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  <c r="J16" s="3905" t="n"/>
      <c r="K16" s="3876">
        <f>IF(A16="","",SUM(E16:J16))</f>
        <v/>
      </c>
    </row>
    <row r="17">
      <c r="A17" s="3906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  <c r="J17" s="3905" t="n"/>
      <c r="K17" s="3876">
        <f>IF(A17="","",SUM(E17:J17))</f>
        <v/>
      </c>
    </row>
    <row r="18">
      <c r="A18" s="3906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  <c r="J18" s="3905" t="n"/>
      <c r="K18" s="3876">
        <f>IF(A18="","",SUM(E18:J18))</f>
        <v/>
      </c>
    </row>
    <row r="19">
      <c r="A19" s="3906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  <c r="J19" s="3905" t="n"/>
      <c r="K19" s="3876">
        <f>IF(A19="","",SUM(E19:J19))</f>
        <v/>
      </c>
    </row>
    <row r="20">
      <c r="A20" s="3906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  <c r="J20" s="3905" t="n"/>
      <c r="K20" s="3876">
        <f>IF(A20="","",SUM(E20:J20))</f>
        <v/>
      </c>
    </row>
    <row r="21">
      <c r="A21" s="3906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  <c r="J21" s="3905" t="n"/>
      <c r="K21" s="3876">
        <f>IF(A21="","",SUM(E21:J21))</f>
        <v/>
      </c>
    </row>
    <row r="22">
      <c r="A22" s="3906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  <c r="J22" s="3905" t="n"/>
      <c r="K22" s="3876">
        <f>IF(A22="","",SUM(E22:J22))</f>
        <v/>
      </c>
    </row>
    <row r="23">
      <c r="A23" s="3906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  <c r="J23" s="3905" t="n"/>
      <c r="K23" s="3876">
        <f>IF(A23="","",SUM(E23:J23))</f>
        <v/>
      </c>
    </row>
    <row r="24">
      <c r="A24" s="3906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  <c r="J24" s="3905" t="n"/>
      <c r="K24" s="3876">
        <f>IF(A24="","",SUM(E24:J24))</f>
        <v/>
      </c>
    </row>
    <row r="25">
      <c r="A25" s="3906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  <c r="J25" s="3905" t="n"/>
      <c r="K25" s="3876">
        <f>IF(A25="","",SUM(E25:J25))</f>
        <v/>
      </c>
    </row>
    <row r="26">
      <c r="A26" s="3906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  <c r="J26" s="3905" t="n"/>
      <c r="K26" s="3876">
        <f>IF(A26="","",SUM(E26:J26))</f>
        <v/>
      </c>
    </row>
    <row r="27">
      <c r="A27" s="3906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  <c r="J27" s="3905" t="n"/>
      <c r="K27" s="3876">
        <f>IF(A27="","",SUM(E27:J27))</f>
        <v/>
      </c>
    </row>
    <row r="28">
      <c r="A28" s="3906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  <c r="J28" s="3905" t="n"/>
      <c r="K28" s="3876">
        <f>IF(A28="","",SUM(E28:J28))</f>
        <v/>
      </c>
    </row>
    <row r="29">
      <c r="A29" s="3906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  <c r="J29" s="3905" t="n"/>
      <c r="K29" s="3876">
        <f>IF(A29="","",SUM(E29:J29))</f>
        <v/>
      </c>
    </row>
    <row r="30">
      <c r="A30" s="3906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  <c r="J30" s="3905" t="n"/>
      <c r="K30" s="3876">
        <f>IF(A30="","",SUM(E30:J30))</f>
        <v/>
      </c>
    </row>
    <row r="31">
      <c r="A31" s="3906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  <c r="J31" s="3905" t="n"/>
      <c r="K31" s="3876">
        <f>IF(A31="","",SUM(E31:J31))</f>
        <v/>
      </c>
    </row>
    <row r="32">
      <c r="A32" s="3906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  <c r="J32" s="3905" t="n"/>
      <c r="K32" s="3876">
        <f>IF(A32="","",SUM(E32:J32))</f>
        <v/>
      </c>
    </row>
    <row r="33">
      <c r="A33" s="3906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  <c r="J33" s="3905" t="n"/>
      <c r="K33" s="3876">
        <f>IF(A33="","",SUM(E33:J33))</f>
        <v/>
      </c>
    </row>
    <row r="34">
      <c r="A34" s="3906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  <c r="J34" s="3905" t="n"/>
      <c r="K34" s="3876">
        <f>IF(A34="","",SUM(E34:J34))</f>
        <v/>
      </c>
    </row>
    <row r="35">
      <c r="A35" s="3906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  <c r="J35" s="3905" t="n"/>
      <c r="K35" s="3876">
        <f>IF(A35="","",SUM(E35:J35))</f>
        <v/>
      </c>
    </row>
    <row r="36">
      <c r="A36" s="3906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  <c r="J36" s="3905" t="n"/>
      <c r="K36" s="3876">
        <f>IF(A36="","",SUM(E36:J36))</f>
        <v/>
      </c>
    </row>
    <row r="37">
      <c r="A37" s="3906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  <c r="J37" s="3905" t="n"/>
      <c r="K37" s="3876">
        <f>IF(A37="","",SUM(E37:J37))</f>
        <v/>
      </c>
    </row>
    <row r="38">
      <c r="A38" s="3906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  <c r="J38" s="3905" t="n"/>
      <c r="K38" s="3876">
        <f>IF(A38="","",SUM(E38:J38))</f>
        <v/>
      </c>
    </row>
    <row r="39">
      <c r="A39" s="3906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  <c r="J39" s="3905" t="n"/>
      <c r="K39" s="3876">
        <f>IF(A39="","",SUM(E39:J39))</f>
        <v/>
      </c>
    </row>
    <row r="40">
      <c r="A40" s="3906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  <c r="J40" s="3905" t="n"/>
      <c r="K40" s="3876">
        <f>IF(A40="","",SUM(E40:J40))</f>
        <v/>
      </c>
    </row>
    <row r="41">
      <c r="A41" s="3906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  <c r="J41" s="3905" t="n"/>
      <c r="K41" s="3876">
        <f>IF(A41="","",SUM(E41:J41))</f>
        <v/>
      </c>
    </row>
    <row r="42">
      <c r="A42" s="3906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  <c r="J42" s="3905" t="n"/>
      <c r="K42" s="3876">
        <f>IF(A42="","",SUM(E42:J42))</f>
        <v/>
      </c>
    </row>
    <row r="43">
      <c r="A43" s="3906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  <c r="J43" s="3905" t="n"/>
      <c r="K43" s="3876">
        <f>IF(A43="","",SUM(E43:J43))</f>
        <v/>
      </c>
    </row>
    <row r="44">
      <c r="A44" s="3906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  <c r="J44" s="3905" t="n"/>
      <c r="K44" s="3876">
        <f>IF(A44="","",SUM(E44:J44))</f>
        <v/>
      </c>
    </row>
    <row r="45">
      <c r="A45" s="3906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  <c r="J45" s="3905" t="n"/>
      <c r="K45" s="3876">
        <f>IF(A45="","",SUM(E45:J45))</f>
        <v/>
      </c>
    </row>
    <row r="46">
      <c r="A46" s="3906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  <c r="J46" s="3905" t="n"/>
      <c r="K46" s="3876">
        <f>IF(A46="","",SUM(E46:J46))</f>
        <v/>
      </c>
    </row>
    <row r="47">
      <c r="A47" s="3906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  <c r="J47" s="3905" t="n"/>
      <c r="K47" s="3876">
        <f>IF(A47="","",SUM(E47:J47))</f>
        <v/>
      </c>
    </row>
    <row r="48">
      <c r="A48" s="3906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  <c r="J48" s="3905" t="n"/>
      <c r="K48" s="3876">
        <f>IF(A48="","",SUM(E48:J48))</f>
        <v/>
      </c>
    </row>
    <row r="49">
      <c r="A49" s="3906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  <c r="J49" s="3905" t="n"/>
      <c r="K49" s="3876">
        <f>IF(A49="","",SUM(E49:J49))</f>
        <v/>
      </c>
    </row>
    <row r="50">
      <c r="A50" s="3906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  <c r="J50" s="3905" t="n"/>
      <c r="K50" s="3876">
        <f>IF(A50="","",SUM(E50:J50))</f>
        <v/>
      </c>
    </row>
    <row r="51">
      <c r="A51" s="3906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  <c r="J51" s="3905" t="n"/>
      <c r="K51" s="3876">
        <f>IF(A51="","",SUM(E51:J51))</f>
        <v/>
      </c>
    </row>
    <row r="52">
      <c r="A52" s="3906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  <c r="J52" s="3905" t="n"/>
      <c r="K52" s="3876">
        <f>IF(A52="","",SUM(E52:J52))</f>
        <v/>
      </c>
    </row>
    <row r="53">
      <c r="A53" s="3906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  <c r="J53" s="3905" t="n"/>
      <c r="K53" s="3876">
        <f>IF(A53="","",SUM(E53:J53))</f>
        <v/>
      </c>
    </row>
    <row r="54">
      <c r="A54" s="3906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  <c r="J54" s="3905" t="n"/>
      <c r="K54" s="3876">
        <f>IF(A54="","",SUM(E54:J54))</f>
        <v/>
      </c>
    </row>
    <row r="55">
      <c r="A55" s="3906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  <c r="J55" s="3905" t="n"/>
      <c r="K55" s="3876">
        <f>IF(A55="","",SUM(E55:J55))</f>
        <v/>
      </c>
    </row>
    <row r="56">
      <c r="A56" s="3906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  <c r="J56" s="3905" t="n"/>
      <c r="K56" s="3876">
        <f>IF(A56="","",SUM(E56:J56))</f>
        <v/>
      </c>
    </row>
    <row r="57">
      <c r="A57" s="3906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  <c r="J57" s="3905" t="n"/>
      <c r="K57" s="3876">
        <f>IF(A57="","",SUM(E57:J57))</f>
        <v/>
      </c>
    </row>
    <row r="58">
      <c r="A58" s="3906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  <c r="J58" s="3905" t="n"/>
      <c r="K58" s="3876">
        <f>IF(A58="","",SUM(E58:J58))</f>
        <v/>
      </c>
    </row>
    <row r="59">
      <c r="A59" s="3906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  <c r="J59" s="3905" t="n"/>
      <c r="K59" s="3876">
        <f>IF(A59="","",SUM(E59:J59))</f>
        <v/>
      </c>
    </row>
    <row r="60">
      <c r="A60" s="3906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  <c r="J60" s="3905" t="n"/>
      <c r="K60" s="3876">
        <f>IF(A60="","",SUM(E60:J60))</f>
        <v/>
      </c>
    </row>
    <row r="61">
      <c r="A61" s="3906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  <c r="J61" s="3905" t="n"/>
      <c r="K61" s="3876">
        <f>IF(A61="","",SUM(E61:J61))</f>
        <v/>
      </c>
    </row>
    <row r="62">
      <c r="A62" s="3906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  <c r="J62" s="3905" t="n"/>
      <c r="K62" s="3876">
        <f>IF(A62="","",SUM(E62:J62))</f>
        <v/>
      </c>
    </row>
    <row r="63">
      <c r="A63" s="3906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  <c r="J63" s="3905" t="n"/>
      <c r="K63" s="3876">
        <f>IF(A63="","",SUM(E63:J63))</f>
        <v/>
      </c>
    </row>
    <row r="64">
      <c r="A64" s="3906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  <c r="J64" s="3905" t="n"/>
      <c r="K64" s="3876">
        <f>IF(A64="","",SUM(E64:J64))</f>
        <v/>
      </c>
    </row>
    <row r="65">
      <c r="A65" s="3906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  <c r="J65" s="3905" t="n"/>
      <c r="K65" s="3876">
        <f>IF(A65="","",SUM(E65:J65))</f>
        <v/>
      </c>
    </row>
    <row r="66">
      <c r="A66" s="3906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  <c r="J66" s="3905" t="n"/>
      <c r="K66" s="3876">
        <f>IF(A66="","",SUM(E66:J66))</f>
        <v/>
      </c>
    </row>
    <row r="67">
      <c r="A67" s="3906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  <c r="J67" s="3905" t="n"/>
      <c r="K67" s="3876">
        <f>IF(A67="","",SUM(E67:J67))</f>
        <v/>
      </c>
    </row>
    <row r="68">
      <c r="A68" s="3906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  <c r="J68" s="3905" t="n"/>
      <c r="K68" s="3876">
        <f>IF(A68="","",SUM(E68:J68))</f>
        <v/>
      </c>
    </row>
    <row r="69">
      <c r="A69" s="3906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  <c r="J69" s="3905" t="n"/>
      <c r="K69" s="3876">
        <f>IF(A69="","",SUM(E69:J69))</f>
        <v/>
      </c>
    </row>
    <row r="70">
      <c r="A70" s="3906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  <c r="J70" s="3905" t="n"/>
      <c r="K70" s="3876">
        <f>IF(A70="","",SUM(E70:J70))</f>
        <v/>
      </c>
    </row>
    <row r="71">
      <c r="A71" s="3906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  <c r="J71" s="3905" t="n"/>
      <c r="K71" s="3876">
        <f>IF(A71="","",SUM(E71:J71))</f>
        <v/>
      </c>
    </row>
    <row r="72">
      <c r="A72" s="3906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  <c r="J72" s="3905" t="n"/>
      <c r="K72" s="3876">
        <f>IF(A72="","",SUM(E72:J72))</f>
        <v/>
      </c>
    </row>
    <row r="73">
      <c r="A73" s="3906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  <c r="J73" s="3905" t="n"/>
      <c r="K73" s="3876">
        <f>IF(A73="","",SUM(E73:J73))</f>
        <v/>
      </c>
    </row>
    <row r="74">
      <c r="A74" s="3906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  <c r="J74" s="3905" t="n"/>
      <c r="K74" s="3876">
        <f>IF(A74="","",SUM(E74:J74))</f>
        <v/>
      </c>
    </row>
    <row r="75">
      <c r="A75" s="3906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  <c r="J75" s="3905" t="n"/>
      <c r="K75" s="3876">
        <f>IF(A75="","",SUM(E75:J75))</f>
        <v/>
      </c>
    </row>
    <row r="76">
      <c r="A76" s="3906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  <c r="J76" s="3905" t="n"/>
      <c r="K76" s="3876">
        <f>IF(A76="","",SUM(E76:J76))</f>
        <v/>
      </c>
    </row>
    <row r="77">
      <c r="A77" s="3906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  <c r="J77" s="3905" t="n"/>
      <c r="K77" s="3876">
        <f>IF(A77="","",SUM(E77:J77))</f>
        <v/>
      </c>
    </row>
    <row r="78">
      <c r="A78" s="3906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  <c r="J78" s="3905" t="n"/>
      <c r="K78" s="3876">
        <f>IF(A78="","",SUM(E78:J78))</f>
        <v/>
      </c>
    </row>
    <row r="79">
      <c r="A79" s="3906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  <c r="J79" s="3905" t="n"/>
      <c r="K79" s="3876">
        <f>IF(A79="","",SUM(E79:J79))</f>
        <v/>
      </c>
    </row>
    <row r="80">
      <c r="A80" s="3906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  <c r="J80" s="3905" t="n"/>
      <c r="K80" s="3876">
        <f>IF(A80="","",SUM(E80:J80))</f>
        <v/>
      </c>
    </row>
    <row r="81">
      <c r="A81" s="3906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  <c r="J81" s="3905" t="n"/>
      <c r="K81" s="3876">
        <f>IF(A81="","",SUM(E81:J81))</f>
        <v/>
      </c>
    </row>
    <row r="82">
      <c r="A82" s="3906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  <c r="J82" s="3905" t="n"/>
      <c r="K82" s="3876">
        <f>IF(A82="","",SUM(E82:J82))</f>
        <v/>
      </c>
    </row>
    <row r="83">
      <c r="A83" s="3906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  <c r="J83" s="3905" t="n"/>
      <c r="K83" s="3876">
        <f>IF(A83="","",SUM(E83:J83))</f>
        <v/>
      </c>
    </row>
    <row r="84">
      <c r="A84" s="3906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  <c r="J84" s="3905" t="n"/>
      <c r="K84" s="3876">
        <f>IF(A84="","",SUM(E84:J84))</f>
        <v/>
      </c>
    </row>
    <row r="85">
      <c r="A85" s="3906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  <c r="J85" s="3905" t="n"/>
      <c r="K85" s="3876">
        <f>IF(A85="","",SUM(E85:J85))</f>
        <v/>
      </c>
    </row>
    <row r="86">
      <c r="A86" s="3906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  <c r="J86" s="3905" t="n"/>
      <c r="K86" s="3876">
        <f>IF(A86="","",SUM(E86:J86))</f>
        <v/>
      </c>
    </row>
    <row r="87">
      <c r="A87" s="3906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  <c r="J87" s="3905" t="n"/>
      <c r="K87" s="3876">
        <f>IF(A87="","",SUM(E87:J87))</f>
        <v/>
      </c>
    </row>
    <row r="88">
      <c r="A88" s="3906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  <c r="J88" s="3905" t="n"/>
      <c r="K88" s="3876">
        <f>IF(A88="","",SUM(E88:J88))</f>
        <v/>
      </c>
    </row>
    <row r="89">
      <c r="A89" s="3906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  <c r="J89" s="3905" t="n"/>
      <c r="K89" s="3876">
        <f>IF(A89="","",SUM(E89:J89))</f>
        <v/>
      </c>
    </row>
    <row r="90">
      <c r="A90" s="3906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  <c r="J90" s="3905" t="n"/>
      <c r="K90" s="3876">
        <f>IF(A90="","",SUM(E90:J90))</f>
        <v/>
      </c>
    </row>
    <row r="91">
      <c r="A91" s="3906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  <c r="J91" s="3905" t="n"/>
      <c r="K91" s="3876">
        <f>IF(A91="","",SUM(E91:J91))</f>
        <v/>
      </c>
    </row>
    <row r="92">
      <c r="A92" s="3906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  <c r="J92" s="3905" t="n"/>
      <c r="K92" s="3876">
        <f>IF(A92="","",SUM(E92:J92))</f>
        <v/>
      </c>
    </row>
    <row r="93">
      <c r="A93" s="3906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  <c r="J93" s="3905" t="n"/>
      <c r="K93" s="3876">
        <f>IF(A93="","",SUM(E93:J93))</f>
        <v/>
      </c>
    </row>
    <row r="94">
      <c r="A94" s="3906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  <c r="J94" s="3905" t="n"/>
      <c r="K94" s="3876">
        <f>IF(A94="","",SUM(E94:J94))</f>
        <v/>
      </c>
    </row>
    <row r="95">
      <c r="A95" s="3906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  <c r="J95" s="3905" t="n"/>
      <c r="K95" s="3876">
        <f>IF(A95="","",SUM(E95:J95))</f>
        <v/>
      </c>
    </row>
    <row r="96">
      <c r="A96" s="3906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  <c r="J96" s="3905" t="n"/>
      <c r="K96" s="3876">
        <f>IF(A96="","",SUM(E96:J96))</f>
        <v/>
      </c>
    </row>
    <row r="97">
      <c r="A97" s="3906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  <c r="J97" s="3905" t="n"/>
      <c r="K97" s="3876">
        <f>IF(A97="","",SUM(E97:J97))</f>
        <v/>
      </c>
    </row>
    <row r="98">
      <c r="A98" s="3906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  <c r="J98" s="3905" t="n"/>
      <c r="K98" s="3876">
        <f>IF(A98="","",SUM(E98:J98))</f>
        <v/>
      </c>
    </row>
    <row r="99">
      <c r="A99" s="3906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  <c r="J99" s="3905" t="n"/>
      <c r="K99" s="3876">
        <f>IF(A99="","",SUM(E99:J99))</f>
        <v/>
      </c>
    </row>
    <row r="100">
      <c r="A100" s="3906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  <c r="J100" s="3905" t="n"/>
      <c r="K100" s="3876">
        <f>IF(A100="","",SUM(E100:J100))</f>
        <v/>
      </c>
    </row>
    <row r="101">
      <c r="A101" s="3906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  <c r="J101" s="3905" t="n"/>
      <c r="K101" s="3876">
        <f>IF(A101="","",SUM(E101:J101))</f>
        <v/>
      </c>
    </row>
    <row r="102">
      <c r="A102" s="3906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  <c r="J102" s="3905" t="n"/>
      <c r="K102" s="3876">
        <f>IF(A102="","",SUM(E102:J102))</f>
        <v/>
      </c>
    </row>
    <row r="103">
      <c r="A103" s="3906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  <c r="J103" s="3905" t="n"/>
      <c r="K103" s="3876">
        <f>IF(A103="","",SUM(E103:J103))</f>
        <v/>
      </c>
    </row>
    <row r="104">
      <c r="A104" s="3906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  <c r="J104" s="3905" t="n"/>
      <c r="K104" s="3876">
        <f>IF(A104="","",SUM(E104:J104))</f>
        <v/>
      </c>
    </row>
    <row r="105">
      <c r="A105" s="3906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  <c r="J105" s="3905" t="n"/>
      <c r="K105" s="3876">
        <f>IF(A105="","",SUM(E105:J105))</f>
        <v/>
      </c>
    </row>
    <row r="106">
      <c r="A106" s="3906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  <c r="J106" s="3905" t="n"/>
      <c r="K106" s="3876">
        <f>IF(A106="","",SUM(E106:J106))</f>
        <v/>
      </c>
    </row>
    <row r="107">
      <c r="A107" s="3906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  <c r="J107" s="3905" t="n"/>
      <c r="K107" s="3876">
        <f>IF(A107="","",SUM(E107:J107))</f>
        <v/>
      </c>
    </row>
    <row r="108">
      <c r="A108" s="3906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  <c r="J108" s="3905" t="n"/>
      <c r="K108" s="3876">
        <f>IF(A108="","",SUM(E108:J108))</f>
        <v/>
      </c>
    </row>
    <row r="109">
      <c r="A109" s="3906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  <c r="J109" s="3905" t="n"/>
      <c r="K109" s="3876">
        <f>IF(A109="","",SUM(E109:J109))</f>
        <v/>
      </c>
    </row>
    <row r="110">
      <c r="A110" s="3906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  <c r="J110" s="3905" t="n"/>
      <c r="K110" s="3876">
        <f>IF(A110="","",SUM(E110:J110))</f>
        <v/>
      </c>
    </row>
    <row r="111">
      <c r="A111" s="3906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  <c r="J111" s="3905" t="n"/>
      <c r="K111" s="3876">
        <f>IF(A111="","",SUM(E111:J111))</f>
        <v/>
      </c>
    </row>
    <row r="112">
      <c r="A112" s="3906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  <c r="J112" s="3905" t="n"/>
      <c r="K112" s="3876">
        <f>IF(A112="","",SUM(E112:J112))</f>
        <v/>
      </c>
    </row>
    <row r="113">
      <c r="A113" s="3906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  <c r="J113" s="3905" t="n"/>
      <c r="K113" s="3876">
        <f>IF(A113="","",SUM(E113:J113))</f>
        <v/>
      </c>
    </row>
    <row r="114">
      <c r="A114" s="3906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  <c r="J114" s="3905" t="n"/>
      <c r="K114" s="3876">
        <f>IF(A114="","",SUM(E114:J114))</f>
        <v/>
      </c>
    </row>
    <row r="115">
      <c r="A115" s="3906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  <c r="J115" s="3905" t="n"/>
      <c r="K115" s="3876">
        <f>IF(A115="","",SUM(E115:J115))</f>
        <v/>
      </c>
    </row>
    <row r="116">
      <c r="A116" s="3906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  <c r="J116" s="3905" t="n"/>
      <c r="K116" s="3876">
        <f>IF(A116="","",SUM(E116:J116))</f>
        <v/>
      </c>
    </row>
    <row r="117">
      <c r="A117" s="3906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  <c r="J117" s="3905" t="n"/>
      <c r="K117" s="3876">
        <f>IF(A117="","",SUM(E117:J117))</f>
        <v/>
      </c>
    </row>
    <row r="118">
      <c r="A118" s="3906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  <c r="J118" s="3905" t="n"/>
      <c r="K118" s="3876">
        <f>IF(A118="","",SUM(E118:J118))</f>
        <v/>
      </c>
    </row>
    <row r="119">
      <c r="A119" s="3906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  <c r="J119" s="3905" t="n"/>
      <c r="K119" s="3876">
        <f>IF(A119="","",SUM(E119:J119))</f>
        <v/>
      </c>
    </row>
    <row r="120">
      <c r="A120" s="3906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  <c r="J120" s="3905" t="n"/>
      <c r="K120" s="3876">
        <f>IF(A120="","",SUM(E120:J120))</f>
        <v/>
      </c>
    </row>
    <row r="121">
      <c r="A121" s="3906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  <c r="J121" s="3905" t="n"/>
      <c r="K121" s="3876">
        <f>IF(A121="","",SUM(E121:J121))</f>
        <v/>
      </c>
    </row>
    <row r="122">
      <c r="A122" s="3906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  <c r="J122" s="3905" t="n"/>
      <c r="K122" s="3876">
        <f>IF(A122="","",SUM(E122:J122))</f>
        <v/>
      </c>
    </row>
    <row r="123">
      <c r="A123" s="3906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  <c r="J123" s="3905" t="n"/>
      <c r="K123" s="3876">
        <f>IF(A123="","",SUM(E123:J123))</f>
        <v/>
      </c>
    </row>
    <row r="124">
      <c r="A124" s="3906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  <c r="J124" s="3905" t="n"/>
      <c r="K124" s="3876">
        <f>IF(A124="","",SUM(E124:J124))</f>
        <v/>
      </c>
    </row>
    <row r="125">
      <c r="A125" s="3906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  <c r="J125" s="3905" t="n"/>
      <c r="K125" s="3876">
        <f>IF(A125="","",SUM(E125:J125))</f>
        <v/>
      </c>
    </row>
    <row r="126">
      <c r="A126" s="3906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  <c r="J126" s="3905" t="n"/>
      <c r="K126" s="3876">
        <f>IF(A126="","",SUM(E126:J126))</f>
        <v/>
      </c>
    </row>
    <row r="127">
      <c r="A127" s="3906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  <c r="J127" s="3905" t="n"/>
      <c r="K127" s="3876">
        <f>IF(A127="","",SUM(E127:J127))</f>
        <v/>
      </c>
    </row>
    <row r="128">
      <c r="A128" s="3906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  <c r="J128" s="3905" t="n"/>
      <c r="K128" s="3876">
        <f>IF(A128="","",SUM(E128:J128))</f>
        <v/>
      </c>
    </row>
    <row r="129">
      <c r="A129" s="3906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  <c r="J129" s="3905" t="n"/>
      <c r="K129" s="3876">
        <f>IF(A129="","",SUM(E129:J129))</f>
        <v/>
      </c>
    </row>
    <row r="130">
      <c r="A130" s="3906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  <c r="J130" s="3905" t="n"/>
      <c r="K130" s="3876">
        <f>IF(A130="","",SUM(E130:J130))</f>
        <v/>
      </c>
    </row>
    <row r="131">
      <c r="A131" s="3906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  <c r="J131" s="3905" t="n"/>
      <c r="K131" s="3876">
        <f>IF(A131="","",SUM(E131:J131))</f>
        <v/>
      </c>
    </row>
    <row r="132">
      <c r="A132" s="3906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  <c r="J132" s="3905" t="n"/>
      <c r="K132" s="3876">
        <f>IF(A132="","",SUM(E132:J132))</f>
        <v/>
      </c>
    </row>
    <row r="133">
      <c r="A133" s="3906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  <c r="J133" s="3905" t="n"/>
      <c r="K133" s="3876">
        <f>IF(A133="","",SUM(E133:J133))</f>
        <v/>
      </c>
    </row>
    <row r="134">
      <c r="A134" s="3906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  <c r="J134" s="3905" t="n"/>
      <c r="K134" s="3876">
        <f>IF(A134="","",SUM(E134:J134))</f>
        <v/>
      </c>
    </row>
    <row r="135">
      <c r="A135" s="3906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  <c r="J135" s="3905" t="n"/>
      <c r="K135" s="3876">
        <f>IF(A135="","",SUM(E135:J135))</f>
        <v/>
      </c>
    </row>
    <row r="136">
      <c r="A136" s="3906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  <c r="J136" s="3905" t="n"/>
      <c r="K136" s="3876">
        <f>IF(A136="","",SUM(E136:J136))</f>
        <v/>
      </c>
    </row>
    <row r="137">
      <c r="A137" s="3906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  <c r="J137" s="3905" t="n"/>
      <c r="K137" s="3876">
        <f>IF(A137="","",SUM(E137:J137))</f>
        <v/>
      </c>
    </row>
    <row r="138">
      <c r="A138" s="3906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  <c r="J138" s="3905" t="n"/>
      <c r="K138" s="3876">
        <f>IF(A138="","",SUM(E138:J138))</f>
        <v/>
      </c>
    </row>
    <row r="139">
      <c r="A139" s="3906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  <c r="J139" s="3905" t="n"/>
      <c r="K139" s="3876">
        <f>IF(A139="","",SUM(E139:J139))</f>
        <v/>
      </c>
    </row>
    <row r="140">
      <c r="A140" s="3906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  <c r="J140" s="3905" t="n"/>
      <c r="K140" s="3876">
        <f>IF(A140="","",SUM(E140:J140))</f>
        <v/>
      </c>
    </row>
    <row r="141">
      <c r="A141" s="3906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  <c r="J141" s="3905" t="n"/>
      <c r="K141" s="3876">
        <f>IF(A141="","",SUM(E141:J141))</f>
        <v/>
      </c>
    </row>
    <row r="142">
      <c r="A142" s="3906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  <c r="J142" s="3905" t="n"/>
      <c r="K142" s="3876">
        <f>IF(A142="","",SUM(E142:J142))</f>
        <v/>
      </c>
    </row>
    <row r="143">
      <c r="A143" s="3906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  <c r="J143" s="3905" t="n"/>
      <c r="K143" s="3876">
        <f>IF(A143="","",SUM(E143:J143))</f>
        <v/>
      </c>
    </row>
    <row r="144">
      <c r="A144" s="3906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  <c r="J144" s="3905" t="n"/>
      <c r="K144" s="3876">
        <f>IF(A144="","",SUM(E144:J144))</f>
        <v/>
      </c>
    </row>
    <row r="145">
      <c r="A145" s="3906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  <c r="J145" s="3905" t="n"/>
      <c r="K145" s="3876">
        <f>IF(A145="","",SUM(E145:J145))</f>
        <v/>
      </c>
    </row>
    <row r="146">
      <c r="A146" s="3906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  <c r="J146" s="3905" t="n"/>
      <c r="K146" s="3876">
        <f>IF(A146="","",SUM(E146:J146))</f>
        <v/>
      </c>
    </row>
    <row r="147">
      <c r="A147" s="3906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  <c r="J147" s="3905" t="n"/>
      <c r="K147" s="3876">
        <f>IF(A147="","",SUM(E147:J147))</f>
        <v/>
      </c>
    </row>
    <row r="148">
      <c r="A148" s="3906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  <c r="J148" s="3905" t="n"/>
      <c r="K148" s="3876">
        <f>IF(A148="","",SUM(E148:J148))</f>
        <v/>
      </c>
    </row>
    <row r="149">
      <c r="A149" s="3906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  <c r="J149" s="3905" t="n"/>
      <c r="K149" s="3876">
        <f>IF(A149="","",SUM(E149:J149))</f>
        <v/>
      </c>
    </row>
    <row r="150">
      <c r="A150" s="3906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  <c r="J150" s="3905" t="n"/>
      <c r="K150" s="3876">
        <f>IF(A150="","",SUM(E150:J150))</f>
        <v/>
      </c>
    </row>
    <row r="151">
      <c r="A151" s="3906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  <c r="J151" s="3905" t="n"/>
      <c r="K151" s="3876">
        <f>IF(A151="","",SUM(E151:J151))</f>
        <v/>
      </c>
    </row>
    <row r="152">
      <c r="A152" s="3906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  <c r="J152" s="3905" t="n"/>
      <c r="K152" s="3876">
        <f>IF(A152="","",SUM(E152:J152))</f>
        <v/>
      </c>
    </row>
    <row r="153">
      <c r="A153" s="3906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  <c r="J153" s="3905" t="n"/>
      <c r="K153" s="3876">
        <f>IF(A153="","",SUM(E153:J153))</f>
        <v/>
      </c>
    </row>
    <row r="154">
      <c r="A154" s="3906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  <c r="J154" s="3905" t="n"/>
      <c r="K154" s="3876">
        <f>IF(A154="","",SUM(E154:J154))</f>
        <v/>
      </c>
    </row>
    <row r="155">
      <c r="A155" s="3906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  <c r="J155" s="3905" t="n"/>
      <c r="K155" s="3876">
        <f>IF(A155="","",SUM(E155:J155))</f>
        <v/>
      </c>
    </row>
    <row r="156">
      <c r="A156" s="3906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  <c r="J156" s="3905" t="n"/>
      <c r="K156" s="3876">
        <f>IF(A156="","",SUM(E156:J156))</f>
        <v/>
      </c>
    </row>
    <row r="157">
      <c r="A157" s="3906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  <c r="J157" s="3905" t="n"/>
      <c r="K157" s="3876">
        <f>IF(A157="","",SUM(E157:J157))</f>
        <v/>
      </c>
    </row>
    <row r="158">
      <c r="A158" s="3906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  <c r="J158" s="3905" t="n"/>
      <c r="K158" s="3876">
        <f>IF(A158="","",SUM(E158:J158))</f>
        <v/>
      </c>
    </row>
    <row r="159">
      <c r="A159" s="3906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  <c r="J159" s="3905" t="n"/>
      <c r="K159" s="3876">
        <f>IF(A159="","",SUM(E159:J159))</f>
        <v/>
      </c>
    </row>
    <row r="160">
      <c r="A160" s="3906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  <c r="J160" s="3905" t="n"/>
      <c r="K160" s="3876">
        <f>IF(A160="","",SUM(E160:J160))</f>
        <v/>
      </c>
    </row>
    <row r="161">
      <c r="A161" s="3906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  <c r="J161" s="3905" t="n"/>
      <c r="K161" s="3876">
        <f>IF(A161="","",SUM(E161:J161))</f>
        <v/>
      </c>
    </row>
    <row r="162">
      <c r="A162" s="3906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  <c r="J162" s="3905" t="n"/>
      <c r="K162" s="3876">
        <f>IF(A162="","",SUM(E162:J162))</f>
        <v/>
      </c>
    </row>
    <row r="163">
      <c r="A163" s="3906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  <c r="J163" s="3905" t="n"/>
      <c r="K163" s="3876">
        <f>IF(A163="","",SUM(E163:J163))</f>
        <v/>
      </c>
    </row>
    <row r="164">
      <c r="A164" s="3906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  <c r="J164" s="3905" t="n"/>
      <c r="K164" s="3876">
        <f>IF(A164="","",SUM(E164:J164))</f>
        <v/>
      </c>
    </row>
    <row r="165">
      <c r="A165" s="3906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  <c r="J165" s="3905" t="n"/>
      <c r="K165" s="3876">
        <f>IF(A165="","",SUM(E165:J165))</f>
        <v/>
      </c>
    </row>
    <row r="166">
      <c r="A166" s="3906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  <c r="J166" s="3905" t="n"/>
      <c r="K166" s="3876">
        <f>IF(A166="","",SUM(E166:J166))</f>
        <v/>
      </c>
    </row>
    <row r="167">
      <c r="A167" s="3906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  <c r="J167" s="3905" t="n"/>
      <c r="K167" s="3876">
        <f>IF(A167="","",SUM(E167:J167))</f>
        <v/>
      </c>
    </row>
    <row r="168">
      <c r="A168" s="3906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  <c r="J168" s="3905" t="n"/>
      <c r="K168" s="3876">
        <f>IF(A168="","",SUM(E168:J168))</f>
        <v/>
      </c>
    </row>
    <row r="169">
      <c r="A169" s="3906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  <c r="J169" s="3905" t="n"/>
      <c r="K169" s="3876">
        <f>IF(A169="","",SUM(E169:J169))</f>
        <v/>
      </c>
    </row>
    <row r="170">
      <c r="A170" s="3906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  <c r="J170" s="3905" t="n"/>
      <c r="K170" s="3876">
        <f>IF(A170="","",SUM(E170:J170))</f>
        <v/>
      </c>
    </row>
    <row r="171">
      <c r="A171" s="3906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  <c r="J171" s="3905" t="n"/>
      <c r="K171" s="3876">
        <f>IF(A171="","",SUM(E171:J171))</f>
        <v/>
      </c>
    </row>
    <row r="172">
      <c r="A172" s="3906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  <c r="J172" s="3905" t="n"/>
      <c r="K172" s="3876">
        <f>IF(A172="","",SUM(E172:J172))</f>
        <v/>
      </c>
    </row>
    <row r="173">
      <c r="A173" s="3906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  <c r="J173" s="3905" t="n"/>
      <c r="K173" s="3876">
        <f>IF(A173="","",SUM(E173:J173))</f>
        <v/>
      </c>
    </row>
    <row r="174">
      <c r="A174" s="3906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  <c r="J174" s="3905" t="n"/>
      <c r="K174" s="3876">
        <f>IF(A174="","",SUM(E174:J174))</f>
        <v/>
      </c>
    </row>
    <row r="175">
      <c r="A175" s="3906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  <c r="J175" s="3905" t="n"/>
      <c r="K175" s="3876">
        <f>IF(A175="","",SUM(E175:J175))</f>
        <v/>
      </c>
    </row>
    <row r="176">
      <c r="A176" s="3906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  <c r="J176" s="3905" t="n"/>
      <c r="K176" s="3876">
        <f>IF(A176="","",SUM(E176:J176))</f>
        <v/>
      </c>
    </row>
    <row r="177">
      <c r="A177" s="3906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  <c r="J177" s="3905" t="n"/>
      <c r="K177" s="3876">
        <f>IF(A177="","",SUM(E177:J177))</f>
        <v/>
      </c>
    </row>
    <row r="178">
      <c r="A178" s="3906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  <c r="J178" s="3905" t="n"/>
      <c r="K178" s="3876">
        <f>IF(A178="","",SUM(E178:J178))</f>
        <v/>
      </c>
    </row>
    <row r="179">
      <c r="A179" s="3906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  <c r="J179" s="3905" t="n"/>
      <c r="K179" s="3876">
        <f>IF(A179="","",SUM(E179:J179))</f>
        <v/>
      </c>
    </row>
    <row r="180">
      <c r="A180" s="3906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  <c r="J180" s="3905" t="n"/>
      <c r="K180" s="3876">
        <f>IF(A180="","",SUM(E180:J180))</f>
        <v/>
      </c>
    </row>
    <row r="181">
      <c r="A181" s="3906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  <c r="J181" s="3905" t="n"/>
      <c r="K181" s="3876">
        <f>IF(A181="","",SUM(E181:J181))</f>
        <v/>
      </c>
    </row>
    <row r="182">
      <c r="A182" s="3906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  <c r="J182" s="3905" t="n"/>
      <c r="K182" s="3876">
        <f>IF(A182="","",SUM(E182:J182))</f>
        <v/>
      </c>
    </row>
    <row r="183">
      <c r="A183" s="3906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  <c r="J183" s="3905" t="n"/>
      <c r="K183" s="3876">
        <f>IF(A183="","",SUM(E183:J183))</f>
        <v/>
      </c>
    </row>
    <row r="184">
      <c r="A184" s="3906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  <c r="J184" s="3905" t="n"/>
      <c r="K184" s="3876">
        <f>IF(A184="","",SUM(E184:J184))</f>
        <v/>
      </c>
    </row>
    <row r="185">
      <c r="A185" s="3906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  <c r="J185" s="3905" t="n"/>
      <c r="K185" s="3876">
        <f>IF(A185="","",SUM(E185:J185))</f>
        <v/>
      </c>
    </row>
    <row r="186">
      <c r="A186" s="3906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  <c r="J186" s="3905" t="n"/>
      <c r="K186" s="3876">
        <f>IF(A186="","",SUM(E186:J186))</f>
        <v/>
      </c>
    </row>
    <row r="187">
      <c r="A187" s="3906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  <c r="J187" s="3905" t="n"/>
      <c r="K187" s="3876">
        <f>IF(A187="","",SUM(E187:J187))</f>
        <v/>
      </c>
    </row>
    <row r="188">
      <c r="A188" s="3906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  <c r="J188" s="3905" t="n"/>
      <c r="K188" s="3876">
        <f>IF(A188="","",SUM(E188:J188))</f>
        <v/>
      </c>
    </row>
    <row r="189">
      <c r="A189" s="3906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  <c r="J189" s="3905" t="n"/>
      <c r="K189" s="3876">
        <f>IF(A189="","",SUM(E189:J189))</f>
        <v/>
      </c>
    </row>
    <row r="190">
      <c r="A190" s="3906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  <c r="J190" s="3905" t="n"/>
      <c r="K190" s="3876">
        <f>IF(A190="","",SUM(E190:J190))</f>
        <v/>
      </c>
    </row>
    <row r="191">
      <c r="A191" s="3906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  <c r="J191" s="3905" t="n"/>
      <c r="K191" s="3876">
        <f>IF(A191="","",SUM(E191:J191))</f>
        <v/>
      </c>
    </row>
    <row r="192">
      <c r="A192" s="3906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  <c r="J192" s="3905" t="n"/>
      <c r="K192" s="3876">
        <f>IF(A192="","",SUM(E192:J192))</f>
        <v/>
      </c>
    </row>
    <row r="193">
      <c r="A193" s="3906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  <c r="J193" s="3905" t="n"/>
      <c r="K193" s="3876">
        <f>IF(A193="","",SUM(E193:J193))</f>
        <v/>
      </c>
    </row>
    <row r="194">
      <c r="A194" s="3906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  <c r="J194" s="3905" t="n"/>
      <c r="K194" s="3876">
        <f>IF(A194="","",SUM(E194:J194))</f>
        <v/>
      </c>
    </row>
    <row r="195">
      <c r="A195" s="3906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  <c r="J195" s="3905" t="n"/>
      <c r="K195" s="3876">
        <f>IF(A195="","",SUM(E195:J195))</f>
        <v/>
      </c>
    </row>
    <row r="196">
      <c r="A196" s="3906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  <c r="J196" s="3905" t="n"/>
      <c r="K196" s="3876">
        <f>IF(A196="","",SUM(E196:J196))</f>
        <v/>
      </c>
    </row>
    <row r="197">
      <c r="A197" s="3906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  <c r="J197" s="3905" t="n"/>
      <c r="K197" s="3876">
        <f>IF(A197="","",SUM(E197:J197))</f>
        <v/>
      </c>
    </row>
    <row r="198">
      <c r="A198" s="3906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  <c r="J198" s="3905" t="n"/>
      <c r="K198" s="3876">
        <f>IF(A198="","",SUM(E198:J198))</f>
        <v/>
      </c>
    </row>
    <row r="199">
      <c r="A199" s="3906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  <c r="J199" s="3905" t="n"/>
      <c r="K199" s="3876">
        <f>IF(A199="","",SUM(E199:J199))</f>
        <v/>
      </c>
    </row>
    <row r="200">
      <c r="A200" s="3906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  <c r="J200" s="3905" t="n"/>
      <c r="K200" s="3876">
        <f>IF(A200="","",SUM(E200:J200))</f>
        <v/>
      </c>
    </row>
    <row r="201">
      <c r="A201" s="3906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  <c r="J201" s="3905" t="n"/>
      <c r="K201" s="3876">
        <f>IF(A201="","",SUM(E201:J201))</f>
        <v/>
      </c>
    </row>
    <row r="202">
      <c r="A202" s="3906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  <c r="J202" s="3905" t="n"/>
      <c r="K202" s="3876">
        <f>IF(A202="","",SUM(E202:J202))</f>
        <v/>
      </c>
    </row>
    <row r="203">
      <c r="A203" s="3906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  <c r="J203" s="3905" t="n"/>
      <c r="K203" s="3876">
        <f>IF(A203="","",SUM(E203:J203))</f>
        <v/>
      </c>
    </row>
    <row r="204">
      <c r="A204" s="3906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  <c r="J204" s="3905" t="n"/>
      <c r="K204" s="3876">
        <f>IF(A204="","",SUM(E204:J204))</f>
        <v/>
      </c>
    </row>
    <row r="205">
      <c r="A205" s="3906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  <c r="J205" s="3905" t="n"/>
      <c r="K205" s="3876">
        <f>IF(A205="","",SUM(E205:J205))</f>
        <v/>
      </c>
    </row>
    <row r="206">
      <c r="A206" s="3906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  <c r="J206" s="3905" t="n"/>
      <c r="K206" s="3876">
        <f>IF(A206="","",SUM(E206:J206))</f>
        <v/>
      </c>
    </row>
    <row r="207">
      <c r="A207" s="3906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  <c r="J207" s="3905" t="n"/>
      <c r="K207" s="3876">
        <f>IF(A207="","",SUM(E207:J207))</f>
        <v/>
      </c>
    </row>
    <row r="208">
      <c r="A208" s="3906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  <c r="J208" s="3905" t="n"/>
      <c r="K208" s="3876">
        <f>IF(A208="","",SUM(E208:J208))</f>
        <v/>
      </c>
    </row>
    <row r="209">
      <c r="A209" s="3906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  <c r="J209" s="3905" t="n"/>
      <c r="K209" s="3876">
        <f>IF(A209="","",SUM(E209:J209))</f>
        <v/>
      </c>
    </row>
    <row r="210">
      <c r="A210" s="3906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  <c r="J210" s="3905" t="n"/>
      <c r="K210" s="3876">
        <f>IF(A210="","",SUM(E210:J210))</f>
        <v/>
      </c>
    </row>
    <row r="211">
      <c r="A211" s="3906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  <c r="J211" s="3905" t="n"/>
      <c r="K211" s="3876">
        <f>IF(A211="","",SUM(E211:J211))</f>
        <v/>
      </c>
    </row>
    <row r="212">
      <c r="A212" s="3906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  <c r="J212" s="3905" t="n"/>
      <c r="K212" s="3876">
        <f>IF(A212="","",SUM(E212:J212))</f>
        <v/>
      </c>
    </row>
    <row r="213">
      <c r="A213" s="3906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  <c r="J213" s="3905" t="n"/>
      <c r="K213" s="3876">
        <f>IF(A213="","",SUM(E213:J213))</f>
        <v/>
      </c>
    </row>
    <row r="214">
      <c r="A214" s="3906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  <c r="J214" s="3905" t="n"/>
      <c r="K214" s="3876">
        <f>IF(A214="","",SUM(E214:J214))</f>
        <v/>
      </c>
    </row>
    <row r="215">
      <c r="A215" s="3906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  <c r="J215" s="3905" t="n"/>
      <c r="K215" s="3876">
        <f>IF(A215="","",SUM(E215:J215))</f>
        <v/>
      </c>
    </row>
    <row r="216">
      <c r="A216" s="3906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  <c r="J216" s="3905" t="n"/>
      <c r="K216" s="3876">
        <f>IF(A216="","",SUM(E216:J216))</f>
        <v/>
      </c>
    </row>
    <row r="217">
      <c r="A217" s="3906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  <c r="J217" s="3905" t="n"/>
      <c r="K217" s="3876">
        <f>IF(A217="","",SUM(E217:J217))</f>
        <v/>
      </c>
    </row>
    <row r="218">
      <c r="A218" s="3906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  <c r="J218" s="3905" t="n"/>
      <c r="K218" s="3876">
        <f>IF(A218="","",SUM(E218:J218))</f>
        <v/>
      </c>
    </row>
    <row r="219">
      <c r="A219" s="3906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  <c r="J219" s="3905" t="n"/>
      <c r="K219" s="3876">
        <f>IF(A219="","",SUM(E219:J219))</f>
        <v/>
      </c>
    </row>
    <row r="220">
      <c r="A220" s="3906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  <c r="J220" s="3905" t="n"/>
      <c r="K220" s="3876">
        <f>IF(A220="","",SUM(E220:J220))</f>
        <v/>
      </c>
    </row>
    <row r="221">
      <c r="A221" s="3906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  <c r="J221" s="3905" t="n"/>
      <c r="K221" s="3876">
        <f>IF(A221="","",SUM(E221:J221))</f>
        <v/>
      </c>
    </row>
    <row r="222">
      <c r="A222" s="3906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  <c r="J222" s="3905" t="n"/>
      <c r="K222" s="3876">
        <f>IF(A222="","",SUM(E222:J222))</f>
        <v/>
      </c>
    </row>
    <row r="223">
      <c r="A223" s="3906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  <c r="J223" s="3905" t="n"/>
      <c r="K223" s="3876">
        <f>IF(A223="","",SUM(E223:J223))</f>
        <v/>
      </c>
    </row>
    <row r="224">
      <c r="A224" s="3906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  <c r="J224" s="3905" t="n"/>
      <c r="K224" s="3876">
        <f>IF(A224="","",SUM(E224:J224))</f>
        <v/>
      </c>
    </row>
    <row r="225">
      <c r="A225" s="3906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  <c r="J225" s="3905" t="n"/>
      <c r="K225" s="3876">
        <f>IF(A225="","",SUM(E225:J225))</f>
        <v/>
      </c>
    </row>
    <row r="226">
      <c r="A226" s="3906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  <c r="J226" s="3905" t="n"/>
      <c r="K226" s="3876">
        <f>IF(A226="","",SUM(E226:J226))</f>
        <v/>
      </c>
    </row>
    <row r="227">
      <c r="A227" s="3906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  <c r="J227" s="3905" t="n"/>
      <c r="K227" s="3876">
        <f>IF(A227="","",SUM(E227:J227))</f>
        <v/>
      </c>
    </row>
    <row r="228">
      <c r="A228" s="3906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  <c r="J228" s="3905" t="n"/>
      <c r="K228" s="3876">
        <f>IF(A228="","",SUM(E228:J228))</f>
        <v/>
      </c>
    </row>
    <row r="229">
      <c r="A229" s="3906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  <c r="J229" s="3905" t="n"/>
      <c r="K229" s="3876">
        <f>IF(A229="","",SUM(E229:J229))</f>
        <v/>
      </c>
    </row>
    <row r="230">
      <c r="A230" s="3906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  <c r="J230" s="3905" t="n"/>
      <c r="K230" s="3876">
        <f>IF(A230="","",SUM(E230:J230))</f>
        <v/>
      </c>
    </row>
    <row r="231">
      <c r="A231" s="3906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  <c r="J231" s="3905" t="n"/>
      <c r="K231" s="3876">
        <f>IF(A231="","",SUM(E231:J231))</f>
        <v/>
      </c>
    </row>
    <row r="232">
      <c r="A232" s="3906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  <c r="J232" s="3905" t="n"/>
      <c r="K232" s="3876">
        <f>IF(A232="","",SUM(E232:J232))</f>
        <v/>
      </c>
    </row>
    <row r="233">
      <c r="A233" s="3906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  <c r="J233" s="3905" t="n"/>
      <c r="K233" s="3876">
        <f>IF(A233="","",SUM(E233:J233))</f>
        <v/>
      </c>
    </row>
    <row r="234">
      <c r="A234" s="3906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  <c r="J234" s="3905" t="n"/>
      <c r="K234" s="3876">
        <f>IF(A234="","",SUM(E234:J234))</f>
        <v/>
      </c>
    </row>
    <row r="235">
      <c r="A235" s="3906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  <c r="J235" s="3905" t="n"/>
      <c r="K235" s="3876">
        <f>IF(A235="","",SUM(E235:J235))</f>
        <v/>
      </c>
    </row>
    <row r="236">
      <c r="A236" s="3906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  <c r="J236" s="3905" t="n"/>
      <c r="K236" s="3876">
        <f>IF(A236="","",SUM(E236:J236))</f>
        <v/>
      </c>
    </row>
    <row r="237">
      <c r="A237" s="3906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  <c r="J237" s="3905" t="n"/>
      <c r="K237" s="3876">
        <f>IF(A237="","",SUM(E237:J237))</f>
        <v/>
      </c>
    </row>
    <row r="238">
      <c r="A238" s="3906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  <c r="J238" s="3905" t="n"/>
      <c r="K238" s="3876">
        <f>IF(A238="","",SUM(E238:J238))</f>
        <v/>
      </c>
    </row>
    <row r="239">
      <c r="A239" s="3906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  <c r="J239" s="3905" t="n"/>
      <c r="K239" s="3876">
        <f>IF(A239="","",SUM(E239:J239))</f>
        <v/>
      </c>
    </row>
    <row r="240">
      <c r="A240" s="3906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  <c r="J240" s="3905" t="n"/>
      <c r="K240" s="3876">
        <f>IF(A240="","",SUM(E240:J240))</f>
        <v/>
      </c>
    </row>
    <row r="241">
      <c r="A241" s="3906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  <c r="J241" s="3905" t="n"/>
      <c r="K241" s="3876">
        <f>IF(A241="","",SUM(E241:J241))</f>
        <v/>
      </c>
    </row>
    <row r="242">
      <c r="A242" s="3906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  <c r="J242" s="3905" t="n"/>
      <c r="K242" s="3876">
        <f>IF(A242="","",SUM(E242:J242))</f>
        <v/>
      </c>
    </row>
    <row r="243">
      <c r="A243" s="3906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  <c r="J243" s="3905" t="n"/>
      <c r="K243" s="3876">
        <f>IF(A243="","",SUM(E243:J243))</f>
        <v/>
      </c>
    </row>
    <row r="244">
      <c r="A244" s="3906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  <c r="J244" s="3905" t="n"/>
      <c r="K244" s="3876">
        <f>IF(A244="","",SUM(E244:J244))</f>
        <v/>
      </c>
    </row>
    <row r="245">
      <c r="A245" s="3906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  <c r="J245" s="3905" t="n"/>
      <c r="K245" s="3876">
        <f>IF(A245="","",SUM(E245:J245))</f>
        <v/>
      </c>
    </row>
    <row r="246">
      <c r="A246" s="3906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  <c r="J246" s="3905" t="n"/>
      <c r="K246" s="3876">
        <f>IF(A246="","",SUM(E246:J246))</f>
        <v/>
      </c>
    </row>
    <row r="247">
      <c r="A247" s="3906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  <c r="J247" s="3905" t="n"/>
      <c r="K247" s="3876">
        <f>IF(A247="","",SUM(E247:J247))</f>
        <v/>
      </c>
    </row>
    <row r="248">
      <c r="A248" s="3906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  <c r="J248" s="3905" t="n"/>
      <c r="K248" s="3876">
        <f>IF(A248="","",SUM(E248:J248))</f>
        <v/>
      </c>
    </row>
    <row r="249">
      <c r="A249" s="3906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  <c r="J249" s="3905" t="n"/>
      <c r="K249" s="3876">
        <f>IF(A249="","",SUM(E249:J249))</f>
        <v/>
      </c>
    </row>
    <row r="250">
      <c r="A250" s="3906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  <c r="J250" s="3905" t="n"/>
      <c r="K250" s="3876">
        <f>IF(A250="","",SUM(E250:J250))</f>
        <v/>
      </c>
    </row>
    <row r="251">
      <c r="A251" s="3906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  <c r="J251" s="3905" t="n"/>
      <c r="K251" s="3876">
        <f>IF(A251="","",SUM(E251:J251))</f>
        <v/>
      </c>
    </row>
    <row r="252">
      <c r="A252" s="3906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  <c r="J252" s="3905" t="n"/>
      <c r="K252" s="3876">
        <f>IF(A252="","",SUM(E252:J252))</f>
        <v/>
      </c>
    </row>
    <row r="253">
      <c r="A253" s="3906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  <c r="J253" s="3905" t="n"/>
      <c r="K253" s="3876">
        <f>IF(A253="","",SUM(E253:J253))</f>
        <v/>
      </c>
    </row>
    <row r="254">
      <c r="A254" s="3906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  <c r="J254" s="3905" t="n"/>
      <c r="K254" s="3876">
        <f>IF(A254="","",SUM(E254:J254))</f>
        <v/>
      </c>
    </row>
    <row r="255">
      <c r="A255" s="3906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  <c r="J255" s="3905" t="n"/>
      <c r="K255" s="3876">
        <f>IF(A255="","",SUM(E255:J255))</f>
        <v/>
      </c>
    </row>
    <row r="256">
      <c r="A256" s="3906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  <c r="J256" s="3905" t="n"/>
      <c r="K256" s="3876">
        <f>IF(A256="","",SUM(E256:J256))</f>
        <v/>
      </c>
    </row>
    <row r="257">
      <c r="A257" s="3906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  <c r="J257" s="3905" t="n"/>
      <c r="K257" s="3876">
        <f>IF(A257="","",SUM(E257:J257))</f>
        <v/>
      </c>
    </row>
    <row r="258">
      <c r="A258" s="3906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  <c r="J258" s="3905" t="n"/>
      <c r="K258" s="3876">
        <f>IF(A258="","",SUM(E258:J258))</f>
        <v/>
      </c>
    </row>
    <row r="259">
      <c r="A259" s="3906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  <c r="J259" s="3905" t="n"/>
      <c r="K259" s="3876">
        <f>IF(A259="","",SUM(E259:J259))</f>
        <v/>
      </c>
    </row>
    <row r="260">
      <c r="A260" s="3906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  <c r="J260" s="3905" t="n"/>
      <c r="K260" s="3876">
        <f>IF(A260="","",SUM(E260:J260))</f>
        <v/>
      </c>
    </row>
    <row r="261">
      <c r="A261" s="3906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  <c r="J261" s="3905" t="n"/>
      <c r="K261" s="3876">
        <f>IF(A261="","",SUM(E261:J261))</f>
        <v/>
      </c>
    </row>
    <row r="262">
      <c r="A262" s="3906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  <c r="J262" s="3905" t="n"/>
      <c r="K262" s="3876">
        <f>IF(A262="","",SUM(E262:J262))</f>
        <v/>
      </c>
    </row>
    <row r="263">
      <c r="A263" s="3906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  <c r="J263" s="3905" t="n"/>
      <c r="K263" s="3876">
        <f>IF(A263="","",SUM(E263:J263))</f>
        <v/>
      </c>
    </row>
    <row r="264">
      <c r="A264" s="3906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  <c r="J264" s="3905" t="n"/>
      <c r="K264" s="3876">
        <f>IF(A264="","",SUM(E264:J264))</f>
        <v/>
      </c>
    </row>
    <row r="265">
      <c r="A265" s="3906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  <c r="J265" s="3905" t="n"/>
      <c r="K265" s="3876">
        <f>IF(A265="","",SUM(E265:J265))</f>
        <v/>
      </c>
    </row>
    <row r="266">
      <c r="A266" s="3906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  <c r="J266" s="3905" t="n"/>
      <c r="K266" s="3876">
        <f>IF(A266="","",SUM(E266:J266))</f>
        <v/>
      </c>
    </row>
    <row r="267">
      <c r="A267" s="3906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  <c r="J267" s="3905" t="n"/>
      <c r="K267" s="3876">
        <f>IF(A267="","",SUM(E267:J267))</f>
        <v/>
      </c>
    </row>
    <row r="268">
      <c r="A268" s="3906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  <c r="J268" s="3905" t="n"/>
      <c r="K268" s="3876">
        <f>IF(A268="","",SUM(E268:J268))</f>
        <v/>
      </c>
    </row>
    <row r="269">
      <c r="A269" s="3906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  <c r="J269" s="3905" t="n"/>
      <c r="K269" s="3876">
        <f>IF(A269="","",SUM(E269:J269))</f>
        <v/>
      </c>
    </row>
    <row r="270">
      <c r="A270" s="3906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  <c r="J270" s="3905" t="n"/>
      <c r="K270" s="3876">
        <f>IF(A270="","",SUM(E270:J270))</f>
        <v/>
      </c>
    </row>
    <row r="271">
      <c r="A271" s="3906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  <c r="J271" s="3905" t="n"/>
      <c r="K271" s="3876">
        <f>IF(A271="","",SUM(E271:J271))</f>
        <v/>
      </c>
    </row>
    <row r="272">
      <c r="A272" s="3906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  <c r="J272" s="3905" t="n"/>
      <c r="K272" s="3876">
        <f>IF(A272="","",SUM(E272:J272))</f>
        <v/>
      </c>
    </row>
    <row r="273">
      <c r="A273" s="3906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  <c r="J273" s="3905" t="n"/>
      <c r="K273" s="3876">
        <f>IF(A273="","",SUM(E273:J273))</f>
        <v/>
      </c>
    </row>
    <row r="274">
      <c r="A274" s="3906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  <c r="J274" s="3905" t="n"/>
      <c r="K274" s="3876">
        <f>IF(A274="","",SUM(E274:J274))</f>
        <v/>
      </c>
    </row>
    <row r="275">
      <c r="A275" s="3906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  <c r="J275" s="3905" t="n"/>
      <c r="K275" s="3876">
        <f>IF(A275="","",SUM(E275:J275))</f>
        <v/>
      </c>
    </row>
    <row r="276">
      <c r="A276" s="3906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  <c r="J276" s="3905" t="n"/>
      <c r="K276" s="3876">
        <f>IF(A276="","",SUM(E276:J276))</f>
        <v/>
      </c>
    </row>
    <row r="277">
      <c r="A277" s="3906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  <c r="J277" s="3905" t="n"/>
      <c r="K277" s="3876">
        <f>IF(A277="","",SUM(E277:J277))</f>
        <v/>
      </c>
    </row>
    <row r="278">
      <c r="A278" s="3906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  <c r="J278" s="3905" t="n"/>
      <c r="K278" s="3876">
        <f>IF(A278="","",SUM(E278:J278))</f>
        <v/>
      </c>
    </row>
    <row r="279">
      <c r="A279" s="3906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  <c r="J279" s="3905" t="n"/>
      <c r="K279" s="3876">
        <f>IF(A279="","",SUM(E279:J279))</f>
        <v/>
      </c>
    </row>
    <row r="280">
      <c r="A280" s="3906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  <c r="J280" s="3905" t="n"/>
      <c r="K280" s="3876">
        <f>IF(A280="","",SUM(E280:J280))</f>
        <v/>
      </c>
    </row>
    <row r="281">
      <c r="A281" s="3906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  <c r="J281" s="3905" t="n"/>
      <c r="K281" s="3876">
        <f>IF(A281="","",SUM(E281:J281))</f>
        <v/>
      </c>
    </row>
    <row r="282">
      <c r="A282" s="3906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  <c r="J282" s="3905" t="n"/>
      <c r="K282" s="3876">
        <f>IF(A282="","",SUM(E282:J282))</f>
        <v/>
      </c>
    </row>
    <row r="283">
      <c r="A283" s="3906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  <c r="J283" s="3905" t="n"/>
      <c r="K283" s="3876">
        <f>IF(A283="","",SUM(E283:J283))</f>
        <v/>
      </c>
    </row>
    <row r="284">
      <c r="A284" s="3906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  <c r="J284" s="3905" t="n"/>
      <c r="K284" s="3876">
        <f>IF(A284="","",SUM(E284:J284))</f>
        <v/>
      </c>
    </row>
    <row r="285">
      <c r="A285" s="3906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  <c r="J285" s="3905" t="n"/>
      <c r="K285" s="3876">
        <f>IF(A285="","",SUM(E285:J285))</f>
        <v/>
      </c>
    </row>
    <row r="286">
      <c r="A286" s="3906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  <c r="J286" s="3905" t="n"/>
      <c r="K286" s="3876">
        <f>IF(A286="","",SUM(E286:J286))</f>
        <v/>
      </c>
    </row>
    <row r="287">
      <c r="A287" s="3906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  <c r="J287" s="3905" t="n"/>
      <c r="K287" s="3876">
        <f>IF(A287="","",SUM(E287:J287))</f>
        <v/>
      </c>
    </row>
    <row r="288">
      <c r="A288" s="3906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  <c r="J288" s="3905" t="n"/>
      <c r="K288" s="3876">
        <f>IF(A288="","",SUM(E288:J288))</f>
        <v/>
      </c>
    </row>
    <row r="289">
      <c r="A289" s="3906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  <c r="J289" s="3905" t="n"/>
      <c r="K289" s="3876">
        <f>IF(A289="","",SUM(E289:J289))</f>
        <v/>
      </c>
    </row>
    <row r="290">
      <c r="A290" s="3906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  <c r="J290" s="3905" t="n"/>
      <c r="K290" s="3876">
        <f>IF(A290="","",SUM(E290:J290))</f>
        <v/>
      </c>
    </row>
    <row r="291">
      <c r="A291" s="3906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  <c r="J291" s="3905" t="n"/>
      <c r="K291" s="3876">
        <f>IF(A291="","",SUM(E291:J291))</f>
        <v/>
      </c>
    </row>
    <row r="292">
      <c r="A292" s="3906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  <c r="J292" s="3905" t="n"/>
      <c r="K292" s="3876">
        <f>IF(A292="","",SUM(E292:J292))</f>
        <v/>
      </c>
    </row>
    <row r="293">
      <c r="A293" s="3906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  <c r="J293" s="3905" t="n"/>
      <c r="K293" s="3876">
        <f>IF(A293="","",SUM(E293:J293))</f>
        <v/>
      </c>
    </row>
    <row r="294">
      <c r="A294" s="3906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  <c r="J294" s="3905" t="n"/>
      <c r="K294" s="3876">
        <f>IF(A294="","",SUM(E294:J294))</f>
        <v/>
      </c>
    </row>
    <row r="295">
      <c r="A295" s="3906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  <c r="J295" s="3905" t="n"/>
      <c r="K295" s="3876">
        <f>IF(A295="","",SUM(E295:J295))</f>
        <v/>
      </c>
    </row>
    <row r="296">
      <c r="A296" s="3906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  <c r="J296" s="3905" t="n"/>
      <c r="K296" s="3876">
        <f>IF(A296="","",SUM(E296:J296))</f>
        <v/>
      </c>
    </row>
    <row r="297">
      <c r="A297" s="3906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  <c r="J297" s="3905" t="n"/>
      <c r="K297" s="3876">
        <f>IF(A297="","",SUM(E297:J297))</f>
        <v/>
      </c>
    </row>
    <row r="298">
      <c r="A298" s="3906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  <c r="J298" s="3905" t="n"/>
      <c r="K298" s="3876">
        <f>IF(A298="","",SUM(E298:J298))</f>
        <v/>
      </c>
    </row>
    <row r="299">
      <c r="A299" s="3906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  <c r="J299" s="3905" t="n"/>
      <c r="K299" s="3876">
        <f>IF(A299="","",SUM(E299:J299))</f>
        <v/>
      </c>
    </row>
    <row r="300">
      <c r="A300" s="3906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  <c r="J300" s="3905" t="n"/>
      <c r="K300" s="3876">
        <f>IF(A300="","",SUM(E300:J300))</f>
        <v/>
      </c>
    </row>
    <row r="301">
      <c r="A301" s="3906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  <c r="J301" s="3905" t="n"/>
      <c r="K301" s="3876">
        <f>IF(A301="","",SUM(E301:J301))</f>
        <v/>
      </c>
    </row>
    <row r="302">
      <c r="A302" s="3906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  <c r="J302" s="3905" t="n"/>
      <c r="K302" s="3876">
        <f>IF(A302="","",SUM(E302:J302))</f>
        <v/>
      </c>
    </row>
    <row r="303">
      <c r="A303" s="3906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  <c r="J303" s="3905" t="n"/>
      <c r="K303" s="3876">
        <f>IF(A303="","",SUM(E303:J303))</f>
        <v/>
      </c>
    </row>
    <row r="304">
      <c r="A304" s="3906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  <c r="J304" s="3905" t="n"/>
      <c r="K304" s="3876">
        <f>IF(A304="","",SUM(E304:J304))</f>
        <v/>
      </c>
    </row>
    <row r="305">
      <c r="A305" s="3906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  <c r="J305" s="3905" t="n"/>
      <c r="K305" s="3876">
        <f>IF(A305="","",SUM(E305:J305))</f>
        <v/>
      </c>
    </row>
    <row r="306">
      <c r="A306" s="3906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  <c r="J306" s="3905" t="n"/>
      <c r="K306" s="3876">
        <f>IF(A306="","",SUM(E306:J306))</f>
        <v/>
      </c>
    </row>
    <row r="307">
      <c r="A307" s="3906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  <c r="J307" s="3905" t="n"/>
      <c r="K307" s="3876">
        <f>IF(A307="","",SUM(E307:J307))</f>
        <v/>
      </c>
    </row>
    <row r="308">
      <c r="A308" s="3906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  <c r="J308" s="3905" t="n"/>
      <c r="K308" s="3876">
        <f>IF(A308="","",SUM(E308:J308))</f>
        <v/>
      </c>
    </row>
    <row r="309">
      <c r="A309" s="3906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  <c r="J309" s="3905" t="n"/>
      <c r="K309" s="3876">
        <f>IF(A309="","",SUM(E309:J309))</f>
        <v/>
      </c>
    </row>
    <row r="310">
      <c r="A310" s="3906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  <c r="J310" s="3905" t="n"/>
      <c r="K310" s="3876">
        <f>IF(A310="","",SUM(E310:J310))</f>
        <v/>
      </c>
    </row>
    <row r="311">
      <c r="A311" s="3906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  <c r="J311" s="3905" t="n"/>
      <c r="K311" s="3876">
        <f>IF(A311="","",SUM(E311:J311))</f>
        <v/>
      </c>
    </row>
    <row r="312">
      <c r="A312" s="3906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  <c r="J312" s="3905" t="n"/>
      <c r="K312" s="3876">
        <f>IF(A312="","",SUM(E312:J312))</f>
        <v/>
      </c>
    </row>
    <row r="313">
      <c r="A313" s="3906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  <c r="J313" s="3905" t="n"/>
      <c r="K313" s="3876">
        <f>IF(A313="","",SUM(E313:J313))</f>
        <v/>
      </c>
    </row>
    <row r="314">
      <c r="A314" s="3906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  <c r="J314" s="3905" t="n"/>
      <c r="K314" s="3876">
        <f>IF(A314="","",SUM(E314:J314))</f>
        <v/>
      </c>
    </row>
    <row r="315">
      <c r="A315" s="3906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  <c r="J315" s="3905" t="n"/>
      <c r="K315" s="3876">
        <f>IF(A315="","",SUM(E315:J315))</f>
        <v/>
      </c>
    </row>
    <row r="316">
      <c r="A316" s="3906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  <c r="J316" s="3905" t="n"/>
      <c r="K316" s="3876">
        <f>IF(A316="","",SUM(E316:J316))</f>
        <v/>
      </c>
    </row>
    <row r="317">
      <c r="A317" s="3906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  <c r="J317" s="3905" t="n"/>
      <c r="K317" s="3876">
        <f>IF(A317="","",SUM(E317:J317))</f>
        <v/>
      </c>
    </row>
    <row r="318">
      <c r="A318" s="3906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  <c r="J318" s="3905" t="n"/>
      <c r="K318" s="3876">
        <f>IF(A318="","",SUM(E318:J318))</f>
        <v/>
      </c>
    </row>
    <row r="319">
      <c r="A319" s="3906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  <c r="J319" s="3905" t="n"/>
      <c r="K319" s="3876">
        <f>IF(A319="","",SUM(E319:J319))</f>
        <v/>
      </c>
    </row>
    <row r="320">
      <c r="A320" s="3906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  <c r="J320" s="3905" t="n"/>
      <c r="K320" s="3876">
        <f>IF(A320="","",SUM(E320:J320))</f>
        <v/>
      </c>
    </row>
    <row r="321">
      <c r="A321" s="3906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  <c r="J321" s="3905" t="n"/>
      <c r="K321" s="3876">
        <f>IF(A321="","",SUM(E321:J321))</f>
        <v/>
      </c>
    </row>
    <row r="322">
      <c r="A322" s="3906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  <c r="J322" s="3905" t="n"/>
      <c r="K322" s="3876">
        <f>IF(A322="","",SUM(E322:J322))</f>
        <v/>
      </c>
    </row>
    <row r="323">
      <c r="A323" s="3906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  <c r="J323" s="3905" t="n"/>
      <c r="K323" s="3876">
        <f>IF(A323="","",SUM(E323:J323))</f>
        <v/>
      </c>
    </row>
    <row r="324">
      <c r="A324" s="3906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  <c r="J324" s="3905" t="n"/>
      <c r="K324" s="3876">
        <f>IF(A324="","",SUM(E324:J324))</f>
        <v/>
      </c>
    </row>
    <row r="325">
      <c r="A325" s="3906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  <c r="J325" s="3905" t="n"/>
      <c r="K325" s="3876">
        <f>IF(A325="","",SUM(E325:J325))</f>
        <v/>
      </c>
    </row>
    <row r="326">
      <c r="A326" s="3906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  <c r="J326" s="3905" t="n"/>
      <c r="K326" s="3876">
        <f>IF(A326="","",SUM(E326:J326))</f>
        <v/>
      </c>
    </row>
    <row r="327">
      <c r="A327" s="3906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  <c r="J327" s="3905" t="n"/>
      <c r="K327" s="3876">
        <f>IF(A327="","",SUM(E327:J327))</f>
        <v/>
      </c>
    </row>
    <row r="328">
      <c r="A328" s="3906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  <c r="J328" s="3905" t="n"/>
      <c r="K328" s="3876">
        <f>IF(A328="","",SUM(E328:J328))</f>
        <v/>
      </c>
    </row>
    <row r="329">
      <c r="A329" s="3906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  <c r="J329" s="3905" t="n"/>
      <c r="K329" s="3876">
        <f>IF(A329="","",SUM(E329:J329))</f>
        <v/>
      </c>
    </row>
    <row r="330">
      <c r="A330" s="3906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  <c r="J330" s="3905" t="n"/>
      <c r="K330" s="3876">
        <f>IF(A330="","",SUM(E330:J330))</f>
        <v/>
      </c>
    </row>
    <row r="331">
      <c r="A331" s="3906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  <c r="J331" s="3905" t="n"/>
      <c r="K331" s="3876">
        <f>IF(A331="","",SUM(E331:J331))</f>
        <v/>
      </c>
    </row>
    <row r="332">
      <c r="A332" s="3906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  <c r="J332" s="3905" t="n"/>
      <c r="K332" s="3876">
        <f>IF(A332="","",SUM(E332:J332))</f>
        <v/>
      </c>
    </row>
    <row r="333">
      <c r="A333" s="3906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  <c r="J333" s="3905" t="n"/>
      <c r="K333" s="3876">
        <f>IF(A333="","",SUM(E333:J333))</f>
        <v/>
      </c>
    </row>
    <row r="334">
      <c r="A334" s="3906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  <c r="J334" s="3905" t="n"/>
      <c r="K334" s="3876">
        <f>IF(A334="","",SUM(E334:J334))</f>
        <v/>
      </c>
    </row>
    <row r="335">
      <c r="A335" s="3906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  <c r="J335" s="3905" t="n"/>
      <c r="K335" s="3876">
        <f>IF(A335="","",SUM(E335:J335))</f>
        <v/>
      </c>
    </row>
    <row r="336">
      <c r="A336" s="3906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  <c r="J336" s="3905" t="n"/>
      <c r="K336" s="3876">
        <f>IF(A336="","",SUM(E336:J336))</f>
        <v/>
      </c>
    </row>
    <row r="337">
      <c r="A337" s="3906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  <c r="J337" s="3905" t="n"/>
      <c r="K337" s="3876">
        <f>IF(A337="","",SUM(E337:J337))</f>
        <v/>
      </c>
    </row>
    <row r="338">
      <c r="A338" s="3906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  <c r="J338" s="3905" t="n"/>
      <c r="K338" s="3876">
        <f>IF(A338="","",SUM(E338:J338))</f>
        <v/>
      </c>
    </row>
    <row r="339">
      <c r="A339" s="3906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  <c r="J339" s="3905" t="n"/>
      <c r="K339" s="3876">
        <f>IF(A339="","",SUM(E339:J339))</f>
        <v/>
      </c>
    </row>
    <row r="340">
      <c r="A340" s="3906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  <c r="J340" s="3905" t="n"/>
      <c r="K340" s="3876">
        <f>IF(A340="","",SUM(E340:J340))</f>
        <v/>
      </c>
    </row>
    <row r="341">
      <c r="A341" s="3906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  <c r="J341" s="3905" t="n"/>
      <c r="K341" s="3876">
        <f>IF(A341="","",SUM(E341:J341))</f>
        <v/>
      </c>
    </row>
    <row r="342">
      <c r="A342" s="3906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  <c r="J342" s="3905" t="n"/>
      <c r="K342" s="3876">
        <f>IF(A342="","",SUM(E342:J342))</f>
        <v/>
      </c>
    </row>
    <row r="343">
      <c r="A343" s="3906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  <c r="J343" s="3905" t="n"/>
      <c r="K343" s="3876">
        <f>IF(A343="","",SUM(E343:J343))</f>
        <v/>
      </c>
    </row>
    <row r="344">
      <c r="A344" s="3906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  <c r="J344" s="3905" t="n"/>
      <c r="K344" s="3876">
        <f>IF(A344="","",SUM(E344:J344))</f>
        <v/>
      </c>
    </row>
    <row r="345">
      <c r="A345" s="3906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  <c r="J345" s="3905" t="n"/>
      <c r="K345" s="3876">
        <f>IF(A345="","",SUM(E345:J345))</f>
        <v/>
      </c>
    </row>
    <row r="346">
      <c r="A346" s="3906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  <c r="J346" s="3905" t="n"/>
      <c r="K346" s="3876">
        <f>IF(A346="","",SUM(E346:J346))</f>
        <v/>
      </c>
    </row>
    <row r="347">
      <c r="A347" s="3906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  <c r="J347" s="3905" t="n"/>
      <c r="K347" s="3876">
        <f>IF(A347="","",SUM(E347:J347))</f>
        <v/>
      </c>
    </row>
    <row r="348">
      <c r="A348" s="3906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  <c r="J348" s="3905" t="n"/>
      <c r="K348" s="3876">
        <f>IF(A348="","",SUM(E348:J348))</f>
        <v/>
      </c>
    </row>
    <row r="349">
      <c r="A349" s="3906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  <c r="J349" s="3905" t="n"/>
      <c r="K349" s="3876">
        <f>IF(A349="","",SUM(E349:J349))</f>
        <v/>
      </c>
    </row>
    <row r="350">
      <c r="A350" s="3906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  <c r="J350" s="3905" t="n"/>
      <c r="K350" s="3876">
        <f>IF(A350="","",SUM(E350:J350))</f>
        <v/>
      </c>
    </row>
    <row r="351">
      <c r="A351" s="3906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  <c r="J351" s="3905" t="n"/>
      <c r="K351" s="3876">
        <f>IF(A351="","",SUM(E351:J351))</f>
        <v/>
      </c>
    </row>
    <row r="352">
      <c r="A352" s="3906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  <c r="J352" s="3905" t="n"/>
      <c r="K352" s="3876">
        <f>IF(A352="","",SUM(E352:J352))</f>
        <v/>
      </c>
    </row>
    <row r="353">
      <c r="A353" s="3906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  <c r="J353" s="3905" t="n"/>
      <c r="K353" s="3876">
        <f>IF(A353="","",SUM(E353:J353))</f>
        <v/>
      </c>
    </row>
    <row r="354">
      <c r="A354" s="3906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  <c r="J354" s="3905" t="n"/>
      <c r="K354" s="3876">
        <f>IF(A354="","",SUM(E354:J354))</f>
        <v/>
      </c>
    </row>
    <row r="355">
      <c r="A355" s="3906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  <c r="J355" s="3905" t="n"/>
      <c r="K355" s="3876">
        <f>IF(A355="","",SUM(E355:J355))</f>
        <v/>
      </c>
    </row>
    <row r="356">
      <c r="A356" s="3906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  <c r="J356" s="3905" t="n"/>
      <c r="K356" s="3876">
        <f>IF(A356="","",SUM(E356:J356))</f>
        <v/>
      </c>
    </row>
    <row r="357">
      <c r="A357" s="3906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  <c r="J357" s="3905" t="n"/>
      <c r="K357" s="3876">
        <f>IF(A357="","",SUM(E357:J357))</f>
        <v/>
      </c>
    </row>
    <row r="358">
      <c r="A358" s="3906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  <c r="J358" s="3905" t="n"/>
      <c r="K358" s="3876">
        <f>IF(A358="","",SUM(E358:J358))</f>
        <v/>
      </c>
    </row>
    <row r="359">
      <c r="A359" s="3906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  <c r="J359" s="3905" t="n"/>
      <c r="K359" s="3876">
        <f>IF(A359="","",SUM(E359:J359))</f>
        <v/>
      </c>
    </row>
    <row r="360">
      <c r="A360" s="3906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  <c r="J360" s="3905" t="n"/>
      <c r="K360" s="3876">
        <f>IF(A360="","",SUM(E360:J360))</f>
        <v/>
      </c>
    </row>
    <row r="361">
      <c r="A361" s="3906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  <c r="J361" s="3905" t="n"/>
      <c r="K361" s="3876">
        <f>IF(A361="","",SUM(E361:J361))</f>
        <v/>
      </c>
    </row>
    <row r="362">
      <c r="A362" s="3906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  <c r="J362" s="3905" t="n"/>
      <c r="K362" s="3876">
        <f>IF(A362="","",SUM(E362:J362))</f>
        <v/>
      </c>
    </row>
    <row r="363">
      <c r="A363" s="3906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  <c r="J363" s="3905" t="n"/>
      <c r="K363" s="3876">
        <f>IF(A363="","",SUM(E363:J363))</f>
        <v/>
      </c>
    </row>
    <row r="364">
      <c r="A364" s="3906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  <c r="J364" s="3905" t="n"/>
      <c r="K364" s="3876">
        <f>IF(A364="","",SUM(E364:J364))</f>
        <v/>
      </c>
    </row>
    <row r="365">
      <c r="A365" s="3906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  <c r="J365" s="3905" t="n"/>
      <c r="K365" s="3876">
        <f>IF(A365="","",SUM(E365:J365))</f>
        <v/>
      </c>
    </row>
    <row r="366">
      <c r="A366" s="3906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  <c r="J366" s="3905" t="n"/>
      <c r="K366" s="3876">
        <f>IF(A366="","",SUM(E366:J366))</f>
        <v/>
      </c>
    </row>
    <row r="367">
      <c r="A367" s="3906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  <c r="J367" s="3905" t="n"/>
      <c r="K367" s="3876">
        <f>IF(A367="","",SUM(E367:J367))</f>
        <v/>
      </c>
    </row>
    <row r="368">
      <c r="A368" s="3906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  <c r="J368" s="3905" t="n"/>
      <c r="K368" s="3876">
        <f>IF(A368="","",SUM(E368:J368))</f>
        <v/>
      </c>
    </row>
    <row r="369">
      <c r="A369" s="3906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  <c r="J369" s="3905" t="n"/>
      <c r="K369" s="3876">
        <f>IF(A369="","",SUM(E369:J369))</f>
        <v/>
      </c>
    </row>
    <row r="370">
      <c r="A370" s="3906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  <c r="J370" s="3905" t="n"/>
      <c r="K370" s="3876">
        <f>IF(A370="","",SUM(E370:J370))</f>
        <v/>
      </c>
    </row>
    <row r="371">
      <c r="A371" s="3906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  <c r="J371" s="3905" t="n"/>
      <c r="K371" s="3876">
        <f>IF(A371="","",SUM(E371:J371))</f>
        <v/>
      </c>
    </row>
    <row r="372">
      <c r="A372" s="3906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  <c r="J372" s="3905" t="n"/>
      <c r="K372" s="3876">
        <f>IF(A372="","",SUM(E372:J372))</f>
        <v/>
      </c>
    </row>
    <row r="373">
      <c r="A373" s="3906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  <c r="J373" s="3905" t="n"/>
      <c r="K373" s="3876">
        <f>IF(A373="","",SUM(E373:J373))</f>
        <v/>
      </c>
    </row>
    <row r="374">
      <c r="A374" s="3906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  <c r="J374" s="3905" t="n"/>
      <c r="K374" s="3876">
        <f>IF(A374="","",SUM(E374:J374))</f>
        <v/>
      </c>
    </row>
    <row r="375">
      <c r="A375" s="3906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  <c r="J375" s="3905" t="n"/>
      <c r="K375" s="3876">
        <f>IF(A375="","",SUM(E375:J375))</f>
        <v/>
      </c>
    </row>
    <row r="376">
      <c r="A376" s="3906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  <c r="J376" s="3905" t="n"/>
      <c r="K376" s="3876">
        <f>IF(A376="","",SUM(E376:J376))</f>
        <v/>
      </c>
    </row>
    <row r="377">
      <c r="A377" s="3906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  <c r="J377" s="3905" t="n"/>
      <c r="K377" s="3876">
        <f>IF(A377="","",SUM(E377:J377))</f>
        <v/>
      </c>
    </row>
    <row r="378">
      <c r="A378" s="3906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  <c r="J378" s="3905" t="n"/>
      <c r="K378" s="3876">
        <f>IF(A378="","",SUM(E378:J378))</f>
        <v/>
      </c>
    </row>
    <row r="379">
      <c r="A379" s="3906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  <c r="J379" s="3905" t="n"/>
      <c r="K379" s="3876">
        <f>IF(A379="","",SUM(E379:J379))</f>
        <v/>
      </c>
    </row>
    <row r="380">
      <c r="A380" s="3906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  <c r="J380" s="3905" t="n"/>
      <c r="K380" s="3876">
        <f>IF(A380="","",SUM(E380:J380))</f>
        <v/>
      </c>
    </row>
    <row r="381">
      <c r="A381" s="3906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  <c r="J381" s="3905" t="n"/>
      <c r="K381" s="3876">
        <f>IF(A381="","",SUM(E381:J381))</f>
        <v/>
      </c>
    </row>
    <row r="382">
      <c r="A382" s="3906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  <c r="J382" s="3905" t="n"/>
      <c r="K382" s="3876">
        <f>IF(A382="","",SUM(E382:J382))</f>
        <v/>
      </c>
    </row>
    <row r="383">
      <c r="A383" s="3906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  <c r="J383" s="3905" t="n"/>
      <c r="K383" s="3876">
        <f>IF(A383="","",SUM(E383:J383))</f>
        <v/>
      </c>
    </row>
    <row r="384">
      <c r="A384" s="3906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  <c r="J384" s="3905" t="n"/>
      <c r="K384" s="3876">
        <f>IF(A384="","",SUM(E384:J384))</f>
        <v/>
      </c>
    </row>
    <row r="385">
      <c r="A385" s="3906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  <c r="J385" s="3905" t="n"/>
      <c r="K385" s="3876">
        <f>IF(A385="","",SUM(E385:J385))</f>
        <v/>
      </c>
    </row>
    <row r="386">
      <c r="A386" s="3906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  <c r="J386" s="3905" t="n"/>
      <c r="K386" s="3876">
        <f>IF(A386="","",SUM(E386:J386))</f>
        <v/>
      </c>
    </row>
    <row r="387">
      <c r="A387" s="3906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  <c r="J387" s="3905" t="n"/>
      <c r="K387" s="3876">
        <f>IF(A387="","",SUM(E387:J387))</f>
        <v/>
      </c>
    </row>
    <row r="388">
      <c r="A388" s="3906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  <c r="J388" s="3905" t="n"/>
      <c r="K388" s="3876">
        <f>IF(A388="","",SUM(E388:J388))</f>
        <v/>
      </c>
    </row>
    <row r="389">
      <c r="A389" s="3906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  <c r="J389" s="3905" t="n"/>
      <c r="K389" s="3876">
        <f>IF(A389="","",SUM(E389:J389))</f>
        <v/>
      </c>
    </row>
    <row r="390">
      <c r="A390" s="3906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  <c r="J390" s="3905" t="n"/>
      <c r="K390" s="3876">
        <f>IF(A390="","",SUM(E390:J390))</f>
        <v/>
      </c>
    </row>
    <row r="391">
      <c r="A391" s="3906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  <c r="J391" s="3905" t="n"/>
      <c r="K391" s="3876">
        <f>IF(A391="","",SUM(E391:J391))</f>
        <v/>
      </c>
    </row>
    <row r="392">
      <c r="A392" s="3906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  <c r="J392" s="3905" t="n"/>
      <c r="K392" s="3876">
        <f>IF(A392="","",SUM(E392:J392))</f>
        <v/>
      </c>
    </row>
    <row r="393">
      <c r="A393" s="3906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  <c r="J393" s="3905" t="n"/>
      <c r="K393" s="3876">
        <f>IF(A393="","",SUM(E393:J393))</f>
        <v/>
      </c>
    </row>
    <row r="394">
      <c r="A394" s="3906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  <c r="J394" s="3905" t="n"/>
      <c r="K394" s="3876">
        <f>IF(A394="","",SUM(E394:J394))</f>
        <v/>
      </c>
    </row>
    <row r="395">
      <c r="A395" s="3906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  <c r="J395" s="3905" t="n"/>
      <c r="K395" s="3876">
        <f>IF(A395="","",SUM(E395:J395))</f>
        <v/>
      </c>
    </row>
    <row r="396">
      <c r="A396" s="3906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  <c r="J396" s="3905" t="n"/>
      <c r="K396" s="3876">
        <f>IF(A396="","",SUM(E396:J396))</f>
        <v/>
      </c>
    </row>
    <row r="397">
      <c r="A397" s="3906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  <c r="J397" s="3905" t="n"/>
      <c r="K397" s="3876">
        <f>IF(A397="","",SUM(E397:J397))</f>
        <v/>
      </c>
    </row>
    <row r="398">
      <c r="A398" s="3906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  <c r="J398" s="3905" t="n"/>
      <c r="K398" s="3876">
        <f>IF(A398="","",SUM(E398:J398))</f>
        <v/>
      </c>
    </row>
    <row r="399">
      <c r="A399" s="3906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  <c r="J399" s="3905" t="n"/>
      <c r="K399" s="3876">
        <f>IF(A399="","",SUM(E399:J399))</f>
        <v/>
      </c>
    </row>
    <row r="400">
      <c r="A400" s="3906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  <c r="J400" s="3905" t="n"/>
      <c r="K400" s="3876">
        <f>IF(A400="","",SUM(E400:J400))</f>
        <v/>
      </c>
    </row>
    <row r="401">
      <c r="A401" s="3906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  <c r="J401" s="3905" t="n"/>
      <c r="K401" s="3876">
        <f>IF(A401="","",SUM(E401:J401))</f>
        <v/>
      </c>
    </row>
    <row r="402">
      <c r="A402" s="3906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  <c r="J402" s="3905" t="n"/>
      <c r="K402" s="3876">
        <f>IF(A402="","",SUM(E402:J402))</f>
        <v/>
      </c>
    </row>
    <row r="403">
      <c r="A403" s="3906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  <c r="J403" s="3905" t="n"/>
      <c r="K403" s="3876">
        <f>IF(A403="","",SUM(E403:J403))</f>
        <v/>
      </c>
    </row>
    <row r="404">
      <c r="A404" s="3906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  <c r="J404" s="3905" t="n"/>
      <c r="K404" s="3876">
        <f>IF(A404="","",SUM(E404:J404))</f>
        <v/>
      </c>
    </row>
    <row r="405">
      <c r="A405" s="3906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  <c r="J405" s="3905" t="n"/>
      <c r="K405" s="3876">
        <f>IF(A405="","",SUM(E405:J405))</f>
        <v/>
      </c>
    </row>
    <row r="406">
      <c r="A406" s="3906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  <c r="J406" s="3905" t="n"/>
      <c r="K406" s="3876">
        <f>IF(A406="","",SUM(E406:J406))</f>
        <v/>
      </c>
    </row>
    <row r="407">
      <c r="A407" s="3906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  <c r="J407" s="3905" t="n"/>
      <c r="K407" s="3876">
        <f>IF(A407="","",SUM(E407:J407))</f>
        <v/>
      </c>
    </row>
    <row r="408">
      <c r="A408" s="3906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  <c r="J408" s="3905" t="n"/>
      <c r="K408" s="3876">
        <f>IF(A408="","",SUM(E408:J408))</f>
        <v/>
      </c>
    </row>
    <row r="409">
      <c r="A409" s="3906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  <c r="J409" s="3905" t="n"/>
      <c r="K409" s="3876">
        <f>IF(A409="","",SUM(E409:J409))</f>
        <v/>
      </c>
    </row>
    <row r="410">
      <c r="A410" s="3906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  <c r="J410" s="3905" t="n"/>
      <c r="K410" s="3876">
        <f>IF(A410="","",SUM(E410:J410))</f>
        <v/>
      </c>
    </row>
    <row r="411">
      <c r="A411" s="3906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  <c r="J411" s="3905" t="n"/>
      <c r="K411" s="3876">
        <f>IF(A411="","",SUM(E411:J411))</f>
        <v/>
      </c>
    </row>
    <row r="412">
      <c r="A412" s="3906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  <c r="J412" s="3905" t="n"/>
      <c r="K412" s="3876">
        <f>IF(A412="","",SUM(E412:J412))</f>
        <v/>
      </c>
    </row>
    <row r="413">
      <c r="A413" s="3906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  <c r="J413" s="3905" t="n"/>
      <c r="K413" s="3876">
        <f>IF(A413="","",SUM(E413:J413))</f>
        <v/>
      </c>
    </row>
    <row r="414">
      <c r="A414" s="3906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  <c r="J414" s="3905" t="n"/>
      <c r="K414" s="3876">
        <f>IF(A414="","",SUM(E414:J414))</f>
        <v/>
      </c>
    </row>
    <row r="415">
      <c r="A415" s="3906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  <c r="J415" s="3905" t="n"/>
      <c r="K415" s="3876">
        <f>IF(A415="","",SUM(E415:J415))</f>
        <v/>
      </c>
    </row>
    <row r="416">
      <c r="A416" s="3906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  <c r="J416" s="3905" t="n"/>
      <c r="K416" s="3876">
        <f>IF(A416="","",SUM(E416:J416))</f>
        <v/>
      </c>
    </row>
    <row r="417">
      <c r="A417" s="3906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  <c r="J417" s="3905" t="n"/>
      <c r="K417" s="3876">
        <f>IF(A417="","",SUM(E417:J417))</f>
        <v/>
      </c>
    </row>
    <row r="418">
      <c r="A418" s="3906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  <c r="J418" s="3905" t="n"/>
      <c r="K418" s="3876">
        <f>IF(A418="","",SUM(E418:J418))</f>
        <v/>
      </c>
    </row>
    <row r="419">
      <c r="A419" s="3906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  <c r="J419" s="3905" t="n"/>
      <c r="K419" s="3876">
        <f>IF(A419="","",SUM(E419:J419))</f>
        <v/>
      </c>
    </row>
    <row r="420">
      <c r="A420" s="3906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  <c r="J420" s="3905" t="n"/>
      <c r="K420" s="3876">
        <f>IF(A420="","",SUM(E420:J420))</f>
        <v/>
      </c>
    </row>
    <row r="421">
      <c r="A421" s="3906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  <c r="J421" s="3905" t="n"/>
      <c r="K421" s="3876">
        <f>IF(A421="","",SUM(E421:J421))</f>
        <v/>
      </c>
    </row>
    <row r="422">
      <c r="A422" s="3906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  <c r="J422" s="3905" t="n"/>
      <c r="K422" s="3876">
        <f>IF(A422="","",SUM(E422:J422))</f>
        <v/>
      </c>
    </row>
    <row r="423">
      <c r="A423" s="3906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  <c r="J423" s="3905" t="n"/>
      <c r="K423" s="3876">
        <f>IF(A423="","",SUM(E423:J423))</f>
        <v/>
      </c>
    </row>
    <row r="424">
      <c r="A424" s="3906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  <c r="J424" s="3905" t="n"/>
      <c r="K424" s="3876">
        <f>IF(A424="","",SUM(E424:J424))</f>
        <v/>
      </c>
    </row>
    <row r="425">
      <c r="A425" s="3906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  <c r="J425" s="3905" t="n"/>
      <c r="K425" s="3876">
        <f>IF(A425="","",SUM(E425:J425))</f>
        <v/>
      </c>
    </row>
    <row r="426">
      <c r="A426" s="3906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  <c r="J426" s="3905" t="n"/>
      <c r="K426" s="3876">
        <f>IF(A426="","",SUM(E426:J426))</f>
        <v/>
      </c>
    </row>
    <row r="427">
      <c r="A427" s="3906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  <c r="J427" s="3905" t="n"/>
      <c r="K427" s="3876">
        <f>IF(A427="","",SUM(E427:J427))</f>
        <v/>
      </c>
    </row>
    <row r="428">
      <c r="A428" s="3906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  <c r="J428" s="3905" t="n"/>
      <c r="K428" s="3876">
        <f>IF(A428="","",SUM(E428:J428))</f>
        <v/>
      </c>
    </row>
    <row r="429">
      <c r="A429" s="3906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  <c r="J429" s="3905" t="n"/>
      <c r="K429" s="3876">
        <f>IF(A429="","",SUM(E429:J429))</f>
        <v/>
      </c>
    </row>
    <row r="430">
      <c r="A430" s="3906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  <c r="J430" s="3905" t="n"/>
      <c r="K430" s="3876">
        <f>IF(A430="","",SUM(E430:J430))</f>
        <v/>
      </c>
    </row>
    <row r="431">
      <c r="A431" s="3906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  <c r="J431" s="3905" t="n"/>
      <c r="K431" s="3876">
        <f>IF(A431="","",SUM(E431:J431))</f>
        <v/>
      </c>
    </row>
    <row r="432">
      <c r="A432" s="3906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  <c r="J432" s="3905" t="n"/>
      <c r="K432" s="3876">
        <f>IF(A432="","",SUM(E432:J432))</f>
        <v/>
      </c>
    </row>
    <row r="433">
      <c r="A433" s="3906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  <c r="J433" s="3905" t="n"/>
      <c r="K433" s="3876">
        <f>IF(A433="","",SUM(E433:J433))</f>
        <v/>
      </c>
    </row>
    <row r="434">
      <c r="A434" s="3906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  <c r="J434" s="3905" t="n"/>
      <c r="K434" s="3876">
        <f>IF(A434="","",SUM(E434:J434))</f>
        <v/>
      </c>
    </row>
    <row r="435">
      <c r="A435" s="3906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  <c r="J435" s="3905" t="n"/>
      <c r="K435" s="3876">
        <f>IF(A435="","",SUM(E435:J435))</f>
        <v/>
      </c>
    </row>
    <row r="436">
      <c r="A436" s="3906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  <c r="J436" s="3905" t="n"/>
      <c r="K436" s="3876">
        <f>IF(A436="","",SUM(E436:J436))</f>
        <v/>
      </c>
    </row>
    <row r="437">
      <c r="A437" s="3906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  <c r="J437" s="3905" t="n"/>
      <c r="K437" s="3876">
        <f>IF(A437="","",SUM(E437:J437))</f>
        <v/>
      </c>
    </row>
    <row r="438">
      <c r="A438" s="3906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  <c r="J438" s="3905" t="n"/>
      <c r="K438" s="3876">
        <f>IF(A438="","",SUM(E438:J438))</f>
        <v/>
      </c>
    </row>
    <row r="439">
      <c r="A439" s="3906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  <c r="J439" s="3905" t="n"/>
      <c r="K439" s="3876">
        <f>IF(A439="","",SUM(E439:J439))</f>
        <v/>
      </c>
    </row>
    <row r="440">
      <c r="A440" s="3906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  <c r="J440" s="3905" t="n"/>
      <c r="K440" s="3876">
        <f>IF(A440="","",SUM(E440:J440))</f>
        <v/>
      </c>
    </row>
    <row r="441">
      <c r="A441" s="3906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  <c r="J441" s="3905" t="n"/>
      <c r="K441" s="3876">
        <f>IF(A441="","",SUM(E441:J441))</f>
        <v/>
      </c>
    </row>
    <row r="442">
      <c r="A442" s="3906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  <c r="J442" s="3905" t="n"/>
      <c r="K442" s="3876">
        <f>IF(A442="","",SUM(E442:J442))</f>
        <v/>
      </c>
    </row>
    <row r="443">
      <c r="A443" s="3906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  <c r="J443" s="3905" t="n"/>
      <c r="K443" s="3876">
        <f>IF(A443="","",SUM(E443:J443))</f>
        <v/>
      </c>
    </row>
    <row r="444">
      <c r="A444" s="3906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  <c r="J444" s="3905" t="n"/>
      <c r="K444" s="3876">
        <f>IF(A444="","",SUM(E444:J444))</f>
        <v/>
      </c>
    </row>
    <row r="445">
      <c r="A445" s="3906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  <c r="J445" s="3905" t="n"/>
      <c r="K445" s="3876">
        <f>IF(A445="","",SUM(E445:J445))</f>
        <v/>
      </c>
    </row>
    <row r="446">
      <c r="A446" s="3906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  <c r="J446" s="3905" t="n"/>
      <c r="K446" s="3876">
        <f>IF(A446="","",SUM(E446:J446))</f>
        <v/>
      </c>
    </row>
    <row r="447">
      <c r="A447" s="3906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  <c r="J447" s="3905" t="n"/>
      <c r="K447" s="3876">
        <f>IF(A447="","",SUM(E447:J447))</f>
        <v/>
      </c>
    </row>
    <row r="448">
      <c r="A448" s="3906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  <c r="J448" s="3905" t="n"/>
      <c r="K448" s="3876">
        <f>IF(A448="","",SUM(E448:J448))</f>
        <v/>
      </c>
    </row>
    <row r="449">
      <c r="A449" s="3906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  <c r="J449" s="3905" t="n"/>
      <c r="K449" s="3876">
        <f>IF(A449="","",SUM(E449:J449))</f>
        <v/>
      </c>
    </row>
    <row r="450">
      <c r="A450" s="3906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  <c r="J450" s="3905" t="n"/>
      <c r="K450" s="3876">
        <f>IF(A450="","",SUM(E450:J450))</f>
        <v/>
      </c>
    </row>
    <row r="451">
      <c r="A451" s="3906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  <c r="J451" s="3905" t="n"/>
      <c r="K451" s="3876">
        <f>IF(A451="","",SUM(E451:J451))</f>
        <v/>
      </c>
    </row>
    <row r="452">
      <c r="A452" s="3906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  <c r="J452" s="3905" t="n"/>
      <c r="K452" s="3876">
        <f>IF(A452="","",SUM(E452:J452))</f>
        <v/>
      </c>
    </row>
    <row r="453">
      <c r="A453" s="3906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  <c r="J453" s="3905" t="n"/>
      <c r="K453" s="3876">
        <f>IF(A453="","",SUM(E453:J453))</f>
        <v/>
      </c>
    </row>
    <row r="454">
      <c r="A454" s="3906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  <c r="J454" s="3905" t="n"/>
      <c r="K454" s="3876">
        <f>IF(A454="","",SUM(E454:J454))</f>
        <v/>
      </c>
    </row>
    <row r="455">
      <c r="A455" s="3906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  <c r="J455" s="3905" t="n"/>
      <c r="K455" s="3876">
        <f>IF(A455="","",SUM(E455:J455))</f>
        <v/>
      </c>
    </row>
    <row r="456">
      <c r="A456" s="3906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  <c r="J456" s="3905" t="n"/>
      <c r="K456" s="3876">
        <f>IF(A456="","",SUM(E456:J456))</f>
        <v/>
      </c>
    </row>
    <row r="457">
      <c r="A457" s="3906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  <c r="J457" s="3905" t="n"/>
      <c r="K457" s="3876">
        <f>IF(A457="","",SUM(E457:J457))</f>
        <v/>
      </c>
    </row>
    <row r="458">
      <c r="A458" s="3906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  <c r="J458" s="3905" t="n"/>
      <c r="K458" s="3876">
        <f>IF(A458="","",SUM(E458:J458))</f>
        <v/>
      </c>
    </row>
    <row r="459">
      <c r="A459" s="3906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  <c r="J459" s="3905" t="n"/>
      <c r="K459" s="3876">
        <f>IF(A459="","",SUM(E459:J459))</f>
        <v/>
      </c>
    </row>
    <row r="460">
      <c r="A460" s="3906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  <c r="J460" s="3905" t="n"/>
      <c r="K460" s="3876">
        <f>IF(A460="","",SUM(E460:J460))</f>
        <v/>
      </c>
    </row>
    <row r="461">
      <c r="A461" s="3906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  <c r="J461" s="3905" t="n"/>
      <c r="K461" s="3876">
        <f>IF(A461="","",SUM(E461:J461))</f>
        <v/>
      </c>
    </row>
    <row r="462">
      <c r="A462" s="3906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  <c r="J462" s="3905" t="n"/>
      <c r="K462" s="3876">
        <f>IF(A462="","",SUM(E462:J462))</f>
        <v/>
      </c>
    </row>
    <row r="463">
      <c r="A463" s="3906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  <c r="J463" s="3905" t="n"/>
      <c r="K463" s="3876">
        <f>IF(A463="","",SUM(E463:J463))</f>
        <v/>
      </c>
    </row>
    <row r="464">
      <c r="A464" s="3906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  <c r="J464" s="3905" t="n"/>
      <c r="K464" s="3876">
        <f>IF(A464="","",SUM(E464:J464))</f>
        <v/>
      </c>
    </row>
    <row r="465">
      <c r="A465" s="3906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  <c r="J465" s="3905" t="n"/>
      <c r="K465" s="3876">
        <f>IF(A465="","",SUM(E465:J465))</f>
        <v/>
      </c>
    </row>
    <row r="466">
      <c r="A466" s="3906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  <c r="J466" s="3905" t="n"/>
      <c r="K466" s="3876">
        <f>IF(A466="","",SUM(E466:J466))</f>
        <v/>
      </c>
    </row>
    <row r="467">
      <c r="A467" s="3906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  <c r="J467" s="3905" t="n"/>
      <c r="K467" s="3876">
        <f>IF(A467="","",SUM(E467:J467))</f>
        <v/>
      </c>
    </row>
    <row r="468">
      <c r="A468" s="3906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  <c r="J468" s="3905" t="n"/>
      <c r="K468" s="3876">
        <f>IF(A468="","",SUM(E468:J468))</f>
        <v/>
      </c>
    </row>
    <row r="469">
      <c r="A469" s="3906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  <c r="J469" s="3905" t="n"/>
      <c r="K469" s="3876">
        <f>IF(A469="","",SUM(E469:J469))</f>
        <v/>
      </c>
    </row>
    <row r="470">
      <c r="A470" s="3906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  <c r="J470" s="3905" t="n"/>
      <c r="K470" s="3876">
        <f>IF(A470="","",SUM(E470:J470))</f>
        <v/>
      </c>
    </row>
    <row r="471">
      <c r="A471" s="3906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  <c r="J471" s="3905" t="n"/>
      <c r="K471" s="3876">
        <f>IF(A471="","",SUM(E471:J471))</f>
        <v/>
      </c>
    </row>
    <row r="472">
      <c r="A472" s="3906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  <c r="J472" s="3905" t="n"/>
      <c r="K472" s="3876">
        <f>IF(A472="","",SUM(E472:J472))</f>
        <v/>
      </c>
    </row>
    <row r="473">
      <c r="A473" s="3906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  <c r="J473" s="3905" t="n"/>
      <c r="K473" s="3876">
        <f>IF(A473="","",SUM(E473:J473))</f>
        <v/>
      </c>
    </row>
    <row r="474">
      <c r="A474" s="3906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  <c r="J474" s="3905" t="n"/>
      <c r="K474" s="3876">
        <f>IF(A474="","",SUM(E474:J474))</f>
        <v/>
      </c>
    </row>
    <row r="475">
      <c r="A475" s="3906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  <c r="J475" s="3905" t="n"/>
      <c r="K475" s="3876">
        <f>IF(A475="","",SUM(E475:J475))</f>
        <v/>
      </c>
    </row>
    <row r="476">
      <c r="A476" s="3906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  <c r="J476" s="3905" t="n"/>
      <c r="K476" s="3876">
        <f>IF(A476="","",SUM(E476:J476))</f>
        <v/>
      </c>
    </row>
    <row r="477">
      <c r="A477" s="3906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  <c r="J477" s="3905" t="n"/>
      <c r="K477" s="3876">
        <f>IF(A477="","",SUM(E477:J477))</f>
        <v/>
      </c>
    </row>
    <row r="478">
      <c r="A478" s="3906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  <c r="J478" s="3905" t="n"/>
      <c r="K478" s="3876">
        <f>IF(A478="","",SUM(E478:J478))</f>
        <v/>
      </c>
    </row>
    <row r="479">
      <c r="A479" s="3906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  <c r="J479" s="3905" t="n"/>
      <c r="K479" s="3876">
        <f>IF(A479="","",SUM(E479:J479))</f>
        <v/>
      </c>
    </row>
    <row r="480">
      <c r="A480" s="3906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  <c r="J480" s="3905" t="n"/>
      <c r="K480" s="3876">
        <f>IF(A480="","",SUM(E480:J480))</f>
        <v/>
      </c>
    </row>
    <row r="481">
      <c r="A481" s="3906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  <c r="J481" s="3905" t="n"/>
      <c r="K481" s="3876">
        <f>IF(A481="","",SUM(E481:J481))</f>
        <v/>
      </c>
    </row>
    <row r="482">
      <c r="A482" s="3906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  <c r="J482" s="3905" t="n"/>
      <c r="K482" s="3876">
        <f>IF(A482="","",SUM(E482:J482))</f>
        <v/>
      </c>
    </row>
    <row r="483">
      <c r="A483" s="3906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  <c r="J483" s="3905" t="n"/>
      <c r="K483" s="3876">
        <f>IF(A483="","",SUM(E483:J483))</f>
        <v/>
      </c>
    </row>
    <row r="484">
      <c r="A484" s="3906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  <c r="J484" s="3905" t="n"/>
      <c r="K484" s="3876">
        <f>IF(A484="","",SUM(E484:J484))</f>
        <v/>
      </c>
    </row>
    <row r="485">
      <c r="A485" s="3906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  <c r="J485" s="3905" t="n"/>
      <c r="K485" s="3876">
        <f>IF(A485="","",SUM(E485:J485))</f>
        <v/>
      </c>
    </row>
    <row r="486">
      <c r="A486" s="3906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  <c r="J486" s="3905" t="n"/>
      <c r="K486" s="3876">
        <f>IF(A486="","",SUM(E486:J486))</f>
        <v/>
      </c>
    </row>
    <row r="487">
      <c r="A487" s="3906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  <c r="J487" s="3905" t="n"/>
      <c r="K487" s="3876">
        <f>IF(A487="","",SUM(E487:J487))</f>
        <v/>
      </c>
    </row>
    <row r="488">
      <c r="A488" s="3906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  <c r="J488" s="3905" t="n"/>
      <c r="K488" s="3876">
        <f>IF(A488="","",SUM(E488:J488))</f>
        <v/>
      </c>
    </row>
    <row r="489">
      <c r="A489" s="3906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  <c r="J489" s="3905" t="n"/>
      <c r="K489" s="3876">
        <f>IF(A489="","",SUM(E489:J489))</f>
        <v/>
      </c>
    </row>
    <row r="490">
      <c r="A490" s="3906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  <c r="J490" s="3905" t="n"/>
      <c r="K490" s="3876">
        <f>IF(A490="","",SUM(E490:J490))</f>
        <v/>
      </c>
    </row>
    <row r="491">
      <c r="A491" s="3906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  <c r="J491" s="3905" t="n"/>
      <c r="K491" s="3876">
        <f>IF(A491="","",SUM(E491:J491))</f>
        <v/>
      </c>
    </row>
    <row r="492">
      <c r="A492" s="3906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  <c r="J492" s="3905" t="n"/>
      <c r="K492" s="3876">
        <f>IF(A492="","",SUM(E492:J492))</f>
        <v/>
      </c>
    </row>
    <row r="493">
      <c r="A493" s="3906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  <c r="J493" s="3905" t="n"/>
      <c r="K493" s="3876">
        <f>IF(A493="","",SUM(E493:J493))</f>
        <v/>
      </c>
    </row>
    <row r="494">
      <c r="A494" s="3906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  <c r="J494" s="3905" t="n"/>
      <c r="K494" s="3876">
        <f>IF(A494="","",SUM(E494:J494))</f>
        <v/>
      </c>
    </row>
    <row r="495">
      <c r="A495" s="3906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  <c r="J495" s="3905" t="n"/>
      <c r="K495" s="3876">
        <f>IF(A495="","",SUM(E495:J495))</f>
        <v/>
      </c>
    </row>
    <row r="496">
      <c r="A496" s="3906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  <c r="J496" s="3905" t="n"/>
      <c r="K496" s="3876">
        <f>IF(A496="","",SUM(E496:J496))</f>
        <v/>
      </c>
    </row>
    <row r="497">
      <c r="A497" s="3906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  <c r="J497" s="3905" t="n"/>
      <c r="K497" s="3876">
        <f>IF(A497="","",SUM(E497:J497))</f>
        <v/>
      </c>
    </row>
    <row r="498">
      <c r="A498" s="3906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  <c r="J498" s="3905" t="n"/>
      <c r="K498" s="3876">
        <f>IF(A498="","",SUM(E498:J498))</f>
        <v/>
      </c>
    </row>
    <row r="499">
      <c r="A499" s="3906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  <c r="J499" s="3905" t="n"/>
      <c r="K499" s="3876">
        <f>IF(A499="","",SUM(E499:J499))</f>
        <v/>
      </c>
    </row>
    <row r="500">
      <c r="A500" s="3906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  <c r="J500" s="3905" t="n"/>
      <c r="K500" s="3876">
        <f>IF(A500="","",SUM(E500:J500))</f>
        <v/>
      </c>
    </row>
    <row r="501">
      <c r="A501" s="3906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  <c r="J501" s="3905" t="n"/>
      <c r="K501" s="3876">
        <f>IF(A501="","",SUM(E501:J501))</f>
        <v/>
      </c>
    </row>
    <row r="502">
      <c r="A502" s="3906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  <c r="J502" s="3905" t="n"/>
      <c r="K502" s="3876">
        <f>IF(A502="","",SUM(E502:J502))</f>
        <v/>
      </c>
    </row>
    <row r="503">
      <c r="A503" s="3906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  <c r="J503" s="3905" t="n"/>
      <c r="K503" s="3876">
        <f>IF(A503="","",SUM(E503:J503))</f>
        <v/>
      </c>
    </row>
    <row r="504">
      <c r="A504" s="3906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  <c r="J504" s="3905" t="n"/>
      <c r="K504" s="3876">
        <f>IF(A504="","",SUM(E504:J504))</f>
        <v/>
      </c>
    </row>
    <row r="505">
      <c r="A505" s="3906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  <c r="J505" s="3905" t="n"/>
      <c r="K505" s="3876">
        <f>IF(A505="","",SUM(E505:J505))</f>
        <v/>
      </c>
    </row>
    <row r="506">
      <c r="A506" s="3906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  <c r="J506" s="3905" t="n"/>
      <c r="K506" s="3876">
        <f>IF(A506="","",SUM(E506:J506))</f>
        <v/>
      </c>
    </row>
    <row r="507">
      <c r="A507" s="3906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  <c r="J507" s="3905" t="n"/>
      <c r="K507" s="3876">
        <f>IF(A507="","",SUM(E507:J507))</f>
        <v/>
      </c>
    </row>
    <row r="508">
      <c r="A508" s="3906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  <c r="J508" s="3905" t="n"/>
      <c r="K508" s="3876">
        <f>IF(A508="","",SUM(E508:J508))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863" t="inlineStr">
        <is>
          <t>Data | AP Aging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</row>
    <row r="2">
      <c r="A2" s="3865" t="inlineStr">
        <is>
          <t>Canonical aging input block with fixed buckets and total check.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</row>
    <row r="8">
      <c r="A8" s="3904" t="inlineStr">
        <is>
          <t>AsAtDate</t>
        </is>
      </c>
      <c r="B8" s="3904" t="inlineStr">
        <is>
          <t>Entity</t>
        </is>
      </c>
      <c r="C8" s="3904" t="inlineStr">
        <is>
          <t>CounterpartyName</t>
        </is>
      </c>
      <c r="D8" s="3904" t="inlineStr">
        <is>
          <t>CounterpartyID</t>
        </is>
      </c>
      <c r="E8" s="3904" t="inlineStr">
        <is>
          <t>Current</t>
        </is>
      </c>
      <c r="F8" s="3904" t="inlineStr">
        <is>
          <t>1-30</t>
        </is>
      </c>
      <c r="G8" s="3904" t="inlineStr">
        <is>
          <t>31-60</t>
        </is>
      </c>
      <c r="H8" s="3904" t="inlineStr">
        <is>
          <t>61-90</t>
        </is>
      </c>
      <c r="I8" s="3904" t="inlineStr">
        <is>
          <t>91-120</t>
        </is>
      </c>
      <c r="J8" s="3904" t="inlineStr">
        <is>
          <t>&gt;120</t>
        </is>
      </c>
      <c r="K8" s="3904" t="inlineStr">
        <is>
          <t>Total</t>
        </is>
      </c>
    </row>
    <row r="9">
      <c r="A9" s="3906" t="n"/>
      <c r="B9" s="3905" t="n"/>
      <c r="C9" s="3905" t="n"/>
      <c r="D9" s="3905" t="n"/>
      <c r="E9" s="3905" t="n"/>
      <c r="F9" s="3905" t="n"/>
      <c r="G9" s="3905" t="n"/>
      <c r="H9" s="3905" t="n"/>
      <c r="I9" s="3905" t="n"/>
      <c r="J9" s="3905" t="n"/>
      <c r="K9" s="3876">
        <f>IF(A9="","",SUM(E9:J9))</f>
        <v/>
      </c>
    </row>
    <row r="10">
      <c r="A10" s="3906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  <c r="J10" s="3905" t="n"/>
      <c r="K10" s="3876">
        <f>IF(A10="","",SUM(E10:J10))</f>
        <v/>
      </c>
    </row>
    <row r="11">
      <c r="A11" s="3906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  <c r="J11" s="3905" t="n"/>
      <c r="K11" s="3876">
        <f>IF(A11="","",SUM(E11:J11))</f>
        <v/>
      </c>
    </row>
    <row r="12">
      <c r="A12" s="3906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  <c r="J12" s="3905" t="n"/>
      <c r="K12" s="3876">
        <f>IF(A12="","",SUM(E12:J12))</f>
        <v/>
      </c>
    </row>
    <row r="13">
      <c r="A13" s="3906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  <c r="J13" s="3905" t="n"/>
      <c r="K13" s="3876">
        <f>IF(A13="","",SUM(E13:J13))</f>
        <v/>
      </c>
    </row>
    <row r="14">
      <c r="A14" s="3906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  <c r="J14" s="3905" t="n"/>
      <c r="K14" s="3876">
        <f>IF(A14="","",SUM(E14:J14))</f>
        <v/>
      </c>
    </row>
    <row r="15">
      <c r="A15" s="3906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  <c r="J15" s="3905" t="n"/>
      <c r="K15" s="3876">
        <f>IF(A15="","",SUM(E15:J15))</f>
        <v/>
      </c>
    </row>
    <row r="16">
      <c r="A16" s="3906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  <c r="J16" s="3905" t="n"/>
      <c r="K16" s="3876">
        <f>IF(A16="","",SUM(E16:J16))</f>
        <v/>
      </c>
    </row>
    <row r="17">
      <c r="A17" s="3906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  <c r="J17" s="3905" t="n"/>
      <c r="K17" s="3876">
        <f>IF(A17="","",SUM(E17:J17))</f>
        <v/>
      </c>
    </row>
    <row r="18">
      <c r="A18" s="3906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  <c r="J18" s="3905" t="n"/>
      <c r="K18" s="3876">
        <f>IF(A18="","",SUM(E18:J18))</f>
        <v/>
      </c>
    </row>
    <row r="19">
      <c r="A19" s="3906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  <c r="J19" s="3905" t="n"/>
      <c r="K19" s="3876">
        <f>IF(A19="","",SUM(E19:J19))</f>
        <v/>
      </c>
    </row>
    <row r="20">
      <c r="A20" s="3906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  <c r="J20" s="3905" t="n"/>
      <c r="K20" s="3876">
        <f>IF(A20="","",SUM(E20:J20))</f>
        <v/>
      </c>
    </row>
    <row r="21">
      <c r="A21" s="3906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  <c r="J21" s="3905" t="n"/>
      <c r="K21" s="3876">
        <f>IF(A21="","",SUM(E21:J21))</f>
        <v/>
      </c>
    </row>
    <row r="22">
      <c r="A22" s="3906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  <c r="J22" s="3905" t="n"/>
      <c r="K22" s="3876">
        <f>IF(A22="","",SUM(E22:J22))</f>
        <v/>
      </c>
    </row>
    <row r="23">
      <c r="A23" s="3906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  <c r="J23" s="3905" t="n"/>
      <c r="K23" s="3876">
        <f>IF(A23="","",SUM(E23:J23))</f>
        <v/>
      </c>
    </row>
    <row r="24">
      <c r="A24" s="3906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  <c r="J24" s="3905" t="n"/>
      <c r="K24" s="3876">
        <f>IF(A24="","",SUM(E24:J24))</f>
        <v/>
      </c>
    </row>
    <row r="25">
      <c r="A25" s="3906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  <c r="J25" s="3905" t="n"/>
      <c r="K25" s="3876">
        <f>IF(A25="","",SUM(E25:J25))</f>
        <v/>
      </c>
    </row>
    <row r="26">
      <c r="A26" s="3906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  <c r="J26" s="3905" t="n"/>
      <c r="K26" s="3876">
        <f>IF(A26="","",SUM(E26:J26))</f>
        <v/>
      </c>
    </row>
    <row r="27">
      <c r="A27" s="3906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  <c r="J27" s="3905" t="n"/>
      <c r="K27" s="3876">
        <f>IF(A27="","",SUM(E27:J27))</f>
        <v/>
      </c>
    </row>
    <row r="28">
      <c r="A28" s="3906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  <c r="J28" s="3905" t="n"/>
      <c r="K28" s="3876">
        <f>IF(A28="","",SUM(E28:J28))</f>
        <v/>
      </c>
    </row>
    <row r="29">
      <c r="A29" s="3906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  <c r="J29" s="3905" t="n"/>
      <c r="K29" s="3876">
        <f>IF(A29="","",SUM(E29:J29))</f>
        <v/>
      </c>
    </row>
    <row r="30">
      <c r="A30" s="3906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  <c r="J30" s="3905" t="n"/>
      <c r="K30" s="3876">
        <f>IF(A30="","",SUM(E30:J30))</f>
        <v/>
      </c>
    </row>
    <row r="31">
      <c r="A31" s="3906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  <c r="J31" s="3905" t="n"/>
      <c r="K31" s="3876">
        <f>IF(A31="","",SUM(E31:J31))</f>
        <v/>
      </c>
    </row>
    <row r="32">
      <c r="A32" s="3906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  <c r="J32" s="3905" t="n"/>
      <c r="K32" s="3876">
        <f>IF(A32="","",SUM(E32:J32))</f>
        <v/>
      </c>
    </row>
    <row r="33">
      <c r="A33" s="3906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  <c r="J33" s="3905" t="n"/>
      <c r="K33" s="3876">
        <f>IF(A33="","",SUM(E33:J33))</f>
        <v/>
      </c>
    </row>
    <row r="34">
      <c r="A34" s="3906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  <c r="J34" s="3905" t="n"/>
      <c r="K34" s="3876">
        <f>IF(A34="","",SUM(E34:J34))</f>
        <v/>
      </c>
    </row>
    <row r="35">
      <c r="A35" s="3906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  <c r="J35" s="3905" t="n"/>
      <c r="K35" s="3876">
        <f>IF(A35="","",SUM(E35:J35))</f>
        <v/>
      </c>
    </row>
    <row r="36">
      <c r="A36" s="3906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  <c r="J36" s="3905" t="n"/>
      <c r="K36" s="3876">
        <f>IF(A36="","",SUM(E36:J36))</f>
        <v/>
      </c>
    </row>
    <row r="37">
      <c r="A37" s="3906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  <c r="J37" s="3905" t="n"/>
      <c r="K37" s="3876">
        <f>IF(A37="","",SUM(E37:J37))</f>
        <v/>
      </c>
    </row>
    <row r="38">
      <c r="A38" s="3906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  <c r="J38" s="3905" t="n"/>
      <c r="K38" s="3876">
        <f>IF(A38="","",SUM(E38:J38))</f>
        <v/>
      </c>
    </row>
    <row r="39">
      <c r="A39" s="3906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  <c r="J39" s="3905" t="n"/>
      <c r="K39" s="3876">
        <f>IF(A39="","",SUM(E39:J39))</f>
        <v/>
      </c>
    </row>
    <row r="40">
      <c r="A40" s="3906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  <c r="J40" s="3905" t="n"/>
      <c r="K40" s="3876">
        <f>IF(A40="","",SUM(E40:J40))</f>
        <v/>
      </c>
    </row>
    <row r="41">
      <c r="A41" s="3906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  <c r="J41" s="3905" t="n"/>
      <c r="K41" s="3876">
        <f>IF(A41="","",SUM(E41:J41))</f>
        <v/>
      </c>
    </row>
    <row r="42">
      <c r="A42" s="3906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  <c r="J42" s="3905" t="n"/>
      <c r="K42" s="3876">
        <f>IF(A42="","",SUM(E42:J42))</f>
        <v/>
      </c>
    </row>
    <row r="43">
      <c r="A43" s="3906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  <c r="J43" s="3905" t="n"/>
      <c r="K43" s="3876">
        <f>IF(A43="","",SUM(E43:J43))</f>
        <v/>
      </c>
    </row>
    <row r="44">
      <c r="A44" s="3906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  <c r="J44" s="3905" t="n"/>
      <c r="K44" s="3876">
        <f>IF(A44="","",SUM(E44:J44))</f>
        <v/>
      </c>
    </row>
    <row r="45">
      <c r="A45" s="3906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  <c r="J45" s="3905" t="n"/>
      <c r="K45" s="3876">
        <f>IF(A45="","",SUM(E45:J45))</f>
        <v/>
      </c>
    </row>
    <row r="46">
      <c r="A46" s="3906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  <c r="J46" s="3905" t="n"/>
      <c r="K46" s="3876">
        <f>IF(A46="","",SUM(E46:J46))</f>
        <v/>
      </c>
    </row>
    <row r="47">
      <c r="A47" s="3906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  <c r="J47" s="3905" t="n"/>
      <c r="K47" s="3876">
        <f>IF(A47="","",SUM(E47:J47))</f>
        <v/>
      </c>
    </row>
    <row r="48">
      <c r="A48" s="3906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  <c r="J48" s="3905" t="n"/>
      <c r="K48" s="3876">
        <f>IF(A48="","",SUM(E48:J48))</f>
        <v/>
      </c>
    </row>
    <row r="49">
      <c r="A49" s="3906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  <c r="J49" s="3905" t="n"/>
      <c r="K49" s="3876">
        <f>IF(A49="","",SUM(E49:J49))</f>
        <v/>
      </c>
    </row>
    <row r="50">
      <c r="A50" s="3906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  <c r="J50" s="3905" t="n"/>
      <c r="K50" s="3876">
        <f>IF(A50="","",SUM(E50:J50))</f>
        <v/>
      </c>
    </row>
    <row r="51">
      <c r="A51" s="3906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  <c r="J51" s="3905" t="n"/>
      <c r="K51" s="3876">
        <f>IF(A51="","",SUM(E51:J51))</f>
        <v/>
      </c>
    </row>
    <row r="52">
      <c r="A52" s="3906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  <c r="J52" s="3905" t="n"/>
      <c r="K52" s="3876">
        <f>IF(A52="","",SUM(E52:J52))</f>
        <v/>
      </c>
    </row>
    <row r="53">
      <c r="A53" s="3906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  <c r="J53" s="3905" t="n"/>
      <c r="K53" s="3876">
        <f>IF(A53="","",SUM(E53:J53))</f>
        <v/>
      </c>
    </row>
    <row r="54">
      <c r="A54" s="3906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  <c r="J54" s="3905" t="n"/>
      <c r="K54" s="3876">
        <f>IF(A54="","",SUM(E54:J54))</f>
        <v/>
      </c>
    </row>
    <row r="55">
      <c r="A55" s="3906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  <c r="J55" s="3905" t="n"/>
      <c r="K55" s="3876">
        <f>IF(A55="","",SUM(E55:J55))</f>
        <v/>
      </c>
    </row>
    <row r="56">
      <c r="A56" s="3906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  <c r="J56" s="3905" t="n"/>
      <c r="K56" s="3876">
        <f>IF(A56="","",SUM(E56:J56))</f>
        <v/>
      </c>
    </row>
    <row r="57">
      <c r="A57" s="3906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  <c r="J57" s="3905" t="n"/>
      <c r="K57" s="3876">
        <f>IF(A57="","",SUM(E57:J57))</f>
        <v/>
      </c>
    </row>
    <row r="58">
      <c r="A58" s="3906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  <c r="J58" s="3905" t="n"/>
      <c r="K58" s="3876">
        <f>IF(A58="","",SUM(E58:J58))</f>
        <v/>
      </c>
    </row>
    <row r="59">
      <c r="A59" s="3906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  <c r="J59" s="3905" t="n"/>
      <c r="K59" s="3876">
        <f>IF(A59="","",SUM(E59:J59))</f>
        <v/>
      </c>
    </row>
    <row r="60">
      <c r="A60" s="3906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  <c r="J60" s="3905" t="n"/>
      <c r="K60" s="3876">
        <f>IF(A60="","",SUM(E60:J60))</f>
        <v/>
      </c>
    </row>
    <row r="61">
      <c r="A61" s="3906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  <c r="J61" s="3905" t="n"/>
      <c r="K61" s="3876">
        <f>IF(A61="","",SUM(E61:J61))</f>
        <v/>
      </c>
    </row>
    <row r="62">
      <c r="A62" s="3906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  <c r="J62" s="3905" t="n"/>
      <c r="K62" s="3876">
        <f>IF(A62="","",SUM(E62:J62))</f>
        <v/>
      </c>
    </row>
    <row r="63">
      <c r="A63" s="3906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  <c r="J63" s="3905" t="n"/>
      <c r="K63" s="3876">
        <f>IF(A63="","",SUM(E63:J63))</f>
        <v/>
      </c>
    </row>
    <row r="64">
      <c r="A64" s="3906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  <c r="J64" s="3905" t="n"/>
      <c r="K64" s="3876">
        <f>IF(A64="","",SUM(E64:J64))</f>
        <v/>
      </c>
    </row>
    <row r="65">
      <c r="A65" s="3906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  <c r="J65" s="3905" t="n"/>
      <c r="K65" s="3876">
        <f>IF(A65="","",SUM(E65:J65))</f>
        <v/>
      </c>
    </row>
    <row r="66">
      <c r="A66" s="3906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  <c r="J66" s="3905" t="n"/>
      <c r="K66" s="3876">
        <f>IF(A66="","",SUM(E66:J66))</f>
        <v/>
      </c>
    </row>
    <row r="67">
      <c r="A67" s="3906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  <c r="J67" s="3905" t="n"/>
      <c r="K67" s="3876">
        <f>IF(A67="","",SUM(E67:J67))</f>
        <v/>
      </c>
    </row>
    <row r="68">
      <c r="A68" s="3906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  <c r="J68" s="3905" t="n"/>
      <c r="K68" s="3876">
        <f>IF(A68="","",SUM(E68:J68))</f>
        <v/>
      </c>
    </row>
    <row r="69">
      <c r="A69" s="3906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  <c r="J69" s="3905" t="n"/>
      <c r="K69" s="3876">
        <f>IF(A69="","",SUM(E69:J69))</f>
        <v/>
      </c>
    </row>
    <row r="70">
      <c r="A70" s="3906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  <c r="J70" s="3905" t="n"/>
      <c r="K70" s="3876">
        <f>IF(A70="","",SUM(E70:J70))</f>
        <v/>
      </c>
    </row>
    <row r="71">
      <c r="A71" s="3906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  <c r="J71" s="3905" t="n"/>
      <c r="K71" s="3876">
        <f>IF(A71="","",SUM(E71:J71))</f>
        <v/>
      </c>
    </row>
    <row r="72">
      <c r="A72" s="3906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  <c r="J72" s="3905" t="n"/>
      <c r="K72" s="3876">
        <f>IF(A72="","",SUM(E72:J72))</f>
        <v/>
      </c>
    </row>
    <row r="73">
      <c r="A73" s="3906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  <c r="J73" s="3905" t="n"/>
      <c r="K73" s="3876">
        <f>IF(A73="","",SUM(E73:J73))</f>
        <v/>
      </c>
    </row>
    <row r="74">
      <c r="A74" s="3906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  <c r="J74" s="3905" t="n"/>
      <c r="K74" s="3876">
        <f>IF(A74="","",SUM(E74:J74))</f>
        <v/>
      </c>
    </row>
    <row r="75">
      <c r="A75" s="3906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  <c r="J75" s="3905" t="n"/>
      <c r="K75" s="3876">
        <f>IF(A75="","",SUM(E75:J75))</f>
        <v/>
      </c>
    </row>
    <row r="76">
      <c r="A76" s="3906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  <c r="J76" s="3905" t="n"/>
      <c r="K76" s="3876">
        <f>IF(A76="","",SUM(E76:J76))</f>
        <v/>
      </c>
    </row>
    <row r="77">
      <c r="A77" s="3906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  <c r="J77" s="3905" t="n"/>
      <c r="K77" s="3876">
        <f>IF(A77="","",SUM(E77:J77))</f>
        <v/>
      </c>
    </row>
    <row r="78">
      <c r="A78" s="3906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  <c r="J78" s="3905" t="n"/>
      <c r="K78" s="3876">
        <f>IF(A78="","",SUM(E78:J78))</f>
        <v/>
      </c>
    </row>
    <row r="79">
      <c r="A79" s="3906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  <c r="J79" s="3905" t="n"/>
      <c r="K79" s="3876">
        <f>IF(A79="","",SUM(E79:J79))</f>
        <v/>
      </c>
    </row>
    <row r="80">
      <c r="A80" s="3906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  <c r="J80" s="3905" t="n"/>
      <c r="K80" s="3876">
        <f>IF(A80="","",SUM(E80:J80))</f>
        <v/>
      </c>
    </row>
    <row r="81">
      <c r="A81" s="3906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  <c r="J81" s="3905" t="n"/>
      <c r="K81" s="3876">
        <f>IF(A81="","",SUM(E81:J81))</f>
        <v/>
      </c>
    </row>
    <row r="82">
      <c r="A82" s="3906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  <c r="J82" s="3905" t="n"/>
      <c r="K82" s="3876">
        <f>IF(A82="","",SUM(E82:J82))</f>
        <v/>
      </c>
    </row>
    <row r="83">
      <c r="A83" s="3906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  <c r="J83" s="3905" t="n"/>
      <c r="K83" s="3876">
        <f>IF(A83="","",SUM(E83:J83))</f>
        <v/>
      </c>
    </row>
    <row r="84">
      <c r="A84" s="3906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  <c r="J84" s="3905" t="n"/>
      <c r="K84" s="3876">
        <f>IF(A84="","",SUM(E84:J84))</f>
        <v/>
      </c>
    </row>
    <row r="85">
      <c r="A85" s="3906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  <c r="J85" s="3905" t="n"/>
      <c r="K85" s="3876">
        <f>IF(A85="","",SUM(E85:J85))</f>
        <v/>
      </c>
    </row>
    <row r="86">
      <c r="A86" s="3906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  <c r="J86" s="3905" t="n"/>
      <c r="K86" s="3876">
        <f>IF(A86="","",SUM(E86:J86))</f>
        <v/>
      </c>
    </row>
    <row r="87">
      <c r="A87" s="3906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  <c r="J87" s="3905" t="n"/>
      <c r="K87" s="3876">
        <f>IF(A87="","",SUM(E87:J87))</f>
        <v/>
      </c>
    </row>
    <row r="88">
      <c r="A88" s="3906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  <c r="J88" s="3905" t="n"/>
      <c r="K88" s="3876">
        <f>IF(A88="","",SUM(E88:J88))</f>
        <v/>
      </c>
    </row>
    <row r="89">
      <c r="A89" s="3906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  <c r="J89" s="3905" t="n"/>
      <c r="K89" s="3876">
        <f>IF(A89="","",SUM(E89:J89))</f>
        <v/>
      </c>
    </row>
    <row r="90">
      <c r="A90" s="3906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  <c r="J90" s="3905" t="n"/>
      <c r="K90" s="3876">
        <f>IF(A90="","",SUM(E90:J90))</f>
        <v/>
      </c>
    </row>
    <row r="91">
      <c r="A91" s="3906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  <c r="J91" s="3905" t="n"/>
      <c r="K91" s="3876">
        <f>IF(A91="","",SUM(E91:J91))</f>
        <v/>
      </c>
    </row>
    <row r="92">
      <c r="A92" s="3906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  <c r="J92" s="3905" t="n"/>
      <c r="K92" s="3876">
        <f>IF(A92="","",SUM(E92:J92))</f>
        <v/>
      </c>
    </row>
    <row r="93">
      <c r="A93" s="3906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  <c r="J93" s="3905" t="n"/>
      <c r="K93" s="3876">
        <f>IF(A93="","",SUM(E93:J93))</f>
        <v/>
      </c>
    </row>
    <row r="94">
      <c r="A94" s="3906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  <c r="J94" s="3905" t="n"/>
      <c r="K94" s="3876">
        <f>IF(A94="","",SUM(E94:J94))</f>
        <v/>
      </c>
    </row>
    <row r="95">
      <c r="A95" s="3906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  <c r="J95" s="3905" t="n"/>
      <c r="K95" s="3876">
        <f>IF(A95="","",SUM(E95:J95))</f>
        <v/>
      </c>
    </row>
    <row r="96">
      <c r="A96" s="3906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  <c r="J96" s="3905" t="n"/>
      <c r="K96" s="3876">
        <f>IF(A96="","",SUM(E96:J96))</f>
        <v/>
      </c>
    </row>
    <row r="97">
      <c r="A97" s="3906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  <c r="J97" s="3905" t="n"/>
      <c r="K97" s="3876">
        <f>IF(A97="","",SUM(E97:J97))</f>
        <v/>
      </c>
    </row>
    <row r="98">
      <c r="A98" s="3906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  <c r="J98" s="3905" t="n"/>
      <c r="K98" s="3876">
        <f>IF(A98="","",SUM(E98:J98))</f>
        <v/>
      </c>
    </row>
    <row r="99">
      <c r="A99" s="3906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  <c r="J99" s="3905" t="n"/>
      <c r="K99" s="3876">
        <f>IF(A99="","",SUM(E99:J99))</f>
        <v/>
      </c>
    </row>
    <row r="100">
      <c r="A100" s="3906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  <c r="J100" s="3905" t="n"/>
      <c r="K100" s="3876">
        <f>IF(A100="","",SUM(E100:J100))</f>
        <v/>
      </c>
    </row>
    <row r="101">
      <c r="A101" s="3906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  <c r="J101" s="3905" t="n"/>
      <c r="K101" s="3876">
        <f>IF(A101="","",SUM(E101:J101))</f>
        <v/>
      </c>
    </row>
    <row r="102">
      <c r="A102" s="3906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  <c r="J102" s="3905" t="n"/>
      <c r="K102" s="3876">
        <f>IF(A102="","",SUM(E102:J102))</f>
        <v/>
      </c>
    </row>
    <row r="103">
      <c r="A103" s="3906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  <c r="J103" s="3905" t="n"/>
      <c r="K103" s="3876">
        <f>IF(A103="","",SUM(E103:J103))</f>
        <v/>
      </c>
    </row>
    <row r="104">
      <c r="A104" s="3906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  <c r="J104" s="3905" t="n"/>
      <c r="K104" s="3876">
        <f>IF(A104="","",SUM(E104:J104))</f>
        <v/>
      </c>
    </row>
    <row r="105">
      <c r="A105" s="3906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  <c r="J105" s="3905" t="n"/>
      <c r="K105" s="3876">
        <f>IF(A105="","",SUM(E105:J105))</f>
        <v/>
      </c>
    </row>
    <row r="106">
      <c r="A106" s="3906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  <c r="J106" s="3905" t="n"/>
      <c r="K106" s="3876">
        <f>IF(A106="","",SUM(E106:J106))</f>
        <v/>
      </c>
    </row>
    <row r="107">
      <c r="A107" s="3906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  <c r="J107" s="3905" t="n"/>
      <c r="K107" s="3876">
        <f>IF(A107="","",SUM(E107:J107))</f>
        <v/>
      </c>
    </row>
    <row r="108">
      <c r="A108" s="3906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  <c r="J108" s="3905" t="n"/>
      <c r="K108" s="3876">
        <f>IF(A108="","",SUM(E108:J108))</f>
        <v/>
      </c>
    </row>
    <row r="109">
      <c r="A109" s="3906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  <c r="J109" s="3905" t="n"/>
      <c r="K109" s="3876">
        <f>IF(A109="","",SUM(E109:J109))</f>
        <v/>
      </c>
    </row>
    <row r="110">
      <c r="A110" s="3906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  <c r="J110" s="3905" t="n"/>
      <c r="K110" s="3876">
        <f>IF(A110="","",SUM(E110:J110))</f>
        <v/>
      </c>
    </row>
    <row r="111">
      <c r="A111" s="3906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  <c r="J111" s="3905" t="n"/>
      <c r="K111" s="3876">
        <f>IF(A111="","",SUM(E111:J111))</f>
        <v/>
      </c>
    </row>
    <row r="112">
      <c r="A112" s="3906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  <c r="J112" s="3905" t="n"/>
      <c r="K112" s="3876">
        <f>IF(A112="","",SUM(E112:J112))</f>
        <v/>
      </c>
    </row>
    <row r="113">
      <c r="A113" s="3906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  <c r="J113" s="3905" t="n"/>
      <c r="K113" s="3876">
        <f>IF(A113="","",SUM(E113:J113))</f>
        <v/>
      </c>
    </row>
    <row r="114">
      <c r="A114" s="3906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  <c r="J114" s="3905" t="n"/>
      <c r="K114" s="3876">
        <f>IF(A114="","",SUM(E114:J114))</f>
        <v/>
      </c>
    </row>
    <row r="115">
      <c r="A115" s="3906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  <c r="J115" s="3905" t="n"/>
      <c r="K115" s="3876">
        <f>IF(A115="","",SUM(E115:J115))</f>
        <v/>
      </c>
    </row>
    <row r="116">
      <c r="A116" s="3906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  <c r="J116" s="3905" t="n"/>
      <c r="K116" s="3876">
        <f>IF(A116="","",SUM(E116:J116))</f>
        <v/>
      </c>
    </row>
    <row r="117">
      <c r="A117" s="3906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  <c r="J117" s="3905" t="n"/>
      <c r="K117" s="3876">
        <f>IF(A117="","",SUM(E117:J117))</f>
        <v/>
      </c>
    </row>
    <row r="118">
      <c r="A118" s="3906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  <c r="J118" s="3905" t="n"/>
      <c r="K118" s="3876">
        <f>IF(A118="","",SUM(E118:J118))</f>
        <v/>
      </c>
    </row>
    <row r="119">
      <c r="A119" s="3906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  <c r="J119" s="3905" t="n"/>
      <c r="K119" s="3876">
        <f>IF(A119="","",SUM(E119:J119))</f>
        <v/>
      </c>
    </row>
    <row r="120">
      <c r="A120" s="3906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  <c r="J120" s="3905" t="n"/>
      <c r="K120" s="3876">
        <f>IF(A120="","",SUM(E120:J120))</f>
        <v/>
      </c>
    </row>
    <row r="121">
      <c r="A121" s="3906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  <c r="J121" s="3905" t="n"/>
      <c r="K121" s="3876">
        <f>IF(A121="","",SUM(E121:J121))</f>
        <v/>
      </c>
    </row>
    <row r="122">
      <c r="A122" s="3906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  <c r="J122" s="3905" t="n"/>
      <c r="K122" s="3876">
        <f>IF(A122="","",SUM(E122:J122))</f>
        <v/>
      </c>
    </row>
    <row r="123">
      <c r="A123" s="3906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  <c r="J123" s="3905" t="n"/>
      <c r="K123" s="3876">
        <f>IF(A123="","",SUM(E123:J123))</f>
        <v/>
      </c>
    </row>
    <row r="124">
      <c r="A124" s="3906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  <c r="J124" s="3905" t="n"/>
      <c r="K124" s="3876">
        <f>IF(A124="","",SUM(E124:J124))</f>
        <v/>
      </c>
    </row>
    <row r="125">
      <c r="A125" s="3906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  <c r="J125" s="3905" t="n"/>
      <c r="K125" s="3876">
        <f>IF(A125="","",SUM(E125:J125))</f>
        <v/>
      </c>
    </row>
    <row r="126">
      <c r="A126" s="3906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  <c r="J126" s="3905" t="n"/>
      <c r="K126" s="3876">
        <f>IF(A126="","",SUM(E126:J126))</f>
        <v/>
      </c>
    </row>
    <row r="127">
      <c r="A127" s="3906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  <c r="J127" s="3905" t="n"/>
      <c r="K127" s="3876">
        <f>IF(A127="","",SUM(E127:J127))</f>
        <v/>
      </c>
    </row>
    <row r="128">
      <c r="A128" s="3906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  <c r="J128" s="3905" t="n"/>
      <c r="K128" s="3876">
        <f>IF(A128="","",SUM(E128:J128))</f>
        <v/>
      </c>
    </row>
    <row r="129">
      <c r="A129" s="3906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  <c r="J129" s="3905" t="n"/>
      <c r="K129" s="3876">
        <f>IF(A129="","",SUM(E129:J129))</f>
        <v/>
      </c>
    </row>
    <row r="130">
      <c r="A130" s="3906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  <c r="J130" s="3905" t="n"/>
      <c r="K130" s="3876">
        <f>IF(A130="","",SUM(E130:J130))</f>
        <v/>
      </c>
    </row>
    <row r="131">
      <c r="A131" s="3906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  <c r="J131" s="3905" t="n"/>
      <c r="K131" s="3876">
        <f>IF(A131="","",SUM(E131:J131))</f>
        <v/>
      </c>
    </row>
    <row r="132">
      <c r="A132" s="3906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  <c r="J132" s="3905" t="n"/>
      <c r="K132" s="3876">
        <f>IF(A132="","",SUM(E132:J132))</f>
        <v/>
      </c>
    </row>
    <row r="133">
      <c r="A133" s="3906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  <c r="J133" s="3905" t="n"/>
      <c r="K133" s="3876">
        <f>IF(A133="","",SUM(E133:J133))</f>
        <v/>
      </c>
    </row>
    <row r="134">
      <c r="A134" s="3906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  <c r="J134" s="3905" t="n"/>
      <c r="K134" s="3876">
        <f>IF(A134="","",SUM(E134:J134))</f>
        <v/>
      </c>
    </row>
    <row r="135">
      <c r="A135" s="3906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  <c r="J135" s="3905" t="n"/>
      <c r="K135" s="3876">
        <f>IF(A135="","",SUM(E135:J135))</f>
        <v/>
      </c>
    </row>
    <row r="136">
      <c r="A136" s="3906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  <c r="J136" s="3905" t="n"/>
      <c r="K136" s="3876">
        <f>IF(A136="","",SUM(E136:J136))</f>
        <v/>
      </c>
    </row>
    <row r="137">
      <c r="A137" s="3906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  <c r="J137" s="3905" t="n"/>
      <c r="K137" s="3876">
        <f>IF(A137="","",SUM(E137:J137))</f>
        <v/>
      </c>
    </row>
    <row r="138">
      <c r="A138" s="3906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  <c r="J138" s="3905" t="n"/>
      <c r="K138" s="3876">
        <f>IF(A138="","",SUM(E138:J138))</f>
        <v/>
      </c>
    </row>
    <row r="139">
      <c r="A139" s="3906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  <c r="J139" s="3905" t="n"/>
      <c r="K139" s="3876">
        <f>IF(A139="","",SUM(E139:J139))</f>
        <v/>
      </c>
    </row>
    <row r="140">
      <c r="A140" s="3906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  <c r="J140" s="3905" t="n"/>
      <c r="K140" s="3876">
        <f>IF(A140="","",SUM(E140:J140))</f>
        <v/>
      </c>
    </row>
    <row r="141">
      <c r="A141" s="3906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  <c r="J141" s="3905" t="n"/>
      <c r="K141" s="3876">
        <f>IF(A141="","",SUM(E141:J141))</f>
        <v/>
      </c>
    </row>
    <row r="142">
      <c r="A142" s="3906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  <c r="J142" s="3905" t="n"/>
      <c r="K142" s="3876">
        <f>IF(A142="","",SUM(E142:J142))</f>
        <v/>
      </c>
    </row>
    <row r="143">
      <c r="A143" s="3906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  <c r="J143" s="3905" t="n"/>
      <c r="K143" s="3876">
        <f>IF(A143="","",SUM(E143:J143))</f>
        <v/>
      </c>
    </row>
    <row r="144">
      <c r="A144" s="3906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  <c r="J144" s="3905" t="n"/>
      <c r="K144" s="3876">
        <f>IF(A144="","",SUM(E144:J144))</f>
        <v/>
      </c>
    </row>
    <row r="145">
      <c r="A145" s="3906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  <c r="J145" s="3905" t="n"/>
      <c r="K145" s="3876">
        <f>IF(A145="","",SUM(E145:J145))</f>
        <v/>
      </c>
    </row>
    <row r="146">
      <c r="A146" s="3906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  <c r="J146" s="3905" t="n"/>
      <c r="K146" s="3876">
        <f>IF(A146="","",SUM(E146:J146))</f>
        <v/>
      </c>
    </row>
    <row r="147">
      <c r="A147" s="3906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  <c r="J147" s="3905" t="n"/>
      <c r="K147" s="3876">
        <f>IF(A147="","",SUM(E147:J147))</f>
        <v/>
      </c>
    </row>
    <row r="148">
      <c r="A148" s="3906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  <c r="J148" s="3905" t="n"/>
      <c r="K148" s="3876">
        <f>IF(A148="","",SUM(E148:J148))</f>
        <v/>
      </c>
    </row>
    <row r="149">
      <c r="A149" s="3906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  <c r="J149" s="3905" t="n"/>
      <c r="K149" s="3876">
        <f>IF(A149="","",SUM(E149:J149))</f>
        <v/>
      </c>
    </row>
    <row r="150">
      <c r="A150" s="3906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  <c r="J150" s="3905" t="n"/>
      <c r="K150" s="3876">
        <f>IF(A150="","",SUM(E150:J150))</f>
        <v/>
      </c>
    </row>
    <row r="151">
      <c r="A151" s="3906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  <c r="J151" s="3905" t="n"/>
      <c r="K151" s="3876">
        <f>IF(A151="","",SUM(E151:J151))</f>
        <v/>
      </c>
    </row>
    <row r="152">
      <c r="A152" s="3906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  <c r="J152" s="3905" t="n"/>
      <c r="K152" s="3876">
        <f>IF(A152="","",SUM(E152:J152))</f>
        <v/>
      </c>
    </row>
    <row r="153">
      <c r="A153" s="3906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  <c r="J153" s="3905" t="n"/>
      <c r="K153" s="3876">
        <f>IF(A153="","",SUM(E153:J153))</f>
        <v/>
      </c>
    </row>
    <row r="154">
      <c r="A154" s="3906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  <c r="J154" s="3905" t="n"/>
      <c r="K154" s="3876">
        <f>IF(A154="","",SUM(E154:J154))</f>
        <v/>
      </c>
    </row>
    <row r="155">
      <c r="A155" s="3906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  <c r="J155" s="3905" t="n"/>
      <c r="K155" s="3876">
        <f>IF(A155="","",SUM(E155:J155))</f>
        <v/>
      </c>
    </row>
    <row r="156">
      <c r="A156" s="3906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  <c r="J156" s="3905" t="n"/>
      <c r="K156" s="3876">
        <f>IF(A156="","",SUM(E156:J156))</f>
        <v/>
      </c>
    </row>
    <row r="157">
      <c r="A157" s="3906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  <c r="J157" s="3905" t="n"/>
      <c r="K157" s="3876">
        <f>IF(A157="","",SUM(E157:J157))</f>
        <v/>
      </c>
    </row>
    <row r="158">
      <c r="A158" s="3906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  <c r="J158" s="3905" t="n"/>
      <c r="K158" s="3876">
        <f>IF(A158="","",SUM(E158:J158))</f>
        <v/>
      </c>
    </row>
    <row r="159">
      <c r="A159" s="3906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  <c r="J159" s="3905" t="n"/>
      <c r="K159" s="3876">
        <f>IF(A159="","",SUM(E159:J159))</f>
        <v/>
      </c>
    </row>
    <row r="160">
      <c r="A160" s="3906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  <c r="J160" s="3905" t="n"/>
      <c r="K160" s="3876">
        <f>IF(A160="","",SUM(E160:J160))</f>
        <v/>
      </c>
    </row>
    <row r="161">
      <c r="A161" s="3906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  <c r="J161" s="3905" t="n"/>
      <c r="K161" s="3876">
        <f>IF(A161="","",SUM(E161:J161))</f>
        <v/>
      </c>
    </row>
    <row r="162">
      <c r="A162" s="3906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  <c r="J162" s="3905" t="n"/>
      <c r="K162" s="3876">
        <f>IF(A162="","",SUM(E162:J162))</f>
        <v/>
      </c>
    </row>
    <row r="163">
      <c r="A163" s="3906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  <c r="J163" s="3905" t="n"/>
      <c r="K163" s="3876">
        <f>IF(A163="","",SUM(E163:J163))</f>
        <v/>
      </c>
    </row>
    <row r="164">
      <c r="A164" s="3906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  <c r="J164" s="3905" t="n"/>
      <c r="K164" s="3876">
        <f>IF(A164="","",SUM(E164:J164))</f>
        <v/>
      </c>
    </row>
    <row r="165">
      <c r="A165" s="3906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  <c r="J165" s="3905" t="n"/>
      <c r="K165" s="3876">
        <f>IF(A165="","",SUM(E165:J165))</f>
        <v/>
      </c>
    </row>
    <row r="166">
      <c r="A166" s="3906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  <c r="J166" s="3905" t="n"/>
      <c r="K166" s="3876">
        <f>IF(A166="","",SUM(E166:J166))</f>
        <v/>
      </c>
    </row>
    <row r="167">
      <c r="A167" s="3906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  <c r="J167" s="3905" t="n"/>
      <c r="K167" s="3876">
        <f>IF(A167="","",SUM(E167:J167))</f>
        <v/>
      </c>
    </row>
    <row r="168">
      <c r="A168" s="3906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  <c r="J168" s="3905" t="n"/>
      <c r="K168" s="3876">
        <f>IF(A168="","",SUM(E168:J168))</f>
        <v/>
      </c>
    </row>
    <row r="169">
      <c r="A169" s="3906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  <c r="J169" s="3905" t="n"/>
      <c r="K169" s="3876">
        <f>IF(A169="","",SUM(E169:J169))</f>
        <v/>
      </c>
    </row>
    <row r="170">
      <c r="A170" s="3906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  <c r="J170" s="3905" t="n"/>
      <c r="K170" s="3876">
        <f>IF(A170="","",SUM(E170:J170))</f>
        <v/>
      </c>
    </row>
    <row r="171">
      <c r="A171" s="3906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  <c r="J171" s="3905" t="n"/>
      <c r="K171" s="3876">
        <f>IF(A171="","",SUM(E171:J171))</f>
        <v/>
      </c>
    </row>
    <row r="172">
      <c r="A172" s="3906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  <c r="J172" s="3905" t="n"/>
      <c r="K172" s="3876">
        <f>IF(A172="","",SUM(E172:J172))</f>
        <v/>
      </c>
    </row>
    <row r="173">
      <c r="A173" s="3906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  <c r="J173" s="3905" t="n"/>
      <c r="K173" s="3876">
        <f>IF(A173="","",SUM(E173:J173))</f>
        <v/>
      </c>
    </row>
    <row r="174">
      <c r="A174" s="3906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  <c r="J174" s="3905" t="n"/>
      <c r="K174" s="3876">
        <f>IF(A174="","",SUM(E174:J174))</f>
        <v/>
      </c>
    </row>
    <row r="175">
      <c r="A175" s="3906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  <c r="J175" s="3905" t="n"/>
      <c r="K175" s="3876">
        <f>IF(A175="","",SUM(E175:J175))</f>
        <v/>
      </c>
    </row>
    <row r="176">
      <c r="A176" s="3906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  <c r="J176" s="3905" t="n"/>
      <c r="K176" s="3876">
        <f>IF(A176="","",SUM(E176:J176))</f>
        <v/>
      </c>
    </row>
    <row r="177">
      <c r="A177" s="3906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  <c r="J177" s="3905" t="n"/>
      <c r="K177" s="3876">
        <f>IF(A177="","",SUM(E177:J177))</f>
        <v/>
      </c>
    </row>
    <row r="178">
      <c r="A178" s="3906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  <c r="J178" s="3905" t="n"/>
      <c r="K178" s="3876">
        <f>IF(A178="","",SUM(E178:J178))</f>
        <v/>
      </c>
    </row>
    <row r="179">
      <c r="A179" s="3906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  <c r="J179" s="3905" t="n"/>
      <c r="K179" s="3876">
        <f>IF(A179="","",SUM(E179:J179))</f>
        <v/>
      </c>
    </row>
    <row r="180">
      <c r="A180" s="3906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  <c r="J180" s="3905" t="n"/>
      <c r="K180" s="3876">
        <f>IF(A180="","",SUM(E180:J180))</f>
        <v/>
      </c>
    </row>
    <row r="181">
      <c r="A181" s="3906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  <c r="J181" s="3905" t="n"/>
      <c r="K181" s="3876">
        <f>IF(A181="","",SUM(E181:J181))</f>
        <v/>
      </c>
    </row>
    <row r="182">
      <c r="A182" s="3906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  <c r="J182" s="3905" t="n"/>
      <c r="K182" s="3876">
        <f>IF(A182="","",SUM(E182:J182))</f>
        <v/>
      </c>
    </row>
    <row r="183">
      <c r="A183" s="3906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  <c r="J183" s="3905" t="n"/>
      <c r="K183" s="3876">
        <f>IF(A183="","",SUM(E183:J183))</f>
        <v/>
      </c>
    </row>
    <row r="184">
      <c r="A184" s="3906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  <c r="J184" s="3905" t="n"/>
      <c r="K184" s="3876">
        <f>IF(A184="","",SUM(E184:J184))</f>
        <v/>
      </c>
    </row>
    <row r="185">
      <c r="A185" s="3906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  <c r="J185" s="3905" t="n"/>
      <c r="K185" s="3876">
        <f>IF(A185="","",SUM(E185:J185))</f>
        <v/>
      </c>
    </row>
    <row r="186">
      <c r="A186" s="3906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  <c r="J186" s="3905" t="n"/>
      <c r="K186" s="3876">
        <f>IF(A186="","",SUM(E186:J186))</f>
        <v/>
      </c>
    </row>
    <row r="187">
      <c r="A187" s="3906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  <c r="J187" s="3905" t="n"/>
      <c r="K187" s="3876">
        <f>IF(A187="","",SUM(E187:J187))</f>
        <v/>
      </c>
    </row>
    <row r="188">
      <c r="A188" s="3906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  <c r="J188" s="3905" t="n"/>
      <c r="K188" s="3876">
        <f>IF(A188="","",SUM(E188:J188))</f>
        <v/>
      </c>
    </row>
    <row r="189">
      <c r="A189" s="3906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  <c r="J189" s="3905" t="n"/>
      <c r="K189" s="3876">
        <f>IF(A189="","",SUM(E189:J189))</f>
        <v/>
      </c>
    </row>
    <row r="190">
      <c r="A190" s="3906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  <c r="J190" s="3905" t="n"/>
      <c r="K190" s="3876">
        <f>IF(A190="","",SUM(E190:J190))</f>
        <v/>
      </c>
    </row>
    <row r="191">
      <c r="A191" s="3906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  <c r="J191" s="3905" t="n"/>
      <c r="K191" s="3876">
        <f>IF(A191="","",SUM(E191:J191))</f>
        <v/>
      </c>
    </row>
    <row r="192">
      <c r="A192" s="3906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  <c r="J192" s="3905" t="n"/>
      <c r="K192" s="3876">
        <f>IF(A192="","",SUM(E192:J192))</f>
        <v/>
      </c>
    </row>
    <row r="193">
      <c r="A193" s="3906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  <c r="J193" s="3905" t="n"/>
      <c r="K193" s="3876">
        <f>IF(A193="","",SUM(E193:J193))</f>
        <v/>
      </c>
    </row>
    <row r="194">
      <c r="A194" s="3906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  <c r="J194" s="3905" t="n"/>
      <c r="K194" s="3876">
        <f>IF(A194="","",SUM(E194:J194))</f>
        <v/>
      </c>
    </row>
    <row r="195">
      <c r="A195" s="3906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  <c r="J195" s="3905" t="n"/>
      <c r="K195" s="3876">
        <f>IF(A195="","",SUM(E195:J195))</f>
        <v/>
      </c>
    </row>
    <row r="196">
      <c r="A196" s="3906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  <c r="J196" s="3905" t="n"/>
      <c r="K196" s="3876">
        <f>IF(A196="","",SUM(E196:J196))</f>
        <v/>
      </c>
    </row>
    <row r="197">
      <c r="A197" s="3906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  <c r="J197" s="3905" t="n"/>
      <c r="K197" s="3876">
        <f>IF(A197="","",SUM(E197:J197))</f>
        <v/>
      </c>
    </row>
    <row r="198">
      <c r="A198" s="3906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  <c r="J198" s="3905" t="n"/>
      <c r="K198" s="3876">
        <f>IF(A198="","",SUM(E198:J198))</f>
        <v/>
      </c>
    </row>
    <row r="199">
      <c r="A199" s="3906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  <c r="J199" s="3905" t="n"/>
      <c r="K199" s="3876">
        <f>IF(A199="","",SUM(E199:J199))</f>
        <v/>
      </c>
    </row>
    <row r="200">
      <c r="A200" s="3906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  <c r="J200" s="3905" t="n"/>
      <c r="K200" s="3876">
        <f>IF(A200="","",SUM(E200:J200))</f>
        <v/>
      </c>
    </row>
    <row r="201">
      <c r="A201" s="3906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  <c r="J201" s="3905" t="n"/>
      <c r="K201" s="3876">
        <f>IF(A201="","",SUM(E201:J201))</f>
        <v/>
      </c>
    </row>
    <row r="202">
      <c r="A202" s="3906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  <c r="J202" s="3905" t="n"/>
      <c r="K202" s="3876">
        <f>IF(A202="","",SUM(E202:J202))</f>
        <v/>
      </c>
    </row>
    <row r="203">
      <c r="A203" s="3906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  <c r="J203" s="3905" t="n"/>
      <c r="K203" s="3876">
        <f>IF(A203="","",SUM(E203:J203))</f>
        <v/>
      </c>
    </row>
    <row r="204">
      <c r="A204" s="3906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  <c r="J204" s="3905" t="n"/>
      <c r="K204" s="3876">
        <f>IF(A204="","",SUM(E204:J204))</f>
        <v/>
      </c>
    </row>
    <row r="205">
      <c r="A205" s="3906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  <c r="J205" s="3905" t="n"/>
      <c r="K205" s="3876">
        <f>IF(A205="","",SUM(E205:J205))</f>
        <v/>
      </c>
    </row>
    <row r="206">
      <c r="A206" s="3906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  <c r="J206" s="3905" t="n"/>
      <c r="K206" s="3876">
        <f>IF(A206="","",SUM(E206:J206))</f>
        <v/>
      </c>
    </row>
    <row r="207">
      <c r="A207" s="3906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  <c r="J207" s="3905" t="n"/>
      <c r="K207" s="3876">
        <f>IF(A207="","",SUM(E207:J207))</f>
        <v/>
      </c>
    </row>
    <row r="208">
      <c r="A208" s="3906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  <c r="J208" s="3905" t="n"/>
      <c r="K208" s="3876">
        <f>IF(A208="","",SUM(E208:J208))</f>
        <v/>
      </c>
    </row>
    <row r="209">
      <c r="A209" s="3906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  <c r="J209" s="3905" t="n"/>
      <c r="K209" s="3876">
        <f>IF(A209="","",SUM(E209:J209))</f>
        <v/>
      </c>
    </row>
    <row r="210">
      <c r="A210" s="3906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  <c r="J210" s="3905" t="n"/>
      <c r="K210" s="3876">
        <f>IF(A210="","",SUM(E210:J210))</f>
        <v/>
      </c>
    </row>
    <row r="211">
      <c r="A211" s="3906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  <c r="J211" s="3905" t="n"/>
      <c r="K211" s="3876">
        <f>IF(A211="","",SUM(E211:J211))</f>
        <v/>
      </c>
    </row>
    <row r="212">
      <c r="A212" s="3906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  <c r="J212" s="3905" t="n"/>
      <c r="K212" s="3876">
        <f>IF(A212="","",SUM(E212:J212))</f>
        <v/>
      </c>
    </row>
    <row r="213">
      <c r="A213" s="3906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  <c r="J213" s="3905" t="n"/>
      <c r="K213" s="3876">
        <f>IF(A213="","",SUM(E213:J213))</f>
        <v/>
      </c>
    </row>
    <row r="214">
      <c r="A214" s="3906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  <c r="J214" s="3905" t="n"/>
      <c r="K214" s="3876">
        <f>IF(A214="","",SUM(E214:J214))</f>
        <v/>
      </c>
    </row>
    <row r="215">
      <c r="A215" s="3906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  <c r="J215" s="3905" t="n"/>
      <c r="K215" s="3876">
        <f>IF(A215="","",SUM(E215:J215))</f>
        <v/>
      </c>
    </row>
    <row r="216">
      <c r="A216" s="3906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  <c r="J216" s="3905" t="n"/>
      <c r="K216" s="3876">
        <f>IF(A216="","",SUM(E216:J216))</f>
        <v/>
      </c>
    </row>
    <row r="217">
      <c r="A217" s="3906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  <c r="J217" s="3905" t="n"/>
      <c r="K217" s="3876">
        <f>IF(A217="","",SUM(E217:J217))</f>
        <v/>
      </c>
    </row>
    <row r="218">
      <c r="A218" s="3906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  <c r="J218" s="3905" t="n"/>
      <c r="K218" s="3876">
        <f>IF(A218="","",SUM(E218:J218))</f>
        <v/>
      </c>
    </row>
    <row r="219">
      <c r="A219" s="3906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  <c r="J219" s="3905" t="n"/>
      <c r="K219" s="3876">
        <f>IF(A219="","",SUM(E219:J219))</f>
        <v/>
      </c>
    </row>
    <row r="220">
      <c r="A220" s="3906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  <c r="J220" s="3905" t="n"/>
      <c r="K220" s="3876">
        <f>IF(A220="","",SUM(E220:J220))</f>
        <v/>
      </c>
    </row>
    <row r="221">
      <c r="A221" s="3906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  <c r="J221" s="3905" t="n"/>
      <c r="K221" s="3876">
        <f>IF(A221="","",SUM(E221:J221))</f>
        <v/>
      </c>
    </row>
    <row r="222">
      <c r="A222" s="3906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  <c r="J222" s="3905" t="n"/>
      <c r="K222" s="3876">
        <f>IF(A222="","",SUM(E222:J222))</f>
        <v/>
      </c>
    </row>
    <row r="223">
      <c r="A223" s="3906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  <c r="J223" s="3905" t="n"/>
      <c r="K223" s="3876">
        <f>IF(A223="","",SUM(E223:J223))</f>
        <v/>
      </c>
    </row>
    <row r="224">
      <c r="A224" s="3906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  <c r="J224" s="3905" t="n"/>
      <c r="K224" s="3876">
        <f>IF(A224="","",SUM(E224:J224))</f>
        <v/>
      </c>
    </row>
    <row r="225">
      <c r="A225" s="3906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  <c r="J225" s="3905" t="n"/>
      <c r="K225" s="3876">
        <f>IF(A225="","",SUM(E225:J225))</f>
        <v/>
      </c>
    </row>
    <row r="226">
      <c r="A226" s="3906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  <c r="J226" s="3905" t="n"/>
      <c r="K226" s="3876">
        <f>IF(A226="","",SUM(E226:J226))</f>
        <v/>
      </c>
    </row>
    <row r="227">
      <c r="A227" s="3906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  <c r="J227" s="3905" t="n"/>
      <c r="K227" s="3876">
        <f>IF(A227="","",SUM(E227:J227))</f>
        <v/>
      </c>
    </row>
    <row r="228">
      <c r="A228" s="3906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  <c r="J228" s="3905" t="n"/>
      <c r="K228" s="3876">
        <f>IF(A228="","",SUM(E228:J228))</f>
        <v/>
      </c>
    </row>
    <row r="229">
      <c r="A229" s="3906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  <c r="J229" s="3905" t="n"/>
      <c r="K229" s="3876">
        <f>IF(A229="","",SUM(E229:J229))</f>
        <v/>
      </c>
    </row>
    <row r="230">
      <c r="A230" s="3906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  <c r="J230" s="3905" t="n"/>
      <c r="K230" s="3876">
        <f>IF(A230="","",SUM(E230:J230))</f>
        <v/>
      </c>
    </row>
    <row r="231">
      <c r="A231" s="3906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  <c r="J231" s="3905" t="n"/>
      <c r="K231" s="3876">
        <f>IF(A231="","",SUM(E231:J231))</f>
        <v/>
      </c>
    </row>
    <row r="232">
      <c r="A232" s="3906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  <c r="J232" s="3905" t="n"/>
      <c r="K232" s="3876">
        <f>IF(A232="","",SUM(E232:J232))</f>
        <v/>
      </c>
    </row>
    <row r="233">
      <c r="A233" s="3906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  <c r="J233" s="3905" t="n"/>
      <c r="K233" s="3876">
        <f>IF(A233="","",SUM(E233:J233))</f>
        <v/>
      </c>
    </row>
    <row r="234">
      <c r="A234" s="3906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  <c r="J234" s="3905" t="n"/>
      <c r="K234" s="3876">
        <f>IF(A234="","",SUM(E234:J234))</f>
        <v/>
      </c>
    </row>
    <row r="235">
      <c r="A235" s="3906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  <c r="J235" s="3905" t="n"/>
      <c r="K235" s="3876">
        <f>IF(A235="","",SUM(E235:J235))</f>
        <v/>
      </c>
    </row>
    <row r="236">
      <c r="A236" s="3906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  <c r="J236" s="3905" t="n"/>
      <c r="K236" s="3876">
        <f>IF(A236="","",SUM(E236:J236))</f>
        <v/>
      </c>
    </row>
    <row r="237">
      <c r="A237" s="3906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  <c r="J237" s="3905" t="n"/>
      <c r="K237" s="3876">
        <f>IF(A237="","",SUM(E237:J237))</f>
        <v/>
      </c>
    </row>
    <row r="238">
      <c r="A238" s="3906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  <c r="J238" s="3905" t="n"/>
      <c r="K238" s="3876">
        <f>IF(A238="","",SUM(E238:J238))</f>
        <v/>
      </c>
    </row>
    <row r="239">
      <c r="A239" s="3906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  <c r="J239" s="3905" t="n"/>
      <c r="K239" s="3876">
        <f>IF(A239="","",SUM(E239:J239))</f>
        <v/>
      </c>
    </row>
    <row r="240">
      <c r="A240" s="3906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  <c r="J240" s="3905" t="n"/>
      <c r="K240" s="3876">
        <f>IF(A240="","",SUM(E240:J240))</f>
        <v/>
      </c>
    </row>
    <row r="241">
      <c r="A241" s="3906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  <c r="J241" s="3905" t="n"/>
      <c r="K241" s="3876">
        <f>IF(A241="","",SUM(E241:J241))</f>
        <v/>
      </c>
    </row>
    <row r="242">
      <c r="A242" s="3906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  <c r="J242" s="3905" t="n"/>
      <c r="K242" s="3876">
        <f>IF(A242="","",SUM(E242:J242))</f>
        <v/>
      </c>
    </row>
    <row r="243">
      <c r="A243" s="3906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  <c r="J243" s="3905" t="n"/>
      <c r="K243" s="3876">
        <f>IF(A243="","",SUM(E243:J243))</f>
        <v/>
      </c>
    </row>
    <row r="244">
      <c r="A244" s="3906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  <c r="J244" s="3905" t="n"/>
      <c r="K244" s="3876">
        <f>IF(A244="","",SUM(E244:J244))</f>
        <v/>
      </c>
    </row>
    <row r="245">
      <c r="A245" s="3906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  <c r="J245" s="3905" t="n"/>
      <c r="K245" s="3876">
        <f>IF(A245="","",SUM(E245:J245))</f>
        <v/>
      </c>
    </row>
    <row r="246">
      <c r="A246" s="3906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  <c r="J246" s="3905" t="n"/>
      <c r="K246" s="3876">
        <f>IF(A246="","",SUM(E246:J246))</f>
        <v/>
      </c>
    </row>
    <row r="247">
      <c r="A247" s="3906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  <c r="J247" s="3905" t="n"/>
      <c r="K247" s="3876">
        <f>IF(A247="","",SUM(E247:J247))</f>
        <v/>
      </c>
    </row>
    <row r="248">
      <c r="A248" s="3906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  <c r="J248" s="3905" t="n"/>
      <c r="K248" s="3876">
        <f>IF(A248="","",SUM(E248:J248))</f>
        <v/>
      </c>
    </row>
    <row r="249">
      <c r="A249" s="3906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  <c r="J249" s="3905" t="n"/>
      <c r="K249" s="3876">
        <f>IF(A249="","",SUM(E249:J249))</f>
        <v/>
      </c>
    </row>
    <row r="250">
      <c r="A250" s="3906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  <c r="J250" s="3905" t="n"/>
      <c r="K250" s="3876">
        <f>IF(A250="","",SUM(E250:J250))</f>
        <v/>
      </c>
    </row>
    <row r="251">
      <c r="A251" s="3906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  <c r="J251" s="3905" t="n"/>
      <c r="K251" s="3876">
        <f>IF(A251="","",SUM(E251:J251))</f>
        <v/>
      </c>
    </row>
    <row r="252">
      <c r="A252" s="3906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  <c r="J252" s="3905" t="n"/>
      <c r="K252" s="3876">
        <f>IF(A252="","",SUM(E252:J252))</f>
        <v/>
      </c>
    </row>
    <row r="253">
      <c r="A253" s="3906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  <c r="J253" s="3905" t="n"/>
      <c r="K253" s="3876">
        <f>IF(A253="","",SUM(E253:J253))</f>
        <v/>
      </c>
    </row>
    <row r="254">
      <c r="A254" s="3906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  <c r="J254" s="3905" t="n"/>
      <c r="K254" s="3876">
        <f>IF(A254="","",SUM(E254:J254))</f>
        <v/>
      </c>
    </row>
    <row r="255">
      <c r="A255" s="3906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  <c r="J255" s="3905" t="n"/>
      <c r="K255" s="3876">
        <f>IF(A255="","",SUM(E255:J255))</f>
        <v/>
      </c>
    </row>
    <row r="256">
      <c r="A256" s="3906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  <c r="J256" s="3905" t="n"/>
      <c r="K256" s="3876">
        <f>IF(A256="","",SUM(E256:J256))</f>
        <v/>
      </c>
    </row>
    <row r="257">
      <c r="A257" s="3906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  <c r="J257" s="3905" t="n"/>
      <c r="K257" s="3876">
        <f>IF(A257="","",SUM(E257:J257))</f>
        <v/>
      </c>
    </row>
    <row r="258">
      <c r="A258" s="3906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  <c r="J258" s="3905" t="n"/>
      <c r="K258" s="3876">
        <f>IF(A258="","",SUM(E258:J258))</f>
        <v/>
      </c>
    </row>
    <row r="259">
      <c r="A259" s="3906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  <c r="J259" s="3905" t="n"/>
      <c r="K259" s="3876">
        <f>IF(A259="","",SUM(E259:J259))</f>
        <v/>
      </c>
    </row>
    <row r="260">
      <c r="A260" s="3906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  <c r="J260" s="3905" t="n"/>
      <c r="K260" s="3876">
        <f>IF(A260="","",SUM(E260:J260))</f>
        <v/>
      </c>
    </row>
    <row r="261">
      <c r="A261" s="3906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  <c r="J261" s="3905" t="n"/>
      <c r="K261" s="3876">
        <f>IF(A261="","",SUM(E261:J261))</f>
        <v/>
      </c>
    </row>
    <row r="262">
      <c r="A262" s="3906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  <c r="J262" s="3905" t="n"/>
      <c r="K262" s="3876">
        <f>IF(A262="","",SUM(E262:J262))</f>
        <v/>
      </c>
    </row>
    <row r="263">
      <c r="A263" s="3906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  <c r="J263" s="3905" t="n"/>
      <c r="K263" s="3876">
        <f>IF(A263="","",SUM(E263:J263))</f>
        <v/>
      </c>
    </row>
    <row r="264">
      <c r="A264" s="3906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  <c r="J264" s="3905" t="n"/>
      <c r="K264" s="3876">
        <f>IF(A264="","",SUM(E264:J264))</f>
        <v/>
      </c>
    </row>
    <row r="265">
      <c r="A265" s="3906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  <c r="J265" s="3905" t="n"/>
      <c r="K265" s="3876">
        <f>IF(A265="","",SUM(E265:J265))</f>
        <v/>
      </c>
    </row>
    <row r="266">
      <c r="A266" s="3906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  <c r="J266" s="3905" t="n"/>
      <c r="K266" s="3876">
        <f>IF(A266="","",SUM(E266:J266))</f>
        <v/>
      </c>
    </row>
    <row r="267">
      <c r="A267" s="3906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  <c r="J267" s="3905" t="n"/>
      <c r="K267" s="3876">
        <f>IF(A267="","",SUM(E267:J267))</f>
        <v/>
      </c>
    </row>
    <row r="268">
      <c r="A268" s="3906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  <c r="J268" s="3905" t="n"/>
      <c r="K268" s="3876">
        <f>IF(A268="","",SUM(E268:J268))</f>
        <v/>
      </c>
    </row>
    <row r="269">
      <c r="A269" s="3906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  <c r="J269" s="3905" t="n"/>
      <c r="K269" s="3876">
        <f>IF(A269="","",SUM(E269:J269))</f>
        <v/>
      </c>
    </row>
    <row r="270">
      <c r="A270" s="3906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  <c r="J270" s="3905" t="n"/>
      <c r="K270" s="3876">
        <f>IF(A270="","",SUM(E270:J270))</f>
        <v/>
      </c>
    </row>
    <row r="271">
      <c r="A271" s="3906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  <c r="J271" s="3905" t="n"/>
      <c r="K271" s="3876">
        <f>IF(A271="","",SUM(E271:J271))</f>
        <v/>
      </c>
    </row>
    <row r="272">
      <c r="A272" s="3906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  <c r="J272" s="3905" t="n"/>
      <c r="K272" s="3876">
        <f>IF(A272="","",SUM(E272:J272))</f>
        <v/>
      </c>
    </row>
    <row r="273">
      <c r="A273" s="3906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  <c r="J273" s="3905" t="n"/>
      <c r="K273" s="3876">
        <f>IF(A273="","",SUM(E273:J273))</f>
        <v/>
      </c>
    </row>
    <row r="274">
      <c r="A274" s="3906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  <c r="J274" s="3905" t="n"/>
      <c r="K274" s="3876">
        <f>IF(A274="","",SUM(E274:J274))</f>
        <v/>
      </c>
    </row>
    <row r="275">
      <c r="A275" s="3906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  <c r="J275" s="3905" t="n"/>
      <c r="K275" s="3876">
        <f>IF(A275="","",SUM(E275:J275))</f>
        <v/>
      </c>
    </row>
    <row r="276">
      <c r="A276" s="3906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  <c r="J276" s="3905" t="n"/>
      <c r="K276" s="3876">
        <f>IF(A276="","",SUM(E276:J276))</f>
        <v/>
      </c>
    </row>
    <row r="277">
      <c r="A277" s="3906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  <c r="J277" s="3905" t="n"/>
      <c r="K277" s="3876">
        <f>IF(A277="","",SUM(E277:J277))</f>
        <v/>
      </c>
    </row>
    <row r="278">
      <c r="A278" s="3906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  <c r="J278" s="3905" t="n"/>
      <c r="K278" s="3876">
        <f>IF(A278="","",SUM(E278:J278))</f>
        <v/>
      </c>
    </row>
    <row r="279">
      <c r="A279" s="3906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  <c r="J279" s="3905" t="n"/>
      <c r="K279" s="3876">
        <f>IF(A279="","",SUM(E279:J279))</f>
        <v/>
      </c>
    </row>
    <row r="280">
      <c r="A280" s="3906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  <c r="J280" s="3905" t="n"/>
      <c r="K280" s="3876">
        <f>IF(A280="","",SUM(E280:J280))</f>
        <v/>
      </c>
    </row>
    <row r="281">
      <c r="A281" s="3906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  <c r="J281" s="3905" t="n"/>
      <c r="K281" s="3876">
        <f>IF(A281="","",SUM(E281:J281))</f>
        <v/>
      </c>
    </row>
    <row r="282">
      <c r="A282" s="3906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  <c r="J282" s="3905" t="n"/>
      <c r="K282" s="3876">
        <f>IF(A282="","",SUM(E282:J282))</f>
        <v/>
      </c>
    </row>
    <row r="283">
      <c r="A283" s="3906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  <c r="J283" s="3905" t="n"/>
      <c r="K283" s="3876">
        <f>IF(A283="","",SUM(E283:J283))</f>
        <v/>
      </c>
    </row>
    <row r="284">
      <c r="A284" s="3906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  <c r="J284" s="3905" t="n"/>
      <c r="K284" s="3876">
        <f>IF(A284="","",SUM(E284:J284))</f>
        <v/>
      </c>
    </row>
    <row r="285">
      <c r="A285" s="3906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  <c r="J285" s="3905" t="n"/>
      <c r="K285" s="3876">
        <f>IF(A285="","",SUM(E285:J285))</f>
        <v/>
      </c>
    </row>
    <row r="286">
      <c r="A286" s="3906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  <c r="J286" s="3905" t="n"/>
      <c r="K286" s="3876">
        <f>IF(A286="","",SUM(E286:J286))</f>
        <v/>
      </c>
    </row>
    <row r="287">
      <c r="A287" s="3906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  <c r="J287" s="3905" t="n"/>
      <c r="K287" s="3876">
        <f>IF(A287="","",SUM(E287:J287))</f>
        <v/>
      </c>
    </row>
    <row r="288">
      <c r="A288" s="3906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  <c r="J288" s="3905" t="n"/>
      <c r="K288" s="3876">
        <f>IF(A288="","",SUM(E288:J288))</f>
        <v/>
      </c>
    </row>
    <row r="289">
      <c r="A289" s="3906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  <c r="J289" s="3905" t="n"/>
      <c r="K289" s="3876">
        <f>IF(A289="","",SUM(E289:J289))</f>
        <v/>
      </c>
    </row>
    <row r="290">
      <c r="A290" s="3906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  <c r="J290" s="3905" t="n"/>
      <c r="K290" s="3876">
        <f>IF(A290="","",SUM(E290:J290))</f>
        <v/>
      </c>
    </row>
    <row r="291">
      <c r="A291" s="3906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  <c r="J291" s="3905" t="n"/>
      <c r="K291" s="3876">
        <f>IF(A291="","",SUM(E291:J291))</f>
        <v/>
      </c>
    </row>
    <row r="292">
      <c r="A292" s="3906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  <c r="J292" s="3905" t="n"/>
      <c r="K292" s="3876">
        <f>IF(A292="","",SUM(E292:J292))</f>
        <v/>
      </c>
    </row>
    <row r="293">
      <c r="A293" s="3906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  <c r="J293" s="3905" t="n"/>
      <c r="K293" s="3876">
        <f>IF(A293="","",SUM(E293:J293))</f>
        <v/>
      </c>
    </row>
    <row r="294">
      <c r="A294" s="3906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  <c r="J294" s="3905" t="n"/>
      <c r="K294" s="3876">
        <f>IF(A294="","",SUM(E294:J294))</f>
        <v/>
      </c>
    </row>
    <row r="295">
      <c r="A295" s="3906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  <c r="J295" s="3905" t="n"/>
      <c r="K295" s="3876">
        <f>IF(A295="","",SUM(E295:J295))</f>
        <v/>
      </c>
    </row>
    <row r="296">
      <c r="A296" s="3906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  <c r="J296" s="3905" t="n"/>
      <c r="K296" s="3876">
        <f>IF(A296="","",SUM(E296:J296))</f>
        <v/>
      </c>
    </row>
    <row r="297">
      <c r="A297" s="3906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  <c r="J297" s="3905" t="n"/>
      <c r="K297" s="3876">
        <f>IF(A297="","",SUM(E297:J297))</f>
        <v/>
      </c>
    </row>
    <row r="298">
      <c r="A298" s="3906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  <c r="J298" s="3905" t="n"/>
      <c r="K298" s="3876">
        <f>IF(A298="","",SUM(E298:J298))</f>
        <v/>
      </c>
    </row>
    <row r="299">
      <c r="A299" s="3906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  <c r="J299" s="3905" t="n"/>
      <c r="K299" s="3876">
        <f>IF(A299="","",SUM(E299:J299))</f>
        <v/>
      </c>
    </row>
    <row r="300">
      <c r="A300" s="3906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  <c r="J300" s="3905" t="n"/>
      <c r="K300" s="3876">
        <f>IF(A300="","",SUM(E300:J300))</f>
        <v/>
      </c>
    </row>
    <row r="301">
      <c r="A301" s="3906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  <c r="J301" s="3905" t="n"/>
      <c r="K301" s="3876">
        <f>IF(A301="","",SUM(E301:J301))</f>
        <v/>
      </c>
    </row>
    <row r="302">
      <c r="A302" s="3906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  <c r="J302" s="3905" t="n"/>
      <c r="K302" s="3876">
        <f>IF(A302="","",SUM(E302:J302))</f>
        <v/>
      </c>
    </row>
    <row r="303">
      <c r="A303" s="3906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  <c r="J303" s="3905" t="n"/>
      <c r="K303" s="3876">
        <f>IF(A303="","",SUM(E303:J303))</f>
        <v/>
      </c>
    </row>
    <row r="304">
      <c r="A304" s="3906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  <c r="J304" s="3905" t="n"/>
      <c r="K304" s="3876">
        <f>IF(A304="","",SUM(E304:J304))</f>
        <v/>
      </c>
    </row>
    <row r="305">
      <c r="A305" s="3906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  <c r="J305" s="3905" t="n"/>
      <c r="K305" s="3876">
        <f>IF(A305="","",SUM(E305:J305))</f>
        <v/>
      </c>
    </row>
    <row r="306">
      <c r="A306" s="3906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  <c r="J306" s="3905" t="n"/>
      <c r="K306" s="3876">
        <f>IF(A306="","",SUM(E306:J306))</f>
        <v/>
      </c>
    </row>
    <row r="307">
      <c r="A307" s="3906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  <c r="J307" s="3905" t="n"/>
      <c r="K307" s="3876">
        <f>IF(A307="","",SUM(E307:J307))</f>
        <v/>
      </c>
    </row>
    <row r="308">
      <c r="A308" s="3906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  <c r="J308" s="3905" t="n"/>
      <c r="K308" s="3876">
        <f>IF(A308="","",SUM(E308:J308))</f>
        <v/>
      </c>
    </row>
    <row r="309">
      <c r="A309" s="3906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  <c r="J309" s="3905" t="n"/>
      <c r="K309" s="3876">
        <f>IF(A309="","",SUM(E309:J309))</f>
        <v/>
      </c>
    </row>
    <row r="310">
      <c r="A310" s="3906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  <c r="J310" s="3905" t="n"/>
      <c r="K310" s="3876">
        <f>IF(A310="","",SUM(E310:J310))</f>
        <v/>
      </c>
    </row>
    <row r="311">
      <c r="A311" s="3906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  <c r="J311" s="3905" t="n"/>
      <c r="K311" s="3876">
        <f>IF(A311="","",SUM(E311:J311))</f>
        <v/>
      </c>
    </row>
    <row r="312">
      <c r="A312" s="3906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  <c r="J312" s="3905" t="n"/>
      <c r="K312" s="3876">
        <f>IF(A312="","",SUM(E312:J312))</f>
        <v/>
      </c>
    </row>
    <row r="313">
      <c r="A313" s="3906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  <c r="J313" s="3905" t="n"/>
      <c r="K313" s="3876">
        <f>IF(A313="","",SUM(E313:J313))</f>
        <v/>
      </c>
    </row>
    <row r="314">
      <c r="A314" s="3906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  <c r="J314" s="3905" t="n"/>
      <c r="K314" s="3876">
        <f>IF(A314="","",SUM(E314:J314))</f>
        <v/>
      </c>
    </row>
    <row r="315">
      <c r="A315" s="3906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  <c r="J315" s="3905" t="n"/>
      <c r="K315" s="3876">
        <f>IF(A315="","",SUM(E315:J315))</f>
        <v/>
      </c>
    </row>
    <row r="316">
      <c r="A316" s="3906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  <c r="J316" s="3905" t="n"/>
      <c r="K316" s="3876">
        <f>IF(A316="","",SUM(E316:J316))</f>
        <v/>
      </c>
    </row>
    <row r="317">
      <c r="A317" s="3906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  <c r="J317" s="3905" t="n"/>
      <c r="K317" s="3876">
        <f>IF(A317="","",SUM(E317:J317))</f>
        <v/>
      </c>
    </row>
    <row r="318">
      <c r="A318" s="3906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  <c r="J318" s="3905" t="n"/>
      <c r="K318" s="3876">
        <f>IF(A318="","",SUM(E318:J318))</f>
        <v/>
      </c>
    </row>
    <row r="319">
      <c r="A319" s="3906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  <c r="J319" s="3905" t="n"/>
      <c r="K319" s="3876">
        <f>IF(A319="","",SUM(E319:J319))</f>
        <v/>
      </c>
    </row>
    <row r="320">
      <c r="A320" s="3906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  <c r="J320" s="3905" t="n"/>
      <c r="K320" s="3876">
        <f>IF(A320="","",SUM(E320:J320))</f>
        <v/>
      </c>
    </row>
    <row r="321">
      <c r="A321" s="3906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  <c r="J321" s="3905" t="n"/>
      <c r="K321" s="3876">
        <f>IF(A321="","",SUM(E321:J321))</f>
        <v/>
      </c>
    </row>
    <row r="322">
      <c r="A322" s="3906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  <c r="J322" s="3905" t="n"/>
      <c r="K322" s="3876">
        <f>IF(A322="","",SUM(E322:J322))</f>
        <v/>
      </c>
    </row>
    <row r="323">
      <c r="A323" s="3906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  <c r="J323" s="3905" t="n"/>
      <c r="K323" s="3876">
        <f>IF(A323="","",SUM(E323:J323))</f>
        <v/>
      </c>
    </row>
    <row r="324">
      <c r="A324" s="3906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  <c r="J324" s="3905" t="n"/>
      <c r="K324" s="3876">
        <f>IF(A324="","",SUM(E324:J324))</f>
        <v/>
      </c>
    </row>
    <row r="325">
      <c r="A325" s="3906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  <c r="J325" s="3905" t="n"/>
      <c r="K325" s="3876">
        <f>IF(A325="","",SUM(E325:J325))</f>
        <v/>
      </c>
    </row>
    <row r="326">
      <c r="A326" s="3906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  <c r="J326" s="3905" t="n"/>
      <c r="K326" s="3876">
        <f>IF(A326="","",SUM(E326:J326))</f>
        <v/>
      </c>
    </row>
    <row r="327">
      <c r="A327" s="3906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  <c r="J327" s="3905" t="n"/>
      <c r="K327" s="3876">
        <f>IF(A327="","",SUM(E327:J327))</f>
        <v/>
      </c>
    </row>
    <row r="328">
      <c r="A328" s="3906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  <c r="J328" s="3905" t="n"/>
      <c r="K328" s="3876">
        <f>IF(A328="","",SUM(E328:J328))</f>
        <v/>
      </c>
    </row>
    <row r="329">
      <c r="A329" s="3906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  <c r="J329" s="3905" t="n"/>
      <c r="K329" s="3876">
        <f>IF(A329="","",SUM(E329:J329))</f>
        <v/>
      </c>
    </row>
    <row r="330">
      <c r="A330" s="3906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  <c r="J330" s="3905" t="n"/>
      <c r="K330" s="3876">
        <f>IF(A330="","",SUM(E330:J330))</f>
        <v/>
      </c>
    </row>
    <row r="331">
      <c r="A331" s="3906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  <c r="J331" s="3905" t="n"/>
      <c r="K331" s="3876">
        <f>IF(A331="","",SUM(E331:J331))</f>
        <v/>
      </c>
    </row>
    <row r="332">
      <c r="A332" s="3906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  <c r="J332" s="3905" t="n"/>
      <c r="K332" s="3876">
        <f>IF(A332="","",SUM(E332:J332))</f>
        <v/>
      </c>
    </row>
    <row r="333">
      <c r="A333" s="3906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  <c r="J333" s="3905" t="n"/>
      <c r="K333" s="3876">
        <f>IF(A333="","",SUM(E333:J333))</f>
        <v/>
      </c>
    </row>
    <row r="334">
      <c r="A334" s="3906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  <c r="J334" s="3905" t="n"/>
      <c r="K334" s="3876">
        <f>IF(A334="","",SUM(E334:J334))</f>
        <v/>
      </c>
    </row>
    <row r="335">
      <c r="A335" s="3906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  <c r="J335" s="3905" t="n"/>
      <c r="K335" s="3876">
        <f>IF(A335="","",SUM(E335:J335))</f>
        <v/>
      </c>
    </row>
    <row r="336">
      <c r="A336" s="3906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  <c r="J336" s="3905" t="n"/>
      <c r="K336" s="3876">
        <f>IF(A336="","",SUM(E336:J336))</f>
        <v/>
      </c>
    </row>
    <row r="337">
      <c r="A337" s="3906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  <c r="J337" s="3905" t="n"/>
      <c r="K337" s="3876">
        <f>IF(A337="","",SUM(E337:J337))</f>
        <v/>
      </c>
    </row>
    <row r="338">
      <c r="A338" s="3906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  <c r="J338" s="3905" t="n"/>
      <c r="K338" s="3876">
        <f>IF(A338="","",SUM(E338:J338))</f>
        <v/>
      </c>
    </row>
    <row r="339">
      <c r="A339" s="3906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  <c r="J339" s="3905" t="n"/>
      <c r="K339" s="3876">
        <f>IF(A339="","",SUM(E339:J339))</f>
        <v/>
      </c>
    </row>
    <row r="340">
      <c r="A340" s="3906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  <c r="J340" s="3905" t="n"/>
      <c r="K340" s="3876">
        <f>IF(A340="","",SUM(E340:J340))</f>
        <v/>
      </c>
    </row>
    <row r="341">
      <c r="A341" s="3906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  <c r="J341" s="3905" t="n"/>
      <c r="K341" s="3876">
        <f>IF(A341="","",SUM(E341:J341))</f>
        <v/>
      </c>
    </row>
    <row r="342">
      <c r="A342" s="3906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  <c r="J342" s="3905" t="n"/>
      <c r="K342" s="3876">
        <f>IF(A342="","",SUM(E342:J342))</f>
        <v/>
      </c>
    </row>
    <row r="343">
      <c r="A343" s="3906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  <c r="J343" s="3905" t="n"/>
      <c r="K343" s="3876">
        <f>IF(A343="","",SUM(E343:J343))</f>
        <v/>
      </c>
    </row>
    <row r="344">
      <c r="A344" s="3906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  <c r="J344" s="3905" t="n"/>
      <c r="K344" s="3876">
        <f>IF(A344="","",SUM(E344:J344))</f>
        <v/>
      </c>
    </row>
    <row r="345">
      <c r="A345" s="3906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  <c r="J345" s="3905" t="n"/>
      <c r="K345" s="3876">
        <f>IF(A345="","",SUM(E345:J345))</f>
        <v/>
      </c>
    </row>
    <row r="346">
      <c r="A346" s="3906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  <c r="J346" s="3905" t="n"/>
      <c r="K346" s="3876">
        <f>IF(A346="","",SUM(E346:J346))</f>
        <v/>
      </c>
    </row>
    <row r="347">
      <c r="A347" s="3906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  <c r="J347" s="3905" t="n"/>
      <c r="K347" s="3876">
        <f>IF(A347="","",SUM(E347:J347))</f>
        <v/>
      </c>
    </row>
    <row r="348">
      <c r="A348" s="3906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  <c r="J348" s="3905" t="n"/>
      <c r="K348" s="3876">
        <f>IF(A348="","",SUM(E348:J348))</f>
        <v/>
      </c>
    </row>
    <row r="349">
      <c r="A349" s="3906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  <c r="J349" s="3905" t="n"/>
      <c r="K349" s="3876">
        <f>IF(A349="","",SUM(E349:J349))</f>
        <v/>
      </c>
    </row>
    <row r="350">
      <c r="A350" s="3906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  <c r="J350" s="3905" t="n"/>
      <c r="K350" s="3876">
        <f>IF(A350="","",SUM(E350:J350))</f>
        <v/>
      </c>
    </row>
    <row r="351">
      <c r="A351" s="3906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  <c r="J351" s="3905" t="n"/>
      <c r="K351" s="3876">
        <f>IF(A351="","",SUM(E351:J351))</f>
        <v/>
      </c>
    </row>
    <row r="352">
      <c r="A352" s="3906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  <c r="J352" s="3905" t="n"/>
      <c r="K352" s="3876">
        <f>IF(A352="","",SUM(E352:J352))</f>
        <v/>
      </c>
    </row>
    <row r="353">
      <c r="A353" s="3906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  <c r="J353" s="3905" t="n"/>
      <c r="K353" s="3876">
        <f>IF(A353="","",SUM(E353:J353))</f>
        <v/>
      </c>
    </row>
    <row r="354">
      <c r="A354" s="3906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  <c r="J354" s="3905" t="n"/>
      <c r="K354" s="3876">
        <f>IF(A354="","",SUM(E354:J354))</f>
        <v/>
      </c>
    </row>
    <row r="355">
      <c r="A355" s="3906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  <c r="J355" s="3905" t="n"/>
      <c r="K355" s="3876">
        <f>IF(A355="","",SUM(E355:J355))</f>
        <v/>
      </c>
    </row>
    <row r="356">
      <c r="A356" s="3906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  <c r="J356" s="3905" t="n"/>
      <c r="K356" s="3876">
        <f>IF(A356="","",SUM(E356:J356))</f>
        <v/>
      </c>
    </row>
    <row r="357">
      <c r="A357" s="3906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  <c r="J357" s="3905" t="n"/>
      <c r="K357" s="3876">
        <f>IF(A357="","",SUM(E357:J357))</f>
        <v/>
      </c>
    </row>
    <row r="358">
      <c r="A358" s="3906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  <c r="J358" s="3905" t="n"/>
      <c r="K358" s="3876">
        <f>IF(A358="","",SUM(E358:J358))</f>
        <v/>
      </c>
    </row>
    <row r="359">
      <c r="A359" s="3906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  <c r="J359" s="3905" t="n"/>
      <c r="K359" s="3876">
        <f>IF(A359="","",SUM(E359:J359))</f>
        <v/>
      </c>
    </row>
    <row r="360">
      <c r="A360" s="3906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  <c r="J360" s="3905" t="n"/>
      <c r="K360" s="3876">
        <f>IF(A360="","",SUM(E360:J360))</f>
        <v/>
      </c>
    </row>
    <row r="361">
      <c r="A361" s="3906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  <c r="J361" s="3905" t="n"/>
      <c r="K361" s="3876">
        <f>IF(A361="","",SUM(E361:J361))</f>
        <v/>
      </c>
    </row>
    <row r="362">
      <c r="A362" s="3906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  <c r="J362" s="3905" t="n"/>
      <c r="K362" s="3876">
        <f>IF(A362="","",SUM(E362:J362))</f>
        <v/>
      </c>
    </row>
    <row r="363">
      <c r="A363" s="3906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  <c r="J363" s="3905" t="n"/>
      <c r="K363" s="3876">
        <f>IF(A363="","",SUM(E363:J363))</f>
        <v/>
      </c>
    </row>
    <row r="364">
      <c r="A364" s="3906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  <c r="J364" s="3905" t="n"/>
      <c r="K364" s="3876">
        <f>IF(A364="","",SUM(E364:J364))</f>
        <v/>
      </c>
    </row>
    <row r="365">
      <c r="A365" s="3906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  <c r="J365" s="3905" t="n"/>
      <c r="K365" s="3876">
        <f>IF(A365="","",SUM(E365:J365))</f>
        <v/>
      </c>
    </row>
    <row r="366">
      <c r="A366" s="3906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  <c r="J366" s="3905" t="n"/>
      <c r="K366" s="3876">
        <f>IF(A366="","",SUM(E366:J366))</f>
        <v/>
      </c>
    </row>
    <row r="367">
      <c r="A367" s="3906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  <c r="J367" s="3905" t="n"/>
      <c r="K367" s="3876">
        <f>IF(A367="","",SUM(E367:J367))</f>
        <v/>
      </c>
    </row>
    <row r="368">
      <c r="A368" s="3906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  <c r="J368" s="3905" t="n"/>
      <c r="K368" s="3876">
        <f>IF(A368="","",SUM(E368:J368))</f>
        <v/>
      </c>
    </row>
    <row r="369">
      <c r="A369" s="3906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  <c r="J369" s="3905" t="n"/>
      <c r="K369" s="3876">
        <f>IF(A369="","",SUM(E369:J369))</f>
        <v/>
      </c>
    </row>
    <row r="370">
      <c r="A370" s="3906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  <c r="J370" s="3905" t="n"/>
      <c r="K370" s="3876">
        <f>IF(A370="","",SUM(E370:J370))</f>
        <v/>
      </c>
    </row>
    <row r="371">
      <c r="A371" s="3906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  <c r="J371" s="3905" t="n"/>
      <c r="K371" s="3876">
        <f>IF(A371="","",SUM(E371:J371))</f>
        <v/>
      </c>
    </row>
    <row r="372">
      <c r="A372" s="3906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  <c r="J372" s="3905" t="n"/>
      <c r="K372" s="3876">
        <f>IF(A372="","",SUM(E372:J372))</f>
        <v/>
      </c>
    </row>
    <row r="373">
      <c r="A373" s="3906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  <c r="J373" s="3905" t="n"/>
      <c r="K373" s="3876">
        <f>IF(A373="","",SUM(E373:J373))</f>
        <v/>
      </c>
    </row>
    <row r="374">
      <c r="A374" s="3906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  <c r="J374" s="3905" t="n"/>
      <c r="K374" s="3876">
        <f>IF(A374="","",SUM(E374:J374))</f>
        <v/>
      </c>
    </row>
    <row r="375">
      <c r="A375" s="3906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  <c r="J375" s="3905" t="n"/>
      <c r="K375" s="3876">
        <f>IF(A375="","",SUM(E375:J375))</f>
        <v/>
      </c>
    </row>
    <row r="376">
      <c r="A376" s="3906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  <c r="J376" s="3905" t="n"/>
      <c r="K376" s="3876">
        <f>IF(A376="","",SUM(E376:J376))</f>
        <v/>
      </c>
    </row>
    <row r="377">
      <c r="A377" s="3906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  <c r="J377" s="3905" t="n"/>
      <c r="K377" s="3876">
        <f>IF(A377="","",SUM(E377:J377))</f>
        <v/>
      </c>
    </row>
    <row r="378">
      <c r="A378" s="3906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  <c r="J378" s="3905" t="n"/>
      <c r="K378" s="3876">
        <f>IF(A378="","",SUM(E378:J378))</f>
        <v/>
      </c>
    </row>
    <row r="379">
      <c r="A379" s="3906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  <c r="J379" s="3905" t="n"/>
      <c r="K379" s="3876">
        <f>IF(A379="","",SUM(E379:J379))</f>
        <v/>
      </c>
    </row>
    <row r="380">
      <c r="A380" s="3906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  <c r="J380" s="3905" t="n"/>
      <c r="K380" s="3876">
        <f>IF(A380="","",SUM(E380:J380))</f>
        <v/>
      </c>
    </row>
    <row r="381">
      <c r="A381" s="3906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  <c r="J381" s="3905" t="n"/>
      <c r="K381" s="3876">
        <f>IF(A381="","",SUM(E381:J381))</f>
        <v/>
      </c>
    </row>
    <row r="382">
      <c r="A382" s="3906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  <c r="J382" s="3905" t="n"/>
      <c r="K382" s="3876">
        <f>IF(A382="","",SUM(E382:J382))</f>
        <v/>
      </c>
    </row>
    <row r="383">
      <c r="A383" s="3906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  <c r="J383" s="3905" t="n"/>
      <c r="K383" s="3876">
        <f>IF(A383="","",SUM(E383:J383))</f>
        <v/>
      </c>
    </row>
    <row r="384">
      <c r="A384" s="3906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  <c r="J384" s="3905" t="n"/>
      <c r="K384" s="3876">
        <f>IF(A384="","",SUM(E384:J384))</f>
        <v/>
      </c>
    </row>
    <row r="385">
      <c r="A385" s="3906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  <c r="J385" s="3905" t="n"/>
      <c r="K385" s="3876">
        <f>IF(A385="","",SUM(E385:J385))</f>
        <v/>
      </c>
    </row>
    <row r="386">
      <c r="A386" s="3906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  <c r="J386" s="3905" t="n"/>
      <c r="K386" s="3876">
        <f>IF(A386="","",SUM(E386:J386))</f>
        <v/>
      </c>
    </row>
    <row r="387">
      <c r="A387" s="3906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  <c r="J387" s="3905" t="n"/>
      <c r="K387" s="3876">
        <f>IF(A387="","",SUM(E387:J387))</f>
        <v/>
      </c>
    </row>
    <row r="388">
      <c r="A388" s="3906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  <c r="J388" s="3905" t="n"/>
      <c r="K388" s="3876">
        <f>IF(A388="","",SUM(E388:J388))</f>
        <v/>
      </c>
    </row>
    <row r="389">
      <c r="A389" s="3906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  <c r="J389" s="3905" t="n"/>
      <c r="K389" s="3876">
        <f>IF(A389="","",SUM(E389:J389))</f>
        <v/>
      </c>
    </row>
    <row r="390">
      <c r="A390" s="3906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  <c r="J390" s="3905" t="n"/>
      <c r="K390" s="3876">
        <f>IF(A390="","",SUM(E390:J390))</f>
        <v/>
      </c>
    </row>
    <row r="391">
      <c r="A391" s="3906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  <c r="J391" s="3905" t="n"/>
      <c r="K391" s="3876">
        <f>IF(A391="","",SUM(E391:J391))</f>
        <v/>
      </c>
    </row>
    <row r="392">
      <c r="A392" s="3906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  <c r="J392" s="3905" t="n"/>
      <c r="K392" s="3876">
        <f>IF(A392="","",SUM(E392:J392))</f>
        <v/>
      </c>
    </row>
    <row r="393">
      <c r="A393" s="3906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  <c r="J393" s="3905" t="n"/>
      <c r="K393" s="3876">
        <f>IF(A393="","",SUM(E393:J393))</f>
        <v/>
      </c>
    </row>
    <row r="394">
      <c r="A394" s="3906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  <c r="J394" s="3905" t="n"/>
      <c r="K394" s="3876">
        <f>IF(A394="","",SUM(E394:J394))</f>
        <v/>
      </c>
    </row>
    <row r="395">
      <c r="A395" s="3906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  <c r="J395" s="3905" t="n"/>
      <c r="K395" s="3876">
        <f>IF(A395="","",SUM(E395:J395))</f>
        <v/>
      </c>
    </row>
    <row r="396">
      <c r="A396" s="3906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  <c r="J396" s="3905" t="n"/>
      <c r="K396" s="3876">
        <f>IF(A396="","",SUM(E396:J396))</f>
        <v/>
      </c>
    </row>
    <row r="397">
      <c r="A397" s="3906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  <c r="J397" s="3905" t="n"/>
      <c r="K397" s="3876">
        <f>IF(A397="","",SUM(E397:J397))</f>
        <v/>
      </c>
    </row>
    <row r="398">
      <c r="A398" s="3906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  <c r="J398" s="3905" t="n"/>
      <c r="K398" s="3876">
        <f>IF(A398="","",SUM(E398:J398))</f>
        <v/>
      </c>
    </row>
    <row r="399">
      <c r="A399" s="3906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  <c r="J399" s="3905" t="n"/>
      <c r="K399" s="3876">
        <f>IF(A399="","",SUM(E399:J399))</f>
        <v/>
      </c>
    </row>
    <row r="400">
      <c r="A400" s="3906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  <c r="J400" s="3905" t="n"/>
      <c r="K400" s="3876">
        <f>IF(A400="","",SUM(E400:J400))</f>
        <v/>
      </c>
    </row>
    <row r="401">
      <c r="A401" s="3906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  <c r="J401" s="3905" t="n"/>
      <c r="K401" s="3876">
        <f>IF(A401="","",SUM(E401:J401))</f>
        <v/>
      </c>
    </row>
    <row r="402">
      <c r="A402" s="3906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  <c r="J402" s="3905" t="n"/>
      <c r="K402" s="3876">
        <f>IF(A402="","",SUM(E402:J402))</f>
        <v/>
      </c>
    </row>
    <row r="403">
      <c r="A403" s="3906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  <c r="J403" s="3905" t="n"/>
      <c r="K403" s="3876">
        <f>IF(A403="","",SUM(E403:J403))</f>
        <v/>
      </c>
    </row>
    <row r="404">
      <c r="A404" s="3906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  <c r="J404" s="3905" t="n"/>
      <c r="K404" s="3876">
        <f>IF(A404="","",SUM(E404:J404))</f>
        <v/>
      </c>
    </row>
    <row r="405">
      <c r="A405" s="3906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  <c r="J405" s="3905" t="n"/>
      <c r="K405" s="3876">
        <f>IF(A405="","",SUM(E405:J405))</f>
        <v/>
      </c>
    </row>
    <row r="406">
      <c r="A406" s="3906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  <c r="J406" s="3905" t="n"/>
      <c r="K406" s="3876">
        <f>IF(A406="","",SUM(E406:J406))</f>
        <v/>
      </c>
    </row>
    <row r="407">
      <c r="A407" s="3906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  <c r="J407" s="3905" t="n"/>
      <c r="K407" s="3876">
        <f>IF(A407="","",SUM(E407:J407))</f>
        <v/>
      </c>
    </row>
    <row r="408">
      <c r="A408" s="3906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  <c r="J408" s="3905" t="n"/>
      <c r="K408" s="3876">
        <f>IF(A408="","",SUM(E408:J408))</f>
        <v/>
      </c>
    </row>
    <row r="409">
      <c r="A409" s="3906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  <c r="J409" s="3905" t="n"/>
      <c r="K409" s="3876">
        <f>IF(A409="","",SUM(E409:J409))</f>
        <v/>
      </c>
    </row>
    <row r="410">
      <c r="A410" s="3906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  <c r="J410" s="3905" t="n"/>
      <c r="K410" s="3876">
        <f>IF(A410="","",SUM(E410:J410))</f>
        <v/>
      </c>
    </row>
    <row r="411">
      <c r="A411" s="3906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  <c r="J411" s="3905" t="n"/>
      <c r="K411" s="3876">
        <f>IF(A411="","",SUM(E411:J411))</f>
        <v/>
      </c>
    </row>
    <row r="412">
      <c r="A412" s="3906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  <c r="J412" s="3905" t="n"/>
      <c r="K412" s="3876">
        <f>IF(A412="","",SUM(E412:J412))</f>
        <v/>
      </c>
    </row>
    <row r="413">
      <c r="A413" s="3906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  <c r="J413" s="3905" t="n"/>
      <c r="K413" s="3876">
        <f>IF(A413="","",SUM(E413:J413))</f>
        <v/>
      </c>
    </row>
    <row r="414">
      <c r="A414" s="3906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  <c r="J414" s="3905" t="n"/>
      <c r="K414" s="3876">
        <f>IF(A414="","",SUM(E414:J414))</f>
        <v/>
      </c>
    </row>
    <row r="415">
      <c r="A415" s="3906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  <c r="J415" s="3905" t="n"/>
      <c r="K415" s="3876">
        <f>IF(A415="","",SUM(E415:J415))</f>
        <v/>
      </c>
    </row>
    <row r="416">
      <c r="A416" s="3906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  <c r="J416" s="3905" t="n"/>
      <c r="K416" s="3876">
        <f>IF(A416="","",SUM(E416:J416))</f>
        <v/>
      </c>
    </row>
    <row r="417">
      <c r="A417" s="3906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  <c r="J417" s="3905" t="n"/>
      <c r="K417" s="3876">
        <f>IF(A417="","",SUM(E417:J417))</f>
        <v/>
      </c>
    </row>
    <row r="418">
      <c r="A418" s="3906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  <c r="J418" s="3905" t="n"/>
      <c r="K418" s="3876">
        <f>IF(A418="","",SUM(E418:J418))</f>
        <v/>
      </c>
    </row>
    <row r="419">
      <c r="A419" s="3906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  <c r="J419" s="3905" t="n"/>
      <c r="K419" s="3876">
        <f>IF(A419="","",SUM(E419:J419))</f>
        <v/>
      </c>
    </row>
    <row r="420">
      <c r="A420" s="3906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  <c r="J420" s="3905" t="n"/>
      <c r="K420" s="3876">
        <f>IF(A420="","",SUM(E420:J420))</f>
        <v/>
      </c>
    </row>
    <row r="421">
      <c r="A421" s="3906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  <c r="J421" s="3905" t="n"/>
      <c r="K421" s="3876">
        <f>IF(A421="","",SUM(E421:J421))</f>
        <v/>
      </c>
    </row>
    <row r="422">
      <c r="A422" s="3906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  <c r="J422" s="3905" t="n"/>
      <c r="K422" s="3876">
        <f>IF(A422="","",SUM(E422:J422))</f>
        <v/>
      </c>
    </row>
    <row r="423">
      <c r="A423" s="3906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  <c r="J423" s="3905" t="n"/>
      <c r="K423" s="3876">
        <f>IF(A423="","",SUM(E423:J423))</f>
        <v/>
      </c>
    </row>
    <row r="424">
      <c r="A424" s="3906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  <c r="J424" s="3905" t="n"/>
      <c r="K424" s="3876">
        <f>IF(A424="","",SUM(E424:J424))</f>
        <v/>
      </c>
    </row>
    <row r="425">
      <c r="A425" s="3906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  <c r="J425" s="3905" t="n"/>
      <c r="K425" s="3876">
        <f>IF(A425="","",SUM(E425:J425))</f>
        <v/>
      </c>
    </row>
    <row r="426">
      <c r="A426" s="3906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  <c r="J426" s="3905" t="n"/>
      <c r="K426" s="3876">
        <f>IF(A426="","",SUM(E426:J426))</f>
        <v/>
      </c>
    </row>
    <row r="427">
      <c r="A427" s="3906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  <c r="J427" s="3905" t="n"/>
      <c r="K427" s="3876">
        <f>IF(A427="","",SUM(E427:J427))</f>
        <v/>
      </c>
    </row>
    <row r="428">
      <c r="A428" s="3906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  <c r="J428" s="3905" t="n"/>
      <c r="K428" s="3876">
        <f>IF(A428="","",SUM(E428:J428))</f>
        <v/>
      </c>
    </row>
    <row r="429">
      <c r="A429" s="3906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  <c r="J429" s="3905" t="n"/>
      <c r="K429" s="3876">
        <f>IF(A429="","",SUM(E429:J429))</f>
        <v/>
      </c>
    </row>
    <row r="430">
      <c r="A430" s="3906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  <c r="J430" s="3905" t="n"/>
      <c r="K430" s="3876">
        <f>IF(A430="","",SUM(E430:J430))</f>
        <v/>
      </c>
    </row>
    <row r="431">
      <c r="A431" s="3906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  <c r="J431" s="3905" t="n"/>
      <c r="K431" s="3876">
        <f>IF(A431="","",SUM(E431:J431))</f>
        <v/>
      </c>
    </row>
    <row r="432">
      <c r="A432" s="3906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  <c r="J432" s="3905" t="n"/>
      <c r="K432" s="3876">
        <f>IF(A432="","",SUM(E432:J432))</f>
        <v/>
      </c>
    </row>
    <row r="433">
      <c r="A433" s="3906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  <c r="J433" s="3905" t="n"/>
      <c r="K433" s="3876">
        <f>IF(A433="","",SUM(E433:J433))</f>
        <v/>
      </c>
    </row>
    <row r="434">
      <c r="A434" s="3906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  <c r="J434" s="3905" t="n"/>
      <c r="K434" s="3876">
        <f>IF(A434="","",SUM(E434:J434))</f>
        <v/>
      </c>
    </row>
    <row r="435">
      <c r="A435" s="3906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  <c r="J435" s="3905" t="n"/>
      <c r="K435" s="3876">
        <f>IF(A435="","",SUM(E435:J435))</f>
        <v/>
      </c>
    </row>
    <row r="436">
      <c r="A436" s="3906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  <c r="J436" s="3905" t="n"/>
      <c r="K436" s="3876">
        <f>IF(A436="","",SUM(E436:J436))</f>
        <v/>
      </c>
    </row>
    <row r="437">
      <c r="A437" s="3906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  <c r="J437" s="3905" t="n"/>
      <c r="K437" s="3876">
        <f>IF(A437="","",SUM(E437:J437))</f>
        <v/>
      </c>
    </row>
    <row r="438">
      <c r="A438" s="3906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  <c r="J438" s="3905" t="n"/>
      <c r="K438" s="3876">
        <f>IF(A438="","",SUM(E438:J438))</f>
        <v/>
      </c>
    </row>
    <row r="439">
      <c r="A439" s="3906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  <c r="J439" s="3905" t="n"/>
      <c r="K439" s="3876">
        <f>IF(A439="","",SUM(E439:J439))</f>
        <v/>
      </c>
    </row>
    <row r="440">
      <c r="A440" s="3906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  <c r="J440" s="3905" t="n"/>
      <c r="K440" s="3876">
        <f>IF(A440="","",SUM(E440:J440))</f>
        <v/>
      </c>
    </row>
    <row r="441">
      <c r="A441" s="3906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  <c r="J441" s="3905" t="n"/>
      <c r="K441" s="3876">
        <f>IF(A441="","",SUM(E441:J441))</f>
        <v/>
      </c>
    </row>
    <row r="442">
      <c r="A442" s="3906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  <c r="J442" s="3905" t="n"/>
      <c r="K442" s="3876">
        <f>IF(A442="","",SUM(E442:J442))</f>
        <v/>
      </c>
    </row>
    <row r="443">
      <c r="A443" s="3906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  <c r="J443" s="3905" t="n"/>
      <c r="K443" s="3876">
        <f>IF(A443="","",SUM(E443:J443))</f>
        <v/>
      </c>
    </row>
    <row r="444">
      <c r="A444" s="3906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  <c r="J444" s="3905" t="n"/>
      <c r="K444" s="3876">
        <f>IF(A444="","",SUM(E444:J444))</f>
        <v/>
      </c>
    </row>
    <row r="445">
      <c r="A445" s="3906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  <c r="J445" s="3905" t="n"/>
      <c r="K445" s="3876">
        <f>IF(A445="","",SUM(E445:J445))</f>
        <v/>
      </c>
    </row>
    <row r="446">
      <c r="A446" s="3906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  <c r="J446" s="3905" t="n"/>
      <c r="K446" s="3876">
        <f>IF(A446="","",SUM(E446:J446))</f>
        <v/>
      </c>
    </row>
    <row r="447">
      <c r="A447" s="3906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  <c r="J447" s="3905" t="n"/>
      <c r="K447" s="3876">
        <f>IF(A447="","",SUM(E447:J447))</f>
        <v/>
      </c>
    </row>
    <row r="448">
      <c r="A448" s="3906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  <c r="J448" s="3905" t="n"/>
      <c r="K448" s="3876">
        <f>IF(A448="","",SUM(E448:J448))</f>
        <v/>
      </c>
    </row>
    <row r="449">
      <c r="A449" s="3906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  <c r="J449" s="3905" t="n"/>
      <c r="K449" s="3876">
        <f>IF(A449="","",SUM(E449:J449))</f>
        <v/>
      </c>
    </row>
    <row r="450">
      <c r="A450" s="3906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  <c r="J450" s="3905" t="n"/>
      <c r="K450" s="3876">
        <f>IF(A450="","",SUM(E450:J450))</f>
        <v/>
      </c>
    </row>
    <row r="451">
      <c r="A451" s="3906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  <c r="J451" s="3905" t="n"/>
      <c r="K451" s="3876">
        <f>IF(A451="","",SUM(E451:J451))</f>
        <v/>
      </c>
    </row>
    <row r="452">
      <c r="A452" s="3906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  <c r="J452" s="3905" t="n"/>
      <c r="K452" s="3876">
        <f>IF(A452="","",SUM(E452:J452))</f>
        <v/>
      </c>
    </row>
    <row r="453">
      <c r="A453" s="3906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  <c r="J453" s="3905" t="n"/>
      <c r="K453" s="3876">
        <f>IF(A453="","",SUM(E453:J453))</f>
        <v/>
      </c>
    </row>
    <row r="454">
      <c r="A454" s="3906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  <c r="J454" s="3905" t="n"/>
      <c r="K454" s="3876">
        <f>IF(A454="","",SUM(E454:J454))</f>
        <v/>
      </c>
    </row>
    <row r="455">
      <c r="A455" s="3906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  <c r="J455" s="3905" t="n"/>
      <c r="K455" s="3876">
        <f>IF(A455="","",SUM(E455:J455))</f>
        <v/>
      </c>
    </row>
    <row r="456">
      <c r="A456" s="3906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  <c r="J456" s="3905" t="n"/>
      <c r="K456" s="3876">
        <f>IF(A456="","",SUM(E456:J456))</f>
        <v/>
      </c>
    </row>
    <row r="457">
      <c r="A457" s="3906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  <c r="J457" s="3905" t="n"/>
      <c r="K457" s="3876">
        <f>IF(A457="","",SUM(E457:J457))</f>
        <v/>
      </c>
    </row>
    <row r="458">
      <c r="A458" s="3906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  <c r="J458" s="3905" t="n"/>
      <c r="K458" s="3876">
        <f>IF(A458="","",SUM(E458:J458))</f>
        <v/>
      </c>
    </row>
    <row r="459">
      <c r="A459" s="3906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  <c r="J459" s="3905" t="n"/>
      <c r="K459" s="3876">
        <f>IF(A459="","",SUM(E459:J459))</f>
        <v/>
      </c>
    </row>
    <row r="460">
      <c r="A460" s="3906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  <c r="J460" s="3905" t="n"/>
      <c r="K460" s="3876">
        <f>IF(A460="","",SUM(E460:J460))</f>
        <v/>
      </c>
    </row>
    <row r="461">
      <c r="A461" s="3906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  <c r="J461" s="3905" t="n"/>
      <c r="K461" s="3876">
        <f>IF(A461="","",SUM(E461:J461))</f>
        <v/>
      </c>
    </row>
    <row r="462">
      <c r="A462" s="3906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  <c r="J462" s="3905" t="n"/>
      <c r="K462" s="3876">
        <f>IF(A462="","",SUM(E462:J462))</f>
        <v/>
      </c>
    </row>
    <row r="463">
      <c r="A463" s="3906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  <c r="J463" s="3905" t="n"/>
      <c r="K463" s="3876">
        <f>IF(A463="","",SUM(E463:J463))</f>
        <v/>
      </c>
    </row>
    <row r="464">
      <c r="A464" s="3906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  <c r="J464" s="3905" t="n"/>
      <c r="K464" s="3876">
        <f>IF(A464="","",SUM(E464:J464))</f>
        <v/>
      </c>
    </row>
    <row r="465">
      <c r="A465" s="3906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  <c r="J465" s="3905" t="n"/>
      <c r="K465" s="3876">
        <f>IF(A465="","",SUM(E465:J465))</f>
        <v/>
      </c>
    </row>
    <row r="466">
      <c r="A466" s="3906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  <c r="J466" s="3905" t="n"/>
      <c r="K466" s="3876">
        <f>IF(A466="","",SUM(E466:J466))</f>
        <v/>
      </c>
    </row>
    <row r="467">
      <c r="A467" s="3906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  <c r="J467" s="3905" t="n"/>
      <c r="K467" s="3876">
        <f>IF(A467="","",SUM(E467:J467))</f>
        <v/>
      </c>
    </row>
    <row r="468">
      <c r="A468" s="3906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  <c r="J468" s="3905" t="n"/>
      <c r="K468" s="3876">
        <f>IF(A468="","",SUM(E468:J468))</f>
        <v/>
      </c>
    </row>
    <row r="469">
      <c r="A469" s="3906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  <c r="J469" s="3905" t="n"/>
      <c r="K469" s="3876">
        <f>IF(A469="","",SUM(E469:J469))</f>
        <v/>
      </c>
    </row>
    <row r="470">
      <c r="A470" s="3906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  <c r="J470" s="3905" t="n"/>
      <c r="K470" s="3876">
        <f>IF(A470="","",SUM(E470:J470))</f>
        <v/>
      </c>
    </row>
    <row r="471">
      <c r="A471" s="3906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  <c r="J471" s="3905" t="n"/>
      <c r="K471" s="3876">
        <f>IF(A471="","",SUM(E471:J471))</f>
        <v/>
      </c>
    </row>
    <row r="472">
      <c r="A472" s="3906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  <c r="J472" s="3905" t="n"/>
      <c r="K472" s="3876">
        <f>IF(A472="","",SUM(E472:J472))</f>
        <v/>
      </c>
    </row>
    <row r="473">
      <c r="A473" s="3906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  <c r="J473" s="3905" t="n"/>
      <c r="K473" s="3876">
        <f>IF(A473="","",SUM(E473:J473))</f>
        <v/>
      </c>
    </row>
    <row r="474">
      <c r="A474" s="3906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  <c r="J474" s="3905" t="n"/>
      <c r="K474" s="3876">
        <f>IF(A474="","",SUM(E474:J474))</f>
        <v/>
      </c>
    </row>
    <row r="475">
      <c r="A475" s="3906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  <c r="J475" s="3905" t="n"/>
      <c r="K475" s="3876">
        <f>IF(A475="","",SUM(E475:J475))</f>
        <v/>
      </c>
    </row>
    <row r="476">
      <c r="A476" s="3906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  <c r="J476" s="3905" t="n"/>
      <c r="K476" s="3876">
        <f>IF(A476="","",SUM(E476:J476))</f>
        <v/>
      </c>
    </row>
    <row r="477">
      <c r="A477" s="3906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  <c r="J477" s="3905" t="n"/>
      <c r="K477" s="3876">
        <f>IF(A477="","",SUM(E477:J477))</f>
        <v/>
      </c>
    </row>
    <row r="478">
      <c r="A478" s="3906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  <c r="J478" s="3905" t="n"/>
      <c r="K478" s="3876">
        <f>IF(A478="","",SUM(E478:J478))</f>
        <v/>
      </c>
    </row>
    <row r="479">
      <c r="A479" s="3906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  <c r="J479" s="3905" t="n"/>
      <c r="K479" s="3876">
        <f>IF(A479="","",SUM(E479:J479))</f>
        <v/>
      </c>
    </row>
    <row r="480">
      <c r="A480" s="3906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  <c r="J480" s="3905" t="n"/>
      <c r="K480" s="3876">
        <f>IF(A480="","",SUM(E480:J480))</f>
        <v/>
      </c>
    </row>
    <row r="481">
      <c r="A481" s="3906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  <c r="J481" s="3905" t="n"/>
      <c r="K481" s="3876">
        <f>IF(A481="","",SUM(E481:J481))</f>
        <v/>
      </c>
    </row>
    <row r="482">
      <c r="A482" s="3906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  <c r="J482" s="3905" t="n"/>
      <c r="K482" s="3876">
        <f>IF(A482="","",SUM(E482:J482))</f>
        <v/>
      </c>
    </row>
    <row r="483">
      <c r="A483" s="3906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  <c r="J483" s="3905" t="n"/>
      <c r="K483" s="3876">
        <f>IF(A483="","",SUM(E483:J483))</f>
        <v/>
      </c>
    </row>
    <row r="484">
      <c r="A484" s="3906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  <c r="J484" s="3905" t="n"/>
      <c r="K484" s="3876">
        <f>IF(A484="","",SUM(E484:J484))</f>
        <v/>
      </c>
    </row>
    <row r="485">
      <c r="A485" s="3906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  <c r="J485" s="3905" t="n"/>
      <c r="K485" s="3876">
        <f>IF(A485="","",SUM(E485:J485))</f>
        <v/>
      </c>
    </row>
    <row r="486">
      <c r="A486" s="3906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  <c r="J486" s="3905" t="n"/>
      <c r="K486" s="3876">
        <f>IF(A486="","",SUM(E486:J486))</f>
        <v/>
      </c>
    </row>
    <row r="487">
      <c r="A487" s="3906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  <c r="J487" s="3905" t="n"/>
      <c r="K487" s="3876">
        <f>IF(A487="","",SUM(E487:J487))</f>
        <v/>
      </c>
    </row>
    <row r="488">
      <c r="A488" s="3906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  <c r="J488" s="3905" t="n"/>
      <c r="K488" s="3876">
        <f>IF(A488="","",SUM(E488:J488))</f>
        <v/>
      </c>
    </row>
    <row r="489">
      <c r="A489" s="3906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  <c r="J489" s="3905" t="n"/>
      <c r="K489" s="3876">
        <f>IF(A489="","",SUM(E489:J489))</f>
        <v/>
      </c>
    </row>
    <row r="490">
      <c r="A490" s="3906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  <c r="J490" s="3905" t="n"/>
      <c r="K490" s="3876">
        <f>IF(A490="","",SUM(E490:J490))</f>
        <v/>
      </c>
    </row>
    <row r="491">
      <c r="A491" s="3906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  <c r="J491" s="3905" t="n"/>
      <c r="K491" s="3876">
        <f>IF(A491="","",SUM(E491:J491))</f>
        <v/>
      </c>
    </row>
    <row r="492">
      <c r="A492" s="3906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  <c r="J492" s="3905" t="n"/>
      <c r="K492" s="3876">
        <f>IF(A492="","",SUM(E492:J492))</f>
        <v/>
      </c>
    </row>
    <row r="493">
      <c r="A493" s="3906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  <c r="J493" s="3905" t="n"/>
      <c r="K493" s="3876">
        <f>IF(A493="","",SUM(E493:J493))</f>
        <v/>
      </c>
    </row>
    <row r="494">
      <c r="A494" s="3906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  <c r="J494" s="3905" t="n"/>
      <c r="K494" s="3876">
        <f>IF(A494="","",SUM(E494:J494))</f>
        <v/>
      </c>
    </row>
    <row r="495">
      <c r="A495" s="3906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  <c r="J495" s="3905" t="n"/>
      <c r="K495" s="3876">
        <f>IF(A495="","",SUM(E495:J495))</f>
        <v/>
      </c>
    </row>
    <row r="496">
      <c r="A496" s="3906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  <c r="J496" s="3905" t="n"/>
      <c r="K496" s="3876">
        <f>IF(A496="","",SUM(E496:J496))</f>
        <v/>
      </c>
    </row>
    <row r="497">
      <c r="A497" s="3906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  <c r="J497" s="3905" t="n"/>
      <c r="K497" s="3876">
        <f>IF(A497="","",SUM(E497:J497))</f>
        <v/>
      </c>
    </row>
    <row r="498">
      <c r="A498" s="3906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  <c r="J498" s="3905" t="n"/>
      <c r="K498" s="3876">
        <f>IF(A498="","",SUM(E498:J498))</f>
        <v/>
      </c>
    </row>
    <row r="499">
      <c r="A499" s="3906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  <c r="J499" s="3905" t="n"/>
      <c r="K499" s="3876">
        <f>IF(A499="","",SUM(E499:J499))</f>
        <v/>
      </c>
    </row>
    <row r="500">
      <c r="A500" s="3906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  <c r="J500" s="3905" t="n"/>
      <c r="K500" s="3876">
        <f>IF(A500="","",SUM(E500:J500))</f>
        <v/>
      </c>
    </row>
    <row r="501">
      <c r="A501" s="3906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  <c r="J501" s="3905" t="n"/>
      <c r="K501" s="3876">
        <f>IF(A501="","",SUM(E501:J501))</f>
        <v/>
      </c>
    </row>
    <row r="502">
      <c r="A502" s="3906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  <c r="J502" s="3905" t="n"/>
      <c r="K502" s="3876">
        <f>IF(A502="","",SUM(E502:J502))</f>
        <v/>
      </c>
    </row>
    <row r="503">
      <c r="A503" s="3906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  <c r="J503" s="3905" t="n"/>
      <c r="K503" s="3876">
        <f>IF(A503="","",SUM(E503:J503))</f>
        <v/>
      </c>
    </row>
    <row r="504">
      <c r="A504" s="3906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  <c r="J504" s="3905" t="n"/>
      <c r="K504" s="3876">
        <f>IF(A504="","",SUM(E504:J504))</f>
        <v/>
      </c>
    </row>
    <row r="505">
      <c r="A505" s="3906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  <c r="J505" s="3905" t="n"/>
      <c r="K505" s="3876">
        <f>IF(A505="","",SUM(E505:J505))</f>
        <v/>
      </c>
    </row>
    <row r="506">
      <c r="A506" s="3906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  <c r="J506" s="3905" t="n"/>
      <c r="K506" s="3876">
        <f>IF(A506="","",SUM(E506:J506))</f>
        <v/>
      </c>
    </row>
    <row r="507">
      <c r="A507" s="3906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  <c r="J507" s="3905" t="n"/>
      <c r="K507" s="3876">
        <f>IF(A507="","",SUM(E507:J507))</f>
        <v/>
      </c>
    </row>
    <row r="508">
      <c r="A508" s="3906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  <c r="J508" s="3905" t="n"/>
      <c r="K508" s="3876">
        <f>IF(A508="","",SUM(E508:J508))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863" t="inlineStr">
        <is>
          <t>Map | COA to Lines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</row>
    <row r="2">
      <c r="A2" s="3865" t="inlineStr">
        <is>
          <t>Map source accounts to reporting lines used by FS/QofE scaffolds.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</row>
    <row r="8">
      <c r="A8" s="3904" t="inlineStr">
        <is>
          <t>AccountNumber</t>
        </is>
      </c>
      <c r="B8" s="3904" t="inlineStr">
        <is>
          <t>AccountName</t>
        </is>
      </c>
      <c r="C8" s="3904" t="inlineStr">
        <is>
          <t>Statement</t>
        </is>
      </c>
      <c r="D8" s="3904" t="inlineStr">
        <is>
          <t>LineKey</t>
        </is>
      </c>
      <c r="E8" s="3904" t="inlineStr">
        <is>
          <t>LineName</t>
        </is>
      </c>
      <c r="F8" s="3904" t="inlineStr">
        <is>
          <t>GroupKey</t>
        </is>
      </c>
      <c r="G8" s="3904" t="inlineStr">
        <is>
          <t>SortOrder</t>
        </is>
      </c>
      <c r="H8" s="3904" t="inlineStr">
        <is>
          <t>SignMultiplier</t>
        </is>
      </c>
      <c r="I8" s="3904" t="inlineStr">
        <is>
          <t>Notes</t>
        </is>
      </c>
    </row>
    <row r="9">
      <c r="A9" s="3905" t="n"/>
      <c r="B9" s="3905" t="n"/>
      <c r="C9" s="3905" t="n"/>
      <c r="D9" s="3905" t="n"/>
      <c r="E9" s="3905" t="n"/>
      <c r="F9" s="3905" t="n"/>
      <c r="G9" s="3905" t="n"/>
      <c r="H9" s="3905" t="n"/>
      <c r="I9" s="3905" t="n"/>
    </row>
    <row r="10">
      <c r="A10" s="3905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</row>
    <row r="11">
      <c r="A11" s="3905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</row>
    <row r="12">
      <c r="A12" s="3905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</row>
    <row r="13">
      <c r="A13" s="3905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</row>
    <row r="14">
      <c r="A14" s="3905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</row>
    <row r="15">
      <c r="A15" s="3905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</row>
    <row r="16">
      <c r="A16" s="3905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</row>
    <row r="17">
      <c r="A17" s="3905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</row>
    <row r="18">
      <c r="A18" s="3905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</row>
    <row r="19">
      <c r="A19" s="3905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</row>
    <row r="20">
      <c r="A20" s="3905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</row>
    <row r="21">
      <c r="A21" s="3905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</row>
    <row r="22">
      <c r="A22" s="3905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</row>
    <row r="23">
      <c r="A23" s="3905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</row>
    <row r="24">
      <c r="A24" s="3905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</row>
    <row r="25">
      <c r="A25" s="3905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</row>
    <row r="26">
      <c r="A26" s="3905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</row>
    <row r="27">
      <c r="A27" s="3905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</row>
    <row r="28">
      <c r="A28" s="3905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</row>
    <row r="29">
      <c r="A29" s="3905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</row>
    <row r="30">
      <c r="A30" s="3905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</row>
    <row r="31">
      <c r="A31" s="3905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</row>
    <row r="32">
      <c r="A32" s="3905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</row>
    <row r="33">
      <c r="A33" s="3905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</row>
    <row r="34">
      <c r="A34" s="3905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</row>
    <row r="35">
      <c r="A35" s="3905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</row>
    <row r="36">
      <c r="A36" s="3905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</row>
    <row r="37">
      <c r="A37" s="3905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</row>
    <row r="38">
      <c r="A38" s="3905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</row>
    <row r="39">
      <c r="A39" s="3905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</row>
    <row r="40">
      <c r="A40" s="3905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</row>
    <row r="41">
      <c r="A41" s="3905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</row>
    <row r="42">
      <c r="A42" s="3905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</row>
    <row r="43">
      <c r="A43" s="3905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</row>
    <row r="44">
      <c r="A44" s="3905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</row>
    <row r="45">
      <c r="A45" s="3905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</row>
    <row r="46">
      <c r="A46" s="3905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</row>
    <row r="47">
      <c r="A47" s="3905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</row>
    <row r="48">
      <c r="A48" s="3905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</row>
    <row r="49">
      <c r="A49" s="3905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</row>
    <row r="50">
      <c r="A50" s="3905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</row>
    <row r="51">
      <c r="A51" s="3905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</row>
    <row r="52">
      <c r="A52" s="3905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</row>
    <row r="53">
      <c r="A53" s="3905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</row>
    <row r="54">
      <c r="A54" s="3905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</row>
    <row r="55">
      <c r="A55" s="3905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</row>
    <row r="56">
      <c r="A56" s="3905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</row>
    <row r="57">
      <c r="A57" s="3905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</row>
    <row r="58">
      <c r="A58" s="3905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</row>
    <row r="59">
      <c r="A59" s="3905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</row>
    <row r="60">
      <c r="A60" s="3905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</row>
    <row r="61">
      <c r="A61" s="3905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</row>
    <row r="62">
      <c r="A62" s="3905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</row>
    <row r="63">
      <c r="A63" s="3905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</row>
    <row r="64">
      <c r="A64" s="3905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</row>
    <row r="65">
      <c r="A65" s="3905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</row>
    <row r="66">
      <c r="A66" s="3905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</row>
    <row r="67">
      <c r="A67" s="3905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</row>
    <row r="68">
      <c r="A68" s="3905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</row>
    <row r="69">
      <c r="A69" s="3905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</row>
    <row r="70">
      <c r="A70" s="3905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</row>
    <row r="71">
      <c r="A71" s="3905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</row>
    <row r="72">
      <c r="A72" s="3905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</row>
    <row r="73">
      <c r="A73" s="3905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</row>
    <row r="74">
      <c r="A74" s="3905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</row>
    <row r="75">
      <c r="A75" s="3905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</row>
    <row r="76">
      <c r="A76" s="3905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</row>
    <row r="77">
      <c r="A77" s="3905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</row>
    <row r="78">
      <c r="A78" s="3905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</row>
    <row r="79">
      <c r="A79" s="3905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</row>
    <row r="80">
      <c r="A80" s="3905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</row>
    <row r="81">
      <c r="A81" s="3905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</row>
    <row r="82">
      <c r="A82" s="3905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</row>
    <row r="83">
      <c r="A83" s="3905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</row>
    <row r="84">
      <c r="A84" s="3905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</row>
    <row r="85">
      <c r="A85" s="3905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</row>
    <row r="86">
      <c r="A86" s="3905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</row>
    <row r="87">
      <c r="A87" s="3905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</row>
    <row r="88">
      <c r="A88" s="3905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</row>
    <row r="89">
      <c r="A89" s="3905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</row>
    <row r="90">
      <c r="A90" s="3905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</row>
    <row r="91">
      <c r="A91" s="3905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</row>
    <row r="92">
      <c r="A92" s="3905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</row>
    <row r="93">
      <c r="A93" s="3905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</row>
    <row r="94">
      <c r="A94" s="3905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</row>
    <row r="95">
      <c r="A95" s="3905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</row>
    <row r="96">
      <c r="A96" s="3905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</row>
    <row r="97">
      <c r="A97" s="3905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</row>
    <row r="98">
      <c r="A98" s="3905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</row>
    <row r="99">
      <c r="A99" s="3905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</row>
    <row r="100">
      <c r="A100" s="3905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</row>
    <row r="101">
      <c r="A101" s="3905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</row>
    <row r="102">
      <c r="A102" s="3905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</row>
    <row r="103">
      <c r="A103" s="3905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</row>
    <row r="104">
      <c r="A104" s="3905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</row>
    <row r="105">
      <c r="A105" s="3905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</row>
    <row r="106">
      <c r="A106" s="3905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</row>
    <row r="107">
      <c r="A107" s="3905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</row>
    <row r="108">
      <c r="A108" s="3905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</row>
    <row r="109">
      <c r="A109" s="3905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</row>
    <row r="110">
      <c r="A110" s="3905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</row>
    <row r="111">
      <c r="A111" s="3905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</row>
    <row r="112">
      <c r="A112" s="3905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</row>
    <row r="113">
      <c r="A113" s="3905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</row>
    <row r="114">
      <c r="A114" s="3905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</row>
    <row r="115">
      <c r="A115" s="3905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</row>
    <row r="116">
      <c r="A116" s="3905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</row>
    <row r="117">
      <c r="A117" s="3905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</row>
    <row r="118">
      <c r="A118" s="3905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</row>
    <row r="119">
      <c r="A119" s="3905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</row>
    <row r="120">
      <c r="A120" s="3905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</row>
    <row r="121">
      <c r="A121" s="3905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</row>
    <row r="122">
      <c r="A122" s="3905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</row>
    <row r="123">
      <c r="A123" s="3905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</row>
    <row r="124">
      <c r="A124" s="3905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</row>
    <row r="125">
      <c r="A125" s="3905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</row>
    <row r="126">
      <c r="A126" s="3905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</row>
    <row r="127">
      <c r="A127" s="3905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</row>
    <row r="128">
      <c r="A128" s="3905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</row>
    <row r="129">
      <c r="A129" s="3905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</row>
    <row r="130">
      <c r="A130" s="3905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</row>
    <row r="131">
      <c r="A131" s="3905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</row>
    <row r="132">
      <c r="A132" s="3905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</row>
    <row r="133">
      <c r="A133" s="3905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</row>
    <row r="134">
      <c r="A134" s="3905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</row>
    <row r="135">
      <c r="A135" s="3905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</row>
    <row r="136">
      <c r="A136" s="3905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</row>
    <row r="137">
      <c r="A137" s="3905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</row>
    <row r="138">
      <c r="A138" s="3905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</row>
    <row r="139">
      <c r="A139" s="3905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</row>
    <row r="140">
      <c r="A140" s="3905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</row>
    <row r="141">
      <c r="A141" s="3905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</row>
    <row r="142">
      <c r="A142" s="3905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</row>
    <row r="143">
      <c r="A143" s="3905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</row>
    <row r="144">
      <c r="A144" s="3905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</row>
    <row r="145">
      <c r="A145" s="3905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</row>
    <row r="146">
      <c r="A146" s="3905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</row>
    <row r="147">
      <c r="A147" s="3905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</row>
    <row r="148">
      <c r="A148" s="3905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</row>
    <row r="149">
      <c r="A149" s="3905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</row>
    <row r="150">
      <c r="A150" s="3905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</row>
    <row r="151">
      <c r="A151" s="3905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</row>
    <row r="152">
      <c r="A152" s="3905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</row>
    <row r="153">
      <c r="A153" s="3905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</row>
    <row r="154">
      <c r="A154" s="3905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</row>
    <row r="155">
      <c r="A155" s="3905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</row>
    <row r="156">
      <c r="A156" s="3905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</row>
    <row r="157">
      <c r="A157" s="3905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</row>
    <row r="158">
      <c r="A158" s="3905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</row>
    <row r="159">
      <c r="A159" s="3905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</row>
    <row r="160">
      <c r="A160" s="3905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</row>
    <row r="161">
      <c r="A161" s="3905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</row>
    <row r="162">
      <c r="A162" s="3905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</row>
    <row r="163">
      <c r="A163" s="3905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</row>
    <row r="164">
      <c r="A164" s="3905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</row>
    <row r="165">
      <c r="A165" s="3905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</row>
    <row r="166">
      <c r="A166" s="3905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</row>
    <row r="167">
      <c r="A167" s="3905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</row>
    <row r="168">
      <c r="A168" s="3905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</row>
    <row r="169">
      <c r="A169" s="3905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</row>
    <row r="170">
      <c r="A170" s="3905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</row>
    <row r="171">
      <c r="A171" s="3905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</row>
    <row r="172">
      <c r="A172" s="3905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</row>
    <row r="173">
      <c r="A173" s="3905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</row>
    <row r="174">
      <c r="A174" s="3905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</row>
    <row r="175">
      <c r="A175" s="3905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</row>
    <row r="176">
      <c r="A176" s="3905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</row>
    <row r="177">
      <c r="A177" s="3905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</row>
    <row r="178">
      <c r="A178" s="3905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</row>
    <row r="179">
      <c r="A179" s="3905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</row>
    <row r="180">
      <c r="A180" s="3905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</row>
    <row r="181">
      <c r="A181" s="3905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</row>
    <row r="182">
      <c r="A182" s="3905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</row>
    <row r="183">
      <c r="A183" s="3905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</row>
    <row r="184">
      <c r="A184" s="3905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</row>
    <row r="185">
      <c r="A185" s="3905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</row>
    <row r="186">
      <c r="A186" s="3905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</row>
    <row r="187">
      <c r="A187" s="3905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</row>
    <row r="188">
      <c r="A188" s="3905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</row>
    <row r="189">
      <c r="A189" s="3905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</row>
    <row r="190">
      <c r="A190" s="3905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</row>
    <row r="191">
      <c r="A191" s="3905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</row>
    <row r="192">
      <c r="A192" s="3905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</row>
    <row r="193">
      <c r="A193" s="3905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</row>
    <row r="194">
      <c r="A194" s="3905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</row>
    <row r="195">
      <c r="A195" s="3905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</row>
    <row r="196">
      <c r="A196" s="3905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</row>
    <row r="197">
      <c r="A197" s="3905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</row>
    <row r="198">
      <c r="A198" s="3905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</row>
    <row r="199">
      <c r="A199" s="3905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</row>
    <row r="200">
      <c r="A200" s="3905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</row>
    <row r="201">
      <c r="A201" s="3905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</row>
    <row r="202">
      <c r="A202" s="3905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</row>
    <row r="203">
      <c r="A203" s="3905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</row>
    <row r="204">
      <c r="A204" s="3905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</row>
    <row r="205">
      <c r="A205" s="3905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</row>
    <row r="206">
      <c r="A206" s="3905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</row>
    <row r="207">
      <c r="A207" s="3905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</row>
    <row r="208">
      <c r="A208" s="3905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</row>
    <row r="209">
      <c r="A209" s="3905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</row>
    <row r="210">
      <c r="A210" s="3905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</row>
    <row r="211">
      <c r="A211" s="3905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</row>
    <row r="212">
      <c r="A212" s="3905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</row>
    <row r="213">
      <c r="A213" s="3905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</row>
    <row r="214">
      <c r="A214" s="3905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</row>
    <row r="215">
      <c r="A215" s="3905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</row>
    <row r="216">
      <c r="A216" s="3905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</row>
    <row r="217">
      <c r="A217" s="3905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</row>
    <row r="218">
      <c r="A218" s="3905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</row>
    <row r="219">
      <c r="A219" s="3905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</row>
    <row r="220">
      <c r="A220" s="3905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</row>
    <row r="221">
      <c r="A221" s="3905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</row>
    <row r="222">
      <c r="A222" s="3905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</row>
    <row r="223">
      <c r="A223" s="3905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</row>
    <row r="224">
      <c r="A224" s="3905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</row>
    <row r="225">
      <c r="A225" s="3905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</row>
    <row r="226">
      <c r="A226" s="3905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</row>
    <row r="227">
      <c r="A227" s="3905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</row>
    <row r="228">
      <c r="A228" s="3905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</row>
    <row r="229">
      <c r="A229" s="3905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</row>
    <row r="230">
      <c r="A230" s="3905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</row>
    <row r="231">
      <c r="A231" s="3905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</row>
    <row r="232">
      <c r="A232" s="3905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</row>
    <row r="233">
      <c r="A233" s="3905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</row>
    <row r="234">
      <c r="A234" s="3905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</row>
    <row r="235">
      <c r="A235" s="3905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</row>
    <row r="236">
      <c r="A236" s="3905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</row>
    <row r="237">
      <c r="A237" s="3905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</row>
    <row r="238">
      <c r="A238" s="3905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</row>
    <row r="239">
      <c r="A239" s="3905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</row>
    <row r="240">
      <c r="A240" s="3905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</row>
    <row r="241">
      <c r="A241" s="3905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</row>
    <row r="242">
      <c r="A242" s="3905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</row>
    <row r="243">
      <c r="A243" s="3905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</row>
    <row r="244">
      <c r="A244" s="3905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</row>
    <row r="245">
      <c r="A245" s="3905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</row>
    <row r="246">
      <c r="A246" s="3905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</row>
    <row r="247">
      <c r="A247" s="3905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</row>
    <row r="248">
      <c r="A248" s="3905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</row>
    <row r="249">
      <c r="A249" s="3905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</row>
    <row r="250">
      <c r="A250" s="3905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</row>
    <row r="251">
      <c r="A251" s="3905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</row>
    <row r="252">
      <c r="A252" s="3905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</row>
    <row r="253">
      <c r="A253" s="3905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</row>
    <row r="254">
      <c r="A254" s="3905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</row>
    <row r="255">
      <c r="A255" s="3905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</row>
    <row r="256">
      <c r="A256" s="3905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</row>
    <row r="257">
      <c r="A257" s="3905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</row>
    <row r="258">
      <c r="A258" s="3905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</row>
    <row r="259">
      <c r="A259" s="3905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</row>
    <row r="260">
      <c r="A260" s="3905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</row>
    <row r="261">
      <c r="A261" s="3905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</row>
    <row r="262">
      <c r="A262" s="3905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</row>
    <row r="263">
      <c r="A263" s="3905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</row>
    <row r="264">
      <c r="A264" s="3905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</row>
    <row r="265">
      <c r="A265" s="3905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</row>
    <row r="266">
      <c r="A266" s="3905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</row>
    <row r="267">
      <c r="A267" s="3905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</row>
    <row r="268">
      <c r="A268" s="3905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</row>
    <row r="269">
      <c r="A269" s="3905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</row>
    <row r="270">
      <c r="A270" s="3905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</row>
    <row r="271">
      <c r="A271" s="3905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</row>
    <row r="272">
      <c r="A272" s="3905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</row>
    <row r="273">
      <c r="A273" s="3905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</row>
    <row r="274">
      <c r="A274" s="3905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</row>
    <row r="275">
      <c r="A275" s="3905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</row>
    <row r="276">
      <c r="A276" s="3905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</row>
    <row r="277">
      <c r="A277" s="3905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</row>
    <row r="278">
      <c r="A278" s="3905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</row>
    <row r="279">
      <c r="A279" s="3905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</row>
    <row r="280">
      <c r="A280" s="3905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</row>
    <row r="281">
      <c r="A281" s="3905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</row>
    <row r="282">
      <c r="A282" s="3905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</row>
    <row r="283">
      <c r="A283" s="3905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</row>
    <row r="284">
      <c r="A284" s="3905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</row>
    <row r="285">
      <c r="A285" s="3905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</row>
    <row r="286">
      <c r="A286" s="3905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</row>
    <row r="287">
      <c r="A287" s="3905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</row>
    <row r="288">
      <c r="A288" s="3905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</row>
    <row r="289">
      <c r="A289" s="3905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</row>
    <row r="290">
      <c r="A290" s="3905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</row>
    <row r="291">
      <c r="A291" s="3905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</row>
    <row r="292">
      <c r="A292" s="3905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</row>
    <row r="293">
      <c r="A293" s="3905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</row>
    <row r="294">
      <c r="A294" s="3905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</row>
    <row r="295">
      <c r="A295" s="3905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</row>
    <row r="296">
      <c r="A296" s="3905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</row>
    <row r="297">
      <c r="A297" s="3905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</row>
    <row r="298">
      <c r="A298" s="3905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</row>
    <row r="299">
      <c r="A299" s="3905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</row>
    <row r="300">
      <c r="A300" s="3905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</row>
    <row r="301">
      <c r="A301" s="3905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</row>
    <row r="302">
      <c r="A302" s="3905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</row>
    <row r="303">
      <c r="A303" s="3905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</row>
    <row r="304">
      <c r="A304" s="3905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</row>
    <row r="305">
      <c r="A305" s="3905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</row>
    <row r="306">
      <c r="A306" s="3905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</row>
    <row r="307">
      <c r="A307" s="3905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</row>
    <row r="308">
      <c r="A308" s="3905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</row>
    <row r="309">
      <c r="A309" s="3905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</row>
    <row r="310">
      <c r="A310" s="3905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</row>
    <row r="311">
      <c r="A311" s="3905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</row>
    <row r="312">
      <c r="A312" s="3905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</row>
    <row r="313">
      <c r="A313" s="3905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</row>
    <row r="314">
      <c r="A314" s="3905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</row>
    <row r="315">
      <c r="A315" s="3905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</row>
    <row r="316">
      <c r="A316" s="3905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</row>
    <row r="317">
      <c r="A317" s="3905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</row>
    <row r="318">
      <c r="A318" s="3905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</row>
    <row r="319">
      <c r="A319" s="3905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</row>
    <row r="320">
      <c r="A320" s="3905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</row>
    <row r="321">
      <c r="A321" s="3905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</row>
    <row r="322">
      <c r="A322" s="3905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</row>
    <row r="323">
      <c r="A323" s="3905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</row>
    <row r="324">
      <c r="A324" s="3905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</row>
    <row r="325">
      <c r="A325" s="3905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</row>
    <row r="326">
      <c r="A326" s="3905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</row>
    <row r="327">
      <c r="A327" s="3905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</row>
    <row r="328">
      <c r="A328" s="3905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</row>
    <row r="329">
      <c r="A329" s="3905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</row>
    <row r="330">
      <c r="A330" s="3905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</row>
    <row r="331">
      <c r="A331" s="3905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</row>
    <row r="332">
      <c r="A332" s="3905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</row>
    <row r="333">
      <c r="A333" s="3905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</row>
    <row r="334">
      <c r="A334" s="3905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</row>
    <row r="335">
      <c r="A335" s="3905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</row>
    <row r="336">
      <c r="A336" s="3905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</row>
    <row r="337">
      <c r="A337" s="3905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</row>
    <row r="338">
      <c r="A338" s="3905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</row>
    <row r="339">
      <c r="A339" s="3905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</row>
    <row r="340">
      <c r="A340" s="3905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</row>
    <row r="341">
      <c r="A341" s="3905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</row>
    <row r="342">
      <c r="A342" s="3905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</row>
    <row r="343">
      <c r="A343" s="3905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</row>
    <row r="344">
      <c r="A344" s="3905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</row>
    <row r="345">
      <c r="A345" s="3905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</row>
    <row r="346">
      <c r="A346" s="3905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</row>
    <row r="347">
      <c r="A347" s="3905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</row>
    <row r="348">
      <c r="A348" s="3905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</row>
    <row r="349">
      <c r="A349" s="3905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</row>
    <row r="350">
      <c r="A350" s="3905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</row>
    <row r="351">
      <c r="A351" s="3905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</row>
    <row r="352">
      <c r="A352" s="3905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</row>
    <row r="353">
      <c r="A353" s="3905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</row>
    <row r="354">
      <c r="A354" s="3905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</row>
    <row r="355">
      <c r="A355" s="3905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</row>
    <row r="356">
      <c r="A356" s="3905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</row>
    <row r="357">
      <c r="A357" s="3905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</row>
    <row r="358">
      <c r="A358" s="3905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</row>
    <row r="359">
      <c r="A359" s="3905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</row>
    <row r="360">
      <c r="A360" s="3905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</row>
    <row r="361">
      <c r="A361" s="3905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</row>
    <row r="362">
      <c r="A362" s="3905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</row>
    <row r="363">
      <c r="A363" s="3905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</row>
    <row r="364">
      <c r="A364" s="3905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</row>
    <row r="365">
      <c r="A365" s="3905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</row>
    <row r="366">
      <c r="A366" s="3905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</row>
    <row r="367">
      <c r="A367" s="3905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</row>
    <row r="368">
      <c r="A368" s="3905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</row>
    <row r="369">
      <c r="A369" s="3905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</row>
    <row r="370">
      <c r="A370" s="3905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</row>
    <row r="371">
      <c r="A371" s="3905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</row>
    <row r="372">
      <c r="A372" s="3905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</row>
    <row r="373">
      <c r="A373" s="3905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</row>
    <row r="374">
      <c r="A374" s="3905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</row>
    <row r="375">
      <c r="A375" s="3905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</row>
    <row r="376">
      <c r="A376" s="3905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</row>
    <row r="377">
      <c r="A377" s="3905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</row>
    <row r="378">
      <c r="A378" s="3905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</row>
    <row r="379">
      <c r="A379" s="3905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</row>
    <row r="380">
      <c r="A380" s="3905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</row>
    <row r="381">
      <c r="A381" s="3905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</row>
    <row r="382">
      <c r="A382" s="3905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</row>
    <row r="383">
      <c r="A383" s="3905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</row>
    <row r="384">
      <c r="A384" s="3905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</row>
    <row r="385">
      <c r="A385" s="3905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</row>
    <row r="386">
      <c r="A386" s="3905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</row>
    <row r="387">
      <c r="A387" s="3905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</row>
    <row r="388">
      <c r="A388" s="3905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</row>
    <row r="389">
      <c r="A389" s="3905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</row>
    <row r="390">
      <c r="A390" s="3905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</row>
    <row r="391">
      <c r="A391" s="3905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</row>
    <row r="392">
      <c r="A392" s="3905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</row>
    <row r="393">
      <c r="A393" s="3905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</row>
    <row r="394">
      <c r="A394" s="3905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</row>
    <row r="395">
      <c r="A395" s="3905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</row>
    <row r="396">
      <c r="A396" s="3905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</row>
    <row r="397">
      <c r="A397" s="3905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</row>
    <row r="398">
      <c r="A398" s="3905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</row>
    <row r="399">
      <c r="A399" s="3905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</row>
    <row r="400">
      <c r="A400" s="3905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</row>
    <row r="401">
      <c r="A401" s="3905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</row>
    <row r="402">
      <c r="A402" s="3905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</row>
    <row r="403">
      <c r="A403" s="3905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</row>
    <row r="404">
      <c r="A404" s="3905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</row>
    <row r="405">
      <c r="A405" s="3905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</row>
    <row r="406">
      <c r="A406" s="3905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</row>
    <row r="407">
      <c r="A407" s="3905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</row>
    <row r="408">
      <c r="A408" s="3905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</row>
    <row r="409">
      <c r="A409" s="3905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</row>
    <row r="410">
      <c r="A410" s="3905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</row>
    <row r="411">
      <c r="A411" s="3905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</row>
    <row r="412">
      <c r="A412" s="3905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</row>
    <row r="413">
      <c r="A413" s="3905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</row>
    <row r="414">
      <c r="A414" s="3905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</row>
    <row r="415">
      <c r="A415" s="3905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</row>
    <row r="416">
      <c r="A416" s="3905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</row>
    <row r="417">
      <c r="A417" s="3905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</row>
    <row r="418">
      <c r="A418" s="3905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</row>
    <row r="419">
      <c r="A419" s="3905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</row>
    <row r="420">
      <c r="A420" s="3905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</row>
    <row r="421">
      <c r="A421" s="3905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</row>
    <row r="422">
      <c r="A422" s="3905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</row>
    <row r="423">
      <c r="A423" s="3905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</row>
    <row r="424">
      <c r="A424" s="3905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</row>
    <row r="425">
      <c r="A425" s="3905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</row>
    <row r="426">
      <c r="A426" s="3905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</row>
    <row r="427">
      <c r="A427" s="3905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</row>
    <row r="428">
      <c r="A428" s="3905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</row>
    <row r="429">
      <c r="A429" s="3905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</row>
    <row r="430">
      <c r="A430" s="3905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</row>
    <row r="431">
      <c r="A431" s="3905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</row>
    <row r="432">
      <c r="A432" s="3905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</row>
    <row r="433">
      <c r="A433" s="3905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</row>
    <row r="434">
      <c r="A434" s="3905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</row>
    <row r="435">
      <c r="A435" s="3905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</row>
    <row r="436">
      <c r="A436" s="3905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</row>
    <row r="437">
      <c r="A437" s="3905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</row>
    <row r="438">
      <c r="A438" s="3905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</row>
    <row r="439">
      <c r="A439" s="3905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</row>
    <row r="440">
      <c r="A440" s="3905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</row>
    <row r="441">
      <c r="A441" s="3905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</row>
    <row r="442">
      <c r="A442" s="3905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</row>
    <row r="443">
      <c r="A443" s="3905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</row>
    <row r="444">
      <c r="A444" s="3905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</row>
    <row r="445">
      <c r="A445" s="3905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</row>
    <row r="446">
      <c r="A446" s="3905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</row>
    <row r="447">
      <c r="A447" s="3905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</row>
    <row r="448">
      <c r="A448" s="3905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</row>
    <row r="449">
      <c r="A449" s="3905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</row>
    <row r="450">
      <c r="A450" s="3905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</row>
    <row r="451">
      <c r="A451" s="3905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</row>
    <row r="452">
      <c r="A452" s="3905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</row>
    <row r="453">
      <c r="A453" s="3905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</row>
    <row r="454">
      <c r="A454" s="3905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</row>
    <row r="455">
      <c r="A455" s="3905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</row>
    <row r="456">
      <c r="A456" s="3905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</row>
    <row r="457">
      <c r="A457" s="3905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</row>
    <row r="458">
      <c r="A458" s="3905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</row>
    <row r="459">
      <c r="A459" s="3905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</row>
    <row r="460">
      <c r="A460" s="3905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</row>
    <row r="461">
      <c r="A461" s="3905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</row>
    <row r="462">
      <c r="A462" s="3905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</row>
    <row r="463">
      <c r="A463" s="3905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</row>
    <row r="464">
      <c r="A464" s="3905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</row>
    <row r="465">
      <c r="A465" s="3905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</row>
    <row r="466">
      <c r="A466" s="3905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</row>
    <row r="467">
      <c r="A467" s="3905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</row>
    <row r="468">
      <c r="A468" s="3905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</row>
    <row r="469">
      <c r="A469" s="3905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</row>
    <row r="470">
      <c r="A470" s="3905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</row>
    <row r="471">
      <c r="A471" s="3905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</row>
    <row r="472">
      <c r="A472" s="3905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</row>
    <row r="473">
      <c r="A473" s="3905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</row>
    <row r="474">
      <c r="A474" s="3905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</row>
    <row r="475">
      <c r="A475" s="3905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</row>
    <row r="476">
      <c r="A476" s="3905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</row>
    <row r="477">
      <c r="A477" s="3905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</row>
    <row r="478">
      <c r="A478" s="3905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</row>
    <row r="479">
      <c r="A479" s="3905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</row>
    <row r="480">
      <c r="A480" s="3905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</row>
    <row r="481">
      <c r="A481" s="3905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</row>
    <row r="482">
      <c r="A482" s="3905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</row>
    <row r="483">
      <c r="A483" s="3905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</row>
    <row r="484">
      <c r="A484" s="3905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</row>
    <row r="485">
      <c r="A485" s="3905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</row>
    <row r="486">
      <c r="A486" s="3905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</row>
    <row r="487">
      <c r="A487" s="3905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</row>
    <row r="488">
      <c r="A488" s="3905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</row>
    <row r="489">
      <c r="A489" s="3905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</row>
    <row r="490">
      <c r="A490" s="3905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</row>
    <row r="491">
      <c r="A491" s="3905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</row>
    <row r="492">
      <c r="A492" s="3905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</row>
    <row r="493">
      <c r="A493" s="3905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</row>
    <row r="494">
      <c r="A494" s="3905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</row>
    <row r="495">
      <c r="A495" s="3905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</row>
    <row r="496">
      <c r="A496" s="3905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</row>
    <row r="497">
      <c r="A497" s="3905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</row>
    <row r="498">
      <c r="A498" s="3905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</row>
    <row r="499">
      <c r="A499" s="3905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</row>
    <row r="500">
      <c r="A500" s="3905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</row>
    <row r="501">
      <c r="A501" s="3905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</row>
    <row r="502">
      <c r="A502" s="3905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</row>
    <row r="503">
      <c r="A503" s="3905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</row>
    <row r="504">
      <c r="A504" s="3905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</row>
    <row r="505">
      <c r="A505" s="3905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</row>
    <row r="506">
      <c r="A506" s="3905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</row>
    <row r="507">
      <c r="A507" s="3905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</row>
    <row r="508">
      <c r="A508" s="3905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863" t="inlineStr">
        <is>
          <t>Map | NWC &amp; NetDebt Class</t>
        </is>
      </c>
      <c r="B1" s="3874" t="n"/>
      <c r="C1" s="3874" t="n"/>
      <c r="D1" s="3874" t="n"/>
      <c r="E1" s="3874" t="n"/>
      <c r="F1" s="3874" t="n"/>
      <c r="G1" s="3874" t="n"/>
      <c r="H1" s="3874" t="n"/>
    </row>
    <row r="2">
      <c r="A2" s="3865" t="inlineStr">
        <is>
          <t>Classification mapping for NWC, Net debt, and Stratified BS views.</t>
        </is>
      </c>
      <c r="B2" s="3874" t="n"/>
      <c r="C2" s="3874" t="n"/>
      <c r="D2" s="3874" t="n"/>
      <c r="E2" s="3874" t="n"/>
      <c r="F2" s="3874" t="n"/>
      <c r="G2" s="3874" t="n"/>
      <c r="H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</row>
    <row r="8">
      <c r="A8" s="3904" t="inlineStr">
        <is>
          <t>AccountNumber</t>
        </is>
      </c>
      <c r="B8" s="3904" t="inlineStr">
        <is>
          <t>ClassType</t>
        </is>
      </c>
      <c r="C8" s="3904" t="inlineStr">
        <is>
          <t>ClassKey</t>
        </is>
      </c>
      <c r="D8" s="3904" t="inlineStr">
        <is>
          <t>ClassName</t>
        </is>
      </c>
      <c r="E8" s="3904" t="inlineStr">
        <is>
          <t>Bucket</t>
        </is>
      </c>
      <c r="F8" s="3904" t="inlineStr">
        <is>
          <t>WorkingCapitalFlag</t>
        </is>
      </c>
      <c r="G8" s="3904" t="inlineStr">
        <is>
          <t>NetDebtFlag</t>
        </is>
      </c>
      <c r="H8" s="3904" t="inlineStr">
        <is>
          <t>SortOrder</t>
        </is>
      </c>
    </row>
    <row r="9">
      <c r="A9" s="3905" t="n"/>
      <c r="B9" s="3905" t="n"/>
      <c r="C9" s="3905" t="n"/>
      <c r="D9" s="3905" t="n"/>
      <c r="E9" s="3905" t="n"/>
      <c r="F9" s="3905" t="n"/>
      <c r="G9" s="3905" t="n"/>
      <c r="H9" s="3905" t="n"/>
    </row>
    <row r="10">
      <c r="A10" s="3905" t="n"/>
      <c r="B10" s="3905" t="n"/>
      <c r="C10" s="3905" t="n"/>
      <c r="D10" s="3905" t="n"/>
      <c r="E10" s="3905" t="n"/>
      <c r="F10" s="3905" t="n"/>
      <c r="G10" s="3905" t="n"/>
      <c r="H10" s="3905" t="n"/>
    </row>
    <row r="11">
      <c r="A11" s="3905" t="n"/>
      <c r="B11" s="3905" t="n"/>
      <c r="C11" s="3905" t="n"/>
      <c r="D11" s="3905" t="n"/>
      <c r="E11" s="3905" t="n"/>
      <c r="F11" s="3905" t="n"/>
      <c r="G11" s="3905" t="n"/>
      <c r="H11" s="3905" t="n"/>
    </row>
    <row r="12">
      <c r="A12" s="3905" t="n"/>
      <c r="B12" s="3905" t="n"/>
      <c r="C12" s="3905" t="n"/>
      <c r="D12" s="3905" t="n"/>
      <c r="E12" s="3905" t="n"/>
      <c r="F12" s="3905" t="n"/>
      <c r="G12" s="3905" t="n"/>
      <c r="H12" s="3905" t="n"/>
    </row>
    <row r="13">
      <c r="A13" s="3905" t="n"/>
      <c r="B13" s="3905" t="n"/>
      <c r="C13" s="3905" t="n"/>
      <c r="D13" s="3905" t="n"/>
      <c r="E13" s="3905" t="n"/>
      <c r="F13" s="3905" t="n"/>
      <c r="G13" s="3905" t="n"/>
      <c r="H13" s="3905" t="n"/>
    </row>
    <row r="14">
      <c r="A14" s="3905" t="n"/>
      <c r="B14" s="3905" t="n"/>
      <c r="C14" s="3905" t="n"/>
      <c r="D14" s="3905" t="n"/>
      <c r="E14" s="3905" t="n"/>
      <c r="F14" s="3905" t="n"/>
      <c r="G14" s="3905" t="n"/>
      <c r="H14" s="3905" t="n"/>
    </row>
    <row r="15">
      <c r="A15" s="3905" t="n"/>
      <c r="B15" s="3905" t="n"/>
      <c r="C15" s="3905" t="n"/>
      <c r="D15" s="3905" t="n"/>
      <c r="E15" s="3905" t="n"/>
      <c r="F15" s="3905" t="n"/>
      <c r="G15" s="3905" t="n"/>
      <c r="H15" s="3905" t="n"/>
    </row>
    <row r="16">
      <c r="A16" s="3905" t="n"/>
      <c r="B16" s="3905" t="n"/>
      <c r="C16" s="3905" t="n"/>
      <c r="D16" s="3905" t="n"/>
      <c r="E16" s="3905" t="n"/>
      <c r="F16" s="3905" t="n"/>
      <c r="G16" s="3905" t="n"/>
      <c r="H16" s="3905" t="n"/>
    </row>
    <row r="17">
      <c r="A17" s="3905" t="n"/>
      <c r="B17" s="3905" t="n"/>
      <c r="C17" s="3905" t="n"/>
      <c r="D17" s="3905" t="n"/>
      <c r="E17" s="3905" t="n"/>
      <c r="F17" s="3905" t="n"/>
      <c r="G17" s="3905" t="n"/>
      <c r="H17" s="3905" t="n"/>
    </row>
    <row r="18">
      <c r="A18" s="3905" t="n"/>
      <c r="B18" s="3905" t="n"/>
      <c r="C18" s="3905" t="n"/>
      <c r="D18" s="3905" t="n"/>
      <c r="E18" s="3905" t="n"/>
      <c r="F18" s="3905" t="n"/>
      <c r="G18" s="3905" t="n"/>
      <c r="H18" s="3905" t="n"/>
    </row>
    <row r="19">
      <c r="A19" s="3905" t="n"/>
      <c r="B19" s="3905" t="n"/>
      <c r="C19" s="3905" t="n"/>
      <c r="D19" s="3905" t="n"/>
      <c r="E19" s="3905" t="n"/>
      <c r="F19" s="3905" t="n"/>
      <c r="G19" s="3905" t="n"/>
      <c r="H19" s="3905" t="n"/>
    </row>
    <row r="20">
      <c r="A20" s="3905" t="n"/>
      <c r="B20" s="3905" t="n"/>
      <c r="C20" s="3905" t="n"/>
      <c r="D20" s="3905" t="n"/>
      <c r="E20" s="3905" t="n"/>
      <c r="F20" s="3905" t="n"/>
      <c r="G20" s="3905" t="n"/>
      <c r="H20" s="3905" t="n"/>
    </row>
    <row r="21">
      <c r="A21" s="3905" t="n"/>
      <c r="B21" s="3905" t="n"/>
      <c r="C21" s="3905" t="n"/>
      <c r="D21" s="3905" t="n"/>
      <c r="E21" s="3905" t="n"/>
      <c r="F21" s="3905" t="n"/>
      <c r="G21" s="3905" t="n"/>
      <c r="H21" s="3905" t="n"/>
    </row>
    <row r="22">
      <c r="A22" s="3905" t="n"/>
      <c r="B22" s="3905" t="n"/>
      <c r="C22" s="3905" t="n"/>
      <c r="D22" s="3905" t="n"/>
      <c r="E22" s="3905" t="n"/>
      <c r="F22" s="3905" t="n"/>
      <c r="G22" s="3905" t="n"/>
      <c r="H22" s="3905" t="n"/>
    </row>
    <row r="23">
      <c r="A23" s="3905" t="n"/>
      <c r="B23" s="3905" t="n"/>
      <c r="C23" s="3905" t="n"/>
      <c r="D23" s="3905" t="n"/>
      <c r="E23" s="3905" t="n"/>
      <c r="F23" s="3905" t="n"/>
      <c r="G23" s="3905" t="n"/>
      <c r="H23" s="3905" t="n"/>
    </row>
    <row r="24">
      <c r="A24" s="3905" t="n"/>
      <c r="B24" s="3905" t="n"/>
      <c r="C24" s="3905" t="n"/>
      <c r="D24" s="3905" t="n"/>
      <c r="E24" s="3905" t="n"/>
      <c r="F24" s="3905" t="n"/>
      <c r="G24" s="3905" t="n"/>
      <c r="H24" s="3905" t="n"/>
    </row>
    <row r="25">
      <c r="A25" s="3905" t="n"/>
      <c r="B25" s="3905" t="n"/>
      <c r="C25" s="3905" t="n"/>
      <c r="D25" s="3905" t="n"/>
      <c r="E25" s="3905" t="n"/>
      <c r="F25" s="3905" t="n"/>
      <c r="G25" s="3905" t="n"/>
      <c r="H25" s="3905" t="n"/>
    </row>
    <row r="26">
      <c r="A26" s="3905" t="n"/>
      <c r="B26" s="3905" t="n"/>
      <c r="C26" s="3905" t="n"/>
      <c r="D26" s="3905" t="n"/>
      <c r="E26" s="3905" t="n"/>
      <c r="F26" s="3905" t="n"/>
      <c r="G26" s="3905" t="n"/>
      <c r="H26" s="3905" t="n"/>
    </row>
    <row r="27">
      <c r="A27" s="3905" t="n"/>
      <c r="B27" s="3905" t="n"/>
      <c r="C27" s="3905" t="n"/>
      <c r="D27" s="3905" t="n"/>
      <c r="E27" s="3905" t="n"/>
      <c r="F27" s="3905" t="n"/>
      <c r="G27" s="3905" t="n"/>
      <c r="H27" s="3905" t="n"/>
    </row>
    <row r="28">
      <c r="A28" s="3905" t="n"/>
      <c r="B28" s="3905" t="n"/>
      <c r="C28" s="3905" t="n"/>
      <c r="D28" s="3905" t="n"/>
      <c r="E28" s="3905" t="n"/>
      <c r="F28" s="3905" t="n"/>
      <c r="G28" s="3905" t="n"/>
      <c r="H28" s="3905" t="n"/>
    </row>
    <row r="29">
      <c r="A29" s="3905" t="n"/>
      <c r="B29" s="3905" t="n"/>
      <c r="C29" s="3905" t="n"/>
      <c r="D29" s="3905" t="n"/>
      <c r="E29" s="3905" t="n"/>
      <c r="F29" s="3905" t="n"/>
      <c r="G29" s="3905" t="n"/>
      <c r="H29" s="3905" t="n"/>
    </row>
    <row r="30">
      <c r="A30" s="3905" t="n"/>
      <c r="B30" s="3905" t="n"/>
      <c r="C30" s="3905" t="n"/>
      <c r="D30" s="3905" t="n"/>
      <c r="E30" s="3905" t="n"/>
      <c r="F30" s="3905" t="n"/>
      <c r="G30" s="3905" t="n"/>
      <c r="H30" s="3905" t="n"/>
    </row>
    <row r="31">
      <c r="A31" s="3905" t="n"/>
      <c r="B31" s="3905" t="n"/>
      <c r="C31" s="3905" t="n"/>
      <c r="D31" s="3905" t="n"/>
      <c r="E31" s="3905" t="n"/>
      <c r="F31" s="3905" t="n"/>
      <c r="G31" s="3905" t="n"/>
      <c r="H31" s="3905" t="n"/>
    </row>
    <row r="32">
      <c r="A32" s="3905" t="n"/>
      <c r="B32" s="3905" t="n"/>
      <c r="C32" s="3905" t="n"/>
      <c r="D32" s="3905" t="n"/>
      <c r="E32" s="3905" t="n"/>
      <c r="F32" s="3905" t="n"/>
      <c r="G32" s="3905" t="n"/>
      <c r="H32" s="3905" t="n"/>
    </row>
    <row r="33">
      <c r="A33" s="3905" t="n"/>
      <c r="B33" s="3905" t="n"/>
      <c r="C33" s="3905" t="n"/>
      <c r="D33" s="3905" t="n"/>
      <c r="E33" s="3905" t="n"/>
      <c r="F33" s="3905" t="n"/>
      <c r="G33" s="3905" t="n"/>
      <c r="H33" s="3905" t="n"/>
    </row>
    <row r="34">
      <c r="A34" s="3905" t="n"/>
      <c r="B34" s="3905" t="n"/>
      <c r="C34" s="3905" t="n"/>
      <c r="D34" s="3905" t="n"/>
      <c r="E34" s="3905" t="n"/>
      <c r="F34" s="3905" t="n"/>
      <c r="G34" s="3905" t="n"/>
      <c r="H34" s="3905" t="n"/>
    </row>
    <row r="35">
      <c r="A35" s="3905" t="n"/>
      <c r="B35" s="3905" t="n"/>
      <c r="C35" s="3905" t="n"/>
      <c r="D35" s="3905" t="n"/>
      <c r="E35" s="3905" t="n"/>
      <c r="F35" s="3905" t="n"/>
      <c r="G35" s="3905" t="n"/>
      <c r="H35" s="3905" t="n"/>
    </row>
    <row r="36">
      <c r="A36" s="3905" t="n"/>
      <c r="B36" s="3905" t="n"/>
      <c r="C36" s="3905" t="n"/>
      <c r="D36" s="3905" t="n"/>
      <c r="E36" s="3905" t="n"/>
      <c r="F36" s="3905" t="n"/>
      <c r="G36" s="3905" t="n"/>
      <c r="H36" s="3905" t="n"/>
    </row>
    <row r="37">
      <c r="A37" s="3905" t="n"/>
      <c r="B37" s="3905" t="n"/>
      <c r="C37" s="3905" t="n"/>
      <c r="D37" s="3905" t="n"/>
      <c r="E37" s="3905" t="n"/>
      <c r="F37" s="3905" t="n"/>
      <c r="G37" s="3905" t="n"/>
      <c r="H37" s="3905" t="n"/>
    </row>
    <row r="38">
      <c r="A38" s="3905" t="n"/>
      <c r="B38" s="3905" t="n"/>
      <c r="C38" s="3905" t="n"/>
      <c r="D38" s="3905" t="n"/>
      <c r="E38" s="3905" t="n"/>
      <c r="F38" s="3905" t="n"/>
      <c r="G38" s="3905" t="n"/>
      <c r="H38" s="3905" t="n"/>
    </row>
    <row r="39">
      <c r="A39" s="3905" t="n"/>
      <c r="B39" s="3905" t="n"/>
      <c r="C39" s="3905" t="n"/>
      <c r="D39" s="3905" t="n"/>
      <c r="E39" s="3905" t="n"/>
      <c r="F39" s="3905" t="n"/>
      <c r="G39" s="3905" t="n"/>
      <c r="H39" s="3905" t="n"/>
    </row>
    <row r="40">
      <c r="A40" s="3905" t="n"/>
      <c r="B40" s="3905" t="n"/>
      <c r="C40" s="3905" t="n"/>
      <c r="D40" s="3905" t="n"/>
      <c r="E40" s="3905" t="n"/>
      <c r="F40" s="3905" t="n"/>
      <c r="G40" s="3905" t="n"/>
      <c r="H40" s="3905" t="n"/>
    </row>
    <row r="41">
      <c r="A41" s="3905" t="n"/>
      <c r="B41" s="3905" t="n"/>
      <c r="C41" s="3905" t="n"/>
      <c r="D41" s="3905" t="n"/>
      <c r="E41" s="3905" t="n"/>
      <c r="F41" s="3905" t="n"/>
      <c r="G41" s="3905" t="n"/>
      <c r="H41" s="3905" t="n"/>
    </row>
    <row r="42">
      <c r="A42" s="3905" t="n"/>
      <c r="B42" s="3905" t="n"/>
      <c r="C42" s="3905" t="n"/>
      <c r="D42" s="3905" t="n"/>
      <c r="E42" s="3905" t="n"/>
      <c r="F42" s="3905" t="n"/>
      <c r="G42" s="3905" t="n"/>
      <c r="H42" s="3905" t="n"/>
    </row>
    <row r="43">
      <c r="A43" s="3905" t="n"/>
      <c r="B43" s="3905" t="n"/>
      <c r="C43" s="3905" t="n"/>
      <c r="D43" s="3905" t="n"/>
      <c r="E43" s="3905" t="n"/>
      <c r="F43" s="3905" t="n"/>
      <c r="G43" s="3905" t="n"/>
      <c r="H43" s="3905" t="n"/>
    </row>
    <row r="44">
      <c r="A44" s="3905" t="n"/>
      <c r="B44" s="3905" t="n"/>
      <c r="C44" s="3905" t="n"/>
      <c r="D44" s="3905" t="n"/>
      <c r="E44" s="3905" t="n"/>
      <c r="F44" s="3905" t="n"/>
      <c r="G44" s="3905" t="n"/>
      <c r="H44" s="3905" t="n"/>
    </row>
    <row r="45">
      <c r="A45" s="3905" t="n"/>
      <c r="B45" s="3905" t="n"/>
      <c r="C45" s="3905" t="n"/>
      <c r="D45" s="3905" t="n"/>
      <c r="E45" s="3905" t="n"/>
      <c r="F45" s="3905" t="n"/>
      <c r="G45" s="3905" t="n"/>
      <c r="H45" s="3905" t="n"/>
    </row>
    <row r="46">
      <c r="A46" s="3905" t="n"/>
      <c r="B46" s="3905" t="n"/>
      <c r="C46" s="3905" t="n"/>
      <c r="D46" s="3905" t="n"/>
      <c r="E46" s="3905" t="n"/>
      <c r="F46" s="3905" t="n"/>
      <c r="G46" s="3905" t="n"/>
      <c r="H46" s="3905" t="n"/>
    </row>
    <row r="47">
      <c r="A47" s="3905" t="n"/>
      <c r="B47" s="3905" t="n"/>
      <c r="C47" s="3905" t="n"/>
      <c r="D47" s="3905" t="n"/>
      <c r="E47" s="3905" t="n"/>
      <c r="F47" s="3905" t="n"/>
      <c r="G47" s="3905" t="n"/>
      <c r="H47" s="3905" t="n"/>
    </row>
    <row r="48">
      <c r="A48" s="3905" t="n"/>
      <c r="B48" s="3905" t="n"/>
      <c r="C48" s="3905" t="n"/>
      <c r="D48" s="3905" t="n"/>
      <c r="E48" s="3905" t="n"/>
      <c r="F48" s="3905" t="n"/>
      <c r="G48" s="3905" t="n"/>
      <c r="H48" s="3905" t="n"/>
    </row>
    <row r="49">
      <c r="A49" s="3905" t="n"/>
      <c r="B49" s="3905" t="n"/>
      <c r="C49" s="3905" t="n"/>
      <c r="D49" s="3905" t="n"/>
      <c r="E49" s="3905" t="n"/>
      <c r="F49" s="3905" t="n"/>
      <c r="G49" s="3905" t="n"/>
      <c r="H49" s="3905" t="n"/>
    </row>
    <row r="50">
      <c r="A50" s="3905" t="n"/>
      <c r="B50" s="3905" t="n"/>
      <c r="C50" s="3905" t="n"/>
      <c r="D50" s="3905" t="n"/>
      <c r="E50" s="3905" t="n"/>
      <c r="F50" s="3905" t="n"/>
      <c r="G50" s="3905" t="n"/>
      <c r="H50" s="3905" t="n"/>
    </row>
    <row r="51">
      <c r="A51" s="3905" t="n"/>
      <c r="B51" s="3905" t="n"/>
      <c r="C51" s="3905" t="n"/>
      <c r="D51" s="3905" t="n"/>
      <c r="E51" s="3905" t="n"/>
      <c r="F51" s="3905" t="n"/>
      <c r="G51" s="3905" t="n"/>
      <c r="H51" s="3905" t="n"/>
    </row>
    <row r="52">
      <c r="A52" s="3905" t="n"/>
      <c r="B52" s="3905" t="n"/>
      <c r="C52" s="3905" t="n"/>
      <c r="D52" s="3905" t="n"/>
      <c r="E52" s="3905" t="n"/>
      <c r="F52" s="3905" t="n"/>
      <c r="G52" s="3905" t="n"/>
      <c r="H52" s="3905" t="n"/>
    </row>
    <row r="53">
      <c r="A53" s="3905" t="n"/>
      <c r="B53" s="3905" t="n"/>
      <c r="C53" s="3905" t="n"/>
      <c r="D53" s="3905" t="n"/>
      <c r="E53" s="3905" t="n"/>
      <c r="F53" s="3905" t="n"/>
      <c r="G53" s="3905" t="n"/>
      <c r="H53" s="3905" t="n"/>
    </row>
    <row r="54">
      <c r="A54" s="3905" t="n"/>
      <c r="B54" s="3905" t="n"/>
      <c r="C54" s="3905" t="n"/>
      <c r="D54" s="3905" t="n"/>
      <c r="E54" s="3905" t="n"/>
      <c r="F54" s="3905" t="n"/>
      <c r="G54" s="3905" t="n"/>
      <c r="H54" s="3905" t="n"/>
    </row>
    <row r="55">
      <c r="A55" s="3905" t="n"/>
      <c r="B55" s="3905" t="n"/>
      <c r="C55" s="3905" t="n"/>
      <c r="D55" s="3905" t="n"/>
      <c r="E55" s="3905" t="n"/>
      <c r="F55" s="3905" t="n"/>
      <c r="G55" s="3905" t="n"/>
      <c r="H55" s="3905" t="n"/>
    </row>
    <row r="56">
      <c r="A56" s="3905" t="n"/>
      <c r="B56" s="3905" t="n"/>
      <c r="C56" s="3905" t="n"/>
      <c r="D56" s="3905" t="n"/>
      <c r="E56" s="3905" t="n"/>
      <c r="F56" s="3905" t="n"/>
      <c r="G56" s="3905" t="n"/>
      <c r="H56" s="3905" t="n"/>
    </row>
    <row r="57">
      <c r="A57" s="3905" t="n"/>
      <c r="B57" s="3905" t="n"/>
      <c r="C57" s="3905" t="n"/>
      <c r="D57" s="3905" t="n"/>
      <c r="E57" s="3905" t="n"/>
      <c r="F57" s="3905" t="n"/>
      <c r="G57" s="3905" t="n"/>
      <c r="H57" s="3905" t="n"/>
    </row>
    <row r="58">
      <c r="A58" s="3905" t="n"/>
      <c r="B58" s="3905" t="n"/>
      <c r="C58" s="3905" t="n"/>
      <c r="D58" s="3905" t="n"/>
      <c r="E58" s="3905" t="n"/>
      <c r="F58" s="3905" t="n"/>
      <c r="G58" s="3905" t="n"/>
      <c r="H58" s="3905" t="n"/>
    </row>
    <row r="59">
      <c r="A59" s="3905" t="n"/>
      <c r="B59" s="3905" t="n"/>
      <c r="C59" s="3905" t="n"/>
      <c r="D59" s="3905" t="n"/>
      <c r="E59" s="3905" t="n"/>
      <c r="F59" s="3905" t="n"/>
      <c r="G59" s="3905" t="n"/>
      <c r="H59" s="3905" t="n"/>
    </row>
    <row r="60">
      <c r="A60" s="3905" t="n"/>
      <c r="B60" s="3905" t="n"/>
      <c r="C60" s="3905" t="n"/>
      <c r="D60" s="3905" t="n"/>
      <c r="E60" s="3905" t="n"/>
      <c r="F60" s="3905" t="n"/>
      <c r="G60" s="3905" t="n"/>
      <c r="H60" s="3905" t="n"/>
    </row>
    <row r="61">
      <c r="A61" s="3905" t="n"/>
      <c r="B61" s="3905" t="n"/>
      <c r="C61" s="3905" t="n"/>
      <c r="D61" s="3905" t="n"/>
      <c r="E61" s="3905" t="n"/>
      <c r="F61" s="3905" t="n"/>
      <c r="G61" s="3905" t="n"/>
      <c r="H61" s="3905" t="n"/>
    </row>
    <row r="62">
      <c r="A62" s="3905" t="n"/>
      <c r="B62" s="3905" t="n"/>
      <c r="C62" s="3905" t="n"/>
      <c r="D62" s="3905" t="n"/>
      <c r="E62" s="3905" t="n"/>
      <c r="F62" s="3905" t="n"/>
      <c r="G62" s="3905" t="n"/>
      <c r="H62" s="3905" t="n"/>
    </row>
    <row r="63">
      <c r="A63" s="3905" t="n"/>
      <c r="B63" s="3905" t="n"/>
      <c r="C63" s="3905" t="n"/>
      <c r="D63" s="3905" t="n"/>
      <c r="E63" s="3905" t="n"/>
      <c r="F63" s="3905" t="n"/>
      <c r="G63" s="3905" t="n"/>
      <c r="H63" s="3905" t="n"/>
    </row>
    <row r="64">
      <c r="A64" s="3905" t="n"/>
      <c r="B64" s="3905" t="n"/>
      <c r="C64" s="3905" t="n"/>
      <c r="D64" s="3905" t="n"/>
      <c r="E64" s="3905" t="n"/>
      <c r="F64" s="3905" t="n"/>
      <c r="G64" s="3905" t="n"/>
      <c r="H64" s="3905" t="n"/>
    </row>
    <row r="65">
      <c r="A65" s="3905" t="n"/>
      <c r="B65" s="3905" t="n"/>
      <c r="C65" s="3905" t="n"/>
      <c r="D65" s="3905" t="n"/>
      <c r="E65" s="3905" t="n"/>
      <c r="F65" s="3905" t="n"/>
      <c r="G65" s="3905" t="n"/>
      <c r="H65" s="3905" t="n"/>
    </row>
    <row r="66">
      <c r="A66" s="3905" t="n"/>
      <c r="B66" s="3905" t="n"/>
      <c r="C66" s="3905" t="n"/>
      <c r="D66" s="3905" t="n"/>
      <c r="E66" s="3905" t="n"/>
      <c r="F66" s="3905" t="n"/>
      <c r="G66" s="3905" t="n"/>
      <c r="H66" s="3905" t="n"/>
    </row>
    <row r="67">
      <c r="A67" s="3905" t="n"/>
      <c r="B67" s="3905" t="n"/>
      <c r="C67" s="3905" t="n"/>
      <c r="D67" s="3905" t="n"/>
      <c r="E67" s="3905" t="n"/>
      <c r="F67" s="3905" t="n"/>
      <c r="G67" s="3905" t="n"/>
      <c r="H67" s="3905" t="n"/>
    </row>
    <row r="68">
      <c r="A68" s="3905" t="n"/>
      <c r="B68" s="3905" t="n"/>
      <c r="C68" s="3905" t="n"/>
      <c r="D68" s="3905" t="n"/>
      <c r="E68" s="3905" t="n"/>
      <c r="F68" s="3905" t="n"/>
      <c r="G68" s="3905" t="n"/>
      <c r="H68" s="3905" t="n"/>
    </row>
    <row r="69">
      <c r="A69" s="3905" t="n"/>
      <c r="B69" s="3905" t="n"/>
      <c r="C69" s="3905" t="n"/>
      <c r="D69" s="3905" t="n"/>
      <c r="E69" s="3905" t="n"/>
      <c r="F69" s="3905" t="n"/>
      <c r="G69" s="3905" t="n"/>
      <c r="H69" s="3905" t="n"/>
    </row>
    <row r="70">
      <c r="A70" s="3905" t="n"/>
      <c r="B70" s="3905" t="n"/>
      <c r="C70" s="3905" t="n"/>
      <c r="D70" s="3905" t="n"/>
      <c r="E70" s="3905" t="n"/>
      <c r="F70" s="3905" t="n"/>
      <c r="G70" s="3905" t="n"/>
      <c r="H70" s="3905" t="n"/>
    </row>
    <row r="71">
      <c r="A71" s="3905" t="n"/>
      <c r="B71" s="3905" t="n"/>
      <c r="C71" s="3905" t="n"/>
      <c r="D71" s="3905" t="n"/>
      <c r="E71" s="3905" t="n"/>
      <c r="F71" s="3905" t="n"/>
      <c r="G71" s="3905" t="n"/>
      <c r="H71" s="3905" t="n"/>
    </row>
    <row r="72">
      <c r="A72" s="3905" t="n"/>
      <c r="B72" s="3905" t="n"/>
      <c r="C72" s="3905" t="n"/>
      <c r="D72" s="3905" t="n"/>
      <c r="E72" s="3905" t="n"/>
      <c r="F72" s="3905" t="n"/>
      <c r="G72" s="3905" t="n"/>
      <c r="H72" s="3905" t="n"/>
    </row>
    <row r="73">
      <c r="A73" s="3905" t="n"/>
      <c r="B73" s="3905" t="n"/>
      <c r="C73" s="3905" t="n"/>
      <c r="D73" s="3905" t="n"/>
      <c r="E73" s="3905" t="n"/>
      <c r="F73" s="3905" t="n"/>
      <c r="G73" s="3905" t="n"/>
      <c r="H73" s="3905" t="n"/>
    </row>
    <row r="74">
      <c r="A74" s="3905" t="n"/>
      <c r="B74" s="3905" t="n"/>
      <c r="C74" s="3905" t="n"/>
      <c r="D74" s="3905" t="n"/>
      <c r="E74" s="3905" t="n"/>
      <c r="F74" s="3905" t="n"/>
      <c r="G74" s="3905" t="n"/>
      <c r="H74" s="3905" t="n"/>
    </row>
    <row r="75">
      <c r="A75" s="3905" t="n"/>
      <c r="B75" s="3905" t="n"/>
      <c r="C75" s="3905" t="n"/>
      <c r="D75" s="3905" t="n"/>
      <c r="E75" s="3905" t="n"/>
      <c r="F75" s="3905" t="n"/>
      <c r="G75" s="3905" t="n"/>
      <c r="H75" s="3905" t="n"/>
    </row>
    <row r="76">
      <c r="A76" s="3905" t="n"/>
      <c r="B76" s="3905" t="n"/>
      <c r="C76" s="3905" t="n"/>
      <c r="D76" s="3905" t="n"/>
      <c r="E76" s="3905" t="n"/>
      <c r="F76" s="3905" t="n"/>
      <c r="G76" s="3905" t="n"/>
      <c r="H76" s="3905" t="n"/>
    </row>
    <row r="77">
      <c r="A77" s="3905" t="n"/>
      <c r="B77" s="3905" t="n"/>
      <c r="C77" s="3905" t="n"/>
      <c r="D77" s="3905" t="n"/>
      <c r="E77" s="3905" t="n"/>
      <c r="F77" s="3905" t="n"/>
      <c r="G77" s="3905" t="n"/>
      <c r="H77" s="3905" t="n"/>
    </row>
    <row r="78">
      <c r="A78" s="3905" t="n"/>
      <c r="B78" s="3905" t="n"/>
      <c r="C78" s="3905" t="n"/>
      <c r="D78" s="3905" t="n"/>
      <c r="E78" s="3905" t="n"/>
      <c r="F78" s="3905" t="n"/>
      <c r="G78" s="3905" t="n"/>
      <c r="H78" s="3905" t="n"/>
    </row>
    <row r="79">
      <c r="A79" s="3905" t="n"/>
      <c r="B79" s="3905" t="n"/>
      <c r="C79" s="3905" t="n"/>
      <c r="D79" s="3905" t="n"/>
      <c r="E79" s="3905" t="n"/>
      <c r="F79" s="3905" t="n"/>
      <c r="G79" s="3905" t="n"/>
      <c r="H79" s="3905" t="n"/>
    </row>
    <row r="80">
      <c r="A80" s="3905" t="n"/>
      <c r="B80" s="3905" t="n"/>
      <c r="C80" s="3905" t="n"/>
      <c r="D80" s="3905" t="n"/>
      <c r="E80" s="3905" t="n"/>
      <c r="F80" s="3905" t="n"/>
      <c r="G80" s="3905" t="n"/>
      <c r="H80" s="3905" t="n"/>
    </row>
    <row r="81">
      <c r="A81" s="3905" t="n"/>
      <c r="B81" s="3905" t="n"/>
      <c r="C81" s="3905" t="n"/>
      <c r="D81" s="3905" t="n"/>
      <c r="E81" s="3905" t="n"/>
      <c r="F81" s="3905" t="n"/>
      <c r="G81" s="3905" t="n"/>
      <c r="H81" s="3905" t="n"/>
    </row>
    <row r="82">
      <c r="A82" s="3905" t="n"/>
      <c r="B82" s="3905" t="n"/>
      <c r="C82" s="3905" t="n"/>
      <c r="D82" s="3905" t="n"/>
      <c r="E82" s="3905" t="n"/>
      <c r="F82" s="3905" t="n"/>
      <c r="G82" s="3905" t="n"/>
      <c r="H82" s="3905" t="n"/>
    </row>
    <row r="83">
      <c r="A83" s="3905" t="n"/>
      <c r="B83" s="3905" t="n"/>
      <c r="C83" s="3905" t="n"/>
      <c r="D83" s="3905" t="n"/>
      <c r="E83" s="3905" t="n"/>
      <c r="F83" s="3905" t="n"/>
      <c r="G83" s="3905" t="n"/>
      <c r="H83" s="3905" t="n"/>
    </row>
    <row r="84">
      <c r="A84" s="3905" t="n"/>
      <c r="B84" s="3905" t="n"/>
      <c r="C84" s="3905" t="n"/>
      <c r="D84" s="3905" t="n"/>
      <c r="E84" s="3905" t="n"/>
      <c r="F84" s="3905" t="n"/>
      <c r="G84" s="3905" t="n"/>
      <c r="H84" s="3905" t="n"/>
    </row>
    <row r="85">
      <c r="A85" s="3905" t="n"/>
      <c r="B85" s="3905" t="n"/>
      <c r="C85" s="3905" t="n"/>
      <c r="D85" s="3905" t="n"/>
      <c r="E85" s="3905" t="n"/>
      <c r="F85" s="3905" t="n"/>
      <c r="G85" s="3905" t="n"/>
      <c r="H85" s="3905" t="n"/>
    </row>
    <row r="86">
      <c r="A86" s="3905" t="n"/>
      <c r="B86" s="3905" t="n"/>
      <c r="C86" s="3905" t="n"/>
      <c r="D86" s="3905" t="n"/>
      <c r="E86" s="3905" t="n"/>
      <c r="F86" s="3905" t="n"/>
      <c r="G86" s="3905" t="n"/>
      <c r="H86" s="3905" t="n"/>
    </row>
    <row r="87">
      <c r="A87" s="3905" t="n"/>
      <c r="B87" s="3905" t="n"/>
      <c r="C87" s="3905" t="n"/>
      <c r="D87" s="3905" t="n"/>
      <c r="E87" s="3905" t="n"/>
      <c r="F87" s="3905" t="n"/>
      <c r="G87" s="3905" t="n"/>
      <c r="H87" s="3905" t="n"/>
    </row>
    <row r="88">
      <c r="A88" s="3905" t="n"/>
      <c r="B88" s="3905" t="n"/>
      <c r="C88" s="3905" t="n"/>
      <c r="D88" s="3905" t="n"/>
      <c r="E88" s="3905" t="n"/>
      <c r="F88" s="3905" t="n"/>
      <c r="G88" s="3905" t="n"/>
      <c r="H88" s="3905" t="n"/>
    </row>
    <row r="89">
      <c r="A89" s="3905" t="n"/>
      <c r="B89" s="3905" t="n"/>
      <c r="C89" s="3905" t="n"/>
      <c r="D89" s="3905" t="n"/>
      <c r="E89" s="3905" t="n"/>
      <c r="F89" s="3905" t="n"/>
      <c r="G89" s="3905" t="n"/>
      <c r="H89" s="3905" t="n"/>
    </row>
    <row r="90">
      <c r="A90" s="3905" t="n"/>
      <c r="B90" s="3905" t="n"/>
      <c r="C90" s="3905" t="n"/>
      <c r="D90" s="3905" t="n"/>
      <c r="E90" s="3905" t="n"/>
      <c r="F90" s="3905" t="n"/>
      <c r="G90" s="3905" t="n"/>
      <c r="H90" s="3905" t="n"/>
    </row>
    <row r="91">
      <c r="A91" s="3905" t="n"/>
      <c r="B91" s="3905" t="n"/>
      <c r="C91" s="3905" t="n"/>
      <c r="D91" s="3905" t="n"/>
      <c r="E91" s="3905" t="n"/>
      <c r="F91" s="3905" t="n"/>
      <c r="G91" s="3905" t="n"/>
      <c r="H91" s="3905" t="n"/>
    </row>
    <row r="92">
      <c r="A92" s="3905" t="n"/>
      <c r="B92" s="3905" t="n"/>
      <c r="C92" s="3905" t="n"/>
      <c r="D92" s="3905" t="n"/>
      <c r="E92" s="3905" t="n"/>
      <c r="F92" s="3905" t="n"/>
      <c r="G92" s="3905" t="n"/>
      <c r="H92" s="3905" t="n"/>
    </row>
    <row r="93">
      <c r="A93" s="3905" t="n"/>
      <c r="B93" s="3905" t="n"/>
      <c r="C93" s="3905" t="n"/>
      <c r="D93" s="3905" t="n"/>
      <c r="E93" s="3905" t="n"/>
      <c r="F93" s="3905" t="n"/>
      <c r="G93" s="3905" t="n"/>
      <c r="H93" s="3905" t="n"/>
    </row>
    <row r="94">
      <c r="A94" s="3905" t="n"/>
      <c r="B94" s="3905" t="n"/>
      <c r="C94" s="3905" t="n"/>
      <c r="D94" s="3905" t="n"/>
      <c r="E94" s="3905" t="n"/>
      <c r="F94" s="3905" t="n"/>
      <c r="G94" s="3905" t="n"/>
      <c r="H94" s="3905" t="n"/>
    </row>
    <row r="95">
      <c r="A95" s="3905" t="n"/>
      <c r="B95" s="3905" t="n"/>
      <c r="C95" s="3905" t="n"/>
      <c r="D95" s="3905" t="n"/>
      <c r="E95" s="3905" t="n"/>
      <c r="F95" s="3905" t="n"/>
      <c r="G95" s="3905" t="n"/>
      <c r="H95" s="3905" t="n"/>
    </row>
    <row r="96">
      <c r="A96" s="3905" t="n"/>
      <c r="B96" s="3905" t="n"/>
      <c r="C96" s="3905" t="n"/>
      <c r="D96" s="3905" t="n"/>
      <c r="E96" s="3905" t="n"/>
      <c r="F96" s="3905" t="n"/>
      <c r="G96" s="3905" t="n"/>
      <c r="H96" s="3905" t="n"/>
    </row>
    <row r="97">
      <c r="A97" s="3905" t="n"/>
      <c r="B97" s="3905" t="n"/>
      <c r="C97" s="3905" t="n"/>
      <c r="D97" s="3905" t="n"/>
      <c r="E97" s="3905" t="n"/>
      <c r="F97" s="3905" t="n"/>
      <c r="G97" s="3905" t="n"/>
      <c r="H97" s="3905" t="n"/>
    </row>
    <row r="98">
      <c r="A98" s="3905" t="n"/>
      <c r="B98" s="3905" t="n"/>
      <c r="C98" s="3905" t="n"/>
      <c r="D98" s="3905" t="n"/>
      <c r="E98" s="3905" t="n"/>
      <c r="F98" s="3905" t="n"/>
      <c r="G98" s="3905" t="n"/>
      <c r="H98" s="3905" t="n"/>
    </row>
    <row r="99">
      <c r="A99" s="3905" t="n"/>
      <c r="B99" s="3905" t="n"/>
      <c r="C99" s="3905" t="n"/>
      <c r="D99" s="3905" t="n"/>
      <c r="E99" s="3905" t="n"/>
      <c r="F99" s="3905" t="n"/>
      <c r="G99" s="3905" t="n"/>
      <c r="H99" s="3905" t="n"/>
    </row>
    <row r="100">
      <c r="A100" s="3905" t="n"/>
      <c r="B100" s="3905" t="n"/>
      <c r="C100" s="3905" t="n"/>
      <c r="D100" s="3905" t="n"/>
      <c r="E100" s="3905" t="n"/>
      <c r="F100" s="3905" t="n"/>
      <c r="G100" s="3905" t="n"/>
      <c r="H100" s="3905" t="n"/>
    </row>
    <row r="101">
      <c r="A101" s="3905" t="n"/>
      <c r="B101" s="3905" t="n"/>
      <c r="C101" s="3905" t="n"/>
      <c r="D101" s="3905" t="n"/>
      <c r="E101" s="3905" t="n"/>
      <c r="F101" s="3905" t="n"/>
      <c r="G101" s="3905" t="n"/>
      <c r="H101" s="3905" t="n"/>
    </row>
    <row r="102">
      <c r="A102" s="3905" t="n"/>
      <c r="B102" s="3905" t="n"/>
      <c r="C102" s="3905" t="n"/>
      <c r="D102" s="3905" t="n"/>
      <c r="E102" s="3905" t="n"/>
      <c r="F102" s="3905" t="n"/>
      <c r="G102" s="3905" t="n"/>
      <c r="H102" s="3905" t="n"/>
    </row>
    <row r="103">
      <c r="A103" s="3905" t="n"/>
      <c r="B103" s="3905" t="n"/>
      <c r="C103" s="3905" t="n"/>
      <c r="D103" s="3905" t="n"/>
      <c r="E103" s="3905" t="n"/>
      <c r="F103" s="3905" t="n"/>
      <c r="G103" s="3905" t="n"/>
      <c r="H103" s="3905" t="n"/>
    </row>
    <row r="104">
      <c r="A104" s="3905" t="n"/>
      <c r="B104" s="3905" t="n"/>
      <c r="C104" s="3905" t="n"/>
      <c r="D104" s="3905" t="n"/>
      <c r="E104" s="3905" t="n"/>
      <c r="F104" s="3905" t="n"/>
      <c r="G104" s="3905" t="n"/>
      <c r="H104" s="3905" t="n"/>
    </row>
    <row r="105">
      <c r="A105" s="3905" t="n"/>
      <c r="B105" s="3905" t="n"/>
      <c r="C105" s="3905" t="n"/>
      <c r="D105" s="3905" t="n"/>
      <c r="E105" s="3905" t="n"/>
      <c r="F105" s="3905" t="n"/>
      <c r="G105" s="3905" t="n"/>
      <c r="H105" s="3905" t="n"/>
    </row>
    <row r="106">
      <c r="A106" s="3905" t="n"/>
      <c r="B106" s="3905" t="n"/>
      <c r="C106" s="3905" t="n"/>
      <c r="D106" s="3905" t="n"/>
      <c r="E106" s="3905" t="n"/>
      <c r="F106" s="3905" t="n"/>
      <c r="G106" s="3905" t="n"/>
      <c r="H106" s="3905" t="n"/>
    </row>
    <row r="107">
      <c r="A107" s="3905" t="n"/>
      <c r="B107" s="3905" t="n"/>
      <c r="C107" s="3905" t="n"/>
      <c r="D107" s="3905" t="n"/>
      <c r="E107" s="3905" t="n"/>
      <c r="F107" s="3905" t="n"/>
      <c r="G107" s="3905" t="n"/>
      <c r="H107" s="3905" t="n"/>
    </row>
    <row r="108">
      <c r="A108" s="3905" t="n"/>
      <c r="B108" s="3905" t="n"/>
      <c r="C108" s="3905" t="n"/>
      <c r="D108" s="3905" t="n"/>
      <c r="E108" s="3905" t="n"/>
      <c r="F108" s="3905" t="n"/>
      <c r="G108" s="3905" t="n"/>
      <c r="H108" s="3905" t="n"/>
    </row>
    <row r="109">
      <c r="A109" s="3905" t="n"/>
      <c r="B109" s="3905" t="n"/>
      <c r="C109" s="3905" t="n"/>
      <c r="D109" s="3905" t="n"/>
      <c r="E109" s="3905" t="n"/>
      <c r="F109" s="3905" t="n"/>
      <c r="G109" s="3905" t="n"/>
      <c r="H109" s="3905" t="n"/>
    </row>
    <row r="110">
      <c r="A110" s="3905" t="n"/>
      <c r="B110" s="3905" t="n"/>
      <c r="C110" s="3905" t="n"/>
      <c r="D110" s="3905" t="n"/>
      <c r="E110" s="3905" t="n"/>
      <c r="F110" s="3905" t="n"/>
      <c r="G110" s="3905" t="n"/>
      <c r="H110" s="3905" t="n"/>
    </row>
    <row r="111">
      <c r="A111" s="3905" t="n"/>
      <c r="B111" s="3905" t="n"/>
      <c r="C111" s="3905" t="n"/>
      <c r="D111" s="3905" t="n"/>
      <c r="E111" s="3905" t="n"/>
      <c r="F111" s="3905" t="n"/>
      <c r="G111" s="3905" t="n"/>
      <c r="H111" s="3905" t="n"/>
    </row>
    <row r="112">
      <c r="A112" s="3905" t="n"/>
      <c r="B112" s="3905" t="n"/>
      <c r="C112" s="3905" t="n"/>
      <c r="D112" s="3905" t="n"/>
      <c r="E112" s="3905" t="n"/>
      <c r="F112" s="3905" t="n"/>
      <c r="G112" s="3905" t="n"/>
      <c r="H112" s="3905" t="n"/>
    </row>
    <row r="113">
      <c r="A113" s="3905" t="n"/>
      <c r="B113" s="3905" t="n"/>
      <c r="C113" s="3905" t="n"/>
      <c r="D113" s="3905" t="n"/>
      <c r="E113" s="3905" t="n"/>
      <c r="F113" s="3905" t="n"/>
      <c r="G113" s="3905" t="n"/>
      <c r="H113" s="3905" t="n"/>
    </row>
    <row r="114">
      <c r="A114" s="3905" t="n"/>
      <c r="B114" s="3905" t="n"/>
      <c r="C114" s="3905" t="n"/>
      <c r="D114" s="3905" t="n"/>
      <c r="E114" s="3905" t="n"/>
      <c r="F114" s="3905" t="n"/>
      <c r="G114" s="3905" t="n"/>
      <c r="H114" s="3905" t="n"/>
    </row>
    <row r="115">
      <c r="A115" s="3905" t="n"/>
      <c r="B115" s="3905" t="n"/>
      <c r="C115" s="3905" t="n"/>
      <c r="D115" s="3905" t="n"/>
      <c r="E115" s="3905" t="n"/>
      <c r="F115" s="3905" t="n"/>
      <c r="G115" s="3905" t="n"/>
      <c r="H115" s="3905" t="n"/>
    </row>
    <row r="116">
      <c r="A116" s="3905" t="n"/>
      <c r="B116" s="3905" t="n"/>
      <c r="C116" s="3905" t="n"/>
      <c r="D116" s="3905" t="n"/>
      <c r="E116" s="3905" t="n"/>
      <c r="F116" s="3905" t="n"/>
      <c r="G116" s="3905" t="n"/>
      <c r="H116" s="3905" t="n"/>
    </row>
    <row r="117">
      <c r="A117" s="3905" t="n"/>
      <c r="B117" s="3905" t="n"/>
      <c r="C117" s="3905" t="n"/>
      <c r="D117" s="3905" t="n"/>
      <c r="E117" s="3905" t="n"/>
      <c r="F117" s="3905" t="n"/>
      <c r="G117" s="3905" t="n"/>
      <c r="H117" s="3905" t="n"/>
    </row>
    <row r="118">
      <c r="A118" s="3905" t="n"/>
      <c r="B118" s="3905" t="n"/>
      <c r="C118" s="3905" t="n"/>
      <c r="D118" s="3905" t="n"/>
      <c r="E118" s="3905" t="n"/>
      <c r="F118" s="3905" t="n"/>
      <c r="G118" s="3905" t="n"/>
      <c r="H118" s="3905" t="n"/>
    </row>
    <row r="119">
      <c r="A119" s="3905" t="n"/>
      <c r="B119" s="3905" t="n"/>
      <c r="C119" s="3905" t="n"/>
      <c r="D119" s="3905" t="n"/>
      <c r="E119" s="3905" t="n"/>
      <c r="F119" s="3905" t="n"/>
      <c r="G119" s="3905" t="n"/>
      <c r="H119" s="3905" t="n"/>
    </row>
    <row r="120">
      <c r="A120" s="3905" t="n"/>
      <c r="B120" s="3905" t="n"/>
      <c r="C120" s="3905" t="n"/>
      <c r="D120" s="3905" t="n"/>
      <c r="E120" s="3905" t="n"/>
      <c r="F120" s="3905" t="n"/>
      <c r="G120" s="3905" t="n"/>
      <c r="H120" s="3905" t="n"/>
    </row>
    <row r="121">
      <c r="A121" s="3905" t="n"/>
      <c r="B121" s="3905" t="n"/>
      <c r="C121" s="3905" t="n"/>
      <c r="D121" s="3905" t="n"/>
      <c r="E121" s="3905" t="n"/>
      <c r="F121" s="3905" t="n"/>
      <c r="G121" s="3905" t="n"/>
      <c r="H121" s="3905" t="n"/>
    </row>
    <row r="122">
      <c r="A122" s="3905" t="n"/>
      <c r="B122" s="3905" t="n"/>
      <c r="C122" s="3905" t="n"/>
      <c r="D122" s="3905" t="n"/>
      <c r="E122" s="3905" t="n"/>
      <c r="F122" s="3905" t="n"/>
      <c r="G122" s="3905" t="n"/>
      <c r="H122" s="3905" t="n"/>
    </row>
    <row r="123">
      <c r="A123" s="3905" t="n"/>
      <c r="B123" s="3905" t="n"/>
      <c r="C123" s="3905" t="n"/>
      <c r="D123" s="3905" t="n"/>
      <c r="E123" s="3905" t="n"/>
      <c r="F123" s="3905" t="n"/>
      <c r="G123" s="3905" t="n"/>
      <c r="H123" s="3905" t="n"/>
    </row>
    <row r="124">
      <c r="A124" s="3905" t="n"/>
      <c r="B124" s="3905" t="n"/>
      <c r="C124" s="3905" t="n"/>
      <c r="D124" s="3905" t="n"/>
      <c r="E124" s="3905" t="n"/>
      <c r="F124" s="3905" t="n"/>
      <c r="G124" s="3905" t="n"/>
      <c r="H124" s="3905" t="n"/>
    </row>
    <row r="125">
      <c r="A125" s="3905" t="n"/>
      <c r="B125" s="3905" t="n"/>
      <c r="C125" s="3905" t="n"/>
      <c r="D125" s="3905" t="n"/>
      <c r="E125" s="3905" t="n"/>
      <c r="F125" s="3905" t="n"/>
      <c r="G125" s="3905" t="n"/>
      <c r="H125" s="3905" t="n"/>
    </row>
    <row r="126">
      <c r="A126" s="3905" t="n"/>
      <c r="B126" s="3905" t="n"/>
      <c r="C126" s="3905" t="n"/>
      <c r="D126" s="3905" t="n"/>
      <c r="E126" s="3905" t="n"/>
      <c r="F126" s="3905" t="n"/>
      <c r="G126" s="3905" t="n"/>
      <c r="H126" s="3905" t="n"/>
    </row>
    <row r="127">
      <c r="A127" s="3905" t="n"/>
      <c r="B127" s="3905" t="n"/>
      <c r="C127" s="3905" t="n"/>
      <c r="D127" s="3905" t="n"/>
      <c r="E127" s="3905" t="n"/>
      <c r="F127" s="3905" t="n"/>
      <c r="G127" s="3905" t="n"/>
      <c r="H127" s="3905" t="n"/>
    </row>
    <row r="128">
      <c r="A128" s="3905" t="n"/>
      <c r="B128" s="3905" t="n"/>
      <c r="C128" s="3905" t="n"/>
      <c r="D128" s="3905" t="n"/>
      <c r="E128" s="3905" t="n"/>
      <c r="F128" s="3905" t="n"/>
      <c r="G128" s="3905" t="n"/>
      <c r="H128" s="3905" t="n"/>
    </row>
    <row r="129">
      <c r="A129" s="3905" t="n"/>
      <c r="B129" s="3905" t="n"/>
      <c r="C129" s="3905" t="n"/>
      <c r="D129" s="3905" t="n"/>
      <c r="E129" s="3905" t="n"/>
      <c r="F129" s="3905" t="n"/>
      <c r="G129" s="3905" t="n"/>
      <c r="H129" s="3905" t="n"/>
    </row>
    <row r="130">
      <c r="A130" s="3905" t="n"/>
      <c r="B130" s="3905" t="n"/>
      <c r="C130" s="3905" t="n"/>
      <c r="D130" s="3905" t="n"/>
      <c r="E130" s="3905" t="n"/>
      <c r="F130" s="3905" t="n"/>
      <c r="G130" s="3905" t="n"/>
      <c r="H130" s="3905" t="n"/>
    </row>
    <row r="131">
      <c r="A131" s="3905" t="n"/>
      <c r="B131" s="3905" t="n"/>
      <c r="C131" s="3905" t="n"/>
      <c r="D131" s="3905" t="n"/>
      <c r="E131" s="3905" t="n"/>
      <c r="F131" s="3905" t="n"/>
      <c r="G131" s="3905" t="n"/>
      <c r="H131" s="3905" t="n"/>
    </row>
    <row r="132">
      <c r="A132" s="3905" t="n"/>
      <c r="B132" s="3905" t="n"/>
      <c r="C132" s="3905" t="n"/>
      <c r="D132" s="3905" t="n"/>
      <c r="E132" s="3905" t="n"/>
      <c r="F132" s="3905" t="n"/>
      <c r="G132" s="3905" t="n"/>
      <c r="H132" s="3905" t="n"/>
    </row>
    <row r="133">
      <c r="A133" s="3905" t="n"/>
      <c r="B133" s="3905" t="n"/>
      <c r="C133" s="3905" t="n"/>
      <c r="D133" s="3905" t="n"/>
      <c r="E133" s="3905" t="n"/>
      <c r="F133" s="3905" t="n"/>
      <c r="G133" s="3905" t="n"/>
      <c r="H133" s="3905" t="n"/>
    </row>
    <row r="134">
      <c r="A134" s="3905" t="n"/>
      <c r="B134" s="3905" t="n"/>
      <c r="C134" s="3905" t="n"/>
      <c r="D134" s="3905" t="n"/>
      <c r="E134" s="3905" t="n"/>
      <c r="F134" s="3905" t="n"/>
      <c r="G134" s="3905" t="n"/>
      <c r="H134" s="3905" t="n"/>
    </row>
    <row r="135">
      <c r="A135" s="3905" t="n"/>
      <c r="B135" s="3905" t="n"/>
      <c r="C135" s="3905" t="n"/>
      <c r="D135" s="3905" t="n"/>
      <c r="E135" s="3905" t="n"/>
      <c r="F135" s="3905" t="n"/>
      <c r="G135" s="3905" t="n"/>
      <c r="H135" s="3905" t="n"/>
    </row>
    <row r="136">
      <c r="A136" s="3905" t="n"/>
      <c r="B136" s="3905" t="n"/>
      <c r="C136" s="3905" t="n"/>
      <c r="D136" s="3905" t="n"/>
      <c r="E136" s="3905" t="n"/>
      <c r="F136" s="3905" t="n"/>
      <c r="G136" s="3905" t="n"/>
      <c r="H136" s="3905" t="n"/>
    </row>
    <row r="137">
      <c r="A137" s="3905" t="n"/>
      <c r="B137" s="3905" t="n"/>
      <c r="C137" s="3905" t="n"/>
      <c r="D137" s="3905" t="n"/>
      <c r="E137" s="3905" t="n"/>
      <c r="F137" s="3905" t="n"/>
      <c r="G137" s="3905" t="n"/>
      <c r="H137" s="3905" t="n"/>
    </row>
    <row r="138">
      <c r="A138" s="3905" t="n"/>
      <c r="B138" s="3905" t="n"/>
      <c r="C138" s="3905" t="n"/>
      <c r="D138" s="3905" t="n"/>
      <c r="E138" s="3905" t="n"/>
      <c r="F138" s="3905" t="n"/>
      <c r="G138" s="3905" t="n"/>
      <c r="H138" s="3905" t="n"/>
    </row>
    <row r="139">
      <c r="A139" s="3905" t="n"/>
      <c r="B139" s="3905" t="n"/>
      <c r="C139" s="3905" t="n"/>
      <c r="D139" s="3905" t="n"/>
      <c r="E139" s="3905" t="n"/>
      <c r="F139" s="3905" t="n"/>
      <c r="G139" s="3905" t="n"/>
      <c r="H139" s="3905" t="n"/>
    </row>
    <row r="140">
      <c r="A140" s="3905" t="n"/>
      <c r="B140" s="3905" t="n"/>
      <c r="C140" s="3905" t="n"/>
      <c r="D140" s="3905" t="n"/>
      <c r="E140" s="3905" t="n"/>
      <c r="F140" s="3905" t="n"/>
      <c r="G140" s="3905" t="n"/>
      <c r="H140" s="3905" t="n"/>
    </row>
    <row r="141">
      <c r="A141" s="3905" t="n"/>
      <c r="B141" s="3905" t="n"/>
      <c r="C141" s="3905" t="n"/>
      <c r="D141" s="3905" t="n"/>
      <c r="E141" s="3905" t="n"/>
      <c r="F141" s="3905" t="n"/>
      <c r="G141" s="3905" t="n"/>
      <c r="H141" s="3905" t="n"/>
    </row>
    <row r="142">
      <c r="A142" s="3905" t="n"/>
      <c r="B142" s="3905" t="n"/>
      <c r="C142" s="3905" t="n"/>
      <c r="D142" s="3905" t="n"/>
      <c r="E142" s="3905" t="n"/>
      <c r="F142" s="3905" t="n"/>
      <c r="G142" s="3905" t="n"/>
      <c r="H142" s="3905" t="n"/>
    </row>
    <row r="143">
      <c r="A143" s="3905" t="n"/>
      <c r="B143" s="3905" t="n"/>
      <c r="C143" s="3905" t="n"/>
      <c r="D143" s="3905" t="n"/>
      <c r="E143" s="3905" t="n"/>
      <c r="F143" s="3905" t="n"/>
      <c r="G143" s="3905" t="n"/>
      <c r="H143" s="3905" t="n"/>
    </row>
    <row r="144">
      <c r="A144" s="3905" t="n"/>
      <c r="B144" s="3905" t="n"/>
      <c r="C144" s="3905" t="n"/>
      <c r="D144" s="3905" t="n"/>
      <c r="E144" s="3905" t="n"/>
      <c r="F144" s="3905" t="n"/>
      <c r="G144" s="3905" t="n"/>
      <c r="H144" s="3905" t="n"/>
    </row>
    <row r="145">
      <c r="A145" s="3905" t="n"/>
      <c r="B145" s="3905" t="n"/>
      <c r="C145" s="3905" t="n"/>
      <c r="D145" s="3905" t="n"/>
      <c r="E145" s="3905" t="n"/>
      <c r="F145" s="3905" t="n"/>
      <c r="G145" s="3905" t="n"/>
      <c r="H145" s="3905" t="n"/>
    </row>
    <row r="146">
      <c r="A146" s="3905" t="n"/>
      <c r="B146" s="3905" t="n"/>
      <c r="C146" s="3905" t="n"/>
      <c r="D146" s="3905" t="n"/>
      <c r="E146" s="3905" t="n"/>
      <c r="F146" s="3905" t="n"/>
      <c r="G146" s="3905" t="n"/>
      <c r="H146" s="3905" t="n"/>
    </row>
    <row r="147">
      <c r="A147" s="3905" t="n"/>
      <c r="B147" s="3905" t="n"/>
      <c r="C147" s="3905" t="n"/>
      <c r="D147" s="3905" t="n"/>
      <c r="E147" s="3905" t="n"/>
      <c r="F147" s="3905" t="n"/>
      <c r="G147" s="3905" t="n"/>
      <c r="H147" s="3905" t="n"/>
    </row>
    <row r="148">
      <c r="A148" s="3905" t="n"/>
      <c r="B148" s="3905" t="n"/>
      <c r="C148" s="3905" t="n"/>
      <c r="D148" s="3905" t="n"/>
      <c r="E148" s="3905" t="n"/>
      <c r="F148" s="3905" t="n"/>
      <c r="G148" s="3905" t="n"/>
      <c r="H148" s="3905" t="n"/>
    </row>
    <row r="149">
      <c r="A149" s="3905" t="n"/>
      <c r="B149" s="3905" t="n"/>
      <c r="C149" s="3905" t="n"/>
      <c r="D149" s="3905" t="n"/>
      <c r="E149" s="3905" t="n"/>
      <c r="F149" s="3905" t="n"/>
      <c r="G149" s="3905" t="n"/>
      <c r="H149" s="3905" t="n"/>
    </row>
    <row r="150">
      <c r="A150" s="3905" t="n"/>
      <c r="B150" s="3905" t="n"/>
      <c r="C150" s="3905" t="n"/>
      <c r="D150" s="3905" t="n"/>
      <c r="E150" s="3905" t="n"/>
      <c r="F150" s="3905" t="n"/>
      <c r="G150" s="3905" t="n"/>
      <c r="H150" s="3905" t="n"/>
    </row>
    <row r="151">
      <c r="A151" s="3905" t="n"/>
      <c r="B151" s="3905" t="n"/>
      <c r="C151" s="3905" t="n"/>
      <c r="D151" s="3905" t="n"/>
      <c r="E151" s="3905" t="n"/>
      <c r="F151" s="3905" t="n"/>
      <c r="G151" s="3905" t="n"/>
      <c r="H151" s="3905" t="n"/>
    </row>
    <row r="152">
      <c r="A152" s="3905" t="n"/>
      <c r="B152" s="3905" t="n"/>
      <c r="C152" s="3905" t="n"/>
      <c r="D152" s="3905" t="n"/>
      <c r="E152" s="3905" t="n"/>
      <c r="F152" s="3905" t="n"/>
      <c r="G152" s="3905" t="n"/>
      <c r="H152" s="3905" t="n"/>
    </row>
    <row r="153">
      <c r="A153" s="3905" t="n"/>
      <c r="B153" s="3905" t="n"/>
      <c r="C153" s="3905" t="n"/>
      <c r="D153" s="3905" t="n"/>
      <c r="E153" s="3905" t="n"/>
      <c r="F153" s="3905" t="n"/>
      <c r="G153" s="3905" t="n"/>
      <c r="H153" s="3905" t="n"/>
    </row>
    <row r="154">
      <c r="A154" s="3905" t="n"/>
      <c r="B154" s="3905" t="n"/>
      <c r="C154" s="3905" t="n"/>
      <c r="D154" s="3905" t="n"/>
      <c r="E154" s="3905" t="n"/>
      <c r="F154" s="3905" t="n"/>
      <c r="G154" s="3905" t="n"/>
      <c r="H154" s="3905" t="n"/>
    </row>
    <row r="155">
      <c r="A155" s="3905" t="n"/>
      <c r="B155" s="3905" t="n"/>
      <c r="C155" s="3905" t="n"/>
      <c r="D155" s="3905" t="n"/>
      <c r="E155" s="3905" t="n"/>
      <c r="F155" s="3905" t="n"/>
      <c r="G155" s="3905" t="n"/>
      <c r="H155" s="3905" t="n"/>
    </row>
    <row r="156">
      <c r="A156" s="3905" t="n"/>
      <c r="B156" s="3905" t="n"/>
      <c r="C156" s="3905" t="n"/>
      <c r="D156" s="3905" t="n"/>
      <c r="E156" s="3905" t="n"/>
      <c r="F156" s="3905" t="n"/>
      <c r="G156" s="3905" t="n"/>
      <c r="H156" s="3905" t="n"/>
    </row>
    <row r="157">
      <c r="A157" s="3905" t="n"/>
      <c r="B157" s="3905" t="n"/>
      <c r="C157" s="3905" t="n"/>
      <c r="D157" s="3905" t="n"/>
      <c r="E157" s="3905" t="n"/>
      <c r="F157" s="3905" t="n"/>
      <c r="G157" s="3905" t="n"/>
      <c r="H157" s="3905" t="n"/>
    </row>
    <row r="158">
      <c r="A158" s="3905" t="n"/>
      <c r="B158" s="3905" t="n"/>
      <c r="C158" s="3905" t="n"/>
      <c r="D158" s="3905" t="n"/>
      <c r="E158" s="3905" t="n"/>
      <c r="F158" s="3905" t="n"/>
      <c r="G158" s="3905" t="n"/>
      <c r="H158" s="3905" t="n"/>
    </row>
    <row r="159">
      <c r="A159" s="3905" t="n"/>
      <c r="B159" s="3905" t="n"/>
      <c r="C159" s="3905" t="n"/>
      <c r="D159" s="3905" t="n"/>
      <c r="E159" s="3905" t="n"/>
      <c r="F159" s="3905" t="n"/>
      <c r="G159" s="3905" t="n"/>
      <c r="H159" s="3905" t="n"/>
    </row>
    <row r="160">
      <c r="A160" s="3905" t="n"/>
      <c r="B160" s="3905" t="n"/>
      <c r="C160" s="3905" t="n"/>
      <c r="D160" s="3905" t="n"/>
      <c r="E160" s="3905" t="n"/>
      <c r="F160" s="3905" t="n"/>
      <c r="G160" s="3905" t="n"/>
      <c r="H160" s="3905" t="n"/>
    </row>
    <row r="161">
      <c r="A161" s="3905" t="n"/>
      <c r="B161" s="3905" t="n"/>
      <c r="C161" s="3905" t="n"/>
      <c r="D161" s="3905" t="n"/>
      <c r="E161" s="3905" t="n"/>
      <c r="F161" s="3905" t="n"/>
      <c r="G161" s="3905" t="n"/>
      <c r="H161" s="3905" t="n"/>
    </row>
    <row r="162">
      <c r="A162" s="3905" t="n"/>
      <c r="B162" s="3905" t="n"/>
      <c r="C162" s="3905" t="n"/>
      <c r="D162" s="3905" t="n"/>
      <c r="E162" s="3905" t="n"/>
      <c r="F162" s="3905" t="n"/>
      <c r="G162" s="3905" t="n"/>
      <c r="H162" s="3905" t="n"/>
    </row>
    <row r="163">
      <c r="A163" s="3905" t="n"/>
      <c r="B163" s="3905" t="n"/>
      <c r="C163" s="3905" t="n"/>
      <c r="D163" s="3905" t="n"/>
      <c r="E163" s="3905" t="n"/>
      <c r="F163" s="3905" t="n"/>
      <c r="G163" s="3905" t="n"/>
      <c r="H163" s="3905" t="n"/>
    </row>
    <row r="164">
      <c r="A164" s="3905" t="n"/>
      <c r="B164" s="3905" t="n"/>
      <c r="C164" s="3905" t="n"/>
      <c r="D164" s="3905" t="n"/>
      <c r="E164" s="3905" t="n"/>
      <c r="F164" s="3905" t="n"/>
      <c r="G164" s="3905" t="n"/>
      <c r="H164" s="3905" t="n"/>
    </row>
    <row r="165">
      <c r="A165" s="3905" t="n"/>
      <c r="B165" s="3905" t="n"/>
      <c r="C165" s="3905" t="n"/>
      <c r="D165" s="3905" t="n"/>
      <c r="E165" s="3905" t="n"/>
      <c r="F165" s="3905" t="n"/>
      <c r="G165" s="3905" t="n"/>
      <c r="H165" s="3905" t="n"/>
    </row>
    <row r="166">
      <c r="A166" s="3905" t="n"/>
      <c r="B166" s="3905" t="n"/>
      <c r="C166" s="3905" t="n"/>
      <c r="D166" s="3905" t="n"/>
      <c r="E166" s="3905" t="n"/>
      <c r="F166" s="3905" t="n"/>
      <c r="G166" s="3905" t="n"/>
      <c r="H166" s="3905" t="n"/>
    </row>
    <row r="167">
      <c r="A167" s="3905" t="n"/>
      <c r="B167" s="3905" t="n"/>
      <c r="C167" s="3905" t="n"/>
      <c r="D167" s="3905" t="n"/>
      <c r="E167" s="3905" t="n"/>
      <c r="F167" s="3905" t="n"/>
      <c r="G167" s="3905" t="n"/>
      <c r="H167" s="3905" t="n"/>
    </row>
    <row r="168">
      <c r="A168" s="3905" t="n"/>
      <c r="B168" s="3905" t="n"/>
      <c r="C168" s="3905" t="n"/>
      <c r="D168" s="3905" t="n"/>
      <c r="E168" s="3905" t="n"/>
      <c r="F168" s="3905" t="n"/>
      <c r="G168" s="3905" t="n"/>
      <c r="H168" s="3905" t="n"/>
    </row>
    <row r="169">
      <c r="A169" s="3905" t="n"/>
      <c r="B169" s="3905" t="n"/>
      <c r="C169" s="3905" t="n"/>
      <c r="D169" s="3905" t="n"/>
      <c r="E169" s="3905" t="n"/>
      <c r="F169" s="3905" t="n"/>
      <c r="G169" s="3905" t="n"/>
      <c r="H169" s="3905" t="n"/>
    </row>
    <row r="170">
      <c r="A170" s="3905" t="n"/>
      <c r="B170" s="3905" t="n"/>
      <c r="C170" s="3905" t="n"/>
      <c r="D170" s="3905" t="n"/>
      <c r="E170" s="3905" t="n"/>
      <c r="F170" s="3905" t="n"/>
      <c r="G170" s="3905" t="n"/>
      <c r="H170" s="3905" t="n"/>
    </row>
    <row r="171">
      <c r="A171" s="3905" t="n"/>
      <c r="B171" s="3905" t="n"/>
      <c r="C171" s="3905" t="n"/>
      <c r="D171" s="3905" t="n"/>
      <c r="E171" s="3905" t="n"/>
      <c r="F171" s="3905" t="n"/>
      <c r="G171" s="3905" t="n"/>
      <c r="H171" s="3905" t="n"/>
    </row>
    <row r="172">
      <c r="A172" s="3905" t="n"/>
      <c r="B172" s="3905" t="n"/>
      <c r="C172" s="3905" t="n"/>
      <c r="D172" s="3905" t="n"/>
      <c r="E172" s="3905" t="n"/>
      <c r="F172" s="3905" t="n"/>
      <c r="G172" s="3905" t="n"/>
      <c r="H172" s="3905" t="n"/>
    </row>
    <row r="173">
      <c r="A173" s="3905" t="n"/>
      <c r="B173" s="3905" t="n"/>
      <c r="C173" s="3905" t="n"/>
      <c r="D173" s="3905" t="n"/>
      <c r="E173" s="3905" t="n"/>
      <c r="F173" s="3905" t="n"/>
      <c r="G173" s="3905" t="n"/>
      <c r="H173" s="3905" t="n"/>
    </row>
    <row r="174">
      <c r="A174" s="3905" t="n"/>
      <c r="B174" s="3905" t="n"/>
      <c r="C174" s="3905" t="n"/>
      <c r="D174" s="3905" t="n"/>
      <c r="E174" s="3905" t="n"/>
      <c r="F174" s="3905" t="n"/>
      <c r="G174" s="3905" t="n"/>
      <c r="H174" s="3905" t="n"/>
    </row>
    <row r="175">
      <c r="A175" s="3905" t="n"/>
      <c r="B175" s="3905" t="n"/>
      <c r="C175" s="3905" t="n"/>
      <c r="D175" s="3905" t="n"/>
      <c r="E175" s="3905" t="n"/>
      <c r="F175" s="3905" t="n"/>
      <c r="G175" s="3905" t="n"/>
      <c r="H175" s="3905" t="n"/>
    </row>
    <row r="176">
      <c r="A176" s="3905" t="n"/>
      <c r="B176" s="3905" t="n"/>
      <c r="C176" s="3905" t="n"/>
      <c r="D176" s="3905" t="n"/>
      <c r="E176" s="3905" t="n"/>
      <c r="F176" s="3905" t="n"/>
      <c r="G176" s="3905" t="n"/>
      <c r="H176" s="3905" t="n"/>
    </row>
    <row r="177">
      <c r="A177" s="3905" t="n"/>
      <c r="B177" s="3905" t="n"/>
      <c r="C177" s="3905" t="n"/>
      <c r="D177" s="3905" t="n"/>
      <c r="E177" s="3905" t="n"/>
      <c r="F177" s="3905" t="n"/>
      <c r="G177" s="3905" t="n"/>
      <c r="H177" s="3905" t="n"/>
    </row>
    <row r="178">
      <c r="A178" s="3905" t="n"/>
      <c r="B178" s="3905" t="n"/>
      <c r="C178" s="3905" t="n"/>
      <c r="D178" s="3905" t="n"/>
      <c r="E178" s="3905" t="n"/>
      <c r="F178" s="3905" t="n"/>
      <c r="G178" s="3905" t="n"/>
      <c r="H178" s="3905" t="n"/>
    </row>
    <row r="179">
      <c r="A179" s="3905" t="n"/>
      <c r="B179" s="3905" t="n"/>
      <c r="C179" s="3905" t="n"/>
      <c r="D179" s="3905" t="n"/>
      <c r="E179" s="3905" t="n"/>
      <c r="F179" s="3905" t="n"/>
      <c r="G179" s="3905" t="n"/>
      <c r="H179" s="3905" t="n"/>
    </row>
    <row r="180">
      <c r="A180" s="3905" t="n"/>
      <c r="B180" s="3905" t="n"/>
      <c r="C180" s="3905" t="n"/>
      <c r="D180" s="3905" t="n"/>
      <c r="E180" s="3905" t="n"/>
      <c r="F180" s="3905" t="n"/>
      <c r="G180" s="3905" t="n"/>
      <c r="H180" s="3905" t="n"/>
    </row>
    <row r="181">
      <c r="A181" s="3905" t="n"/>
      <c r="B181" s="3905" t="n"/>
      <c r="C181" s="3905" t="n"/>
      <c r="D181" s="3905" t="n"/>
      <c r="E181" s="3905" t="n"/>
      <c r="F181" s="3905" t="n"/>
      <c r="G181" s="3905" t="n"/>
      <c r="H181" s="3905" t="n"/>
    </row>
    <row r="182">
      <c r="A182" s="3905" t="n"/>
      <c r="B182" s="3905" t="n"/>
      <c r="C182" s="3905" t="n"/>
      <c r="D182" s="3905" t="n"/>
      <c r="E182" s="3905" t="n"/>
      <c r="F182" s="3905" t="n"/>
      <c r="G182" s="3905" t="n"/>
      <c r="H182" s="3905" t="n"/>
    </row>
    <row r="183">
      <c r="A183" s="3905" t="n"/>
      <c r="B183" s="3905" t="n"/>
      <c r="C183" s="3905" t="n"/>
      <c r="D183" s="3905" t="n"/>
      <c r="E183" s="3905" t="n"/>
      <c r="F183" s="3905" t="n"/>
      <c r="G183" s="3905" t="n"/>
      <c r="H183" s="3905" t="n"/>
    </row>
    <row r="184">
      <c r="A184" s="3905" t="n"/>
      <c r="B184" s="3905" t="n"/>
      <c r="C184" s="3905" t="n"/>
      <c r="D184" s="3905" t="n"/>
      <c r="E184" s="3905" t="n"/>
      <c r="F184" s="3905" t="n"/>
      <c r="G184" s="3905" t="n"/>
      <c r="H184" s="3905" t="n"/>
    </row>
    <row r="185">
      <c r="A185" s="3905" t="n"/>
      <c r="B185" s="3905" t="n"/>
      <c r="C185" s="3905" t="n"/>
      <c r="D185" s="3905" t="n"/>
      <c r="E185" s="3905" t="n"/>
      <c r="F185" s="3905" t="n"/>
      <c r="G185" s="3905" t="n"/>
      <c r="H185" s="3905" t="n"/>
    </row>
    <row r="186">
      <c r="A186" s="3905" t="n"/>
      <c r="B186" s="3905" t="n"/>
      <c r="C186" s="3905" t="n"/>
      <c r="D186" s="3905" t="n"/>
      <c r="E186" s="3905" t="n"/>
      <c r="F186" s="3905" t="n"/>
      <c r="G186" s="3905" t="n"/>
      <c r="H186" s="3905" t="n"/>
    </row>
    <row r="187">
      <c r="A187" s="3905" t="n"/>
      <c r="B187" s="3905" t="n"/>
      <c r="C187" s="3905" t="n"/>
      <c r="D187" s="3905" t="n"/>
      <c r="E187" s="3905" t="n"/>
      <c r="F187" s="3905" t="n"/>
      <c r="G187" s="3905" t="n"/>
      <c r="H187" s="3905" t="n"/>
    </row>
    <row r="188">
      <c r="A188" s="3905" t="n"/>
      <c r="B188" s="3905" t="n"/>
      <c r="C188" s="3905" t="n"/>
      <c r="D188" s="3905" t="n"/>
      <c r="E188" s="3905" t="n"/>
      <c r="F188" s="3905" t="n"/>
      <c r="G188" s="3905" t="n"/>
      <c r="H188" s="3905" t="n"/>
    </row>
    <row r="189">
      <c r="A189" s="3905" t="n"/>
      <c r="B189" s="3905" t="n"/>
      <c r="C189" s="3905" t="n"/>
      <c r="D189" s="3905" t="n"/>
      <c r="E189" s="3905" t="n"/>
      <c r="F189" s="3905" t="n"/>
      <c r="G189" s="3905" t="n"/>
      <c r="H189" s="3905" t="n"/>
    </row>
    <row r="190">
      <c r="A190" s="3905" t="n"/>
      <c r="B190" s="3905" t="n"/>
      <c r="C190" s="3905" t="n"/>
      <c r="D190" s="3905" t="n"/>
      <c r="E190" s="3905" t="n"/>
      <c r="F190" s="3905" t="n"/>
      <c r="G190" s="3905" t="n"/>
      <c r="H190" s="3905" t="n"/>
    </row>
    <row r="191">
      <c r="A191" s="3905" t="n"/>
      <c r="B191" s="3905" t="n"/>
      <c r="C191" s="3905" t="n"/>
      <c r="D191" s="3905" t="n"/>
      <c r="E191" s="3905" t="n"/>
      <c r="F191" s="3905" t="n"/>
      <c r="G191" s="3905" t="n"/>
      <c r="H191" s="3905" t="n"/>
    </row>
    <row r="192">
      <c r="A192" s="3905" t="n"/>
      <c r="B192" s="3905" t="n"/>
      <c r="C192" s="3905" t="n"/>
      <c r="D192" s="3905" t="n"/>
      <c r="E192" s="3905" t="n"/>
      <c r="F192" s="3905" t="n"/>
      <c r="G192" s="3905" t="n"/>
      <c r="H192" s="3905" t="n"/>
    </row>
    <row r="193">
      <c r="A193" s="3905" t="n"/>
      <c r="B193" s="3905" t="n"/>
      <c r="C193" s="3905" t="n"/>
      <c r="D193" s="3905" t="n"/>
      <c r="E193" s="3905" t="n"/>
      <c r="F193" s="3905" t="n"/>
      <c r="G193" s="3905" t="n"/>
      <c r="H193" s="3905" t="n"/>
    </row>
    <row r="194">
      <c r="A194" s="3905" t="n"/>
      <c r="B194" s="3905" t="n"/>
      <c r="C194" s="3905" t="n"/>
      <c r="D194" s="3905" t="n"/>
      <c r="E194" s="3905" t="n"/>
      <c r="F194" s="3905" t="n"/>
      <c r="G194" s="3905" t="n"/>
      <c r="H194" s="3905" t="n"/>
    </row>
    <row r="195">
      <c r="A195" s="3905" t="n"/>
      <c r="B195" s="3905" t="n"/>
      <c r="C195" s="3905" t="n"/>
      <c r="D195" s="3905" t="n"/>
      <c r="E195" s="3905" t="n"/>
      <c r="F195" s="3905" t="n"/>
      <c r="G195" s="3905" t="n"/>
      <c r="H195" s="3905" t="n"/>
    </row>
    <row r="196">
      <c r="A196" s="3905" t="n"/>
      <c r="B196" s="3905" t="n"/>
      <c r="C196" s="3905" t="n"/>
      <c r="D196" s="3905" t="n"/>
      <c r="E196" s="3905" t="n"/>
      <c r="F196" s="3905" t="n"/>
      <c r="G196" s="3905" t="n"/>
      <c r="H196" s="3905" t="n"/>
    </row>
    <row r="197">
      <c r="A197" s="3905" t="n"/>
      <c r="B197" s="3905" t="n"/>
      <c r="C197" s="3905" t="n"/>
      <c r="D197" s="3905" t="n"/>
      <c r="E197" s="3905" t="n"/>
      <c r="F197" s="3905" t="n"/>
      <c r="G197" s="3905" t="n"/>
      <c r="H197" s="3905" t="n"/>
    </row>
    <row r="198">
      <c r="A198" s="3905" t="n"/>
      <c r="B198" s="3905" t="n"/>
      <c r="C198" s="3905" t="n"/>
      <c r="D198" s="3905" t="n"/>
      <c r="E198" s="3905" t="n"/>
      <c r="F198" s="3905" t="n"/>
      <c r="G198" s="3905" t="n"/>
      <c r="H198" s="3905" t="n"/>
    </row>
    <row r="199">
      <c r="A199" s="3905" t="n"/>
      <c r="B199" s="3905" t="n"/>
      <c r="C199" s="3905" t="n"/>
      <c r="D199" s="3905" t="n"/>
      <c r="E199" s="3905" t="n"/>
      <c r="F199" s="3905" t="n"/>
      <c r="G199" s="3905" t="n"/>
      <c r="H199" s="3905" t="n"/>
    </row>
    <row r="200">
      <c r="A200" s="3905" t="n"/>
      <c r="B200" s="3905" t="n"/>
      <c r="C200" s="3905" t="n"/>
      <c r="D200" s="3905" t="n"/>
      <c r="E200" s="3905" t="n"/>
      <c r="F200" s="3905" t="n"/>
      <c r="G200" s="3905" t="n"/>
      <c r="H200" s="3905" t="n"/>
    </row>
    <row r="201">
      <c r="A201" s="3905" t="n"/>
      <c r="B201" s="3905" t="n"/>
      <c r="C201" s="3905" t="n"/>
      <c r="D201" s="3905" t="n"/>
      <c r="E201" s="3905" t="n"/>
      <c r="F201" s="3905" t="n"/>
      <c r="G201" s="3905" t="n"/>
      <c r="H201" s="3905" t="n"/>
    </row>
    <row r="202">
      <c r="A202" s="3905" t="n"/>
      <c r="B202" s="3905" t="n"/>
      <c r="C202" s="3905" t="n"/>
      <c r="D202" s="3905" t="n"/>
      <c r="E202" s="3905" t="n"/>
      <c r="F202" s="3905" t="n"/>
      <c r="G202" s="3905" t="n"/>
      <c r="H202" s="3905" t="n"/>
    </row>
    <row r="203">
      <c r="A203" s="3905" t="n"/>
      <c r="B203" s="3905" t="n"/>
      <c r="C203" s="3905" t="n"/>
      <c r="D203" s="3905" t="n"/>
      <c r="E203" s="3905" t="n"/>
      <c r="F203" s="3905" t="n"/>
      <c r="G203" s="3905" t="n"/>
      <c r="H203" s="3905" t="n"/>
    </row>
    <row r="204">
      <c r="A204" s="3905" t="n"/>
      <c r="B204" s="3905" t="n"/>
      <c r="C204" s="3905" t="n"/>
      <c r="D204" s="3905" t="n"/>
      <c r="E204" s="3905" t="n"/>
      <c r="F204" s="3905" t="n"/>
      <c r="G204" s="3905" t="n"/>
      <c r="H204" s="3905" t="n"/>
    </row>
    <row r="205">
      <c r="A205" s="3905" t="n"/>
      <c r="B205" s="3905" t="n"/>
      <c r="C205" s="3905" t="n"/>
      <c r="D205" s="3905" t="n"/>
      <c r="E205" s="3905" t="n"/>
      <c r="F205" s="3905" t="n"/>
      <c r="G205" s="3905" t="n"/>
      <c r="H205" s="3905" t="n"/>
    </row>
    <row r="206">
      <c r="A206" s="3905" t="n"/>
      <c r="B206" s="3905" t="n"/>
      <c r="C206" s="3905" t="n"/>
      <c r="D206" s="3905" t="n"/>
      <c r="E206" s="3905" t="n"/>
      <c r="F206" s="3905" t="n"/>
      <c r="G206" s="3905" t="n"/>
      <c r="H206" s="3905" t="n"/>
    </row>
    <row r="207">
      <c r="A207" s="3905" t="n"/>
      <c r="B207" s="3905" t="n"/>
      <c r="C207" s="3905" t="n"/>
      <c r="D207" s="3905" t="n"/>
      <c r="E207" s="3905" t="n"/>
      <c r="F207" s="3905" t="n"/>
      <c r="G207" s="3905" t="n"/>
      <c r="H207" s="3905" t="n"/>
    </row>
    <row r="208">
      <c r="A208" s="3905" t="n"/>
      <c r="B208" s="3905" t="n"/>
      <c r="C208" s="3905" t="n"/>
      <c r="D208" s="3905" t="n"/>
      <c r="E208" s="3905" t="n"/>
      <c r="F208" s="3905" t="n"/>
      <c r="G208" s="3905" t="n"/>
      <c r="H208" s="3905" t="n"/>
    </row>
    <row r="209">
      <c r="A209" s="3905" t="n"/>
      <c r="B209" s="3905" t="n"/>
      <c r="C209" s="3905" t="n"/>
      <c r="D209" s="3905" t="n"/>
      <c r="E209" s="3905" t="n"/>
      <c r="F209" s="3905" t="n"/>
      <c r="G209" s="3905" t="n"/>
      <c r="H209" s="3905" t="n"/>
    </row>
    <row r="210">
      <c r="A210" s="3905" t="n"/>
      <c r="B210" s="3905" t="n"/>
      <c r="C210" s="3905" t="n"/>
      <c r="D210" s="3905" t="n"/>
      <c r="E210" s="3905" t="n"/>
      <c r="F210" s="3905" t="n"/>
      <c r="G210" s="3905" t="n"/>
      <c r="H210" s="3905" t="n"/>
    </row>
    <row r="211">
      <c r="A211" s="3905" t="n"/>
      <c r="B211" s="3905" t="n"/>
      <c r="C211" s="3905" t="n"/>
      <c r="D211" s="3905" t="n"/>
      <c r="E211" s="3905" t="n"/>
      <c r="F211" s="3905" t="n"/>
      <c r="G211" s="3905" t="n"/>
      <c r="H211" s="3905" t="n"/>
    </row>
    <row r="212">
      <c r="A212" s="3905" t="n"/>
      <c r="B212" s="3905" t="n"/>
      <c r="C212" s="3905" t="n"/>
      <c r="D212" s="3905" t="n"/>
      <c r="E212" s="3905" t="n"/>
      <c r="F212" s="3905" t="n"/>
      <c r="G212" s="3905" t="n"/>
      <c r="H212" s="3905" t="n"/>
    </row>
    <row r="213">
      <c r="A213" s="3905" t="n"/>
      <c r="B213" s="3905" t="n"/>
      <c r="C213" s="3905" t="n"/>
      <c r="D213" s="3905" t="n"/>
      <c r="E213" s="3905" t="n"/>
      <c r="F213" s="3905" t="n"/>
      <c r="G213" s="3905" t="n"/>
      <c r="H213" s="3905" t="n"/>
    </row>
    <row r="214">
      <c r="A214" s="3905" t="n"/>
      <c r="B214" s="3905" t="n"/>
      <c r="C214" s="3905" t="n"/>
      <c r="D214" s="3905" t="n"/>
      <c r="E214" s="3905" t="n"/>
      <c r="F214" s="3905" t="n"/>
      <c r="G214" s="3905" t="n"/>
      <c r="H214" s="3905" t="n"/>
    </row>
    <row r="215">
      <c r="A215" s="3905" t="n"/>
      <c r="B215" s="3905" t="n"/>
      <c r="C215" s="3905" t="n"/>
      <c r="D215" s="3905" t="n"/>
      <c r="E215" s="3905" t="n"/>
      <c r="F215" s="3905" t="n"/>
      <c r="G215" s="3905" t="n"/>
      <c r="H215" s="3905" t="n"/>
    </row>
    <row r="216">
      <c r="A216" s="3905" t="n"/>
      <c r="B216" s="3905" t="n"/>
      <c r="C216" s="3905" t="n"/>
      <c r="D216" s="3905" t="n"/>
      <c r="E216" s="3905" t="n"/>
      <c r="F216" s="3905" t="n"/>
      <c r="G216" s="3905" t="n"/>
      <c r="H216" s="3905" t="n"/>
    </row>
    <row r="217">
      <c r="A217" s="3905" t="n"/>
      <c r="B217" s="3905" t="n"/>
      <c r="C217" s="3905" t="n"/>
      <c r="D217" s="3905" t="n"/>
      <c r="E217" s="3905" t="n"/>
      <c r="F217" s="3905" t="n"/>
      <c r="G217" s="3905" t="n"/>
      <c r="H217" s="3905" t="n"/>
    </row>
    <row r="218">
      <c r="A218" s="3905" t="n"/>
      <c r="B218" s="3905" t="n"/>
      <c r="C218" s="3905" t="n"/>
      <c r="D218" s="3905" t="n"/>
      <c r="E218" s="3905" t="n"/>
      <c r="F218" s="3905" t="n"/>
      <c r="G218" s="3905" t="n"/>
      <c r="H218" s="3905" t="n"/>
    </row>
    <row r="219">
      <c r="A219" s="3905" t="n"/>
      <c r="B219" s="3905" t="n"/>
      <c r="C219" s="3905" t="n"/>
      <c r="D219" s="3905" t="n"/>
      <c r="E219" s="3905" t="n"/>
      <c r="F219" s="3905" t="n"/>
      <c r="G219" s="3905" t="n"/>
      <c r="H219" s="3905" t="n"/>
    </row>
    <row r="220">
      <c r="A220" s="3905" t="n"/>
      <c r="B220" s="3905" t="n"/>
      <c r="C220" s="3905" t="n"/>
      <c r="D220" s="3905" t="n"/>
      <c r="E220" s="3905" t="n"/>
      <c r="F220" s="3905" t="n"/>
      <c r="G220" s="3905" t="n"/>
      <c r="H220" s="3905" t="n"/>
    </row>
    <row r="221">
      <c r="A221" s="3905" t="n"/>
      <c r="B221" s="3905" t="n"/>
      <c r="C221" s="3905" t="n"/>
      <c r="D221" s="3905" t="n"/>
      <c r="E221" s="3905" t="n"/>
      <c r="F221" s="3905" t="n"/>
      <c r="G221" s="3905" t="n"/>
      <c r="H221" s="3905" t="n"/>
    </row>
    <row r="222">
      <c r="A222" s="3905" t="n"/>
      <c r="B222" s="3905" t="n"/>
      <c r="C222" s="3905" t="n"/>
      <c r="D222" s="3905" t="n"/>
      <c r="E222" s="3905" t="n"/>
      <c r="F222" s="3905" t="n"/>
      <c r="G222" s="3905" t="n"/>
      <c r="H222" s="3905" t="n"/>
    </row>
    <row r="223">
      <c r="A223" s="3905" t="n"/>
      <c r="B223" s="3905" t="n"/>
      <c r="C223" s="3905" t="n"/>
      <c r="D223" s="3905" t="n"/>
      <c r="E223" s="3905" t="n"/>
      <c r="F223" s="3905" t="n"/>
      <c r="G223" s="3905" t="n"/>
      <c r="H223" s="3905" t="n"/>
    </row>
    <row r="224">
      <c r="A224" s="3905" t="n"/>
      <c r="B224" s="3905" t="n"/>
      <c r="C224" s="3905" t="n"/>
      <c r="D224" s="3905" t="n"/>
      <c r="E224" s="3905" t="n"/>
      <c r="F224" s="3905" t="n"/>
      <c r="G224" s="3905" t="n"/>
      <c r="H224" s="3905" t="n"/>
    </row>
    <row r="225">
      <c r="A225" s="3905" t="n"/>
      <c r="B225" s="3905" t="n"/>
      <c r="C225" s="3905" t="n"/>
      <c r="D225" s="3905" t="n"/>
      <c r="E225" s="3905" t="n"/>
      <c r="F225" s="3905" t="n"/>
      <c r="G225" s="3905" t="n"/>
      <c r="H225" s="3905" t="n"/>
    </row>
    <row r="226">
      <c r="A226" s="3905" t="n"/>
      <c r="B226" s="3905" t="n"/>
      <c r="C226" s="3905" t="n"/>
      <c r="D226" s="3905" t="n"/>
      <c r="E226" s="3905" t="n"/>
      <c r="F226" s="3905" t="n"/>
      <c r="G226" s="3905" t="n"/>
      <c r="H226" s="3905" t="n"/>
    </row>
    <row r="227">
      <c r="A227" s="3905" t="n"/>
      <c r="B227" s="3905" t="n"/>
      <c r="C227" s="3905" t="n"/>
      <c r="D227" s="3905" t="n"/>
      <c r="E227" s="3905" t="n"/>
      <c r="F227" s="3905" t="n"/>
      <c r="G227" s="3905" t="n"/>
      <c r="H227" s="3905" t="n"/>
    </row>
    <row r="228">
      <c r="A228" s="3905" t="n"/>
      <c r="B228" s="3905" t="n"/>
      <c r="C228" s="3905" t="n"/>
      <c r="D228" s="3905" t="n"/>
      <c r="E228" s="3905" t="n"/>
      <c r="F228" s="3905" t="n"/>
      <c r="G228" s="3905" t="n"/>
      <c r="H228" s="3905" t="n"/>
    </row>
    <row r="229">
      <c r="A229" s="3905" t="n"/>
      <c r="B229" s="3905" t="n"/>
      <c r="C229" s="3905" t="n"/>
      <c r="D229" s="3905" t="n"/>
      <c r="E229" s="3905" t="n"/>
      <c r="F229" s="3905" t="n"/>
      <c r="G229" s="3905" t="n"/>
      <c r="H229" s="3905" t="n"/>
    </row>
    <row r="230">
      <c r="A230" s="3905" t="n"/>
      <c r="B230" s="3905" t="n"/>
      <c r="C230" s="3905" t="n"/>
      <c r="D230" s="3905" t="n"/>
      <c r="E230" s="3905" t="n"/>
      <c r="F230" s="3905" t="n"/>
      <c r="G230" s="3905" t="n"/>
      <c r="H230" s="3905" t="n"/>
    </row>
    <row r="231">
      <c r="A231" s="3905" t="n"/>
      <c r="B231" s="3905" t="n"/>
      <c r="C231" s="3905" t="n"/>
      <c r="D231" s="3905" t="n"/>
      <c r="E231" s="3905" t="n"/>
      <c r="F231" s="3905" t="n"/>
      <c r="G231" s="3905" t="n"/>
      <c r="H231" s="3905" t="n"/>
    </row>
    <row r="232">
      <c r="A232" s="3905" t="n"/>
      <c r="B232" s="3905" t="n"/>
      <c r="C232" s="3905" t="n"/>
      <c r="D232" s="3905" t="n"/>
      <c r="E232" s="3905" t="n"/>
      <c r="F232" s="3905" t="n"/>
      <c r="G232" s="3905" t="n"/>
      <c r="H232" s="3905" t="n"/>
    </row>
    <row r="233">
      <c r="A233" s="3905" t="n"/>
      <c r="B233" s="3905" t="n"/>
      <c r="C233" s="3905" t="n"/>
      <c r="D233" s="3905" t="n"/>
      <c r="E233" s="3905" t="n"/>
      <c r="F233" s="3905" t="n"/>
      <c r="G233" s="3905" t="n"/>
      <c r="H233" s="3905" t="n"/>
    </row>
    <row r="234">
      <c r="A234" s="3905" t="n"/>
      <c r="B234" s="3905" t="n"/>
      <c r="C234" s="3905" t="n"/>
      <c r="D234" s="3905" t="n"/>
      <c r="E234" s="3905" t="n"/>
      <c r="F234" s="3905" t="n"/>
      <c r="G234" s="3905" t="n"/>
      <c r="H234" s="3905" t="n"/>
    </row>
    <row r="235">
      <c r="A235" s="3905" t="n"/>
      <c r="B235" s="3905" t="n"/>
      <c r="C235" s="3905" t="n"/>
      <c r="D235" s="3905" t="n"/>
      <c r="E235" s="3905" t="n"/>
      <c r="F235" s="3905" t="n"/>
      <c r="G235" s="3905" t="n"/>
      <c r="H235" s="3905" t="n"/>
    </row>
    <row r="236">
      <c r="A236" s="3905" t="n"/>
      <c r="B236" s="3905" t="n"/>
      <c r="C236" s="3905" t="n"/>
      <c r="D236" s="3905" t="n"/>
      <c r="E236" s="3905" t="n"/>
      <c r="F236" s="3905" t="n"/>
      <c r="G236" s="3905" t="n"/>
      <c r="H236" s="3905" t="n"/>
    </row>
    <row r="237">
      <c r="A237" s="3905" t="n"/>
      <c r="B237" s="3905" t="n"/>
      <c r="C237" s="3905" t="n"/>
      <c r="D237" s="3905" t="n"/>
      <c r="E237" s="3905" t="n"/>
      <c r="F237" s="3905" t="n"/>
      <c r="G237" s="3905" t="n"/>
      <c r="H237" s="3905" t="n"/>
    </row>
    <row r="238">
      <c r="A238" s="3905" t="n"/>
      <c r="B238" s="3905" t="n"/>
      <c r="C238" s="3905" t="n"/>
      <c r="D238" s="3905" t="n"/>
      <c r="E238" s="3905" t="n"/>
      <c r="F238" s="3905" t="n"/>
      <c r="G238" s="3905" t="n"/>
      <c r="H238" s="3905" t="n"/>
    </row>
    <row r="239">
      <c r="A239" s="3905" t="n"/>
      <c r="B239" s="3905" t="n"/>
      <c r="C239" s="3905" t="n"/>
      <c r="D239" s="3905" t="n"/>
      <c r="E239" s="3905" t="n"/>
      <c r="F239" s="3905" t="n"/>
      <c r="G239" s="3905" t="n"/>
      <c r="H239" s="3905" t="n"/>
    </row>
    <row r="240">
      <c r="A240" s="3905" t="n"/>
      <c r="B240" s="3905" t="n"/>
      <c r="C240" s="3905" t="n"/>
      <c r="D240" s="3905" t="n"/>
      <c r="E240" s="3905" t="n"/>
      <c r="F240" s="3905" t="n"/>
      <c r="G240" s="3905" t="n"/>
      <c r="H240" s="3905" t="n"/>
    </row>
    <row r="241">
      <c r="A241" s="3905" t="n"/>
      <c r="B241" s="3905" t="n"/>
      <c r="C241" s="3905" t="n"/>
      <c r="D241" s="3905" t="n"/>
      <c r="E241" s="3905" t="n"/>
      <c r="F241" s="3905" t="n"/>
      <c r="G241" s="3905" t="n"/>
      <c r="H241" s="3905" t="n"/>
    </row>
    <row r="242">
      <c r="A242" s="3905" t="n"/>
      <c r="B242" s="3905" t="n"/>
      <c r="C242" s="3905" t="n"/>
      <c r="D242" s="3905" t="n"/>
      <c r="E242" s="3905" t="n"/>
      <c r="F242" s="3905" t="n"/>
      <c r="G242" s="3905" t="n"/>
      <c r="H242" s="3905" t="n"/>
    </row>
    <row r="243">
      <c r="A243" s="3905" t="n"/>
      <c r="B243" s="3905" t="n"/>
      <c r="C243" s="3905" t="n"/>
      <c r="D243" s="3905" t="n"/>
      <c r="E243" s="3905" t="n"/>
      <c r="F243" s="3905" t="n"/>
      <c r="G243" s="3905" t="n"/>
      <c r="H243" s="3905" t="n"/>
    </row>
    <row r="244">
      <c r="A244" s="3905" t="n"/>
      <c r="B244" s="3905" t="n"/>
      <c r="C244" s="3905" t="n"/>
      <c r="D244" s="3905" t="n"/>
      <c r="E244" s="3905" t="n"/>
      <c r="F244" s="3905" t="n"/>
      <c r="G244" s="3905" t="n"/>
      <c r="H244" s="3905" t="n"/>
    </row>
    <row r="245">
      <c r="A245" s="3905" t="n"/>
      <c r="B245" s="3905" t="n"/>
      <c r="C245" s="3905" t="n"/>
      <c r="D245" s="3905" t="n"/>
      <c r="E245" s="3905" t="n"/>
      <c r="F245" s="3905" t="n"/>
      <c r="G245" s="3905" t="n"/>
      <c r="H245" s="3905" t="n"/>
    </row>
    <row r="246">
      <c r="A246" s="3905" t="n"/>
      <c r="B246" s="3905" t="n"/>
      <c r="C246" s="3905" t="n"/>
      <c r="D246" s="3905" t="n"/>
      <c r="E246" s="3905" t="n"/>
      <c r="F246" s="3905" t="n"/>
      <c r="G246" s="3905" t="n"/>
      <c r="H246" s="3905" t="n"/>
    </row>
    <row r="247">
      <c r="A247" s="3905" t="n"/>
      <c r="B247" s="3905" t="n"/>
      <c r="C247" s="3905" t="n"/>
      <c r="D247" s="3905" t="n"/>
      <c r="E247" s="3905" t="n"/>
      <c r="F247" s="3905" t="n"/>
      <c r="G247" s="3905" t="n"/>
      <c r="H247" s="3905" t="n"/>
    </row>
    <row r="248">
      <c r="A248" s="3905" t="n"/>
      <c r="B248" s="3905" t="n"/>
      <c r="C248" s="3905" t="n"/>
      <c r="D248" s="3905" t="n"/>
      <c r="E248" s="3905" t="n"/>
      <c r="F248" s="3905" t="n"/>
      <c r="G248" s="3905" t="n"/>
      <c r="H248" s="3905" t="n"/>
    </row>
    <row r="249">
      <c r="A249" s="3905" t="n"/>
      <c r="B249" s="3905" t="n"/>
      <c r="C249" s="3905" t="n"/>
      <c r="D249" s="3905" t="n"/>
      <c r="E249" s="3905" t="n"/>
      <c r="F249" s="3905" t="n"/>
      <c r="G249" s="3905" t="n"/>
      <c r="H249" s="3905" t="n"/>
    </row>
    <row r="250">
      <c r="A250" s="3905" t="n"/>
      <c r="B250" s="3905" t="n"/>
      <c r="C250" s="3905" t="n"/>
      <c r="D250" s="3905" t="n"/>
      <c r="E250" s="3905" t="n"/>
      <c r="F250" s="3905" t="n"/>
      <c r="G250" s="3905" t="n"/>
      <c r="H250" s="3905" t="n"/>
    </row>
    <row r="251">
      <c r="A251" s="3905" t="n"/>
      <c r="B251" s="3905" t="n"/>
      <c r="C251" s="3905" t="n"/>
      <c r="D251" s="3905" t="n"/>
      <c r="E251" s="3905" t="n"/>
      <c r="F251" s="3905" t="n"/>
      <c r="G251" s="3905" t="n"/>
      <c r="H251" s="3905" t="n"/>
    </row>
    <row r="252">
      <c r="A252" s="3905" t="n"/>
      <c r="B252" s="3905" t="n"/>
      <c r="C252" s="3905" t="n"/>
      <c r="D252" s="3905" t="n"/>
      <c r="E252" s="3905" t="n"/>
      <c r="F252" s="3905" t="n"/>
      <c r="G252" s="3905" t="n"/>
      <c r="H252" s="3905" t="n"/>
    </row>
    <row r="253">
      <c r="A253" s="3905" t="n"/>
      <c r="B253" s="3905" t="n"/>
      <c r="C253" s="3905" t="n"/>
      <c r="D253" s="3905" t="n"/>
      <c r="E253" s="3905" t="n"/>
      <c r="F253" s="3905" t="n"/>
      <c r="G253" s="3905" t="n"/>
      <c r="H253" s="3905" t="n"/>
    </row>
    <row r="254">
      <c r="A254" s="3905" t="n"/>
      <c r="B254" s="3905" t="n"/>
      <c r="C254" s="3905" t="n"/>
      <c r="D254" s="3905" t="n"/>
      <c r="E254" s="3905" t="n"/>
      <c r="F254" s="3905" t="n"/>
      <c r="G254" s="3905" t="n"/>
      <c r="H254" s="3905" t="n"/>
    </row>
    <row r="255">
      <c r="A255" s="3905" t="n"/>
      <c r="B255" s="3905" t="n"/>
      <c r="C255" s="3905" t="n"/>
      <c r="D255" s="3905" t="n"/>
      <c r="E255" s="3905" t="n"/>
      <c r="F255" s="3905" t="n"/>
      <c r="G255" s="3905" t="n"/>
      <c r="H255" s="3905" t="n"/>
    </row>
    <row r="256">
      <c r="A256" s="3905" t="n"/>
      <c r="B256" s="3905" t="n"/>
      <c r="C256" s="3905" t="n"/>
      <c r="D256" s="3905" t="n"/>
      <c r="E256" s="3905" t="n"/>
      <c r="F256" s="3905" t="n"/>
      <c r="G256" s="3905" t="n"/>
      <c r="H256" s="3905" t="n"/>
    </row>
    <row r="257">
      <c r="A257" s="3905" t="n"/>
      <c r="B257" s="3905" t="n"/>
      <c r="C257" s="3905" t="n"/>
      <c r="D257" s="3905" t="n"/>
      <c r="E257" s="3905" t="n"/>
      <c r="F257" s="3905" t="n"/>
      <c r="G257" s="3905" t="n"/>
      <c r="H257" s="3905" t="n"/>
    </row>
    <row r="258">
      <c r="A258" s="3905" t="n"/>
      <c r="B258" s="3905" t="n"/>
      <c r="C258" s="3905" t="n"/>
      <c r="D258" s="3905" t="n"/>
      <c r="E258" s="3905" t="n"/>
      <c r="F258" s="3905" t="n"/>
      <c r="G258" s="3905" t="n"/>
      <c r="H258" s="3905" t="n"/>
    </row>
    <row r="259">
      <c r="A259" s="3905" t="n"/>
      <c r="B259" s="3905" t="n"/>
      <c r="C259" s="3905" t="n"/>
      <c r="D259" s="3905" t="n"/>
      <c r="E259" s="3905" t="n"/>
      <c r="F259" s="3905" t="n"/>
      <c r="G259" s="3905" t="n"/>
      <c r="H259" s="3905" t="n"/>
    </row>
    <row r="260">
      <c r="A260" s="3905" t="n"/>
      <c r="B260" s="3905" t="n"/>
      <c r="C260" s="3905" t="n"/>
      <c r="D260" s="3905" t="n"/>
      <c r="E260" s="3905" t="n"/>
      <c r="F260" s="3905" t="n"/>
      <c r="G260" s="3905" t="n"/>
      <c r="H260" s="3905" t="n"/>
    </row>
    <row r="261">
      <c r="A261" s="3905" t="n"/>
      <c r="B261" s="3905" t="n"/>
      <c r="C261" s="3905" t="n"/>
      <c r="D261" s="3905" t="n"/>
      <c r="E261" s="3905" t="n"/>
      <c r="F261" s="3905" t="n"/>
      <c r="G261" s="3905" t="n"/>
      <c r="H261" s="3905" t="n"/>
    </row>
    <row r="262">
      <c r="A262" s="3905" t="n"/>
      <c r="B262" s="3905" t="n"/>
      <c r="C262" s="3905" t="n"/>
      <c r="D262" s="3905" t="n"/>
      <c r="E262" s="3905" t="n"/>
      <c r="F262" s="3905" t="n"/>
      <c r="G262" s="3905" t="n"/>
      <c r="H262" s="3905" t="n"/>
    </row>
    <row r="263">
      <c r="A263" s="3905" t="n"/>
      <c r="B263" s="3905" t="n"/>
      <c r="C263" s="3905" t="n"/>
      <c r="D263" s="3905" t="n"/>
      <c r="E263" s="3905" t="n"/>
      <c r="F263" s="3905" t="n"/>
      <c r="G263" s="3905" t="n"/>
      <c r="H263" s="3905" t="n"/>
    </row>
    <row r="264">
      <c r="A264" s="3905" t="n"/>
      <c r="B264" s="3905" t="n"/>
      <c r="C264" s="3905" t="n"/>
      <c r="D264" s="3905" t="n"/>
      <c r="E264" s="3905" t="n"/>
      <c r="F264" s="3905" t="n"/>
      <c r="G264" s="3905" t="n"/>
      <c r="H264" s="3905" t="n"/>
    </row>
    <row r="265">
      <c r="A265" s="3905" t="n"/>
      <c r="B265" s="3905" t="n"/>
      <c r="C265" s="3905" t="n"/>
      <c r="D265" s="3905" t="n"/>
      <c r="E265" s="3905" t="n"/>
      <c r="F265" s="3905" t="n"/>
      <c r="G265" s="3905" t="n"/>
      <c r="H265" s="3905" t="n"/>
    </row>
    <row r="266">
      <c r="A266" s="3905" t="n"/>
      <c r="B266" s="3905" t="n"/>
      <c r="C266" s="3905" t="n"/>
      <c r="D266" s="3905" t="n"/>
      <c r="E266" s="3905" t="n"/>
      <c r="F266" s="3905" t="n"/>
      <c r="G266" s="3905" t="n"/>
      <c r="H266" s="3905" t="n"/>
    </row>
    <row r="267">
      <c r="A267" s="3905" t="n"/>
      <c r="B267" s="3905" t="n"/>
      <c r="C267" s="3905" t="n"/>
      <c r="D267" s="3905" t="n"/>
      <c r="E267" s="3905" t="n"/>
      <c r="F267" s="3905" t="n"/>
      <c r="G267" s="3905" t="n"/>
      <c r="H267" s="3905" t="n"/>
    </row>
    <row r="268">
      <c r="A268" s="3905" t="n"/>
      <c r="B268" s="3905" t="n"/>
      <c r="C268" s="3905" t="n"/>
      <c r="D268" s="3905" t="n"/>
      <c r="E268" s="3905" t="n"/>
      <c r="F268" s="3905" t="n"/>
      <c r="G268" s="3905" t="n"/>
      <c r="H268" s="3905" t="n"/>
    </row>
    <row r="269">
      <c r="A269" s="3905" t="n"/>
      <c r="B269" s="3905" t="n"/>
      <c r="C269" s="3905" t="n"/>
      <c r="D269" s="3905" t="n"/>
      <c r="E269" s="3905" t="n"/>
      <c r="F269" s="3905" t="n"/>
      <c r="G269" s="3905" t="n"/>
      <c r="H269" s="3905" t="n"/>
    </row>
    <row r="270">
      <c r="A270" s="3905" t="n"/>
      <c r="B270" s="3905" t="n"/>
      <c r="C270" s="3905" t="n"/>
      <c r="D270" s="3905" t="n"/>
      <c r="E270" s="3905" t="n"/>
      <c r="F270" s="3905" t="n"/>
      <c r="G270" s="3905" t="n"/>
      <c r="H270" s="3905" t="n"/>
    </row>
    <row r="271">
      <c r="A271" s="3905" t="n"/>
      <c r="B271" s="3905" t="n"/>
      <c r="C271" s="3905" t="n"/>
      <c r="D271" s="3905" t="n"/>
      <c r="E271" s="3905" t="n"/>
      <c r="F271" s="3905" t="n"/>
      <c r="G271" s="3905" t="n"/>
      <c r="H271" s="3905" t="n"/>
    </row>
    <row r="272">
      <c r="A272" s="3905" t="n"/>
      <c r="B272" s="3905" t="n"/>
      <c r="C272" s="3905" t="n"/>
      <c r="D272" s="3905" t="n"/>
      <c r="E272" s="3905" t="n"/>
      <c r="F272" s="3905" t="n"/>
      <c r="G272" s="3905" t="n"/>
      <c r="H272" s="3905" t="n"/>
    </row>
    <row r="273">
      <c r="A273" s="3905" t="n"/>
      <c r="B273" s="3905" t="n"/>
      <c r="C273" s="3905" t="n"/>
      <c r="D273" s="3905" t="n"/>
      <c r="E273" s="3905" t="n"/>
      <c r="F273" s="3905" t="n"/>
      <c r="G273" s="3905" t="n"/>
      <c r="H273" s="3905" t="n"/>
    </row>
    <row r="274">
      <c r="A274" s="3905" t="n"/>
      <c r="B274" s="3905" t="n"/>
      <c r="C274" s="3905" t="n"/>
      <c r="D274" s="3905" t="n"/>
      <c r="E274" s="3905" t="n"/>
      <c r="F274" s="3905" t="n"/>
      <c r="G274" s="3905" t="n"/>
      <c r="H274" s="3905" t="n"/>
    </row>
    <row r="275">
      <c r="A275" s="3905" t="n"/>
      <c r="B275" s="3905" t="n"/>
      <c r="C275" s="3905" t="n"/>
      <c r="D275" s="3905" t="n"/>
      <c r="E275" s="3905" t="n"/>
      <c r="F275" s="3905" t="n"/>
      <c r="G275" s="3905" t="n"/>
      <c r="H275" s="3905" t="n"/>
    </row>
    <row r="276">
      <c r="A276" s="3905" t="n"/>
      <c r="B276" s="3905" t="n"/>
      <c r="C276" s="3905" t="n"/>
      <c r="D276" s="3905" t="n"/>
      <c r="E276" s="3905" t="n"/>
      <c r="F276" s="3905" t="n"/>
      <c r="G276" s="3905" t="n"/>
      <c r="H276" s="3905" t="n"/>
    </row>
    <row r="277">
      <c r="A277" s="3905" t="n"/>
      <c r="B277" s="3905" t="n"/>
      <c r="C277" s="3905" t="n"/>
      <c r="D277" s="3905" t="n"/>
      <c r="E277" s="3905" t="n"/>
      <c r="F277" s="3905" t="n"/>
      <c r="G277" s="3905" t="n"/>
      <c r="H277" s="3905" t="n"/>
    </row>
    <row r="278">
      <c r="A278" s="3905" t="n"/>
      <c r="B278" s="3905" t="n"/>
      <c r="C278" s="3905" t="n"/>
      <c r="D278" s="3905" t="n"/>
      <c r="E278" s="3905" t="n"/>
      <c r="F278" s="3905" t="n"/>
      <c r="G278" s="3905" t="n"/>
      <c r="H278" s="3905" t="n"/>
    </row>
    <row r="279">
      <c r="A279" s="3905" t="n"/>
      <c r="B279" s="3905" t="n"/>
      <c r="C279" s="3905" t="n"/>
      <c r="D279" s="3905" t="n"/>
      <c r="E279" s="3905" t="n"/>
      <c r="F279" s="3905" t="n"/>
      <c r="G279" s="3905" t="n"/>
      <c r="H279" s="3905" t="n"/>
    </row>
    <row r="280">
      <c r="A280" s="3905" t="n"/>
      <c r="B280" s="3905" t="n"/>
      <c r="C280" s="3905" t="n"/>
      <c r="D280" s="3905" t="n"/>
      <c r="E280" s="3905" t="n"/>
      <c r="F280" s="3905" t="n"/>
      <c r="G280" s="3905" t="n"/>
      <c r="H280" s="3905" t="n"/>
    </row>
    <row r="281">
      <c r="A281" s="3905" t="n"/>
      <c r="B281" s="3905" t="n"/>
      <c r="C281" s="3905" t="n"/>
      <c r="D281" s="3905" t="n"/>
      <c r="E281" s="3905" t="n"/>
      <c r="F281" s="3905" t="n"/>
      <c r="G281" s="3905" t="n"/>
      <c r="H281" s="3905" t="n"/>
    </row>
    <row r="282">
      <c r="A282" s="3905" t="n"/>
      <c r="B282" s="3905" t="n"/>
      <c r="C282" s="3905" t="n"/>
      <c r="D282" s="3905" t="n"/>
      <c r="E282" s="3905" t="n"/>
      <c r="F282" s="3905" t="n"/>
      <c r="G282" s="3905" t="n"/>
      <c r="H282" s="3905" t="n"/>
    </row>
    <row r="283">
      <c r="A283" s="3905" t="n"/>
      <c r="B283" s="3905" t="n"/>
      <c r="C283" s="3905" t="n"/>
      <c r="D283" s="3905" t="n"/>
      <c r="E283" s="3905" t="n"/>
      <c r="F283" s="3905" t="n"/>
      <c r="G283" s="3905" t="n"/>
      <c r="H283" s="3905" t="n"/>
    </row>
    <row r="284">
      <c r="A284" s="3905" t="n"/>
      <c r="B284" s="3905" t="n"/>
      <c r="C284" s="3905" t="n"/>
      <c r="D284" s="3905" t="n"/>
      <c r="E284" s="3905" t="n"/>
      <c r="F284" s="3905" t="n"/>
      <c r="G284" s="3905" t="n"/>
      <c r="H284" s="3905" t="n"/>
    </row>
    <row r="285">
      <c r="A285" s="3905" t="n"/>
      <c r="B285" s="3905" t="n"/>
      <c r="C285" s="3905" t="n"/>
      <c r="D285" s="3905" t="n"/>
      <c r="E285" s="3905" t="n"/>
      <c r="F285" s="3905" t="n"/>
      <c r="G285" s="3905" t="n"/>
      <c r="H285" s="3905" t="n"/>
    </row>
    <row r="286">
      <c r="A286" s="3905" t="n"/>
      <c r="B286" s="3905" t="n"/>
      <c r="C286" s="3905" t="n"/>
      <c r="D286" s="3905" t="n"/>
      <c r="E286" s="3905" t="n"/>
      <c r="F286" s="3905" t="n"/>
      <c r="G286" s="3905" t="n"/>
      <c r="H286" s="3905" t="n"/>
    </row>
    <row r="287">
      <c r="A287" s="3905" t="n"/>
      <c r="B287" s="3905" t="n"/>
      <c r="C287" s="3905" t="n"/>
      <c r="D287" s="3905" t="n"/>
      <c r="E287" s="3905" t="n"/>
      <c r="F287" s="3905" t="n"/>
      <c r="G287" s="3905" t="n"/>
      <c r="H287" s="3905" t="n"/>
    </row>
    <row r="288">
      <c r="A288" s="3905" t="n"/>
      <c r="B288" s="3905" t="n"/>
      <c r="C288" s="3905" t="n"/>
      <c r="D288" s="3905" t="n"/>
      <c r="E288" s="3905" t="n"/>
      <c r="F288" s="3905" t="n"/>
      <c r="G288" s="3905" t="n"/>
      <c r="H288" s="3905" t="n"/>
    </row>
    <row r="289">
      <c r="A289" s="3905" t="n"/>
      <c r="B289" s="3905" t="n"/>
      <c r="C289" s="3905" t="n"/>
      <c r="D289" s="3905" t="n"/>
      <c r="E289" s="3905" t="n"/>
      <c r="F289" s="3905" t="n"/>
      <c r="G289" s="3905" t="n"/>
      <c r="H289" s="3905" t="n"/>
    </row>
    <row r="290">
      <c r="A290" s="3905" t="n"/>
      <c r="B290" s="3905" t="n"/>
      <c r="C290" s="3905" t="n"/>
      <c r="D290" s="3905" t="n"/>
      <c r="E290" s="3905" t="n"/>
      <c r="F290" s="3905" t="n"/>
      <c r="G290" s="3905" t="n"/>
      <c r="H290" s="3905" t="n"/>
    </row>
    <row r="291">
      <c r="A291" s="3905" t="n"/>
      <c r="B291" s="3905" t="n"/>
      <c r="C291" s="3905" t="n"/>
      <c r="D291" s="3905" t="n"/>
      <c r="E291" s="3905" t="n"/>
      <c r="F291" s="3905" t="n"/>
      <c r="G291" s="3905" t="n"/>
      <c r="H291" s="3905" t="n"/>
    </row>
    <row r="292">
      <c r="A292" s="3905" t="n"/>
      <c r="B292" s="3905" t="n"/>
      <c r="C292" s="3905" t="n"/>
      <c r="D292" s="3905" t="n"/>
      <c r="E292" s="3905" t="n"/>
      <c r="F292" s="3905" t="n"/>
      <c r="G292" s="3905" t="n"/>
      <c r="H292" s="3905" t="n"/>
    </row>
    <row r="293">
      <c r="A293" s="3905" t="n"/>
      <c r="B293" s="3905" t="n"/>
      <c r="C293" s="3905" t="n"/>
      <c r="D293" s="3905" t="n"/>
      <c r="E293" s="3905" t="n"/>
      <c r="F293" s="3905" t="n"/>
      <c r="G293" s="3905" t="n"/>
      <c r="H293" s="3905" t="n"/>
    </row>
    <row r="294">
      <c r="A294" s="3905" t="n"/>
      <c r="B294" s="3905" t="n"/>
      <c r="C294" s="3905" t="n"/>
      <c r="D294" s="3905" t="n"/>
      <c r="E294" s="3905" t="n"/>
      <c r="F294" s="3905" t="n"/>
      <c r="G294" s="3905" t="n"/>
      <c r="H294" s="3905" t="n"/>
    </row>
    <row r="295">
      <c r="A295" s="3905" t="n"/>
      <c r="B295" s="3905" t="n"/>
      <c r="C295" s="3905" t="n"/>
      <c r="D295" s="3905" t="n"/>
      <c r="E295" s="3905" t="n"/>
      <c r="F295" s="3905" t="n"/>
      <c r="G295" s="3905" t="n"/>
      <c r="H295" s="3905" t="n"/>
    </row>
    <row r="296">
      <c r="A296" s="3905" t="n"/>
      <c r="B296" s="3905" t="n"/>
      <c r="C296" s="3905" t="n"/>
      <c r="D296" s="3905" t="n"/>
      <c r="E296" s="3905" t="n"/>
      <c r="F296" s="3905" t="n"/>
      <c r="G296" s="3905" t="n"/>
      <c r="H296" s="3905" t="n"/>
    </row>
    <row r="297">
      <c r="A297" s="3905" t="n"/>
      <c r="B297" s="3905" t="n"/>
      <c r="C297" s="3905" t="n"/>
      <c r="D297" s="3905" t="n"/>
      <c r="E297" s="3905" t="n"/>
      <c r="F297" s="3905" t="n"/>
      <c r="G297" s="3905" t="n"/>
      <c r="H297" s="3905" t="n"/>
    </row>
    <row r="298">
      <c r="A298" s="3905" t="n"/>
      <c r="B298" s="3905" t="n"/>
      <c r="C298" s="3905" t="n"/>
      <c r="D298" s="3905" t="n"/>
      <c r="E298" s="3905" t="n"/>
      <c r="F298" s="3905" t="n"/>
      <c r="G298" s="3905" t="n"/>
      <c r="H298" s="3905" t="n"/>
    </row>
    <row r="299">
      <c r="A299" s="3905" t="n"/>
      <c r="B299" s="3905" t="n"/>
      <c r="C299" s="3905" t="n"/>
      <c r="D299" s="3905" t="n"/>
      <c r="E299" s="3905" t="n"/>
      <c r="F299" s="3905" t="n"/>
      <c r="G299" s="3905" t="n"/>
      <c r="H299" s="3905" t="n"/>
    </row>
    <row r="300">
      <c r="A300" s="3905" t="n"/>
      <c r="B300" s="3905" t="n"/>
      <c r="C300" s="3905" t="n"/>
      <c r="D300" s="3905" t="n"/>
      <c r="E300" s="3905" t="n"/>
      <c r="F300" s="3905" t="n"/>
      <c r="G300" s="3905" t="n"/>
      <c r="H300" s="3905" t="n"/>
    </row>
    <row r="301">
      <c r="A301" s="3905" t="n"/>
      <c r="B301" s="3905" t="n"/>
      <c r="C301" s="3905" t="n"/>
      <c r="D301" s="3905" t="n"/>
      <c r="E301" s="3905" t="n"/>
      <c r="F301" s="3905" t="n"/>
      <c r="G301" s="3905" t="n"/>
      <c r="H301" s="3905" t="n"/>
    </row>
    <row r="302">
      <c r="A302" s="3905" t="n"/>
      <c r="B302" s="3905" t="n"/>
      <c r="C302" s="3905" t="n"/>
      <c r="D302" s="3905" t="n"/>
      <c r="E302" s="3905" t="n"/>
      <c r="F302" s="3905" t="n"/>
      <c r="G302" s="3905" t="n"/>
      <c r="H302" s="3905" t="n"/>
    </row>
    <row r="303">
      <c r="A303" s="3905" t="n"/>
      <c r="B303" s="3905" t="n"/>
      <c r="C303" s="3905" t="n"/>
      <c r="D303" s="3905" t="n"/>
      <c r="E303" s="3905" t="n"/>
      <c r="F303" s="3905" t="n"/>
      <c r="G303" s="3905" t="n"/>
      <c r="H303" s="3905" t="n"/>
    </row>
    <row r="304">
      <c r="A304" s="3905" t="n"/>
      <c r="B304" s="3905" t="n"/>
      <c r="C304" s="3905" t="n"/>
      <c r="D304" s="3905" t="n"/>
      <c r="E304" s="3905" t="n"/>
      <c r="F304" s="3905" t="n"/>
      <c r="G304" s="3905" t="n"/>
      <c r="H304" s="3905" t="n"/>
    </row>
    <row r="305">
      <c r="A305" s="3905" t="n"/>
      <c r="B305" s="3905" t="n"/>
      <c r="C305" s="3905" t="n"/>
      <c r="D305" s="3905" t="n"/>
      <c r="E305" s="3905" t="n"/>
      <c r="F305" s="3905" t="n"/>
      <c r="G305" s="3905" t="n"/>
      <c r="H305" s="3905" t="n"/>
    </row>
    <row r="306">
      <c r="A306" s="3905" t="n"/>
      <c r="B306" s="3905" t="n"/>
      <c r="C306" s="3905" t="n"/>
      <c r="D306" s="3905" t="n"/>
      <c r="E306" s="3905" t="n"/>
      <c r="F306" s="3905" t="n"/>
      <c r="G306" s="3905" t="n"/>
      <c r="H306" s="3905" t="n"/>
    </row>
    <row r="307">
      <c r="A307" s="3905" t="n"/>
      <c r="B307" s="3905" t="n"/>
      <c r="C307" s="3905" t="n"/>
      <c r="D307" s="3905" t="n"/>
      <c r="E307" s="3905" t="n"/>
      <c r="F307" s="3905" t="n"/>
      <c r="G307" s="3905" t="n"/>
      <c r="H307" s="3905" t="n"/>
    </row>
    <row r="308">
      <c r="A308" s="3905" t="n"/>
      <c r="B308" s="3905" t="n"/>
      <c r="C308" s="3905" t="n"/>
      <c r="D308" s="3905" t="n"/>
      <c r="E308" s="3905" t="n"/>
      <c r="F308" s="3905" t="n"/>
      <c r="G308" s="3905" t="n"/>
      <c r="H308" s="3905" t="n"/>
    </row>
    <row r="309">
      <c r="A309" s="3905" t="n"/>
      <c r="B309" s="3905" t="n"/>
      <c r="C309" s="3905" t="n"/>
      <c r="D309" s="3905" t="n"/>
      <c r="E309" s="3905" t="n"/>
      <c r="F309" s="3905" t="n"/>
      <c r="G309" s="3905" t="n"/>
      <c r="H309" s="3905" t="n"/>
    </row>
    <row r="310">
      <c r="A310" s="3905" t="n"/>
      <c r="B310" s="3905" t="n"/>
      <c r="C310" s="3905" t="n"/>
      <c r="D310" s="3905" t="n"/>
      <c r="E310" s="3905" t="n"/>
      <c r="F310" s="3905" t="n"/>
      <c r="G310" s="3905" t="n"/>
      <c r="H310" s="3905" t="n"/>
    </row>
    <row r="311">
      <c r="A311" s="3905" t="n"/>
      <c r="B311" s="3905" t="n"/>
      <c r="C311" s="3905" t="n"/>
      <c r="D311" s="3905" t="n"/>
      <c r="E311" s="3905" t="n"/>
      <c r="F311" s="3905" t="n"/>
      <c r="G311" s="3905" t="n"/>
      <c r="H311" s="3905" t="n"/>
    </row>
    <row r="312">
      <c r="A312" s="3905" t="n"/>
      <c r="B312" s="3905" t="n"/>
      <c r="C312" s="3905" t="n"/>
      <c r="D312" s="3905" t="n"/>
      <c r="E312" s="3905" t="n"/>
      <c r="F312" s="3905" t="n"/>
      <c r="G312" s="3905" t="n"/>
      <c r="H312" s="3905" t="n"/>
    </row>
    <row r="313">
      <c r="A313" s="3905" t="n"/>
      <c r="B313" s="3905" t="n"/>
      <c r="C313" s="3905" t="n"/>
      <c r="D313" s="3905" t="n"/>
      <c r="E313" s="3905" t="n"/>
      <c r="F313" s="3905" t="n"/>
      <c r="G313" s="3905" t="n"/>
      <c r="H313" s="3905" t="n"/>
    </row>
    <row r="314">
      <c r="A314" s="3905" t="n"/>
      <c r="B314" s="3905" t="n"/>
      <c r="C314" s="3905" t="n"/>
      <c r="D314" s="3905" t="n"/>
      <c r="E314" s="3905" t="n"/>
      <c r="F314" s="3905" t="n"/>
      <c r="G314" s="3905" t="n"/>
      <c r="H314" s="3905" t="n"/>
    </row>
    <row r="315">
      <c r="A315" s="3905" t="n"/>
      <c r="B315" s="3905" t="n"/>
      <c r="C315" s="3905" t="n"/>
      <c r="D315" s="3905" t="n"/>
      <c r="E315" s="3905" t="n"/>
      <c r="F315" s="3905" t="n"/>
      <c r="G315" s="3905" t="n"/>
      <c r="H315" s="3905" t="n"/>
    </row>
    <row r="316">
      <c r="A316" s="3905" t="n"/>
      <c r="B316" s="3905" t="n"/>
      <c r="C316" s="3905" t="n"/>
      <c r="D316" s="3905" t="n"/>
      <c r="E316" s="3905" t="n"/>
      <c r="F316" s="3905" t="n"/>
      <c r="G316" s="3905" t="n"/>
      <c r="H316" s="3905" t="n"/>
    </row>
    <row r="317">
      <c r="A317" s="3905" t="n"/>
      <c r="B317" s="3905" t="n"/>
      <c r="C317" s="3905" t="n"/>
      <c r="D317" s="3905" t="n"/>
      <c r="E317" s="3905" t="n"/>
      <c r="F317" s="3905" t="n"/>
      <c r="G317" s="3905" t="n"/>
      <c r="H317" s="3905" t="n"/>
    </row>
    <row r="318">
      <c r="A318" s="3905" t="n"/>
      <c r="B318" s="3905" t="n"/>
      <c r="C318" s="3905" t="n"/>
      <c r="D318" s="3905" t="n"/>
      <c r="E318" s="3905" t="n"/>
      <c r="F318" s="3905" t="n"/>
      <c r="G318" s="3905" t="n"/>
      <c r="H318" s="3905" t="n"/>
    </row>
    <row r="319">
      <c r="A319" s="3905" t="n"/>
      <c r="B319" s="3905" t="n"/>
      <c r="C319" s="3905" t="n"/>
      <c r="D319" s="3905" t="n"/>
      <c r="E319" s="3905" t="n"/>
      <c r="F319" s="3905" t="n"/>
      <c r="G319" s="3905" t="n"/>
      <c r="H319" s="3905" t="n"/>
    </row>
    <row r="320">
      <c r="A320" s="3905" t="n"/>
      <c r="B320" s="3905" t="n"/>
      <c r="C320" s="3905" t="n"/>
      <c r="D320" s="3905" t="n"/>
      <c r="E320" s="3905" t="n"/>
      <c r="F320" s="3905" t="n"/>
      <c r="G320" s="3905" t="n"/>
      <c r="H320" s="3905" t="n"/>
    </row>
    <row r="321">
      <c r="A321" s="3905" t="n"/>
      <c r="B321" s="3905" t="n"/>
      <c r="C321" s="3905" t="n"/>
      <c r="D321" s="3905" t="n"/>
      <c r="E321" s="3905" t="n"/>
      <c r="F321" s="3905" t="n"/>
      <c r="G321" s="3905" t="n"/>
      <c r="H321" s="3905" t="n"/>
    </row>
    <row r="322">
      <c r="A322" s="3905" t="n"/>
      <c r="B322" s="3905" t="n"/>
      <c r="C322" s="3905" t="n"/>
      <c r="D322" s="3905" t="n"/>
      <c r="E322" s="3905" t="n"/>
      <c r="F322" s="3905" t="n"/>
      <c r="G322" s="3905" t="n"/>
      <c r="H322" s="3905" t="n"/>
    </row>
    <row r="323">
      <c r="A323" s="3905" t="n"/>
      <c r="B323" s="3905" t="n"/>
      <c r="C323" s="3905" t="n"/>
      <c r="D323" s="3905" t="n"/>
      <c r="E323" s="3905" t="n"/>
      <c r="F323" s="3905" t="n"/>
      <c r="G323" s="3905" t="n"/>
      <c r="H323" s="3905" t="n"/>
    </row>
    <row r="324">
      <c r="A324" s="3905" t="n"/>
      <c r="B324" s="3905" t="n"/>
      <c r="C324" s="3905" t="n"/>
      <c r="D324" s="3905" t="n"/>
      <c r="E324" s="3905" t="n"/>
      <c r="F324" s="3905" t="n"/>
      <c r="G324" s="3905" t="n"/>
      <c r="H324" s="3905" t="n"/>
    </row>
    <row r="325">
      <c r="A325" s="3905" t="n"/>
      <c r="B325" s="3905" t="n"/>
      <c r="C325" s="3905" t="n"/>
      <c r="D325" s="3905" t="n"/>
      <c r="E325" s="3905" t="n"/>
      <c r="F325" s="3905" t="n"/>
      <c r="G325" s="3905" t="n"/>
      <c r="H325" s="3905" t="n"/>
    </row>
    <row r="326">
      <c r="A326" s="3905" t="n"/>
      <c r="B326" s="3905" t="n"/>
      <c r="C326" s="3905" t="n"/>
      <c r="D326" s="3905" t="n"/>
      <c r="E326" s="3905" t="n"/>
      <c r="F326" s="3905" t="n"/>
      <c r="G326" s="3905" t="n"/>
      <c r="H326" s="3905" t="n"/>
    </row>
    <row r="327">
      <c r="A327" s="3905" t="n"/>
      <c r="B327" s="3905" t="n"/>
      <c r="C327" s="3905" t="n"/>
      <c r="D327" s="3905" t="n"/>
      <c r="E327" s="3905" t="n"/>
      <c r="F327" s="3905" t="n"/>
      <c r="G327" s="3905" t="n"/>
      <c r="H327" s="3905" t="n"/>
    </row>
    <row r="328">
      <c r="A328" s="3905" t="n"/>
      <c r="B328" s="3905" t="n"/>
      <c r="C328" s="3905" t="n"/>
      <c r="D328" s="3905" t="n"/>
      <c r="E328" s="3905" t="n"/>
      <c r="F328" s="3905" t="n"/>
      <c r="G328" s="3905" t="n"/>
      <c r="H328" s="3905" t="n"/>
    </row>
    <row r="329">
      <c r="A329" s="3905" t="n"/>
      <c r="B329" s="3905" t="n"/>
      <c r="C329" s="3905" t="n"/>
      <c r="D329" s="3905" t="n"/>
      <c r="E329" s="3905" t="n"/>
      <c r="F329" s="3905" t="n"/>
      <c r="G329" s="3905" t="n"/>
      <c r="H329" s="3905" t="n"/>
    </row>
    <row r="330">
      <c r="A330" s="3905" t="n"/>
      <c r="B330" s="3905" t="n"/>
      <c r="C330" s="3905" t="n"/>
      <c r="D330" s="3905" t="n"/>
      <c r="E330" s="3905" t="n"/>
      <c r="F330" s="3905" t="n"/>
      <c r="G330" s="3905" t="n"/>
      <c r="H330" s="3905" t="n"/>
    </row>
    <row r="331">
      <c r="A331" s="3905" t="n"/>
      <c r="B331" s="3905" t="n"/>
      <c r="C331" s="3905" t="n"/>
      <c r="D331" s="3905" t="n"/>
      <c r="E331" s="3905" t="n"/>
      <c r="F331" s="3905" t="n"/>
      <c r="G331" s="3905" t="n"/>
      <c r="H331" s="3905" t="n"/>
    </row>
    <row r="332">
      <c r="A332" s="3905" t="n"/>
      <c r="B332" s="3905" t="n"/>
      <c r="C332" s="3905" t="n"/>
      <c r="D332" s="3905" t="n"/>
      <c r="E332" s="3905" t="n"/>
      <c r="F332" s="3905" t="n"/>
      <c r="G332" s="3905" t="n"/>
      <c r="H332" s="3905" t="n"/>
    </row>
    <row r="333">
      <c r="A333" s="3905" t="n"/>
      <c r="B333" s="3905" t="n"/>
      <c r="C333" s="3905" t="n"/>
      <c r="D333" s="3905" t="n"/>
      <c r="E333" s="3905" t="n"/>
      <c r="F333" s="3905" t="n"/>
      <c r="G333" s="3905" t="n"/>
      <c r="H333" s="3905" t="n"/>
    </row>
    <row r="334">
      <c r="A334" s="3905" t="n"/>
      <c r="B334" s="3905" t="n"/>
      <c r="C334" s="3905" t="n"/>
      <c r="D334" s="3905" t="n"/>
      <c r="E334" s="3905" t="n"/>
      <c r="F334" s="3905" t="n"/>
      <c r="G334" s="3905" t="n"/>
      <c r="H334" s="3905" t="n"/>
    </row>
    <row r="335">
      <c r="A335" s="3905" t="n"/>
      <c r="B335" s="3905" t="n"/>
      <c r="C335" s="3905" t="n"/>
      <c r="D335" s="3905" t="n"/>
      <c r="E335" s="3905" t="n"/>
      <c r="F335" s="3905" t="n"/>
      <c r="G335" s="3905" t="n"/>
      <c r="H335" s="3905" t="n"/>
    </row>
    <row r="336">
      <c r="A336" s="3905" t="n"/>
      <c r="B336" s="3905" t="n"/>
      <c r="C336" s="3905" t="n"/>
      <c r="D336" s="3905" t="n"/>
      <c r="E336" s="3905" t="n"/>
      <c r="F336" s="3905" t="n"/>
      <c r="G336" s="3905" t="n"/>
      <c r="H336" s="3905" t="n"/>
    </row>
    <row r="337">
      <c r="A337" s="3905" t="n"/>
      <c r="B337" s="3905" t="n"/>
      <c r="C337" s="3905" t="n"/>
      <c r="D337" s="3905" t="n"/>
      <c r="E337" s="3905" t="n"/>
      <c r="F337" s="3905" t="n"/>
      <c r="G337" s="3905" t="n"/>
      <c r="H337" s="3905" t="n"/>
    </row>
    <row r="338">
      <c r="A338" s="3905" t="n"/>
      <c r="B338" s="3905" t="n"/>
      <c r="C338" s="3905" t="n"/>
      <c r="D338" s="3905" t="n"/>
      <c r="E338" s="3905" t="n"/>
      <c r="F338" s="3905" t="n"/>
      <c r="G338" s="3905" t="n"/>
      <c r="H338" s="3905" t="n"/>
    </row>
    <row r="339">
      <c r="A339" s="3905" t="n"/>
      <c r="B339" s="3905" t="n"/>
      <c r="C339" s="3905" t="n"/>
      <c r="D339" s="3905" t="n"/>
      <c r="E339" s="3905" t="n"/>
      <c r="F339" s="3905" t="n"/>
      <c r="G339" s="3905" t="n"/>
      <c r="H339" s="3905" t="n"/>
    </row>
    <row r="340">
      <c r="A340" s="3905" t="n"/>
      <c r="B340" s="3905" t="n"/>
      <c r="C340" s="3905" t="n"/>
      <c r="D340" s="3905" t="n"/>
      <c r="E340" s="3905" t="n"/>
      <c r="F340" s="3905" t="n"/>
      <c r="G340" s="3905" t="n"/>
      <c r="H340" s="3905" t="n"/>
    </row>
    <row r="341">
      <c r="A341" s="3905" t="n"/>
      <c r="B341" s="3905" t="n"/>
      <c r="C341" s="3905" t="n"/>
      <c r="D341" s="3905" t="n"/>
      <c r="E341" s="3905" t="n"/>
      <c r="F341" s="3905" t="n"/>
      <c r="G341" s="3905" t="n"/>
      <c r="H341" s="3905" t="n"/>
    </row>
    <row r="342">
      <c r="A342" s="3905" t="n"/>
      <c r="B342" s="3905" t="n"/>
      <c r="C342" s="3905" t="n"/>
      <c r="D342" s="3905" t="n"/>
      <c r="E342" s="3905" t="n"/>
      <c r="F342" s="3905" t="n"/>
      <c r="G342" s="3905" t="n"/>
      <c r="H342" s="3905" t="n"/>
    </row>
    <row r="343">
      <c r="A343" s="3905" t="n"/>
      <c r="B343" s="3905" t="n"/>
      <c r="C343" s="3905" t="n"/>
      <c r="D343" s="3905" t="n"/>
      <c r="E343" s="3905" t="n"/>
      <c r="F343" s="3905" t="n"/>
      <c r="G343" s="3905" t="n"/>
      <c r="H343" s="3905" t="n"/>
    </row>
    <row r="344">
      <c r="A344" s="3905" t="n"/>
      <c r="B344" s="3905" t="n"/>
      <c r="C344" s="3905" t="n"/>
      <c r="D344" s="3905" t="n"/>
      <c r="E344" s="3905" t="n"/>
      <c r="F344" s="3905" t="n"/>
      <c r="G344" s="3905" t="n"/>
      <c r="H344" s="3905" t="n"/>
    </row>
    <row r="345">
      <c r="A345" s="3905" t="n"/>
      <c r="B345" s="3905" t="n"/>
      <c r="C345" s="3905" t="n"/>
      <c r="D345" s="3905" t="n"/>
      <c r="E345" s="3905" t="n"/>
      <c r="F345" s="3905" t="n"/>
      <c r="G345" s="3905" t="n"/>
      <c r="H345" s="3905" t="n"/>
    </row>
    <row r="346">
      <c r="A346" s="3905" t="n"/>
      <c r="B346" s="3905" t="n"/>
      <c r="C346" s="3905" t="n"/>
      <c r="D346" s="3905" t="n"/>
      <c r="E346" s="3905" t="n"/>
      <c r="F346" s="3905" t="n"/>
      <c r="G346" s="3905" t="n"/>
      <c r="H346" s="3905" t="n"/>
    </row>
    <row r="347">
      <c r="A347" s="3905" t="n"/>
      <c r="B347" s="3905" t="n"/>
      <c r="C347" s="3905" t="n"/>
      <c r="D347" s="3905" t="n"/>
      <c r="E347" s="3905" t="n"/>
      <c r="F347" s="3905" t="n"/>
      <c r="G347" s="3905" t="n"/>
      <c r="H347" s="3905" t="n"/>
    </row>
    <row r="348">
      <c r="A348" s="3905" t="n"/>
      <c r="B348" s="3905" t="n"/>
      <c r="C348" s="3905" t="n"/>
      <c r="D348" s="3905" t="n"/>
      <c r="E348" s="3905" t="n"/>
      <c r="F348" s="3905" t="n"/>
      <c r="G348" s="3905" t="n"/>
      <c r="H348" s="3905" t="n"/>
    </row>
    <row r="349">
      <c r="A349" s="3905" t="n"/>
      <c r="B349" s="3905" t="n"/>
      <c r="C349" s="3905" t="n"/>
      <c r="D349" s="3905" t="n"/>
      <c r="E349" s="3905" t="n"/>
      <c r="F349" s="3905" t="n"/>
      <c r="G349" s="3905" t="n"/>
      <c r="H349" s="3905" t="n"/>
    </row>
    <row r="350">
      <c r="A350" s="3905" t="n"/>
      <c r="B350" s="3905" t="n"/>
      <c r="C350" s="3905" t="n"/>
      <c r="D350" s="3905" t="n"/>
      <c r="E350" s="3905" t="n"/>
      <c r="F350" s="3905" t="n"/>
      <c r="G350" s="3905" t="n"/>
      <c r="H350" s="3905" t="n"/>
    </row>
    <row r="351">
      <c r="A351" s="3905" t="n"/>
      <c r="B351" s="3905" t="n"/>
      <c r="C351" s="3905" t="n"/>
      <c r="D351" s="3905" t="n"/>
      <c r="E351" s="3905" t="n"/>
      <c r="F351" s="3905" t="n"/>
      <c r="G351" s="3905" t="n"/>
      <c r="H351" s="3905" t="n"/>
    </row>
    <row r="352">
      <c r="A352" s="3905" t="n"/>
      <c r="B352" s="3905" t="n"/>
      <c r="C352" s="3905" t="n"/>
      <c r="D352" s="3905" t="n"/>
      <c r="E352" s="3905" t="n"/>
      <c r="F352" s="3905" t="n"/>
      <c r="G352" s="3905" t="n"/>
      <c r="H352" s="3905" t="n"/>
    </row>
    <row r="353">
      <c r="A353" s="3905" t="n"/>
      <c r="B353" s="3905" t="n"/>
      <c r="C353" s="3905" t="n"/>
      <c r="D353" s="3905" t="n"/>
      <c r="E353" s="3905" t="n"/>
      <c r="F353" s="3905" t="n"/>
      <c r="G353" s="3905" t="n"/>
      <c r="H353" s="3905" t="n"/>
    </row>
    <row r="354">
      <c r="A354" s="3905" t="n"/>
      <c r="B354" s="3905" t="n"/>
      <c r="C354" s="3905" t="n"/>
      <c r="D354" s="3905" t="n"/>
      <c r="E354" s="3905" t="n"/>
      <c r="F354" s="3905" t="n"/>
      <c r="G354" s="3905" t="n"/>
      <c r="H354" s="3905" t="n"/>
    </row>
    <row r="355">
      <c r="A355" s="3905" t="n"/>
      <c r="B355" s="3905" t="n"/>
      <c r="C355" s="3905" t="n"/>
      <c r="D355" s="3905" t="n"/>
      <c r="E355" s="3905" t="n"/>
      <c r="F355" s="3905" t="n"/>
      <c r="G355" s="3905" t="n"/>
      <c r="H355" s="3905" t="n"/>
    </row>
    <row r="356">
      <c r="A356" s="3905" t="n"/>
      <c r="B356" s="3905" t="n"/>
      <c r="C356" s="3905" t="n"/>
      <c r="D356" s="3905" t="n"/>
      <c r="E356" s="3905" t="n"/>
      <c r="F356" s="3905" t="n"/>
      <c r="G356" s="3905" t="n"/>
      <c r="H356" s="3905" t="n"/>
    </row>
    <row r="357">
      <c r="A357" s="3905" t="n"/>
      <c r="B357" s="3905" t="n"/>
      <c r="C357" s="3905" t="n"/>
      <c r="D357" s="3905" t="n"/>
      <c r="E357" s="3905" t="n"/>
      <c r="F357" s="3905" t="n"/>
      <c r="G357" s="3905" t="n"/>
      <c r="H357" s="3905" t="n"/>
    </row>
    <row r="358">
      <c r="A358" s="3905" t="n"/>
      <c r="B358" s="3905" t="n"/>
      <c r="C358" s="3905" t="n"/>
      <c r="D358" s="3905" t="n"/>
      <c r="E358" s="3905" t="n"/>
      <c r="F358" s="3905" t="n"/>
      <c r="G358" s="3905" t="n"/>
      <c r="H358" s="3905" t="n"/>
    </row>
    <row r="359">
      <c r="A359" s="3905" t="n"/>
      <c r="B359" s="3905" t="n"/>
      <c r="C359" s="3905" t="n"/>
      <c r="D359" s="3905" t="n"/>
      <c r="E359" s="3905" t="n"/>
      <c r="F359" s="3905" t="n"/>
      <c r="G359" s="3905" t="n"/>
      <c r="H359" s="3905" t="n"/>
    </row>
    <row r="360">
      <c r="A360" s="3905" t="n"/>
      <c r="B360" s="3905" t="n"/>
      <c r="C360" s="3905" t="n"/>
      <c r="D360" s="3905" t="n"/>
      <c r="E360" s="3905" t="n"/>
      <c r="F360" s="3905" t="n"/>
      <c r="G360" s="3905" t="n"/>
      <c r="H360" s="3905" t="n"/>
    </row>
    <row r="361">
      <c r="A361" s="3905" t="n"/>
      <c r="B361" s="3905" t="n"/>
      <c r="C361" s="3905" t="n"/>
      <c r="D361" s="3905" t="n"/>
      <c r="E361" s="3905" t="n"/>
      <c r="F361" s="3905" t="n"/>
      <c r="G361" s="3905" t="n"/>
      <c r="H361" s="3905" t="n"/>
    </row>
    <row r="362">
      <c r="A362" s="3905" t="n"/>
      <c r="B362" s="3905" t="n"/>
      <c r="C362" s="3905" t="n"/>
      <c r="D362" s="3905" t="n"/>
      <c r="E362" s="3905" t="n"/>
      <c r="F362" s="3905" t="n"/>
      <c r="G362" s="3905" t="n"/>
      <c r="H362" s="3905" t="n"/>
    </row>
    <row r="363">
      <c r="A363" s="3905" t="n"/>
      <c r="B363" s="3905" t="n"/>
      <c r="C363" s="3905" t="n"/>
      <c r="D363" s="3905" t="n"/>
      <c r="E363" s="3905" t="n"/>
      <c r="F363" s="3905" t="n"/>
      <c r="G363" s="3905" t="n"/>
      <c r="H363" s="3905" t="n"/>
    </row>
    <row r="364">
      <c r="A364" s="3905" t="n"/>
      <c r="B364" s="3905" t="n"/>
      <c r="C364" s="3905" t="n"/>
      <c r="D364" s="3905" t="n"/>
      <c r="E364" s="3905" t="n"/>
      <c r="F364" s="3905" t="n"/>
      <c r="G364" s="3905" t="n"/>
      <c r="H364" s="3905" t="n"/>
    </row>
    <row r="365">
      <c r="A365" s="3905" t="n"/>
      <c r="B365" s="3905" t="n"/>
      <c r="C365" s="3905" t="n"/>
      <c r="D365" s="3905" t="n"/>
      <c r="E365" s="3905" t="n"/>
      <c r="F365" s="3905" t="n"/>
      <c r="G365" s="3905" t="n"/>
      <c r="H365" s="3905" t="n"/>
    </row>
    <row r="366">
      <c r="A366" s="3905" t="n"/>
      <c r="B366" s="3905" t="n"/>
      <c r="C366" s="3905" t="n"/>
      <c r="D366" s="3905" t="n"/>
      <c r="E366" s="3905" t="n"/>
      <c r="F366" s="3905" t="n"/>
      <c r="G366" s="3905" t="n"/>
      <c r="H366" s="3905" t="n"/>
    </row>
    <row r="367">
      <c r="A367" s="3905" t="n"/>
      <c r="B367" s="3905" t="n"/>
      <c r="C367" s="3905" t="n"/>
      <c r="D367" s="3905" t="n"/>
      <c r="E367" s="3905" t="n"/>
      <c r="F367" s="3905" t="n"/>
      <c r="G367" s="3905" t="n"/>
      <c r="H367" s="3905" t="n"/>
    </row>
    <row r="368">
      <c r="A368" s="3905" t="n"/>
      <c r="B368" s="3905" t="n"/>
      <c r="C368" s="3905" t="n"/>
      <c r="D368" s="3905" t="n"/>
      <c r="E368" s="3905" t="n"/>
      <c r="F368" s="3905" t="n"/>
      <c r="G368" s="3905" t="n"/>
      <c r="H368" s="3905" t="n"/>
    </row>
    <row r="369">
      <c r="A369" s="3905" t="n"/>
      <c r="B369" s="3905" t="n"/>
      <c r="C369" s="3905" t="n"/>
      <c r="D369" s="3905" t="n"/>
      <c r="E369" s="3905" t="n"/>
      <c r="F369" s="3905" t="n"/>
      <c r="G369" s="3905" t="n"/>
      <c r="H369" s="3905" t="n"/>
    </row>
    <row r="370">
      <c r="A370" s="3905" t="n"/>
      <c r="B370" s="3905" t="n"/>
      <c r="C370" s="3905" t="n"/>
      <c r="D370" s="3905" t="n"/>
      <c r="E370" s="3905" t="n"/>
      <c r="F370" s="3905" t="n"/>
      <c r="G370" s="3905" t="n"/>
      <c r="H370" s="3905" t="n"/>
    </row>
    <row r="371">
      <c r="A371" s="3905" t="n"/>
      <c r="B371" s="3905" t="n"/>
      <c r="C371" s="3905" t="n"/>
      <c r="D371" s="3905" t="n"/>
      <c r="E371" s="3905" t="n"/>
      <c r="F371" s="3905" t="n"/>
      <c r="G371" s="3905" t="n"/>
      <c r="H371" s="3905" t="n"/>
    </row>
    <row r="372">
      <c r="A372" s="3905" t="n"/>
      <c r="B372" s="3905" t="n"/>
      <c r="C372" s="3905" t="n"/>
      <c r="D372" s="3905" t="n"/>
      <c r="E372" s="3905" t="n"/>
      <c r="F372" s="3905" t="n"/>
      <c r="G372" s="3905" t="n"/>
      <c r="H372" s="3905" t="n"/>
    </row>
    <row r="373">
      <c r="A373" s="3905" t="n"/>
      <c r="B373" s="3905" t="n"/>
      <c r="C373" s="3905" t="n"/>
      <c r="D373" s="3905" t="n"/>
      <c r="E373" s="3905" t="n"/>
      <c r="F373" s="3905" t="n"/>
      <c r="G373" s="3905" t="n"/>
      <c r="H373" s="3905" t="n"/>
    </row>
    <row r="374">
      <c r="A374" s="3905" t="n"/>
      <c r="B374" s="3905" t="n"/>
      <c r="C374" s="3905" t="n"/>
      <c r="D374" s="3905" t="n"/>
      <c r="E374" s="3905" t="n"/>
      <c r="F374" s="3905" t="n"/>
      <c r="G374" s="3905" t="n"/>
      <c r="H374" s="3905" t="n"/>
    </row>
    <row r="375">
      <c r="A375" s="3905" t="n"/>
      <c r="B375" s="3905" t="n"/>
      <c r="C375" s="3905" t="n"/>
      <c r="D375" s="3905" t="n"/>
      <c r="E375" s="3905" t="n"/>
      <c r="F375" s="3905" t="n"/>
      <c r="G375" s="3905" t="n"/>
      <c r="H375" s="3905" t="n"/>
    </row>
    <row r="376">
      <c r="A376" s="3905" t="n"/>
      <c r="B376" s="3905" t="n"/>
      <c r="C376" s="3905" t="n"/>
      <c r="D376" s="3905" t="n"/>
      <c r="E376" s="3905" t="n"/>
      <c r="F376" s="3905" t="n"/>
      <c r="G376" s="3905" t="n"/>
      <c r="H376" s="3905" t="n"/>
    </row>
    <row r="377">
      <c r="A377" s="3905" t="n"/>
      <c r="B377" s="3905" t="n"/>
      <c r="C377" s="3905" t="n"/>
      <c r="D377" s="3905" t="n"/>
      <c r="E377" s="3905" t="n"/>
      <c r="F377" s="3905" t="n"/>
      <c r="G377" s="3905" t="n"/>
      <c r="H377" s="3905" t="n"/>
    </row>
    <row r="378">
      <c r="A378" s="3905" t="n"/>
      <c r="B378" s="3905" t="n"/>
      <c r="C378" s="3905" t="n"/>
      <c r="D378" s="3905" t="n"/>
      <c r="E378" s="3905" t="n"/>
      <c r="F378" s="3905" t="n"/>
      <c r="G378" s="3905" t="n"/>
      <c r="H378" s="3905" t="n"/>
    </row>
    <row r="379">
      <c r="A379" s="3905" t="n"/>
      <c r="B379" s="3905" t="n"/>
      <c r="C379" s="3905" t="n"/>
      <c r="D379" s="3905" t="n"/>
      <c r="E379" s="3905" t="n"/>
      <c r="F379" s="3905" t="n"/>
      <c r="G379" s="3905" t="n"/>
      <c r="H379" s="3905" t="n"/>
    </row>
    <row r="380">
      <c r="A380" s="3905" t="n"/>
      <c r="B380" s="3905" t="n"/>
      <c r="C380" s="3905" t="n"/>
      <c r="D380" s="3905" t="n"/>
      <c r="E380" s="3905" t="n"/>
      <c r="F380" s="3905" t="n"/>
      <c r="G380" s="3905" t="n"/>
      <c r="H380" s="3905" t="n"/>
    </row>
    <row r="381">
      <c r="A381" s="3905" t="n"/>
      <c r="B381" s="3905" t="n"/>
      <c r="C381" s="3905" t="n"/>
      <c r="D381" s="3905" t="n"/>
      <c r="E381" s="3905" t="n"/>
      <c r="F381" s="3905" t="n"/>
      <c r="G381" s="3905" t="n"/>
      <c r="H381" s="3905" t="n"/>
    </row>
    <row r="382">
      <c r="A382" s="3905" t="n"/>
      <c r="B382" s="3905" t="n"/>
      <c r="C382" s="3905" t="n"/>
      <c r="D382" s="3905" t="n"/>
      <c r="E382" s="3905" t="n"/>
      <c r="F382" s="3905" t="n"/>
      <c r="G382" s="3905" t="n"/>
      <c r="H382" s="3905" t="n"/>
    </row>
    <row r="383">
      <c r="A383" s="3905" t="n"/>
      <c r="B383" s="3905" t="n"/>
      <c r="C383" s="3905" t="n"/>
      <c r="D383" s="3905" t="n"/>
      <c r="E383" s="3905" t="n"/>
      <c r="F383" s="3905" t="n"/>
      <c r="G383" s="3905" t="n"/>
      <c r="H383" s="3905" t="n"/>
    </row>
    <row r="384">
      <c r="A384" s="3905" t="n"/>
      <c r="B384" s="3905" t="n"/>
      <c r="C384" s="3905" t="n"/>
      <c r="D384" s="3905" t="n"/>
      <c r="E384" s="3905" t="n"/>
      <c r="F384" s="3905" t="n"/>
      <c r="G384" s="3905" t="n"/>
      <c r="H384" s="3905" t="n"/>
    </row>
    <row r="385">
      <c r="A385" s="3905" t="n"/>
      <c r="B385" s="3905" t="n"/>
      <c r="C385" s="3905" t="n"/>
      <c r="D385" s="3905" t="n"/>
      <c r="E385" s="3905" t="n"/>
      <c r="F385" s="3905" t="n"/>
      <c r="G385" s="3905" t="n"/>
      <c r="H385" s="3905" t="n"/>
    </row>
    <row r="386">
      <c r="A386" s="3905" t="n"/>
      <c r="B386" s="3905" t="n"/>
      <c r="C386" s="3905" t="n"/>
      <c r="D386" s="3905" t="n"/>
      <c r="E386" s="3905" t="n"/>
      <c r="F386" s="3905" t="n"/>
      <c r="G386" s="3905" t="n"/>
      <c r="H386" s="3905" t="n"/>
    </row>
    <row r="387">
      <c r="A387" s="3905" t="n"/>
      <c r="B387" s="3905" t="n"/>
      <c r="C387" s="3905" t="n"/>
      <c r="D387" s="3905" t="n"/>
      <c r="E387" s="3905" t="n"/>
      <c r="F387" s="3905" t="n"/>
      <c r="G387" s="3905" t="n"/>
      <c r="H387" s="3905" t="n"/>
    </row>
    <row r="388">
      <c r="A388" s="3905" t="n"/>
      <c r="B388" s="3905" t="n"/>
      <c r="C388" s="3905" t="n"/>
      <c r="D388" s="3905" t="n"/>
      <c r="E388" s="3905" t="n"/>
      <c r="F388" s="3905" t="n"/>
      <c r="G388" s="3905" t="n"/>
      <c r="H388" s="3905" t="n"/>
    </row>
    <row r="389">
      <c r="A389" s="3905" t="n"/>
      <c r="B389" s="3905" t="n"/>
      <c r="C389" s="3905" t="n"/>
      <c r="D389" s="3905" t="n"/>
      <c r="E389" s="3905" t="n"/>
      <c r="F389" s="3905" t="n"/>
      <c r="G389" s="3905" t="n"/>
      <c r="H389" s="3905" t="n"/>
    </row>
    <row r="390">
      <c r="A390" s="3905" t="n"/>
      <c r="B390" s="3905" t="n"/>
      <c r="C390" s="3905" t="n"/>
      <c r="D390" s="3905" t="n"/>
      <c r="E390" s="3905" t="n"/>
      <c r="F390" s="3905" t="n"/>
      <c r="G390" s="3905" t="n"/>
      <c r="H390" s="3905" t="n"/>
    </row>
    <row r="391">
      <c r="A391" s="3905" t="n"/>
      <c r="B391" s="3905" t="n"/>
      <c r="C391" s="3905" t="n"/>
      <c r="D391" s="3905" t="n"/>
      <c r="E391" s="3905" t="n"/>
      <c r="F391" s="3905" t="n"/>
      <c r="G391" s="3905" t="n"/>
      <c r="H391" s="3905" t="n"/>
    </row>
    <row r="392">
      <c r="A392" s="3905" t="n"/>
      <c r="B392" s="3905" t="n"/>
      <c r="C392" s="3905" t="n"/>
      <c r="D392" s="3905" t="n"/>
      <c r="E392" s="3905" t="n"/>
      <c r="F392" s="3905" t="n"/>
      <c r="G392" s="3905" t="n"/>
      <c r="H392" s="3905" t="n"/>
    </row>
    <row r="393">
      <c r="A393" s="3905" t="n"/>
      <c r="B393" s="3905" t="n"/>
      <c r="C393" s="3905" t="n"/>
      <c r="D393" s="3905" t="n"/>
      <c r="E393" s="3905" t="n"/>
      <c r="F393" s="3905" t="n"/>
      <c r="G393" s="3905" t="n"/>
      <c r="H393" s="3905" t="n"/>
    </row>
    <row r="394">
      <c r="A394" s="3905" t="n"/>
      <c r="B394" s="3905" t="n"/>
      <c r="C394" s="3905" t="n"/>
      <c r="D394" s="3905" t="n"/>
      <c r="E394" s="3905" t="n"/>
      <c r="F394" s="3905" t="n"/>
      <c r="G394" s="3905" t="n"/>
      <c r="H394" s="3905" t="n"/>
    </row>
    <row r="395">
      <c r="A395" s="3905" t="n"/>
      <c r="B395" s="3905" t="n"/>
      <c r="C395" s="3905" t="n"/>
      <c r="D395" s="3905" t="n"/>
      <c r="E395" s="3905" t="n"/>
      <c r="F395" s="3905" t="n"/>
      <c r="G395" s="3905" t="n"/>
      <c r="H395" s="3905" t="n"/>
    </row>
    <row r="396">
      <c r="A396" s="3905" t="n"/>
      <c r="B396" s="3905" t="n"/>
      <c r="C396" s="3905" t="n"/>
      <c r="D396" s="3905" t="n"/>
      <c r="E396" s="3905" t="n"/>
      <c r="F396" s="3905" t="n"/>
      <c r="G396" s="3905" t="n"/>
      <c r="H396" s="3905" t="n"/>
    </row>
    <row r="397">
      <c r="A397" s="3905" t="n"/>
      <c r="B397" s="3905" t="n"/>
      <c r="C397" s="3905" t="n"/>
      <c r="D397" s="3905" t="n"/>
      <c r="E397" s="3905" t="n"/>
      <c r="F397" s="3905" t="n"/>
      <c r="G397" s="3905" t="n"/>
      <c r="H397" s="3905" t="n"/>
    </row>
    <row r="398">
      <c r="A398" s="3905" t="n"/>
      <c r="B398" s="3905" t="n"/>
      <c r="C398" s="3905" t="n"/>
      <c r="D398" s="3905" t="n"/>
      <c r="E398" s="3905" t="n"/>
      <c r="F398" s="3905" t="n"/>
      <c r="G398" s="3905" t="n"/>
      <c r="H398" s="3905" t="n"/>
    </row>
    <row r="399">
      <c r="A399" s="3905" t="n"/>
      <c r="B399" s="3905" t="n"/>
      <c r="C399" s="3905" t="n"/>
      <c r="D399" s="3905" t="n"/>
      <c r="E399" s="3905" t="n"/>
      <c r="F399" s="3905" t="n"/>
      <c r="G399" s="3905" t="n"/>
      <c r="H399" s="3905" t="n"/>
    </row>
    <row r="400">
      <c r="A400" s="3905" t="n"/>
      <c r="B400" s="3905" t="n"/>
      <c r="C400" s="3905" t="n"/>
      <c r="D400" s="3905" t="n"/>
      <c r="E400" s="3905" t="n"/>
      <c r="F400" s="3905" t="n"/>
      <c r="G400" s="3905" t="n"/>
      <c r="H400" s="3905" t="n"/>
    </row>
    <row r="401">
      <c r="A401" s="3905" t="n"/>
      <c r="B401" s="3905" t="n"/>
      <c r="C401" s="3905" t="n"/>
      <c r="D401" s="3905" t="n"/>
      <c r="E401" s="3905" t="n"/>
      <c r="F401" s="3905" t="n"/>
      <c r="G401" s="3905" t="n"/>
      <c r="H401" s="3905" t="n"/>
    </row>
    <row r="402">
      <c r="A402" s="3905" t="n"/>
      <c r="B402" s="3905" t="n"/>
      <c r="C402" s="3905" t="n"/>
      <c r="D402" s="3905" t="n"/>
      <c r="E402" s="3905" t="n"/>
      <c r="F402" s="3905" t="n"/>
      <c r="G402" s="3905" t="n"/>
      <c r="H402" s="3905" t="n"/>
    </row>
    <row r="403">
      <c r="A403" s="3905" t="n"/>
      <c r="B403" s="3905" t="n"/>
      <c r="C403" s="3905" t="n"/>
      <c r="D403" s="3905" t="n"/>
      <c r="E403" s="3905" t="n"/>
      <c r="F403" s="3905" t="n"/>
      <c r="G403" s="3905" t="n"/>
      <c r="H403" s="3905" t="n"/>
    </row>
    <row r="404">
      <c r="A404" s="3905" t="n"/>
      <c r="B404" s="3905" t="n"/>
      <c r="C404" s="3905" t="n"/>
      <c r="D404" s="3905" t="n"/>
      <c r="E404" s="3905" t="n"/>
      <c r="F404" s="3905" t="n"/>
      <c r="G404" s="3905" t="n"/>
      <c r="H404" s="3905" t="n"/>
    </row>
    <row r="405">
      <c r="A405" s="3905" t="n"/>
      <c r="B405" s="3905" t="n"/>
      <c r="C405" s="3905" t="n"/>
      <c r="D405" s="3905" t="n"/>
      <c r="E405" s="3905" t="n"/>
      <c r="F405" s="3905" t="n"/>
      <c r="G405" s="3905" t="n"/>
      <c r="H405" s="3905" t="n"/>
    </row>
    <row r="406">
      <c r="A406" s="3905" t="n"/>
      <c r="B406" s="3905" t="n"/>
      <c r="C406" s="3905" t="n"/>
      <c r="D406" s="3905" t="n"/>
      <c r="E406" s="3905" t="n"/>
      <c r="F406" s="3905" t="n"/>
      <c r="G406" s="3905" t="n"/>
      <c r="H406" s="3905" t="n"/>
    </row>
    <row r="407">
      <c r="A407" s="3905" t="n"/>
      <c r="B407" s="3905" t="n"/>
      <c r="C407" s="3905" t="n"/>
      <c r="D407" s="3905" t="n"/>
      <c r="E407" s="3905" t="n"/>
      <c r="F407" s="3905" t="n"/>
      <c r="G407" s="3905" t="n"/>
      <c r="H407" s="3905" t="n"/>
    </row>
    <row r="408">
      <c r="A408" s="3905" t="n"/>
      <c r="B408" s="3905" t="n"/>
      <c r="C408" s="3905" t="n"/>
      <c r="D408" s="3905" t="n"/>
      <c r="E408" s="3905" t="n"/>
      <c r="F408" s="3905" t="n"/>
      <c r="G408" s="3905" t="n"/>
      <c r="H408" s="3905" t="n"/>
    </row>
    <row r="409">
      <c r="A409" s="3905" t="n"/>
      <c r="B409" s="3905" t="n"/>
      <c r="C409" s="3905" t="n"/>
      <c r="D409" s="3905" t="n"/>
      <c r="E409" s="3905" t="n"/>
      <c r="F409" s="3905" t="n"/>
      <c r="G409" s="3905" t="n"/>
      <c r="H409" s="3905" t="n"/>
    </row>
    <row r="410">
      <c r="A410" s="3905" t="n"/>
      <c r="B410" s="3905" t="n"/>
      <c r="C410" s="3905" t="n"/>
      <c r="D410" s="3905" t="n"/>
      <c r="E410" s="3905" t="n"/>
      <c r="F410" s="3905" t="n"/>
      <c r="G410" s="3905" t="n"/>
      <c r="H410" s="3905" t="n"/>
    </row>
    <row r="411">
      <c r="A411" s="3905" t="n"/>
      <c r="B411" s="3905" t="n"/>
      <c r="C411" s="3905" t="n"/>
      <c r="D411" s="3905" t="n"/>
      <c r="E411" s="3905" t="n"/>
      <c r="F411" s="3905" t="n"/>
      <c r="G411" s="3905" t="n"/>
      <c r="H411" s="3905" t="n"/>
    </row>
    <row r="412">
      <c r="A412" s="3905" t="n"/>
      <c r="B412" s="3905" t="n"/>
      <c r="C412" s="3905" t="n"/>
      <c r="D412" s="3905" t="n"/>
      <c r="E412" s="3905" t="n"/>
      <c r="F412" s="3905" t="n"/>
      <c r="G412" s="3905" t="n"/>
      <c r="H412" s="3905" t="n"/>
    </row>
    <row r="413">
      <c r="A413" s="3905" t="n"/>
      <c r="B413" s="3905" t="n"/>
      <c r="C413" s="3905" t="n"/>
      <c r="D413" s="3905" t="n"/>
      <c r="E413" s="3905" t="n"/>
      <c r="F413" s="3905" t="n"/>
      <c r="G413" s="3905" t="n"/>
      <c r="H413" s="3905" t="n"/>
    </row>
    <row r="414">
      <c r="A414" s="3905" t="n"/>
      <c r="B414" s="3905" t="n"/>
      <c r="C414" s="3905" t="n"/>
      <c r="D414" s="3905" t="n"/>
      <c r="E414" s="3905" t="n"/>
      <c r="F414" s="3905" t="n"/>
      <c r="G414" s="3905" t="n"/>
      <c r="H414" s="3905" t="n"/>
    </row>
    <row r="415">
      <c r="A415" s="3905" t="n"/>
      <c r="B415" s="3905" t="n"/>
      <c r="C415" s="3905" t="n"/>
      <c r="D415" s="3905" t="n"/>
      <c r="E415" s="3905" t="n"/>
      <c r="F415" s="3905" t="n"/>
      <c r="G415" s="3905" t="n"/>
      <c r="H415" s="3905" t="n"/>
    </row>
    <row r="416">
      <c r="A416" s="3905" t="n"/>
      <c r="B416" s="3905" t="n"/>
      <c r="C416" s="3905" t="n"/>
      <c r="D416" s="3905" t="n"/>
      <c r="E416" s="3905" t="n"/>
      <c r="F416" s="3905" t="n"/>
      <c r="G416" s="3905" t="n"/>
      <c r="H416" s="3905" t="n"/>
    </row>
    <row r="417">
      <c r="A417" s="3905" t="n"/>
      <c r="B417" s="3905" t="n"/>
      <c r="C417" s="3905" t="n"/>
      <c r="D417" s="3905" t="n"/>
      <c r="E417" s="3905" t="n"/>
      <c r="F417" s="3905" t="n"/>
      <c r="G417" s="3905" t="n"/>
      <c r="H417" s="3905" t="n"/>
    </row>
    <row r="418">
      <c r="A418" s="3905" t="n"/>
      <c r="B418" s="3905" t="n"/>
      <c r="C418" s="3905" t="n"/>
      <c r="D418" s="3905" t="n"/>
      <c r="E418" s="3905" t="n"/>
      <c r="F418" s="3905" t="n"/>
      <c r="G418" s="3905" t="n"/>
      <c r="H418" s="3905" t="n"/>
    </row>
    <row r="419">
      <c r="A419" s="3905" t="n"/>
      <c r="B419" s="3905" t="n"/>
      <c r="C419" s="3905" t="n"/>
      <c r="D419" s="3905" t="n"/>
      <c r="E419" s="3905" t="n"/>
      <c r="F419" s="3905" t="n"/>
      <c r="G419" s="3905" t="n"/>
      <c r="H419" s="3905" t="n"/>
    </row>
    <row r="420">
      <c r="A420" s="3905" t="n"/>
      <c r="B420" s="3905" t="n"/>
      <c r="C420" s="3905" t="n"/>
      <c r="D420" s="3905" t="n"/>
      <c r="E420" s="3905" t="n"/>
      <c r="F420" s="3905" t="n"/>
      <c r="G420" s="3905" t="n"/>
      <c r="H420" s="3905" t="n"/>
    </row>
    <row r="421">
      <c r="A421" s="3905" t="n"/>
      <c r="B421" s="3905" t="n"/>
      <c r="C421" s="3905" t="n"/>
      <c r="D421" s="3905" t="n"/>
      <c r="E421" s="3905" t="n"/>
      <c r="F421" s="3905" t="n"/>
      <c r="G421" s="3905" t="n"/>
      <c r="H421" s="3905" t="n"/>
    </row>
    <row r="422">
      <c r="A422" s="3905" t="n"/>
      <c r="B422" s="3905" t="n"/>
      <c r="C422" s="3905" t="n"/>
      <c r="D422" s="3905" t="n"/>
      <c r="E422" s="3905" t="n"/>
      <c r="F422" s="3905" t="n"/>
      <c r="G422" s="3905" t="n"/>
      <c r="H422" s="3905" t="n"/>
    </row>
    <row r="423">
      <c r="A423" s="3905" t="n"/>
      <c r="B423" s="3905" t="n"/>
      <c r="C423" s="3905" t="n"/>
      <c r="D423" s="3905" t="n"/>
      <c r="E423" s="3905" t="n"/>
      <c r="F423" s="3905" t="n"/>
      <c r="G423" s="3905" t="n"/>
      <c r="H423" s="3905" t="n"/>
    </row>
    <row r="424">
      <c r="A424" s="3905" t="n"/>
      <c r="B424" s="3905" t="n"/>
      <c r="C424" s="3905" t="n"/>
      <c r="D424" s="3905" t="n"/>
      <c r="E424" s="3905" t="n"/>
      <c r="F424" s="3905" t="n"/>
      <c r="G424" s="3905" t="n"/>
      <c r="H424" s="3905" t="n"/>
    </row>
    <row r="425">
      <c r="A425" s="3905" t="n"/>
      <c r="B425" s="3905" t="n"/>
      <c r="C425" s="3905" t="n"/>
      <c r="D425" s="3905" t="n"/>
      <c r="E425" s="3905" t="n"/>
      <c r="F425" s="3905" t="n"/>
      <c r="G425" s="3905" t="n"/>
      <c r="H425" s="3905" t="n"/>
    </row>
    <row r="426">
      <c r="A426" s="3905" t="n"/>
      <c r="B426" s="3905" t="n"/>
      <c r="C426" s="3905" t="n"/>
      <c r="D426" s="3905" t="n"/>
      <c r="E426" s="3905" t="n"/>
      <c r="F426" s="3905" t="n"/>
      <c r="G426" s="3905" t="n"/>
      <c r="H426" s="3905" t="n"/>
    </row>
    <row r="427">
      <c r="A427" s="3905" t="n"/>
      <c r="B427" s="3905" t="n"/>
      <c r="C427" s="3905" t="n"/>
      <c r="D427" s="3905" t="n"/>
      <c r="E427" s="3905" t="n"/>
      <c r="F427" s="3905" t="n"/>
      <c r="G427" s="3905" t="n"/>
      <c r="H427" s="3905" t="n"/>
    </row>
    <row r="428">
      <c r="A428" s="3905" t="n"/>
      <c r="B428" s="3905" t="n"/>
      <c r="C428" s="3905" t="n"/>
      <c r="D428" s="3905" t="n"/>
      <c r="E428" s="3905" t="n"/>
      <c r="F428" s="3905" t="n"/>
      <c r="G428" s="3905" t="n"/>
      <c r="H428" s="3905" t="n"/>
    </row>
    <row r="429">
      <c r="A429" s="3905" t="n"/>
      <c r="B429" s="3905" t="n"/>
      <c r="C429" s="3905" t="n"/>
      <c r="D429" s="3905" t="n"/>
      <c r="E429" s="3905" t="n"/>
      <c r="F429" s="3905" t="n"/>
      <c r="G429" s="3905" t="n"/>
      <c r="H429" s="3905" t="n"/>
    </row>
    <row r="430">
      <c r="A430" s="3905" t="n"/>
      <c r="B430" s="3905" t="n"/>
      <c r="C430" s="3905" t="n"/>
      <c r="D430" s="3905" t="n"/>
      <c r="E430" s="3905" t="n"/>
      <c r="F430" s="3905" t="n"/>
      <c r="G430" s="3905" t="n"/>
      <c r="H430" s="3905" t="n"/>
    </row>
    <row r="431">
      <c r="A431" s="3905" t="n"/>
      <c r="B431" s="3905" t="n"/>
      <c r="C431" s="3905" t="n"/>
      <c r="D431" s="3905" t="n"/>
      <c r="E431" s="3905" t="n"/>
      <c r="F431" s="3905" t="n"/>
      <c r="G431" s="3905" t="n"/>
      <c r="H431" s="3905" t="n"/>
    </row>
    <row r="432">
      <c r="A432" s="3905" t="n"/>
      <c r="B432" s="3905" t="n"/>
      <c r="C432" s="3905" t="n"/>
      <c r="D432" s="3905" t="n"/>
      <c r="E432" s="3905" t="n"/>
      <c r="F432" s="3905" t="n"/>
      <c r="G432" s="3905" t="n"/>
      <c r="H432" s="3905" t="n"/>
    </row>
    <row r="433">
      <c r="A433" s="3905" t="n"/>
      <c r="B433" s="3905" t="n"/>
      <c r="C433" s="3905" t="n"/>
      <c r="D433" s="3905" t="n"/>
      <c r="E433" s="3905" t="n"/>
      <c r="F433" s="3905" t="n"/>
      <c r="G433" s="3905" t="n"/>
      <c r="H433" s="3905" t="n"/>
    </row>
    <row r="434">
      <c r="A434" s="3905" t="n"/>
      <c r="B434" s="3905" t="n"/>
      <c r="C434" s="3905" t="n"/>
      <c r="D434" s="3905" t="n"/>
      <c r="E434" s="3905" t="n"/>
      <c r="F434" s="3905" t="n"/>
      <c r="G434" s="3905" t="n"/>
      <c r="H434" s="3905" t="n"/>
    </row>
    <row r="435">
      <c r="A435" s="3905" t="n"/>
      <c r="B435" s="3905" t="n"/>
      <c r="C435" s="3905" t="n"/>
      <c r="D435" s="3905" t="n"/>
      <c r="E435" s="3905" t="n"/>
      <c r="F435" s="3905" t="n"/>
      <c r="G435" s="3905" t="n"/>
      <c r="H435" s="3905" t="n"/>
    </row>
    <row r="436">
      <c r="A436" s="3905" t="n"/>
      <c r="B436" s="3905" t="n"/>
      <c r="C436" s="3905" t="n"/>
      <c r="D436" s="3905" t="n"/>
      <c r="E436" s="3905" t="n"/>
      <c r="F436" s="3905" t="n"/>
      <c r="G436" s="3905" t="n"/>
      <c r="H436" s="3905" t="n"/>
    </row>
    <row r="437">
      <c r="A437" s="3905" t="n"/>
      <c r="B437" s="3905" t="n"/>
      <c r="C437" s="3905" t="n"/>
      <c r="D437" s="3905" t="n"/>
      <c r="E437" s="3905" t="n"/>
      <c r="F437" s="3905" t="n"/>
      <c r="G437" s="3905" t="n"/>
      <c r="H437" s="3905" t="n"/>
    </row>
    <row r="438">
      <c r="A438" s="3905" t="n"/>
      <c r="B438" s="3905" t="n"/>
      <c r="C438" s="3905" t="n"/>
      <c r="D438" s="3905" t="n"/>
      <c r="E438" s="3905" t="n"/>
      <c r="F438" s="3905" t="n"/>
      <c r="G438" s="3905" t="n"/>
      <c r="H438" s="3905" t="n"/>
    </row>
    <row r="439">
      <c r="A439" s="3905" t="n"/>
      <c r="B439" s="3905" t="n"/>
      <c r="C439" s="3905" t="n"/>
      <c r="D439" s="3905" t="n"/>
      <c r="E439" s="3905" t="n"/>
      <c r="F439" s="3905" t="n"/>
      <c r="G439" s="3905" t="n"/>
      <c r="H439" s="3905" t="n"/>
    </row>
    <row r="440">
      <c r="A440" s="3905" t="n"/>
      <c r="B440" s="3905" t="n"/>
      <c r="C440" s="3905" t="n"/>
      <c r="D440" s="3905" t="n"/>
      <c r="E440" s="3905" t="n"/>
      <c r="F440" s="3905" t="n"/>
      <c r="G440" s="3905" t="n"/>
      <c r="H440" s="3905" t="n"/>
    </row>
    <row r="441">
      <c r="A441" s="3905" t="n"/>
      <c r="B441" s="3905" t="n"/>
      <c r="C441" s="3905" t="n"/>
      <c r="D441" s="3905" t="n"/>
      <c r="E441" s="3905" t="n"/>
      <c r="F441" s="3905" t="n"/>
      <c r="G441" s="3905" t="n"/>
      <c r="H441" s="3905" t="n"/>
    </row>
    <row r="442">
      <c r="A442" s="3905" t="n"/>
      <c r="B442" s="3905" t="n"/>
      <c r="C442" s="3905" t="n"/>
      <c r="D442" s="3905" t="n"/>
      <c r="E442" s="3905" t="n"/>
      <c r="F442" s="3905" t="n"/>
      <c r="G442" s="3905" t="n"/>
      <c r="H442" s="3905" t="n"/>
    </row>
    <row r="443">
      <c r="A443" s="3905" t="n"/>
      <c r="B443" s="3905" t="n"/>
      <c r="C443" s="3905" t="n"/>
      <c r="D443" s="3905" t="n"/>
      <c r="E443" s="3905" t="n"/>
      <c r="F443" s="3905" t="n"/>
      <c r="G443" s="3905" t="n"/>
      <c r="H443" s="3905" t="n"/>
    </row>
    <row r="444">
      <c r="A444" s="3905" t="n"/>
      <c r="B444" s="3905" t="n"/>
      <c r="C444" s="3905" t="n"/>
      <c r="D444" s="3905" t="n"/>
      <c r="E444" s="3905" t="n"/>
      <c r="F444" s="3905" t="n"/>
      <c r="G444" s="3905" t="n"/>
      <c r="H444" s="3905" t="n"/>
    </row>
    <row r="445">
      <c r="A445" s="3905" t="n"/>
      <c r="B445" s="3905" t="n"/>
      <c r="C445" s="3905" t="n"/>
      <c r="D445" s="3905" t="n"/>
      <c r="E445" s="3905" t="n"/>
      <c r="F445" s="3905" t="n"/>
      <c r="G445" s="3905" t="n"/>
      <c r="H445" s="3905" t="n"/>
    </row>
    <row r="446">
      <c r="A446" s="3905" t="n"/>
      <c r="B446" s="3905" t="n"/>
      <c r="C446" s="3905" t="n"/>
      <c r="D446" s="3905" t="n"/>
      <c r="E446" s="3905" t="n"/>
      <c r="F446" s="3905" t="n"/>
      <c r="G446" s="3905" t="n"/>
      <c r="H446" s="3905" t="n"/>
    </row>
    <row r="447">
      <c r="A447" s="3905" t="n"/>
      <c r="B447" s="3905" t="n"/>
      <c r="C447" s="3905" t="n"/>
      <c r="D447" s="3905" t="n"/>
      <c r="E447" s="3905" t="n"/>
      <c r="F447" s="3905" t="n"/>
      <c r="G447" s="3905" t="n"/>
      <c r="H447" s="3905" t="n"/>
    </row>
    <row r="448">
      <c r="A448" s="3905" t="n"/>
      <c r="B448" s="3905" t="n"/>
      <c r="C448" s="3905" t="n"/>
      <c r="D448" s="3905" t="n"/>
      <c r="E448" s="3905" t="n"/>
      <c r="F448" s="3905" t="n"/>
      <c r="G448" s="3905" t="n"/>
      <c r="H448" s="3905" t="n"/>
    </row>
    <row r="449">
      <c r="A449" s="3905" t="n"/>
      <c r="B449" s="3905" t="n"/>
      <c r="C449" s="3905" t="n"/>
      <c r="D449" s="3905" t="n"/>
      <c r="E449" s="3905" t="n"/>
      <c r="F449" s="3905" t="n"/>
      <c r="G449" s="3905" t="n"/>
      <c r="H449" s="3905" t="n"/>
    </row>
    <row r="450">
      <c r="A450" s="3905" t="n"/>
      <c r="B450" s="3905" t="n"/>
      <c r="C450" s="3905" t="n"/>
      <c r="D450" s="3905" t="n"/>
      <c r="E450" s="3905" t="n"/>
      <c r="F450" s="3905" t="n"/>
      <c r="G450" s="3905" t="n"/>
      <c r="H450" s="3905" t="n"/>
    </row>
    <row r="451">
      <c r="A451" s="3905" t="n"/>
      <c r="B451" s="3905" t="n"/>
      <c r="C451" s="3905" t="n"/>
      <c r="D451" s="3905" t="n"/>
      <c r="E451" s="3905" t="n"/>
      <c r="F451" s="3905" t="n"/>
      <c r="G451" s="3905" t="n"/>
      <c r="H451" s="3905" t="n"/>
    </row>
    <row r="452">
      <c r="A452" s="3905" t="n"/>
      <c r="B452" s="3905" t="n"/>
      <c r="C452" s="3905" t="n"/>
      <c r="D452" s="3905" t="n"/>
      <c r="E452" s="3905" t="n"/>
      <c r="F452" s="3905" t="n"/>
      <c r="G452" s="3905" t="n"/>
      <c r="H452" s="3905" t="n"/>
    </row>
    <row r="453">
      <c r="A453" s="3905" t="n"/>
      <c r="B453" s="3905" t="n"/>
      <c r="C453" s="3905" t="n"/>
      <c r="D453" s="3905" t="n"/>
      <c r="E453" s="3905" t="n"/>
      <c r="F453" s="3905" t="n"/>
      <c r="G453" s="3905" t="n"/>
      <c r="H453" s="3905" t="n"/>
    </row>
    <row r="454">
      <c r="A454" s="3905" t="n"/>
      <c r="B454" s="3905" t="n"/>
      <c r="C454" s="3905" t="n"/>
      <c r="D454" s="3905" t="n"/>
      <c r="E454" s="3905" t="n"/>
      <c r="F454" s="3905" t="n"/>
      <c r="G454" s="3905" t="n"/>
      <c r="H454" s="3905" t="n"/>
    </row>
    <row r="455">
      <c r="A455" s="3905" t="n"/>
      <c r="B455" s="3905" t="n"/>
      <c r="C455" s="3905" t="n"/>
      <c r="D455" s="3905" t="n"/>
      <c r="E455" s="3905" t="n"/>
      <c r="F455" s="3905" t="n"/>
      <c r="G455" s="3905" t="n"/>
      <c r="H455" s="3905" t="n"/>
    </row>
    <row r="456">
      <c r="A456" s="3905" t="n"/>
      <c r="B456" s="3905" t="n"/>
      <c r="C456" s="3905" t="n"/>
      <c r="D456" s="3905" t="n"/>
      <c r="E456" s="3905" t="n"/>
      <c r="F456" s="3905" t="n"/>
      <c r="G456" s="3905" t="n"/>
      <c r="H456" s="3905" t="n"/>
    </row>
    <row r="457">
      <c r="A457" s="3905" t="n"/>
      <c r="B457" s="3905" t="n"/>
      <c r="C457" s="3905" t="n"/>
      <c r="D457" s="3905" t="n"/>
      <c r="E457" s="3905" t="n"/>
      <c r="F457" s="3905" t="n"/>
      <c r="G457" s="3905" t="n"/>
      <c r="H457" s="3905" t="n"/>
    </row>
    <row r="458">
      <c r="A458" s="3905" t="n"/>
      <c r="B458" s="3905" t="n"/>
      <c r="C458" s="3905" t="n"/>
      <c r="D458" s="3905" t="n"/>
      <c r="E458" s="3905" t="n"/>
      <c r="F458" s="3905" t="n"/>
      <c r="G458" s="3905" t="n"/>
      <c r="H458" s="3905" t="n"/>
    </row>
    <row r="459">
      <c r="A459" s="3905" t="n"/>
      <c r="B459" s="3905" t="n"/>
      <c r="C459" s="3905" t="n"/>
      <c r="D459" s="3905" t="n"/>
      <c r="E459" s="3905" t="n"/>
      <c r="F459" s="3905" t="n"/>
      <c r="G459" s="3905" t="n"/>
      <c r="H459" s="3905" t="n"/>
    </row>
    <row r="460">
      <c r="A460" s="3905" t="n"/>
      <c r="B460" s="3905" t="n"/>
      <c r="C460" s="3905" t="n"/>
      <c r="D460" s="3905" t="n"/>
      <c r="E460" s="3905" t="n"/>
      <c r="F460" s="3905" t="n"/>
      <c r="G460" s="3905" t="n"/>
      <c r="H460" s="3905" t="n"/>
    </row>
    <row r="461">
      <c r="A461" s="3905" t="n"/>
      <c r="B461" s="3905" t="n"/>
      <c r="C461" s="3905" t="n"/>
      <c r="D461" s="3905" t="n"/>
      <c r="E461" s="3905" t="n"/>
      <c r="F461" s="3905" t="n"/>
      <c r="G461" s="3905" t="n"/>
      <c r="H461" s="3905" t="n"/>
    </row>
    <row r="462">
      <c r="A462" s="3905" t="n"/>
      <c r="B462" s="3905" t="n"/>
      <c r="C462" s="3905" t="n"/>
      <c r="D462" s="3905" t="n"/>
      <c r="E462" s="3905" t="n"/>
      <c r="F462" s="3905" t="n"/>
      <c r="G462" s="3905" t="n"/>
      <c r="H462" s="3905" t="n"/>
    </row>
    <row r="463">
      <c r="A463" s="3905" t="n"/>
      <c r="B463" s="3905" t="n"/>
      <c r="C463" s="3905" t="n"/>
      <c r="D463" s="3905" t="n"/>
      <c r="E463" s="3905" t="n"/>
      <c r="F463" s="3905" t="n"/>
      <c r="G463" s="3905" t="n"/>
      <c r="H463" s="3905" t="n"/>
    </row>
    <row r="464">
      <c r="A464" s="3905" t="n"/>
      <c r="B464" s="3905" t="n"/>
      <c r="C464" s="3905" t="n"/>
      <c r="D464" s="3905" t="n"/>
      <c r="E464" s="3905" t="n"/>
      <c r="F464" s="3905" t="n"/>
      <c r="G464" s="3905" t="n"/>
      <c r="H464" s="3905" t="n"/>
    </row>
    <row r="465">
      <c r="A465" s="3905" t="n"/>
      <c r="B465" s="3905" t="n"/>
      <c r="C465" s="3905" t="n"/>
      <c r="D465" s="3905" t="n"/>
      <c r="E465" s="3905" t="n"/>
      <c r="F465" s="3905" t="n"/>
      <c r="G465" s="3905" t="n"/>
      <c r="H465" s="3905" t="n"/>
    </row>
    <row r="466">
      <c r="A466" s="3905" t="n"/>
      <c r="B466" s="3905" t="n"/>
      <c r="C466" s="3905" t="n"/>
      <c r="D466" s="3905" t="n"/>
      <c r="E466" s="3905" t="n"/>
      <c r="F466" s="3905" t="n"/>
      <c r="G466" s="3905" t="n"/>
      <c r="H466" s="3905" t="n"/>
    </row>
    <row r="467">
      <c r="A467" s="3905" t="n"/>
      <c r="B467" s="3905" t="n"/>
      <c r="C467" s="3905" t="n"/>
      <c r="D467" s="3905" t="n"/>
      <c r="E467" s="3905" t="n"/>
      <c r="F467" s="3905" t="n"/>
      <c r="G467" s="3905" t="n"/>
      <c r="H467" s="3905" t="n"/>
    </row>
    <row r="468">
      <c r="A468" s="3905" t="n"/>
      <c r="B468" s="3905" t="n"/>
      <c r="C468" s="3905" t="n"/>
      <c r="D468" s="3905" t="n"/>
      <c r="E468" s="3905" t="n"/>
      <c r="F468" s="3905" t="n"/>
      <c r="G468" s="3905" t="n"/>
      <c r="H468" s="3905" t="n"/>
    </row>
    <row r="469">
      <c r="A469" s="3905" t="n"/>
      <c r="B469" s="3905" t="n"/>
      <c r="C469" s="3905" t="n"/>
      <c r="D469" s="3905" t="n"/>
      <c r="E469" s="3905" t="n"/>
      <c r="F469" s="3905" t="n"/>
      <c r="G469" s="3905" t="n"/>
      <c r="H469" s="3905" t="n"/>
    </row>
    <row r="470">
      <c r="A470" s="3905" t="n"/>
      <c r="B470" s="3905" t="n"/>
      <c r="C470" s="3905" t="n"/>
      <c r="D470" s="3905" t="n"/>
      <c r="E470" s="3905" t="n"/>
      <c r="F470" s="3905" t="n"/>
      <c r="G470" s="3905" t="n"/>
      <c r="H470" s="3905" t="n"/>
    </row>
    <row r="471">
      <c r="A471" s="3905" t="n"/>
      <c r="B471" s="3905" t="n"/>
      <c r="C471" s="3905" t="n"/>
      <c r="D471" s="3905" t="n"/>
      <c r="E471" s="3905" t="n"/>
      <c r="F471" s="3905" t="n"/>
      <c r="G471" s="3905" t="n"/>
      <c r="H471" s="3905" t="n"/>
    </row>
    <row r="472">
      <c r="A472" s="3905" t="n"/>
      <c r="B472" s="3905" t="n"/>
      <c r="C472" s="3905" t="n"/>
      <c r="D472" s="3905" t="n"/>
      <c r="E472" s="3905" t="n"/>
      <c r="F472" s="3905" t="n"/>
      <c r="G472" s="3905" t="n"/>
      <c r="H472" s="3905" t="n"/>
    </row>
    <row r="473">
      <c r="A473" s="3905" t="n"/>
      <c r="B473" s="3905" t="n"/>
      <c r="C473" s="3905" t="n"/>
      <c r="D473" s="3905" t="n"/>
      <c r="E473" s="3905" t="n"/>
      <c r="F473" s="3905" t="n"/>
      <c r="G473" s="3905" t="n"/>
      <c r="H473" s="3905" t="n"/>
    </row>
    <row r="474">
      <c r="A474" s="3905" t="n"/>
      <c r="B474" s="3905" t="n"/>
      <c r="C474" s="3905" t="n"/>
      <c r="D474" s="3905" t="n"/>
      <c r="E474" s="3905" t="n"/>
      <c r="F474" s="3905" t="n"/>
      <c r="G474" s="3905" t="n"/>
      <c r="H474" s="3905" t="n"/>
    </row>
    <row r="475">
      <c r="A475" s="3905" t="n"/>
      <c r="B475" s="3905" t="n"/>
      <c r="C475" s="3905" t="n"/>
      <c r="D475" s="3905" t="n"/>
      <c r="E475" s="3905" t="n"/>
      <c r="F475" s="3905" t="n"/>
      <c r="G475" s="3905" t="n"/>
      <c r="H475" s="3905" t="n"/>
    </row>
    <row r="476">
      <c r="A476" s="3905" t="n"/>
      <c r="B476" s="3905" t="n"/>
      <c r="C476" s="3905" t="n"/>
      <c r="D476" s="3905" t="n"/>
      <c r="E476" s="3905" t="n"/>
      <c r="F476" s="3905" t="n"/>
      <c r="G476" s="3905" t="n"/>
      <c r="H476" s="3905" t="n"/>
    </row>
    <row r="477">
      <c r="A477" s="3905" t="n"/>
      <c r="B477" s="3905" t="n"/>
      <c r="C477" s="3905" t="n"/>
      <c r="D477" s="3905" t="n"/>
      <c r="E477" s="3905" t="n"/>
      <c r="F477" s="3905" t="n"/>
      <c r="G477" s="3905" t="n"/>
      <c r="H477" s="3905" t="n"/>
    </row>
    <row r="478">
      <c r="A478" s="3905" t="n"/>
      <c r="B478" s="3905" t="n"/>
      <c r="C478" s="3905" t="n"/>
      <c r="D478" s="3905" t="n"/>
      <c r="E478" s="3905" t="n"/>
      <c r="F478" s="3905" t="n"/>
      <c r="G478" s="3905" t="n"/>
      <c r="H478" s="3905" t="n"/>
    </row>
    <row r="479">
      <c r="A479" s="3905" t="n"/>
      <c r="B479" s="3905" t="n"/>
      <c r="C479" s="3905" t="n"/>
      <c r="D479" s="3905" t="n"/>
      <c r="E479" s="3905" t="n"/>
      <c r="F479" s="3905" t="n"/>
      <c r="G479" s="3905" t="n"/>
      <c r="H479" s="3905" t="n"/>
    </row>
    <row r="480">
      <c r="A480" s="3905" t="n"/>
      <c r="B480" s="3905" t="n"/>
      <c r="C480" s="3905" t="n"/>
      <c r="D480" s="3905" t="n"/>
      <c r="E480" s="3905" t="n"/>
      <c r="F480" s="3905" t="n"/>
      <c r="G480" s="3905" t="n"/>
      <c r="H480" s="3905" t="n"/>
    </row>
    <row r="481">
      <c r="A481" s="3905" t="n"/>
      <c r="B481" s="3905" t="n"/>
      <c r="C481" s="3905" t="n"/>
      <c r="D481" s="3905" t="n"/>
      <c r="E481" s="3905" t="n"/>
      <c r="F481" s="3905" t="n"/>
      <c r="G481" s="3905" t="n"/>
      <c r="H481" s="3905" t="n"/>
    </row>
    <row r="482">
      <c r="A482" s="3905" t="n"/>
      <c r="B482" s="3905" t="n"/>
      <c r="C482" s="3905" t="n"/>
      <c r="D482" s="3905" t="n"/>
      <c r="E482" s="3905" t="n"/>
      <c r="F482" s="3905" t="n"/>
      <c r="G482" s="3905" t="n"/>
      <c r="H482" s="3905" t="n"/>
    </row>
    <row r="483">
      <c r="A483" s="3905" t="n"/>
      <c r="B483" s="3905" t="n"/>
      <c r="C483" s="3905" t="n"/>
      <c r="D483" s="3905" t="n"/>
      <c r="E483" s="3905" t="n"/>
      <c r="F483" s="3905" t="n"/>
      <c r="G483" s="3905" t="n"/>
      <c r="H483" s="3905" t="n"/>
    </row>
    <row r="484">
      <c r="A484" s="3905" t="n"/>
      <c r="B484" s="3905" t="n"/>
      <c r="C484" s="3905" t="n"/>
      <c r="D484" s="3905" t="n"/>
      <c r="E484" s="3905" t="n"/>
      <c r="F484" s="3905" t="n"/>
      <c r="G484" s="3905" t="n"/>
      <c r="H484" s="3905" t="n"/>
    </row>
    <row r="485">
      <c r="A485" s="3905" t="n"/>
      <c r="B485" s="3905" t="n"/>
      <c r="C485" s="3905" t="n"/>
      <c r="D485" s="3905" t="n"/>
      <c r="E485" s="3905" t="n"/>
      <c r="F485" s="3905" t="n"/>
      <c r="G485" s="3905" t="n"/>
      <c r="H485" s="3905" t="n"/>
    </row>
    <row r="486">
      <c r="A486" s="3905" t="n"/>
      <c r="B486" s="3905" t="n"/>
      <c r="C486" s="3905" t="n"/>
      <c r="D486" s="3905" t="n"/>
      <c r="E486" s="3905" t="n"/>
      <c r="F486" s="3905" t="n"/>
      <c r="G486" s="3905" t="n"/>
      <c r="H486" s="3905" t="n"/>
    </row>
    <row r="487">
      <c r="A487" s="3905" t="n"/>
      <c r="B487" s="3905" t="n"/>
      <c r="C487" s="3905" t="n"/>
      <c r="D487" s="3905" t="n"/>
      <c r="E487" s="3905" t="n"/>
      <c r="F487" s="3905" t="n"/>
      <c r="G487" s="3905" t="n"/>
      <c r="H487" s="3905" t="n"/>
    </row>
    <row r="488">
      <c r="A488" s="3905" t="n"/>
      <c r="B488" s="3905" t="n"/>
      <c r="C488" s="3905" t="n"/>
      <c r="D488" s="3905" t="n"/>
      <c r="E488" s="3905" t="n"/>
      <c r="F488" s="3905" t="n"/>
      <c r="G488" s="3905" t="n"/>
      <c r="H488" s="3905" t="n"/>
    </row>
    <row r="489">
      <c r="A489" s="3905" t="n"/>
      <c r="B489" s="3905" t="n"/>
      <c r="C489" s="3905" t="n"/>
      <c r="D489" s="3905" t="n"/>
      <c r="E489" s="3905" t="n"/>
      <c r="F489" s="3905" t="n"/>
      <c r="G489" s="3905" t="n"/>
      <c r="H489" s="3905" t="n"/>
    </row>
    <row r="490">
      <c r="A490" s="3905" t="n"/>
      <c r="B490" s="3905" t="n"/>
      <c r="C490" s="3905" t="n"/>
      <c r="D490" s="3905" t="n"/>
      <c r="E490" s="3905" t="n"/>
      <c r="F490" s="3905" t="n"/>
      <c r="G490" s="3905" t="n"/>
      <c r="H490" s="3905" t="n"/>
    </row>
    <row r="491">
      <c r="A491" s="3905" t="n"/>
      <c r="B491" s="3905" t="n"/>
      <c r="C491" s="3905" t="n"/>
      <c r="D491" s="3905" t="n"/>
      <c r="E491" s="3905" t="n"/>
      <c r="F491" s="3905" t="n"/>
      <c r="G491" s="3905" t="n"/>
      <c r="H491" s="3905" t="n"/>
    </row>
    <row r="492">
      <c r="A492" s="3905" t="n"/>
      <c r="B492" s="3905" t="n"/>
      <c r="C492" s="3905" t="n"/>
      <c r="D492" s="3905" t="n"/>
      <c r="E492" s="3905" t="n"/>
      <c r="F492" s="3905" t="n"/>
      <c r="G492" s="3905" t="n"/>
      <c r="H492" s="3905" t="n"/>
    </row>
    <row r="493">
      <c r="A493" s="3905" t="n"/>
      <c r="B493" s="3905" t="n"/>
      <c r="C493" s="3905" t="n"/>
      <c r="D493" s="3905" t="n"/>
      <c r="E493" s="3905" t="n"/>
      <c r="F493" s="3905" t="n"/>
      <c r="G493" s="3905" t="n"/>
      <c r="H493" s="3905" t="n"/>
    </row>
    <row r="494">
      <c r="A494" s="3905" t="n"/>
      <c r="B494" s="3905" t="n"/>
      <c r="C494" s="3905" t="n"/>
      <c r="D494" s="3905" t="n"/>
      <c r="E494" s="3905" t="n"/>
      <c r="F494" s="3905" t="n"/>
      <c r="G494" s="3905" t="n"/>
      <c r="H494" s="3905" t="n"/>
    </row>
    <row r="495">
      <c r="A495" s="3905" t="n"/>
      <c r="B495" s="3905" t="n"/>
      <c r="C495" s="3905" t="n"/>
      <c r="D495" s="3905" t="n"/>
      <c r="E495" s="3905" t="n"/>
      <c r="F495" s="3905" t="n"/>
      <c r="G495" s="3905" t="n"/>
      <c r="H495" s="3905" t="n"/>
    </row>
    <row r="496">
      <c r="A496" s="3905" t="n"/>
      <c r="B496" s="3905" t="n"/>
      <c r="C496" s="3905" t="n"/>
      <c r="D496" s="3905" t="n"/>
      <c r="E496" s="3905" t="n"/>
      <c r="F496" s="3905" t="n"/>
      <c r="G496" s="3905" t="n"/>
      <c r="H496" s="3905" t="n"/>
    </row>
    <row r="497">
      <c r="A497" s="3905" t="n"/>
      <c r="B497" s="3905" t="n"/>
      <c r="C497" s="3905" t="n"/>
      <c r="D497" s="3905" t="n"/>
      <c r="E497" s="3905" t="n"/>
      <c r="F497" s="3905" t="n"/>
      <c r="G497" s="3905" t="n"/>
      <c r="H497" s="3905" t="n"/>
    </row>
    <row r="498">
      <c r="A498" s="3905" t="n"/>
      <c r="B498" s="3905" t="n"/>
      <c r="C498" s="3905" t="n"/>
      <c r="D498" s="3905" t="n"/>
      <c r="E498" s="3905" t="n"/>
      <c r="F498" s="3905" t="n"/>
      <c r="G498" s="3905" t="n"/>
      <c r="H498" s="3905" t="n"/>
    </row>
    <row r="499">
      <c r="A499" s="3905" t="n"/>
      <c r="B499" s="3905" t="n"/>
      <c r="C499" s="3905" t="n"/>
      <c r="D499" s="3905" t="n"/>
      <c r="E499" s="3905" t="n"/>
      <c r="F499" s="3905" t="n"/>
      <c r="G499" s="3905" t="n"/>
      <c r="H499" s="3905" t="n"/>
    </row>
    <row r="500">
      <c r="A500" s="3905" t="n"/>
      <c r="B500" s="3905" t="n"/>
      <c r="C500" s="3905" t="n"/>
      <c r="D500" s="3905" t="n"/>
      <c r="E500" s="3905" t="n"/>
      <c r="F500" s="3905" t="n"/>
      <c r="G500" s="3905" t="n"/>
      <c r="H500" s="3905" t="n"/>
    </row>
    <row r="501">
      <c r="A501" s="3905" t="n"/>
      <c r="B501" s="3905" t="n"/>
      <c r="C501" s="3905" t="n"/>
      <c r="D501" s="3905" t="n"/>
      <c r="E501" s="3905" t="n"/>
      <c r="F501" s="3905" t="n"/>
      <c r="G501" s="3905" t="n"/>
      <c r="H501" s="3905" t="n"/>
    </row>
    <row r="502">
      <c r="A502" s="3905" t="n"/>
      <c r="B502" s="3905" t="n"/>
      <c r="C502" s="3905" t="n"/>
      <c r="D502" s="3905" t="n"/>
      <c r="E502" s="3905" t="n"/>
      <c r="F502" s="3905" t="n"/>
      <c r="G502" s="3905" t="n"/>
      <c r="H502" s="3905" t="n"/>
    </row>
    <row r="503">
      <c r="A503" s="3905" t="n"/>
      <c r="B503" s="3905" t="n"/>
      <c r="C503" s="3905" t="n"/>
      <c r="D503" s="3905" t="n"/>
      <c r="E503" s="3905" t="n"/>
      <c r="F503" s="3905" t="n"/>
      <c r="G503" s="3905" t="n"/>
      <c r="H503" s="3905" t="n"/>
    </row>
    <row r="504">
      <c r="A504" s="3905" t="n"/>
      <c r="B504" s="3905" t="n"/>
      <c r="C504" s="3905" t="n"/>
      <c r="D504" s="3905" t="n"/>
      <c r="E504" s="3905" t="n"/>
      <c r="F504" s="3905" t="n"/>
      <c r="G504" s="3905" t="n"/>
      <c r="H504" s="3905" t="n"/>
    </row>
    <row r="505">
      <c r="A505" s="3905" t="n"/>
      <c r="B505" s="3905" t="n"/>
      <c r="C505" s="3905" t="n"/>
      <c r="D505" s="3905" t="n"/>
      <c r="E505" s="3905" t="n"/>
      <c r="F505" s="3905" t="n"/>
      <c r="G505" s="3905" t="n"/>
      <c r="H505" s="3905" t="n"/>
    </row>
    <row r="506">
      <c r="A506" s="3905" t="n"/>
      <c r="B506" s="3905" t="n"/>
      <c r="C506" s="3905" t="n"/>
      <c r="D506" s="3905" t="n"/>
      <c r="E506" s="3905" t="n"/>
      <c r="F506" s="3905" t="n"/>
      <c r="G506" s="3905" t="n"/>
      <c r="H506" s="3905" t="n"/>
    </row>
    <row r="507">
      <c r="A507" s="3905" t="n"/>
      <c r="B507" s="3905" t="n"/>
      <c r="C507" s="3905" t="n"/>
      <c r="D507" s="3905" t="n"/>
      <c r="E507" s="3905" t="n"/>
      <c r="F507" s="3905" t="n"/>
      <c r="G507" s="3905" t="n"/>
      <c r="H507" s="3905" t="n"/>
    </row>
    <row r="508">
      <c r="A508" s="3905" t="n"/>
      <c r="B508" s="3905" t="n"/>
      <c r="C508" s="3905" t="n"/>
      <c r="D508" s="3905" t="n"/>
      <c r="E508" s="3905" t="n"/>
      <c r="F508" s="3905" t="n"/>
      <c r="G508" s="3905" t="n"/>
      <c r="H508" s="390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863" t="inlineStr">
        <is>
          <t>Map | Entities</t>
        </is>
      </c>
      <c r="B1" s="3874" t="n"/>
      <c r="C1" s="3874" t="n"/>
      <c r="D1" s="3874" t="n"/>
      <c r="E1" s="3874" t="n"/>
    </row>
    <row r="2">
      <c r="A2" s="3865" t="inlineStr">
        <is>
          <t>Entity list and ordering controls used by combined/entity views.</t>
        </is>
      </c>
      <c r="B2" s="3874" t="n"/>
      <c r="C2" s="3874" t="n"/>
      <c r="D2" s="3874" t="n"/>
      <c r="E2" s="3874" t="n"/>
    </row>
    <row r="3">
      <c r="A3" s="3874" t="n"/>
      <c r="B3" s="3874" t="n"/>
      <c r="C3" s="3874" t="n"/>
      <c r="D3" s="3874" t="n"/>
      <c r="E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</row>
    <row r="5">
      <c r="A5" s="3874" t="n"/>
      <c r="B5" s="3874" t="n"/>
      <c r="C5" s="3874" t="n"/>
      <c r="D5" s="3874" t="n"/>
      <c r="E5" s="3874" t="n"/>
    </row>
    <row r="6">
      <c r="A6" s="3874" t="n"/>
      <c r="B6" s="3874" t="n"/>
      <c r="C6" s="3874" t="n"/>
      <c r="D6" s="3874" t="n"/>
      <c r="E6" s="3874" t="n"/>
    </row>
    <row r="7">
      <c r="A7" s="3874" t="n"/>
      <c r="B7" s="3874" t="n"/>
      <c r="C7" s="3874" t="n"/>
      <c r="D7" s="3874" t="n"/>
      <c r="E7" s="3874" t="n"/>
    </row>
    <row r="8">
      <c r="A8" s="3904" t="inlineStr">
        <is>
          <t>EntityName</t>
        </is>
      </c>
      <c r="B8" s="3904" t="inlineStr">
        <is>
          <t>EntityCode</t>
        </is>
      </c>
      <c r="C8" s="3904" t="inlineStr">
        <is>
          <t>IncludeFlag</t>
        </is>
      </c>
      <c r="D8" s="3904" t="inlineStr">
        <is>
          <t>SortOrder</t>
        </is>
      </c>
      <c r="E8" s="3904" t="inlineStr">
        <is>
          <t>Notes</t>
        </is>
      </c>
    </row>
    <row r="9">
      <c r="A9" s="3905" t="n"/>
      <c r="B9" s="3905" t="n"/>
      <c r="C9" s="3905" t="inlineStr"/>
      <c r="D9" s="3905" t="n"/>
      <c r="E9" s="3905" t="n"/>
    </row>
    <row r="10">
      <c r="A10" s="3905" t="n"/>
      <c r="B10" s="3905" t="n"/>
      <c r="C10" s="3905" t="inlineStr"/>
      <c r="D10" s="3905" t="n"/>
      <c r="E10" s="3905" t="n"/>
    </row>
    <row r="11">
      <c r="A11" s="3905" t="n"/>
      <c r="B11" s="3905" t="n"/>
      <c r="C11" s="3905" t="inlineStr"/>
      <c r="D11" s="3905" t="n"/>
      <c r="E11" s="3905" t="n"/>
    </row>
    <row r="12">
      <c r="A12" s="3905" t="n"/>
      <c r="B12" s="3905" t="n"/>
      <c r="C12" s="3905" t="inlineStr"/>
      <c r="D12" s="3905" t="n"/>
      <c r="E12" s="3905" t="n"/>
    </row>
    <row r="13">
      <c r="A13" s="3905" t="n"/>
      <c r="B13" s="3905" t="n"/>
      <c r="C13" s="3905" t="inlineStr"/>
      <c r="D13" s="3905" t="n"/>
      <c r="E13" s="3905" t="n"/>
    </row>
    <row r="14">
      <c r="A14" s="3905" t="n"/>
      <c r="B14" s="3905" t="n"/>
      <c r="C14" s="3905" t="inlineStr"/>
      <c r="D14" s="3905" t="n"/>
      <c r="E14" s="3905" t="n"/>
    </row>
    <row r="15">
      <c r="A15" s="3905" t="n"/>
      <c r="B15" s="3905" t="n"/>
      <c r="C15" s="3905" t="inlineStr"/>
      <c r="D15" s="3905" t="n"/>
      <c r="E15" s="3905" t="n"/>
    </row>
    <row r="16">
      <c r="A16" s="3905" t="n"/>
      <c r="B16" s="3905" t="n"/>
      <c r="C16" s="3905" t="inlineStr"/>
      <c r="D16" s="3905" t="n"/>
      <c r="E16" s="3905" t="n"/>
    </row>
    <row r="17">
      <c r="A17" s="3905" t="n"/>
      <c r="B17" s="3905" t="n"/>
      <c r="C17" s="3905" t="inlineStr"/>
      <c r="D17" s="3905" t="n"/>
      <c r="E17" s="3905" t="n"/>
    </row>
    <row r="18">
      <c r="A18" s="3905" t="n"/>
      <c r="B18" s="3905" t="n"/>
      <c r="C18" s="3905" t="inlineStr"/>
      <c r="D18" s="3905" t="n"/>
      <c r="E18" s="3905" t="n"/>
    </row>
    <row r="19">
      <c r="A19" s="3905" t="n"/>
      <c r="B19" s="3905" t="n"/>
      <c r="C19" s="3905" t="inlineStr"/>
      <c r="D19" s="3905" t="n"/>
      <c r="E19" s="3905" t="n"/>
    </row>
    <row r="20">
      <c r="A20" s="3905" t="n"/>
      <c r="B20" s="3905" t="n"/>
      <c r="C20" s="3905" t="inlineStr"/>
      <c r="D20" s="3905" t="n"/>
      <c r="E20" s="3905" t="n"/>
    </row>
    <row r="21">
      <c r="A21" s="3905" t="n"/>
      <c r="B21" s="3905" t="n"/>
      <c r="C21" s="3905" t="inlineStr"/>
      <c r="D21" s="3905" t="n"/>
      <c r="E21" s="3905" t="n"/>
    </row>
    <row r="22">
      <c r="A22" s="3905" t="n"/>
      <c r="B22" s="3905" t="n"/>
      <c r="C22" s="3905" t="inlineStr"/>
      <c r="D22" s="3905" t="n"/>
      <c r="E22" s="3905" t="n"/>
    </row>
    <row r="23">
      <c r="A23" s="3905" t="n"/>
      <c r="B23" s="3905" t="n"/>
      <c r="C23" s="3905" t="inlineStr"/>
      <c r="D23" s="3905" t="n"/>
      <c r="E23" s="3905" t="n"/>
    </row>
    <row r="24">
      <c r="A24" s="3905" t="n"/>
      <c r="B24" s="3905" t="n"/>
      <c r="C24" s="3905" t="inlineStr"/>
      <c r="D24" s="3905" t="n"/>
      <c r="E24" s="3905" t="n"/>
    </row>
    <row r="25">
      <c r="A25" s="3905" t="n"/>
      <c r="B25" s="3905" t="n"/>
      <c r="C25" s="3905" t="inlineStr"/>
      <c r="D25" s="3905" t="n"/>
      <c r="E25" s="3905" t="n"/>
    </row>
    <row r="26">
      <c r="A26" s="3905" t="n"/>
      <c r="B26" s="3905" t="n"/>
      <c r="C26" s="3905" t="inlineStr"/>
      <c r="D26" s="3905" t="n"/>
      <c r="E26" s="3905" t="n"/>
    </row>
    <row r="27">
      <c r="A27" s="3905" t="n"/>
      <c r="B27" s="3905" t="n"/>
      <c r="C27" s="3905" t="inlineStr"/>
      <c r="D27" s="3905" t="n"/>
      <c r="E27" s="3905" t="n"/>
    </row>
    <row r="28">
      <c r="A28" s="3905" t="n"/>
      <c r="B28" s="3905" t="n"/>
      <c r="C28" s="3905" t="inlineStr"/>
      <c r="D28" s="3905" t="n"/>
      <c r="E28" s="3905" t="n"/>
    </row>
    <row r="29">
      <c r="A29" s="3905" t="n"/>
      <c r="B29" s="3905" t="n"/>
      <c r="C29" s="3905" t="inlineStr"/>
      <c r="D29" s="3905" t="n"/>
      <c r="E29" s="3905" t="n"/>
    </row>
    <row r="30">
      <c r="A30" s="3905" t="n"/>
      <c r="B30" s="3905" t="n"/>
      <c r="C30" s="3905" t="inlineStr"/>
      <c r="D30" s="3905" t="n"/>
      <c r="E30" s="3905" t="n"/>
    </row>
    <row r="31">
      <c r="A31" s="3905" t="n"/>
      <c r="B31" s="3905" t="n"/>
      <c r="C31" s="3905" t="inlineStr"/>
      <c r="D31" s="3905" t="n"/>
      <c r="E31" s="3905" t="n"/>
    </row>
    <row r="32">
      <c r="A32" s="3905" t="n"/>
      <c r="B32" s="3905" t="n"/>
      <c r="C32" s="3905" t="inlineStr"/>
      <c r="D32" s="3905" t="n"/>
      <c r="E32" s="3905" t="n"/>
    </row>
    <row r="33">
      <c r="A33" s="3905" t="n"/>
      <c r="B33" s="3905" t="n"/>
      <c r="C33" s="3905" t="inlineStr"/>
      <c r="D33" s="3905" t="n"/>
      <c r="E33" s="3905" t="n"/>
    </row>
    <row r="34">
      <c r="A34" s="3905" t="n"/>
      <c r="B34" s="3905" t="n"/>
      <c r="C34" s="3905" t="inlineStr"/>
      <c r="D34" s="3905" t="n"/>
      <c r="E34" s="3905" t="n"/>
    </row>
    <row r="35">
      <c r="A35" s="3905" t="n"/>
      <c r="B35" s="3905" t="n"/>
      <c r="C35" s="3905" t="inlineStr"/>
      <c r="D35" s="3905" t="n"/>
      <c r="E35" s="3905" t="n"/>
    </row>
    <row r="36">
      <c r="A36" s="3905" t="n"/>
      <c r="B36" s="3905" t="n"/>
      <c r="C36" s="3905" t="inlineStr"/>
      <c r="D36" s="3905" t="n"/>
      <c r="E36" s="3905" t="n"/>
    </row>
    <row r="37">
      <c r="A37" s="3905" t="n"/>
      <c r="B37" s="3905" t="n"/>
      <c r="C37" s="3905" t="inlineStr"/>
      <c r="D37" s="3905" t="n"/>
      <c r="E37" s="3905" t="n"/>
    </row>
    <row r="38">
      <c r="A38" s="3905" t="n"/>
      <c r="B38" s="3905" t="n"/>
      <c r="C38" s="3905" t="inlineStr"/>
      <c r="D38" s="3905" t="n"/>
      <c r="E38" s="3905" t="n"/>
    </row>
    <row r="39">
      <c r="A39" s="3905" t="n"/>
      <c r="B39" s="3905" t="n"/>
      <c r="C39" s="3905" t="inlineStr"/>
      <c r="D39" s="3905" t="n"/>
      <c r="E39" s="3905" t="n"/>
    </row>
    <row r="40">
      <c r="A40" s="3905" t="n"/>
      <c r="B40" s="3905" t="n"/>
      <c r="C40" s="3905" t="inlineStr"/>
      <c r="D40" s="3905" t="n"/>
      <c r="E40" s="3905" t="n"/>
    </row>
    <row r="41">
      <c r="A41" s="3905" t="n"/>
      <c r="B41" s="3905" t="n"/>
      <c r="C41" s="3905" t="inlineStr"/>
      <c r="D41" s="3905" t="n"/>
      <c r="E41" s="3905" t="n"/>
    </row>
    <row r="42">
      <c r="A42" s="3905" t="n"/>
      <c r="B42" s="3905" t="n"/>
      <c r="C42" s="3905" t="inlineStr"/>
      <c r="D42" s="3905" t="n"/>
      <c r="E42" s="3905" t="n"/>
    </row>
    <row r="43">
      <c r="A43" s="3905" t="n"/>
      <c r="B43" s="3905" t="n"/>
      <c r="C43" s="3905" t="inlineStr"/>
      <c r="D43" s="3905" t="n"/>
      <c r="E43" s="3905" t="n"/>
    </row>
    <row r="44">
      <c r="A44" s="3905" t="n"/>
      <c r="B44" s="3905" t="n"/>
      <c r="C44" s="3905" t="inlineStr"/>
      <c r="D44" s="3905" t="n"/>
      <c r="E44" s="3905" t="n"/>
    </row>
    <row r="45">
      <c r="A45" s="3905" t="n"/>
      <c r="B45" s="3905" t="n"/>
      <c r="C45" s="3905" t="inlineStr"/>
      <c r="D45" s="3905" t="n"/>
      <c r="E45" s="3905" t="n"/>
    </row>
    <row r="46">
      <c r="A46" s="3905" t="n"/>
      <c r="B46" s="3905" t="n"/>
      <c r="C46" s="3905" t="inlineStr"/>
      <c r="D46" s="3905" t="n"/>
      <c r="E46" s="3905" t="n"/>
    </row>
    <row r="47">
      <c r="A47" s="3905" t="n"/>
      <c r="B47" s="3905" t="n"/>
      <c r="C47" s="3905" t="inlineStr"/>
      <c r="D47" s="3905" t="n"/>
      <c r="E47" s="3905" t="n"/>
    </row>
    <row r="48">
      <c r="A48" s="3905" t="n"/>
      <c r="B48" s="3905" t="n"/>
      <c r="C48" s="3905" t="inlineStr"/>
      <c r="D48" s="3905" t="n"/>
      <c r="E48" s="3905" t="n"/>
    </row>
    <row r="49">
      <c r="A49" s="3905" t="n"/>
      <c r="B49" s="3905" t="n"/>
      <c r="C49" s="3905" t="inlineStr"/>
      <c r="D49" s="3905" t="n"/>
      <c r="E49" s="3905" t="n"/>
    </row>
    <row r="50">
      <c r="A50" s="3905" t="n"/>
      <c r="B50" s="3905" t="n"/>
      <c r="C50" s="3905" t="inlineStr"/>
      <c r="D50" s="3905" t="n"/>
      <c r="E50" s="3905" t="n"/>
    </row>
    <row r="51">
      <c r="A51" s="3905" t="n"/>
      <c r="B51" s="3905" t="n"/>
      <c r="C51" s="3905" t="inlineStr"/>
      <c r="D51" s="3905" t="n"/>
      <c r="E51" s="3905" t="n"/>
    </row>
    <row r="52">
      <c r="A52" s="3905" t="n"/>
      <c r="B52" s="3905" t="n"/>
      <c r="C52" s="3905" t="inlineStr"/>
      <c r="D52" s="3905" t="n"/>
      <c r="E52" s="3905" t="n"/>
    </row>
    <row r="53">
      <c r="A53" s="3905" t="n"/>
      <c r="B53" s="3905" t="n"/>
      <c r="C53" s="3905" t="inlineStr"/>
      <c r="D53" s="3905" t="n"/>
      <c r="E53" s="3905" t="n"/>
    </row>
    <row r="54">
      <c r="A54" s="3905" t="n"/>
      <c r="B54" s="3905" t="n"/>
      <c r="C54" s="3905" t="inlineStr"/>
      <c r="D54" s="3905" t="n"/>
      <c r="E54" s="3905" t="n"/>
    </row>
    <row r="55">
      <c r="A55" s="3905" t="n"/>
      <c r="B55" s="3905" t="n"/>
      <c r="C55" s="3905" t="inlineStr"/>
      <c r="D55" s="3905" t="n"/>
      <c r="E55" s="3905" t="n"/>
    </row>
    <row r="56">
      <c r="A56" s="3905" t="n"/>
      <c r="B56" s="3905" t="n"/>
      <c r="C56" s="3905" t="inlineStr"/>
      <c r="D56" s="3905" t="n"/>
      <c r="E56" s="3905" t="n"/>
    </row>
    <row r="57">
      <c r="A57" s="3905" t="n"/>
      <c r="B57" s="3905" t="n"/>
      <c r="C57" s="3905" t="inlineStr"/>
      <c r="D57" s="3905" t="n"/>
      <c r="E57" s="3905" t="n"/>
    </row>
    <row r="58">
      <c r="A58" s="3905" t="n"/>
      <c r="B58" s="3905" t="n"/>
      <c r="C58" s="3905" t="inlineStr"/>
      <c r="D58" s="3905" t="n"/>
      <c r="E58" s="3905" t="n"/>
    </row>
    <row r="59">
      <c r="A59" s="3905" t="n"/>
      <c r="B59" s="3905" t="n"/>
      <c r="C59" s="3905" t="inlineStr"/>
      <c r="D59" s="3905" t="n"/>
      <c r="E59" s="3905" t="n"/>
    </row>
    <row r="60">
      <c r="A60" s="3905" t="n"/>
      <c r="B60" s="3905" t="n"/>
      <c r="C60" s="3905" t="inlineStr"/>
      <c r="D60" s="3905" t="n"/>
      <c r="E60" s="3905" t="n"/>
    </row>
    <row r="61">
      <c r="A61" s="3905" t="n"/>
      <c r="B61" s="3905" t="n"/>
      <c r="C61" s="3905" t="inlineStr"/>
      <c r="D61" s="3905" t="n"/>
      <c r="E61" s="3905" t="n"/>
    </row>
    <row r="62">
      <c r="A62" s="3905" t="n"/>
      <c r="B62" s="3905" t="n"/>
      <c r="C62" s="3905" t="inlineStr"/>
      <c r="D62" s="3905" t="n"/>
      <c r="E62" s="3905" t="n"/>
    </row>
    <row r="63">
      <c r="A63" s="3905" t="n"/>
      <c r="B63" s="3905" t="n"/>
      <c r="C63" s="3905" t="inlineStr"/>
      <c r="D63" s="3905" t="n"/>
      <c r="E63" s="3905" t="n"/>
    </row>
    <row r="64">
      <c r="A64" s="3905" t="n"/>
      <c r="B64" s="3905" t="n"/>
      <c r="C64" s="3905" t="inlineStr"/>
      <c r="D64" s="3905" t="n"/>
      <c r="E64" s="3905" t="n"/>
    </row>
    <row r="65">
      <c r="A65" s="3905" t="n"/>
      <c r="B65" s="3905" t="n"/>
      <c r="C65" s="3905" t="inlineStr"/>
      <c r="D65" s="3905" t="n"/>
      <c r="E65" s="3905" t="n"/>
    </row>
    <row r="66">
      <c r="A66" s="3905" t="n"/>
      <c r="B66" s="3905" t="n"/>
      <c r="C66" s="3905" t="inlineStr"/>
      <c r="D66" s="3905" t="n"/>
      <c r="E66" s="3905" t="n"/>
    </row>
    <row r="67">
      <c r="A67" s="3905" t="n"/>
      <c r="B67" s="3905" t="n"/>
      <c r="C67" s="3905" t="inlineStr"/>
      <c r="D67" s="3905" t="n"/>
      <c r="E67" s="3905" t="n"/>
    </row>
    <row r="68">
      <c r="A68" s="3905" t="n"/>
      <c r="B68" s="3905" t="n"/>
      <c r="C68" s="3905" t="inlineStr"/>
      <c r="D68" s="3905" t="n"/>
      <c r="E68" s="3905" t="n"/>
    </row>
    <row r="69">
      <c r="A69" s="3905" t="n"/>
      <c r="B69" s="3905" t="n"/>
      <c r="C69" s="3905" t="inlineStr"/>
      <c r="D69" s="3905" t="n"/>
      <c r="E69" s="3905" t="n"/>
    </row>
    <row r="70">
      <c r="A70" s="3905" t="n"/>
      <c r="B70" s="3905" t="n"/>
      <c r="C70" s="3905" t="inlineStr"/>
      <c r="D70" s="3905" t="n"/>
      <c r="E70" s="3905" t="n"/>
    </row>
    <row r="71">
      <c r="A71" s="3905" t="n"/>
      <c r="B71" s="3905" t="n"/>
      <c r="C71" s="3905" t="inlineStr"/>
      <c r="D71" s="3905" t="n"/>
      <c r="E71" s="3905" t="n"/>
    </row>
    <row r="72">
      <c r="A72" s="3905" t="n"/>
      <c r="B72" s="3905" t="n"/>
      <c r="C72" s="3905" t="inlineStr"/>
      <c r="D72" s="3905" t="n"/>
      <c r="E72" s="3905" t="n"/>
    </row>
    <row r="73">
      <c r="A73" s="3905" t="n"/>
      <c r="B73" s="3905" t="n"/>
      <c r="C73" s="3905" t="inlineStr"/>
      <c r="D73" s="3905" t="n"/>
      <c r="E73" s="3905" t="n"/>
    </row>
    <row r="74">
      <c r="A74" s="3905" t="n"/>
      <c r="B74" s="3905" t="n"/>
      <c r="C74" s="3905" t="inlineStr"/>
      <c r="D74" s="3905" t="n"/>
      <c r="E74" s="3905" t="n"/>
    </row>
    <row r="75">
      <c r="A75" s="3905" t="n"/>
      <c r="B75" s="3905" t="n"/>
      <c r="C75" s="3905" t="inlineStr"/>
      <c r="D75" s="3905" t="n"/>
      <c r="E75" s="3905" t="n"/>
    </row>
    <row r="76">
      <c r="A76" s="3905" t="n"/>
      <c r="B76" s="3905" t="n"/>
      <c r="C76" s="3905" t="inlineStr"/>
      <c r="D76" s="3905" t="n"/>
      <c r="E76" s="3905" t="n"/>
    </row>
    <row r="77">
      <c r="A77" s="3905" t="n"/>
      <c r="B77" s="3905" t="n"/>
      <c r="C77" s="3905" t="inlineStr"/>
      <c r="D77" s="3905" t="n"/>
      <c r="E77" s="3905" t="n"/>
    </row>
    <row r="78">
      <c r="A78" s="3905" t="n"/>
      <c r="B78" s="3905" t="n"/>
      <c r="C78" s="3905" t="inlineStr"/>
      <c r="D78" s="3905" t="n"/>
      <c r="E78" s="3905" t="n"/>
    </row>
    <row r="79">
      <c r="A79" s="3905" t="n"/>
      <c r="B79" s="3905" t="n"/>
      <c r="C79" s="3905" t="inlineStr"/>
      <c r="D79" s="3905" t="n"/>
      <c r="E79" s="3905" t="n"/>
    </row>
    <row r="80">
      <c r="A80" s="3905" t="n"/>
      <c r="B80" s="3905" t="n"/>
      <c r="C80" s="3905" t="inlineStr"/>
      <c r="D80" s="3905" t="n"/>
      <c r="E80" s="3905" t="n"/>
    </row>
    <row r="81">
      <c r="A81" s="3905" t="n"/>
      <c r="B81" s="3905" t="n"/>
      <c r="C81" s="3905" t="inlineStr"/>
      <c r="D81" s="3905" t="n"/>
      <c r="E81" s="3905" t="n"/>
    </row>
    <row r="82">
      <c r="A82" s="3905" t="n"/>
      <c r="B82" s="3905" t="n"/>
      <c r="C82" s="3905" t="inlineStr"/>
      <c r="D82" s="3905" t="n"/>
      <c r="E82" s="3905" t="n"/>
    </row>
    <row r="83">
      <c r="A83" s="3905" t="n"/>
      <c r="B83" s="3905" t="n"/>
      <c r="C83" s="3905" t="inlineStr"/>
      <c r="D83" s="3905" t="n"/>
      <c r="E83" s="3905" t="n"/>
    </row>
    <row r="84">
      <c r="A84" s="3905" t="n"/>
      <c r="B84" s="3905" t="n"/>
      <c r="C84" s="3905" t="inlineStr"/>
      <c r="D84" s="3905" t="n"/>
      <c r="E84" s="3905" t="n"/>
    </row>
    <row r="85">
      <c r="A85" s="3905" t="n"/>
      <c r="B85" s="3905" t="n"/>
      <c r="C85" s="3905" t="inlineStr"/>
      <c r="D85" s="3905" t="n"/>
      <c r="E85" s="3905" t="n"/>
    </row>
    <row r="86">
      <c r="A86" s="3905" t="n"/>
      <c r="B86" s="3905" t="n"/>
      <c r="C86" s="3905" t="inlineStr"/>
      <c r="D86" s="3905" t="n"/>
      <c r="E86" s="3905" t="n"/>
    </row>
    <row r="87">
      <c r="A87" s="3905" t="n"/>
      <c r="B87" s="3905" t="n"/>
      <c r="C87" s="3905" t="inlineStr"/>
      <c r="D87" s="3905" t="n"/>
      <c r="E87" s="3905" t="n"/>
    </row>
    <row r="88">
      <c r="A88" s="3905" t="n"/>
      <c r="B88" s="3905" t="n"/>
      <c r="C88" s="3905" t="inlineStr"/>
      <c r="D88" s="3905" t="n"/>
      <c r="E88" s="3905" t="n"/>
    </row>
    <row r="89">
      <c r="A89" s="3905" t="n"/>
      <c r="B89" s="3905" t="n"/>
      <c r="C89" s="3905" t="inlineStr"/>
      <c r="D89" s="3905" t="n"/>
      <c r="E89" s="3905" t="n"/>
    </row>
    <row r="90">
      <c r="A90" s="3905" t="n"/>
      <c r="B90" s="3905" t="n"/>
      <c r="C90" s="3905" t="inlineStr"/>
      <c r="D90" s="3905" t="n"/>
      <c r="E90" s="3905" t="n"/>
    </row>
    <row r="91">
      <c r="A91" s="3905" t="n"/>
      <c r="B91" s="3905" t="n"/>
      <c r="C91" s="3905" t="inlineStr"/>
      <c r="D91" s="3905" t="n"/>
      <c r="E91" s="3905" t="n"/>
    </row>
    <row r="92">
      <c r="A92" s="3905" t="n"/>
      <c r="B92" s="3905" t="n"/>
      <c r="C92" s="3905" t="inlineStr"/>
      <c r="D92" s="3905" t="n"/>
      <c r="E92" s="3905" t="n"/>
    </row>
    <row r="93">
      <c r="A93" s="3905" t="n"/>
      <c r="B93" s="3905" t="n"/>
      <c r="C93" s="3905" t="inlineStr"/>
      <c r="D93" s="3905" t="n"/>
      <c r="E93" s="3905" t="n"/>
    </row>
    <row r="94">
      <c r="A94" s="3905" t="n"/>
      <c r="B94" s="3905" t="n"/>
      <c r="C94" s="3905" t="inlineStr"/>
      <c r="D94" s="3905" t="n"/>
      <c r="E94" s="3905" t="n"/>
    </row>
    <row r="95">
      <c r="A95" s="3905" t="n"/>
      <c r="B95" s="3905" t="n"/>
      <c r="C95" s="3905" t="inlineStr"/>
      <c r="D95" s="3905" t="n"/>
      <c r="E95" s="3905" t="n"/>
    </row>
    <row r="96">
      <c r="A96" s="3905" t="n"/>
      <c r="B96" s="3905" t="n"/>
      <c r="C96" s="3905" t="inlineStr"/>
      <c r="D96" s="3905" t="n"/>
      <c r="E96" s="3905" t="n"/>
    </row>
    <row r="97">
      <c r="A97" s="3905" t="n"/>
      <c r="B97" s="3905" t="n"/>
      <c r="C97" s="3905" t="inlineStr"/>
      <c r="D97" s="3905" t="n"/>
      <c r="E97" s="3905" t="n"/>
    </row>
    <row r="98">
      <c r="A98" s="3905" t="n"/>
      <c r="B98" s="3905" t="n"/>
      <c r="C98" s="3905" t="inlineStr"/>
      <c r="D98" s="3905" t="n"/>
      <c r="E98" s="3905" t="n"/>
    </row>
    <row r="99">
      <c r="A99" s="3905" t="n"/>
      <c r="B99" s="3905" t="n"/>
      <c r="C99" s="3905" t="inlineStr"/>
      <c r="D99" s="3905" t="n"/>
      <c r="E99" s="3905" t="n"/>
    </row>
    <row r="100">
      <c r="A100" s="3905" t="n"/>
      <c r="B100" s="3905" t="n"/>
      <c r="C100" s="3905" t="inlineStr"/>
      <c r="D100" s="3905" t="n"/>
      <c r="E100" s="3905" t="n"/>
    </row>
    <row r="101">
      <c r="A101" s="3905" t="n"/>
      <c r="B101" s="3905" t="n"/>
      <c r="C101" s="3905" t="inlineStr"/>
      <c r="D101" s="3905" t="n"/>
      <c r="E101" s="3905" t="n"/>
    </row>
    <row r="102">
      <c r="A102" s="3905" t="n"/>
      <c r="B102" s="3905" t="n"/>
      <c r="C102" s="3905" t="inlineStr"/>
      <c r="D102" s="3905" t="n"/>
      <c r="E102" s="3905" t="n"/>
    </row>
    <row r="103">
      <c r="A103" s="3905" t="n"/>
      <c r="B103" s="3905" t="n"/>
      <c r="C103" s="3905" t="inlineStr"/>
      <c r="D103" s="3905" t="n"/>
      <c r="E103" s="3905" t="n"/>
    </row>
    <row r="104">
      <c r="A104" s="3905" t="n"/>
      <c r="B104" s="3905" t="n"/>
      <c r="C104" s="3905" t="inlineStr"/>
      <c r="D104" s="3905" t="n"/>
      <c r="E104" s="3905" t="n"/>
    </row>
    <row r="105">
      <c r="A105" s="3905" t="n"/>
      <c r="B105" s="3905" t="n"/>
      <c r="C105" s="3905" t="inlineStr"/>
      <c r="D105" s="3905" t="n"/>
      <c r="E105" s="3905" t="n"/>
    </row>
    <row r="106">
      <c r="A106" s="3905" t="n"/>
      <c r="B106" s="3905" t="n"/>
      <c r="C106" s="3905" t="inlineStr"/>
      <c r="D106" s="3905" t="n"/>
      <c r="E106" s="3905" t="n"/>
    </row>
    <row r="107">
      <c r="A107" s="3905" t="n"/>
      <c r="B107" s="3905" t="n"/>
      <c r="C107" s="3905" t="inlineStr"/>
      <c r="D107" s="3905" t="n"/>
      <c r="E107" s="3905" t="n"/>
    </row>
    <row r="108">
      <c r="A108" s="3905" t="n"/>
      <c r="B108" s="3905" t="n"/>
      <c r="C108" s="3905" t="inlineStr"/>
      <c r="D108" s="3905" t="n"/>
      <c r="E108" s="390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887" t="inlineStr">
        <is>
          <t>Financials&gt;&gt;</t>
        </is>
      </c>
      <c r="B1" s="3874" t="n"/>
      <c r="C1" s="3874" t="n"/>
      <c r="D1" s="3874" t="n"/>
    </row>
    <row r="2">
      <c r="A2" s="3865" t="inlineStr">
        <is>
          <t>Navigation divider for financial statement scaffolds.</t>
        </is>
      </c>
      <c r="B2" s="3874" t="n"/>
      <c r="C2" s="3874" t="n"/>
      <c r="D2" s="3874" t="n"/>
    </row>
    <row r="3">
      <c r="A3" s="3874" t="n"/>
      <c r="B3" s="3874" t="n"/>
      <c r="C3" s="3874" t="n"/>
      <c r="D3" s="3874" t="n"/>
    </row>
    <row r="4">
      <c r="A4" s="3888">
        <f>HYPERLINK("#'Combined | IS'!A1","Go to Combined | IS")</f>
        <v/>
      </c>
      <c r="B4" s="3874" t="n"/>
      <c r="C4" s="3874" t="n"/>
      <c r="D4" s="3874" t="n"/>
    </row>
    <row r="5">
      <c r="A5" s="3888">
        <f>HYPERLINK("#'Combined | BS'!A1","Go to Combined | BS")</f>
        <v/>
      </c>
      <c r="B5" s="3874" t="n"/>
      <c r="C5" s="3874" t="n"/>
      <c r="D5" s="3874" t="n"/>
    </row>
    <row r="6">
      <c r="A6" s="3888">
        <f>HYPERLINK("#'Combined | CF'!A1","Go to Combined | CF")</f>
        <v/>
      </c>
      <c r="B6" s="3874" t="n"/>
      <c r="C6" s="3874" t="n"/>
      <c r="D6" s="3874" t="n"/>
    </row>
    <row r="7">
      <c r="A7" s="3888">
        <f>HYPERLINK("#'Entity 1 | IS'!A1","Go to Entity 1 | IS")</f>
        <v/>
      </c>
      <c r="B7" s="3874" t="n"/>
      <c r="C7" s="3874" t="n"/>
      <c r="D7" s="3874" t="n"/>
    </row>
    <row r="8">
      <c r="A8" s="3888">
        <f>HYPERLINK("#'Entity 1 | BS'!A1","Go to Entity 1 | BS")</f>
        <v/>
      </c>
      <c r="B8" s="3874" t="n"/>
      <c r="C8" s="3874" t="n"/>
      <c r="D8" s="3874" t="n"/>
    </row>
    <row r="9">
      <c r="A9" s="3888">
        <f>HYPERLINK("#'Entity 1 | CF'!A1","Go to Entity 1 | CF")</f>
        <v/>
      </c>
      <c r="B9" s="3874" t="n"/>
      <c r="C9" s="3874" t="n"/>
      <c r="D9" s="3874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Combined | IS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IS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IS_REV</t>
        </is>
      </c>
      <c r="B9" s="3879" t="inlineStr">
        <is>
          <t>Revenue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11" t="inlineStr">
        <is>
          <t>IS_COGS</t>
        </is>
      </c>
      <c r="B10" s="3879" t="inlineStr">
        <is>
          <t>Cost of goods sold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11" t="inlineStr">
        <is>
          <t>IS_GP</t>
        </is>
      </c>
      <c r="B11" s="3879" t="inlineStr">
        <is>
          <t>Gross profit</t>
        </is>
      </c>
      <c r="C11" s="3879" t="inlineStr">
        <is>
          <t>+</t>
        </is>
      </c>
      <c r="D11" s="3879" t="inlineStr">
        <is>
          <t>Formula</t>
        </is>
      </c>
      <c r="E11" s="3879" t="inlineStr">
        <is>
          <t>Derived</t>
        </is>
      </c>
      <c r="F11" s="3914">
        <f>IF(OR(F9="",F10=""),"",F9+F10)</f>
        <v/>
      </c>
      <c r="G11" s="3914">
        <f>IF(OR(G9="",G10=""),"",G9+G10)</f>
        <v/>
      </c>
      <c r="H11" s="3914">
        <f>IF(OR(H9="",H10=""),"",H9+H10)</f>
        <v/>
      </c>
      <c r="I11" s="3914">
        <f>IF(OR(I9="",I10=""),"",I9+I10)</f>
        <v/>
      </c>
      <c r="J11" s="3914">
        <f>IF(OR(J9="",J10=""),"",J9+J10)</f>
        <v/>
      </c>
      <c r="K11" s="3914">
        <f>IF(OR(K9="",K10=""),"",K9+K10)</f>
        <v/>
      </c>
      <c r="L11" s="3914">
        <f>IF(OR(L9="",L10=""),"",L9+L10)</f>
        <v/>
      </c>
      <c r="M11" s="3914">
        <f>IF(OR(M9="",M10=""),"",M9+M10)</f>
        <v/>
      </c>
      <c r="N11" s="3914">
        <f>IF(OR(N9="",N10=""),"",N9+N10)</f>
        <v/>
      </c>
      <c r="O11" s="3914">
        <f>IF(OR(O9="",O10=""),"",O9+O10)</f>
        <v/>
      </c>
      <c r="P11" s="3914">
        <f>IF(OR(P9="",P10=""),"",P9+P10)</f>
        <v/>
      </c>
      <c r="Q11" s="3914">
        <f>IF(OR(Q9="",Q10=""),"",Q9+Q10)</f>
        <v/>
      </c>
      <c r="R11" s="3914">
        <f>IF(OR(R9="",R10=""),"",R9+R10)</f>
        <v/>
      </c>
      <c r="S11" s="3914">
        <f>IF(OR(S9="",S10=""),"",S9+S10)</f>
        <v/>
      </c>
      <c r="T11" s="3914">
        <f>IF(OR(T9="",T10=""),"",T9+T10)</f>
        <v/>
      </c>
      <c r="U11" s="3914">
        <f>IF(OR(U9="",U10=""),"",U9+U10)</f>
        <v/>
      </c>
      <c r="V11" s="3914">
        <f>IF(OR(V9="",V10=""),"",V9+V10)</f>
        <v/>
      </c>
      <c r="W11" s="3914">
        <f>IF(OR(W9="",W10=""),"",W9+W10)</f>
        <v/>
      </c>
      <c r="X11" s="3914">
        <f>IF(OR(X9="",X10=""),"",X9+X10)</f>
        <v/>
      </c>
      <c r="Y11" s="3914">
        <f>IF(OR(Y9="",Y10=""),"",Y9+Y10)</f>
        <v/>
      </c>
      <c r="Z11" s="3914">
        <f>IF(OR(Z9="",Z10=""),"",Z9+Z10)</f>
        <v/>
      </c>
      <c r="AA11" s="3914">
        <f>IF(OR(AA9="",AA10=""),"",AA9+AA10)</f>
        <v/>
      </c>
      <c r="AB11" s="3914">
        <f>IF(OR(AB9="",AB10=""),"",AB9+AB10)</f>
        <v/>
      </c>
      <c r="AC11" s="3914">
        <f>IF(OR(AC9="",AC10=""),"",AC9+AC10)</f>
        <v/>
      </c>
      <c r="AD11" s="3914">
        <f>IF(OR(AD9="",AD10=""),"",AD9+AD10)</f>
        <v/>
      </c>
      <c r="AE11" s="3914">
        <f>IF(OR(AE9="",AE10=""),"",AE9+AE10)</f>
        <v/>
      </c>
      <c r="AF11" s="3914">
        <f>IF(OR(AF9="",AF10=""),"",AF9+AF10)</f>
        <v/>
      </c>
      <c r="AG11" s="3914">
        <f>IF(OR(AG9="",AG10=""),"",AG9+AG10)</f>
        <v/>
      </c>
      <c r="AH11" s="3914">
        <f>IF(OR(AH9="",AH10=""),"",AH9+AH10)</f>
        <v/>
      </c>
      <c r="AI11" s="3914">
        <f>IF(OR(AI9="",AI10=""),"",AI9+AI10)</f>
        <v/>
      </c>
      <c r="AJ11" s="3914">
        <f>IF(OR(AJ9="",AJ10=""),"",AJ9+AJ10)</f>
        <v/>
      </c>
      <c r="AK11" s="3914">
        <f>IF(OR(AK9="",AK10=""),"",AK9+AK10)</f>
        <v/>
      </c>
      <c r="AL11" s="3914">
        <f>IF(OR(AL9="",AL10=""),"",AL9+AL10)</f>
        <v/>
      </c>
      <c r="AM11" s="3914">
        <f>IF(OR(AM9="",AM10=""),"",AM9+AM10)</f>
        <v/>
      </c>
      <c r="AN11" s="3914">
        <f>IF(OR(AN9="",AN10=""),"",AN9+AN10)</f>
        <v/>
      </c>
      <c r="AO11" s="3914">
        <f>IF(OR(AO9="",AO10=""),"",AO9+AO10)</f>
        <v/>
      </c>
      <c r="AP11" s="3915">
        <f>IF(COUNT(F11:Q11)=0,"",SUM(F11:Q11))</f>
        <v/>
      </c>
      <c r="AQ11" s="3915">
        <f>IF(COUNT(R11:AC11)=0,"",SUM(R11:AC11))</f>
        <v/>
      </c>
      <c r="AR11" s="3915">
        <f>IF(COUNT(AD11:AO11)=0,"",SUM(AD11:AO11))</f>
        <v/>
      </c>
      <c r="AS11" s="3874" t="n"/>
      <c r="AT11" s="3874" t="n"/>
      <c r="AU11" s="3874" t="n"/>
    </row>
    <row r="12">
      <c r="A12" s="3911" t="inlineStr">
        <is>
          <t>IS_OPEX</t>
        </is>
      </c>
      <c r="B12" s="3879" t="inlineStr">
        <is>
          <t>Operating expenses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11" t="inlineStr">
        <is>
          <t>IS_EBITDA</t>
        </is>
      </c>
      <c r="B13" s="3879" t="inlineStr">
        <is>
          <t>EBITDA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IF(OR(F11="",F12=""),"",F11+F12)</f>
        <v/>
      </c>
      <c r="G13" s="3914">
        <f>IF(OR(G11="",G12=""),"",G11+G12)</f>
        <v/>
      </c>
      <c r="H13" s="3914">
        <f>IF(OR(H11="",H12=""),"",H11+H12)</f>
        <v/>
      </c>
      <c r="I13" s="3914">
        <f>IF(OR(I11="",I12=""),"",I11+I12)</f>
        <v/>
      </c>
      <c r="J13" s="3914">
        <f>IF(OR(J11="",J12=""),"",J11+J12)</f>
        <v/>
      </c>
      <c r="K13" s="3914">
        <f>IF(OR(K11="",K12=""),"",K11+K12)</f>
        <v/>
      </c>
      <c r="L13" s="3914">
        <f>IF(OR(L11="",L12=""),"",L11+L12)</f>
        <v/>
      </c>
      <c r="M13" s="3914">
        <f>IF(OR(M11="",M12=""),"",M11+M12)</f>
        <v/>
      </c>
      <c r="N13" s="3914">
        <f>IF(OR(N11="",N12=""),"",N11+N12)</f>
        <v/>
      </c>
      <c r="O13" s="3914">
        <f>IF(OR(O11="",O12=""),"",O11+O12)</f>
        <v/>
      </c>
      <c r="P13" s="3914">
        <f>IF(OR(P11="",P12=""),"",P11+P12)</f>
        <v/>
      </c>
      <c r="Q13" s="3914">
        <f>IF(OR(Q11="",Q12=""),"",Q11+Q12)</f>
        <v/>
      </c>
      <c r="R13" s="3914">
        <f>IF(OR(R11="",R12=""),"",R11+R12)</f>
        <v/>
      </c>
      <c r="S13" s="3914">
        <f>IF(OR(S11="",S12=""),"",S11+S12)</f>
        <v/>
      </c>
      <c r="T13" s="3914">
        <f>IF(OR(T11="",T12=""),"",T11+T12)</f>
        <v/>
      </c>
      <c r="U13" s="3914">
        <f>IF(OR(U11="",U12=""),"",U11+U12)</f>
        <v/>
      </c>
      <c r="V13" s="3914">
        <f>IF(OR(V11="",V12=""),"",V11+V12)</f>
        <v/>
      </c>
      <c r="W13" s="3914">
        <f>IF(OR(W11="",W12=""),"",W11+W12)</f>
        <v/>
      </c>
      <c r="X13" s="3914">
        <f>IF(OR(X11="",X12=""),"",X11+X12)</f>
        <v/>
      </c>
      <c r="Y13" s="3914">
        <f>IF(OR(Y11="",Y12=""),"",Y11+Y12)</f>
        <v/>
      </c>
      <c r="Z13" s="3914">
        <f>IF(OR(Z11="",Z12=""),"",Z11+Z12)</f>
        <v/>
      </c>
      <c r="AA13" s="3914">
        <f>IF(OR(AA11="",AA12=""),"",AA11+AA12)</f>
        <v/>
      </c>
      <c r="AB13" s="3914">
        <f>IF(OR(AB11="",AB12=""),"",AB11+AB12)</f>
        <v/>
      </c>
      <c r="AC13" s="3914">
        <f>IF(OR(AC11="",AC12=""),"",AC11+AC12)</f>
        <v/>
      </c>
      <c r="AD13" s="3914">
        <f>IF(OR(AD11="",AD12=""),"",AD11+AD12)</f>
        <v/>
      </c>
      <c r="AE13" s="3914">
        <f>IF(OR(AE11="",AE12=""),"",AE11+AE12)</f>
        <v/>
      </c>
      <c r="AF13" s="3914">
        <f>IF(OR(AF11="",AF12=""),"",AF11+AF12)</f>
        <v/>
      </c>
      <c r="AG13" s="3914">
        <f>IF(OR(AG11="",AG12=""),"",AG11+AG12)</f>
        <v/>
      </c>
      <c r="AH13" s="3914">
        <f>IF(OR(AH11="",AH12=""),"",AH11+AH12)</f>
        <v/>
      </c>
      <c r="AI13" s="3914">
        <f>IF(OR(AI11="",AI12=""),"",AI11+AI12)</f>
        <v/>
      </c>
      <c r="AJ13" s="3914">
        <f>IF(OR(AJ11="",AJ12=""),"",AJ11+AJ12)</f>
        <v/>
      </c>
      <c r="AK13" s="3914">
        <f>IF(OR(AK11="",AK12=""),"",AK11+AK12)</f>
        <v/>
      </c>
      <c r="AL13" s="3914">
        <f>IF(OR(AL11="",AL12=""),"",AL11+AL12)</f>
        <v/>
      </c>
      <c r="AM13" s="3914">
        <f>IF(OR(AM11="",AM12=""),"",AM11+AM12)</f>
        <v/>
      </c>
      <c r="AN13" s="3914">
        <f>IF(OR(AN11="",AN12=""),"",AN11+AN12)</f>
        <v/>
      </c>
      <c r="AO13" s="3914">
        <f>IF(OR(AO11="",AO12=""),"",AO11+AO12)</f>
        <v/>
      </c>
      <c r="AP13" s="3915">
        <f>IF(COUNT(F13:Q13)=0,"",SUM(F13:Q13))</f>
        <v/>
      </c>
      <c r="AQ13" s="3915">
        <f>IF(COUNT(R13:AC13)=0,"",SUM(R13:AC13))</f>
        <v/>
      </c>
      <c r="AR13" s="3915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IS_CHECKS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Gross profit tie-out</t>
        </is>
      </c>
      <c r="B28" s="3876" t="n"/>
      <c r="C28" s="3876" t="n"/>
      <c r="D28" s="3876" t="n"/>
      <c r="E28" s="3876" t="n"/>
      <c r="F28" s="3920">
        <f>IF(F11="","",F11-(F9+F10))</f>
        <v/>
      </c>
      <c r="G28" s="3920">
        <f>IF(G11="","",G11-(G9+G10))</f>
        <v/>
      </c>
      <c r="H28" s="3920">
        <f>IF(H11="","",H11-(H9+H10))</f>
        <v/>
      </c>
      <c r="I28" s="3920">
        <f>IF(I11="","",I11-(I9+I10))</f>
        <v/>
      </c>
      <c r="J28" s="3920">
        <f>IF(J11="","",J11-(J9+J10))</f>
        <v/>
      </c>
      <c r="K28" s="3920">
        <f>IF(K11="","",K11-(K9+K10))</f>
        <v/>
      </c>
      <c r="L28" s="3920">
        <f>IF(L11="","",L11-(L9+L10))</f>
        <v/>
      </c>
      <c r="M28" s="3920">
        <f>IF(M11="","",M11-(M9+M10))</f>
        <v/>
      </c>
      <c r="N28" s="3920">
        <f>IF(N11="","",N11-(N9+N10))</f>
        <v/>
      </c>
      <c r="O28" s="3920">
        <f>IF(O11="","",O11-(O9+O10))</f>
        <v/>
      </c>
      <c r="P28" s="3920">
        <f>IF(P11="","",P11-(P9+P10))</f>
        <v/>
      </c>
      <c r="Q28" s="3920">
        <f>IF(Q11="","",Q11-(Q9+Q10))</f>
        <v/>
      </c>
      <c r="R28" s="3920">
        <f>IF(R11="","",R11-(R9+R10))</f>
        <v/>
      </c>
      <c r="S28" s="3920">
        <f>IF(S11="","",S11-(S9+S10))</f>
        <v/>
      </c>
      <c r="T28" s="3920">
        <f>IF(T11="","",T11-(T9+T10))</f>
        <v/>
      </c>
      <c r="U28" s="3920">
        <f>IF(U11="","",U11-(U9+U10))</f>
        <v/>
      </c>
      <c r="V28" s="3920">
        <f>IF(V11="","",V11-(V9+V10))</f>
        <v/>
      </c>
      <c r="W28" s="3920">
        <f>IF(W11="","",W11-(W9+W10))</f>
        <v/>
      </c>
      <c r="X28" s="3920">
        <f>IF(X11="","",X11-(X9+X10))</f>
        <v/>
      </c>
      <c r="Y28" s="3920">
        <f>IF(Y11="","",Y11-(Y9+Y10))</f>
        <v/>
      </c>
      <c r="Z28" s="3920">
        <f>IF(Z11="","",Z11-(Z9+Z10))</f>
        <v/>
      </c>
      <c r="AA28" s="3920">
        <f>IF(AA11="","",AA11-(AA9+AA10))</f>
        <v/>
      </c>
      <c r="AB28" s="3920">
        <f>IF(AB11="","",AB11-(AB9+AB10))</f>
        <v/>
      </c>
      <c r="AC28" s="3920">
        <f>IF(AC11="","",AC11-(AC9+AC10))</f>
        <v/>
      </c>
      <c r="AD28" s="3920">
        <f>IF(AD11="","",AD11-(AD9+AD10))</f>
        <v/>
      </c>
      <c r="AE28" s="3920">
        <f>IF(AE11="","",AE11-(AE9+AE10))</f>
        <v/>
      </c>
      <c r="AF28" s="3920">
        <f>IF(AF11="","",AF11-(AF9+AF10))</f>
        <v/>
      </c>
      <c r="AG28" s="3920">
        <f>IF(AG11="","",AG11-(AG9+AG10))</f>
        <v/>
      </c>
      <c r="AH28" s="3920">
        <f>IF(AH11="","",AH11-(AH9+AH10))</f>
        <v/>
      </c>
      <c r="AI28" s="3920">
        <f>IF(AI11="","",AI11-(AI9+AI10))</f>
        <v/>
      </c>
      <c r="AJ28" s="3920">
        <f>IF(AJ11="","",AJ11-(AJ9+AJ10))</f>
        <v/>
      </c>
      <c r="AK28" s="3920">
        <f>IF(AK11="","",AK11-(AK9+AK10))</f>
        <v/>
      </c>
      <c r="AL28" s="3920">
        <f>IF(AL11="","",AL11-(AL9+AL10))</f>
        <v/>
      </c>
      <c r="AM28" s="3920">
        <f>IF(AM11="","",AM11-(AM9+AM10))</f>
        <v/>
      </c>
      <c r="AN28" s="3920">
        <f>IF(AN11="","",AN11-(AN9+AN10))</f>
        <v/>
      </c>
      <c r="AO28" s="3920">
        <f>IF(AO11="","",AO11-(AO9+AO10))</f>
        <v/>
      </c>
      <c r="AP28" s="3920">
        <f>IF(AP11="","",AP11-(AP9+AP10))</f>
        <v/>
      </c>
      <c r="AQ28" s="3920">
        <f>IF(AQ11="","",AQ11-(AQ9+AQ10))</f>
        <v/>
      </c>
      <c r="AR28" s="3920">
        <f>IF(AR11="","",AR11-(AR9+AR10))</f>
        <v/>
      </c>
      <c r="AS28" s="3874" t="n"/>
      <c r="AT28" s="3874" t="n"/>
      <c r="AU28" s="3874" t="n"/>
    </row>
    <row r="29">
      <c r="A29" s="3876" t="inlineStr">
        <is>
          <t>EBITDA tie-out</t>
        </is>
      </c>
      <c r="B29" s="3876" t="n"/>
      <c r="C29" s="3876" t="n"/>
      <c r="D29" s="3876" t="n"/>
      <c r="E29" s="3876" t="n"/>
      <c r="F29" s="3920">
        <f>IF(F13="","",F13-(F11+F12))</f>
        <v/>
      </c>
      <c r="G29" s="3920">
        <f>IF(G13="","",G13-(G11+G12))</f>
        <v/>
      </c>
      <c r="H29" s="3920">
        <f>IF(H13="","",H13-(H11+H12))</f>
        <v/>
      </c>
      <c r="I29" s="3920">
        <f>IF(I13="","",I13-(I11+I12))</f>
        <v/>
      </c>
      <c r="J29" s="3920">
        <f>IF(J13="","",J13-(J11+J12))</f>
        <v/>
      </c>
      <c r="K29" s="3920">
        <f>IF(K13="","",K13-(K11+K12))</f>
        <v/>
      </c>
      <c r="L29" s="3920">
        <f>IF(L13="","",L13-(L11+L12))</f>
        <v/>
      </c>
      <c r="M29" s="3920">
        <f>IF(M13="","",M13-(M11+M12))</f>
        <v/>
      </c>
      <c r="N29" s="3920">
        <f>IF(N13="","",N13-(N11+N12))</f>
        <v/>
      </c>
      <c r="O29" s="3920">
        <f>IF(O13="","",O13-(O11+O12))</f>
        <v/>
      </c>
      <c r="P29" s="3920">
        <f>IF(P13="","",P13-(P11+P12))</f>
        <v/>
      </c>
      <c r="Q29" s="3920">
        <f>IF(Q13="","",Q13-(Q11+Q12))</f>
        <v/>
      </c>
      <c r="R29" s="3920">
        <f>IF(R13="","",R13-(R11+R12))</f>
        <v/>
      </c>
      <c r="S29" s="3920">
        <f>IF(S13="","",S13-(S11+S12))</f>
        <v/>
      </c>
      <c r="T29" s="3920">
        <f>IF(T13="","",T13-(T11+T12))</f>
        <v/>
      </c>
      <c r="U29" s="3920">
        <f>IF(U13="","",U13-(U11+U12))</f>
        <v/>
      </c>
      <c r="V29" s="3920">
        <f>IF(V13="","",V13-(V11+V12))</f>
        <v/>
      </c>
      <c r="W29" s="3920">
        <f>IF(W13="","",W13-(W11+W12))</f>
        <v/>
      </c>
      <c r="X29" s="3920">
        <f>IF(X13="","",X13-(X11+X12))</f>
        <v/>
      </c>
      <c r="Y29" s="3920">
        <f>IF(Y13="","",Y13-(Y11+Y12))</f>
        <v/>
      </c>
      <c r="Z29" s="3920">
        <f>IF(Z13="","",Z13-(Z11+Z12))</f>
        <v/>
      </c>
      <c r="AA29" s="3920">
        <f>IF(AA13="","",AA13-(AA11+AA12))</f>
        <v/>
      </c>
      <c r="AB29" s="3920">
        <f>IF(AB13="","",AB13-(AB11+AB12))</f>
        <v/>
      </c>
      <c r="AC29" s="3920">
        <f>IF(AC13="","",AC13-(AC11+AC12))</f>
        <v/>
      </c>
      <c r="AD29" s="3920">
        <f>IF(AD13="","",AD13-(AD11+AD12))</f>
        <v/>
      </c>
      <c r="AE29" s="3920">
        <f>IF(AE13="","",AE13-(AE11+AE12))</f>
        <v/>
      </c>
      <c r="AF29" s="3920">
        <f>IF(AF13="","",AF13-(AF11+AF12))</f>
        <v/>
      </c>
      <c r="AG29" s="3920">
        <f>IF(AG13="","",AG13-(AG11+AG12))</f>
        <v/>
      </c>
      <c r="AH29" s="3920">
        <f>IF(AH13="","",AH13-(AH11+AH12))</f>
        <v/>
      </c>
      <c r="AI29" s="3920">
        <f>IF(AI13="","",AI13-(AI11+AI12))</f>
        <v/>
      </c>
      <c r="AJ29" s="3920">
        <f>IF(AJ13="","",AJ13-(AJ11+AJ12))</f>
        <v/>
      </c>
      <c r="AK29" s="3920">
        <f>IF(AK13="","",AK13-(AK11+AK12))</f>
        <v/>
      </c>
      <c r="AL29" s="3920">
        <f>IF(AL13="","",AL13-(AL11+AL12))</f>
        <v/>
      </c>
      <c r="AM29" s="3920">
        <f>IF(AM13="","",AM13-(AM11+AM12))</f>
        <v/>
      </c>
      <c r="AN29" s="3920">
        <f>IF(AN13="","",AN13-(AN11+AN12))</f>
        <v/>
      </c>
      <c r="AO29" s="3920">
        <f>IF(AO13="","",AO13-(AO11+AO12))</f>
        <v/>
      </c>
      <c r="AP29" s="3920">
        <f>IF(AP13="","",AP13-(AP11+AP12))</f>
        <v/>
      </c>
      <c r="AQ29" s="3920">
        <f>IF(AQ13="","",AQ13-(AQ11+AQ12))</f>
        <v/>
      </c>
      <c r="AR29" s="3920">
        <f>IF(AR13="","",AR13-(AR11+AR12))</f>
        <v/>
      </c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Combined | BS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BS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BS_CASH</t>
        </is>
      </c>
      <c r="B9" s="3879" t="inlineStr">
        <is>
          <t>Cash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Q9</f>
        <v/>
      </c>
      <c r="AQ9" s="3913">
        <f>AC9</f>
        <v/>
      </c>
      <c r="AR9" s="3913">
        <f>AO9</f>
        <v/>
      </c>
      <c r="AS9" s="3874" t="n"/>
      <c r="AT9" s="3874" t="n"/>
      <c r="AU9" s="3874" t="n"/>
    </row>
    <row r="10">
      <c r="A10" s="3911" t="inlineStr">
        <is>
          <t>BS_AR</t>
        </is>
      </c>
      <c r="B10" s="3879" t="inlineStr">
        <is>
          <t>Accounts receivable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Q10</f>
        <v/>
      </c>
      <c r="AQ10" s="3913">
        <f>AC10</f>
        <v/>
      </c>
      <c r="AR10" s="3913">
        <f>AO10</f>
        <v/>
      </c>
      <c r="AS10" s="3874" t="n"/>
      <c r="AT10" s="3874" t="n"/>
      <c r="AU10" s="3874" t="n"/>
    </row>
    <row r="11">
      <c r="A11" s="3911" t="inlineStr">
        <is>
          <t>BS_INV</t>
        </is>
      </c>
      <c r="B11" s="3879" t="inlineStr">
        <is>
          <t>Inventory</t>
        </is>
      </c>
      <c r="C11" s="3879" t="inlineStr">
        <is>
          <t>+</t>
        </is>
      </c>
      <c r="D11" s="3879" t="inlineStr">
        <is>
          <t>TB/Map</t>
        </is>
      </c>
      <c r="E11" s="3879" t="inlineStr"/>
      <c r="F11" s="3912" t="n"/>
      <c r="G11" s="3912" t="n"/>
      <c r="H11" s="3912" t="n"/>
      <c r="I11" s="3912" t="n"/>
      <c r="J11" s="3912" t="n"/>
      <c r="K11" s="3912" t="n"/>
      <c r="L11" s="3912" t="n"/>
      <c r="M11" s="3912" t="n"/>
      <c r="N11" s="3912" t="n"/>
      <c r="O11" s="3912" t="n"/>
      <c r="P11" s="3912" t="n"/>
      <c r="Q11" s="3912" t="n"/>
      <c r="R11" s="3912" t="n"/>
      <c r="S11" s="3912" t="n"/>
      <c r="T11" s="3912" t="n"/>
      <c r="U11" s="3912" t="n"/>
      <c r="V11" s="3912" t="n"/>
      <c r="W11" s="3912" t="n"/>
      <c r="X11" s="3912" t="n"/>
      <c r="Y11" s="3912" t="n"/>
      <c r="Z11" s="3912" t="n"/>
      <c r="AA11" s="3912" t="n"/>
      <c r="AB11" s="3912" t="n"/>
      <c r="AC11" s="3912" t="n"/>
      <c r="AD11" s="3912" t="n"/>
      <c r="AE11" s="3912" t="n"/>
      <c r="AF11" s="3912" t="n"/>
      <c r="AG11" s="3912" t="n"/>
      <c r="AH11" s="3912" t="n"/>
      <c r="AI11" s="3912" t="n"/>
      <c r="AJ11" s="3912" t="n"/>
      <c r="AK11" s="3912" t="n"/>
      <c r="AL11" s="3912" t="n"/>
      <c r="AM11" s="3912" t="n"/>
      <c r="AN11" s="3912" t="n"/>
      <c r="AO11" s="3912" t="n"/>
      <c r="AP11" s="3913">
        <f>Q11</f>
        <v/>
      </c>
      <c r="AQ11" s="3913">
        <f>AC11</f>
        <v/>
      </c>
      <c r="AR11" s="3913">
        <f>AO11</f>
        <v/>
      </c>
      <c r="AS11" s="3874" t="n"/>
      <c r="AT11" s="3874" t="n"/>
      <c r="AU11" s="3874" t="n"/>
    </row>
    <row r="12">
      <c r="A12" s="3911" t="inlineStr">
        <is>
          <t>BS_OCA</t>
        </is>
      </c>
      <c r="B12" s="3879" t="inlineStr">
        <is>
          <t>Other current assets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Q12</f>
        <v/>
      </c>
      <c r="AQ12" s="3913">
        <f>AC12</f>
        <v/>
      </c>
      <c r="AR12" s="3913">
        <f>AO12</f>
        <v/>
      </c>
      <c r="AS12" s="3874" t="n"/>
      <c r="AT12" s="3874" t="n"/>
      <c r="AU12" s="3874" t="n"/>
    </row>
    <row r="13">
      <c r="A13" s="3911" t="inlineStr">
        <is>
          <t>BS_TCA</t>
        </is>
      </c>
      <c r="B13" s="3879" t="inlineStr">
        <is>
          <t>Total current assets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IF(COUNT(F9:F12)=0,"",SUM(F9:F12))</f>
        <v/>
      </c>
      <c r="G13" s="3914">
        <f>IF(COUNT(G9:G12)=0,"",SUM(G9:G12))</f>
        <v/>
      </c>
      <c r="H13" s="3914">
        <f>IF(COUNT(H9:H12)=0,"",SUM(H9:H12))</f>
        <v/>
      </c>
      <c r="I13" s="3914">
        <f>IF(COUNT(I9:I12)=0,"",SUM(I9:I12))</f>
        <v/>
      </c>
      <c r="J13" s="3914">
        <f>IF(COUNT(J9:J12)=0,"",SUM(J9:J12))</f>
        <v/>
      </c>
      <c r="K13" s="3914">
        <f>IF(COUNT(K9:K12)=0,"",SUM(K9:K12))</f>
        <v/>
      </c>
      <c r="L13" s="3914">
        <f>IF(COUNT(L9:L12)=0,"",SUM(L9:L12))</f>
        <v/>
      </c>
      <c r="M13" s="3914">
        <f>IF(COUNT(M9:M12)=0,"",SUM(M9:M12))</f>
        <v/>
      </c>
      <c r="N13" s="3914">
        <f>IF(COUNT(N9:N12)=0,"",SUM(N9:N12))</f>
        <v/>
      </c>
      <c r="O13" s="3914">
        <f>IF(COUNT(O9:O12)=0,"",SUM(O9:O12))</f>
        <v/>
      </c>
      <c r="P13" s="3914">
        <f>IF(COUNT(P9:P12)=0,"",SUM(P9:P12))</f>
        <v/>
      </c>
      <c r="Q13" s="3914">
        <f>IF(COUNT(Q9:Q12)=0,"",SUM(Q9:Q12))</f>
        <v/>
      </c>
      <c r="R13" s="3914">
        <f>IF(COUNT(R9:R12)=0,"",SUM(R9:R12))</f>
        <v/>
      </c>
      <c r="S13" s="3914">
        <f>IF(COUNT(S9:S12)=0,"",SUM(S9:S12))</f>
        <v/>
      </c>
      <c r="T13" s="3914">
        <f>IF(COUNT(T9:T12)=0,"",SUM(T9:T12))</f>
        <v/>
      </c>
      <c r="U13" s="3914">
        <f>IF(COUNT(U9:U12)=0,"",SUM(U9:U12))</f>
        <v/>
      </c>
      <c r="V13" s="3914">
        <f>IF(COUNT(V9:V12)=0,"",SUM(V9:V12))</f>
        <v/>
      </c>
      <c r="W13" s="3914">
        <f>IF(COUNT(W9:W12)=0,"",SUM(W9:W12))</f>
        <v/>
      </c>
      <c r="X13" s="3914">
        <f>IF(COUNT(X9:X12)=0,"",SUM(X9:X12))</f>
        <v/>
      </c>
      <c r="Y13" s="3914">
        <f>IF(COUNT(Y9:Y12)=0,"",SUM(Y9:Y12))</f>
        <v/>
      </c>
      <c r="Z13" s="3914">
        <f>IF(COUNT(Z9:Z12)=0,"",SUM(Z9:Z12))</f>
        <v/>
      </c>
      <c r="AA13" s="3914">
        <f>IF(COUNT(AA9:AA12)=0,"",SUM(AA9:AA12))</f>
        <v/>
      </c>
      <c r="AB13" s="3914">
        <f>IF(COUNT(AB9:AB12)=0,"",SUM(AB9:AB12))</f>
        <v/>
      </c>
      <c r="AC13" s="3914">
        <f>IF(COUNT(AC9:AC12)=0,"",SUM(AC9:AC12))</f>
        <v/>
      </c>
      <c r="AD13" s="3914">
        <f>IF(COUNT(AD9:AD12)=0,"",SUM(AD9:AD12))</f>
        <v/>
      </c>
      <c r="AE13" s="3914">
        <f>IF(COUNT(AE9:AE12)=0,"",SUM(AE9:AE12))</f>
        <v/>
      </c>
      <c r="AF13" s="3914">
        <f>IF(COUNT(AF9:AF12)=0,"",SUM(AF9:AF12))</f>
        <v/>
      </c>
      <c r="AG13" s="3914">
        <f>IF(COUNT(AG9:AG12)=0,"",SUM(AG9:AG12))</f>
        <v/>
      </c>
      <c r="AH13" s="3914">
        <f>IF(COUNT(AH9:AH12)=0,"",SUM(AH9:AH12))</f>
        <v/>
      </c>
      <c r="AI13" s="3914">
        <f>IF(COUNT(AI9:AI12)=0,"",SUM(AI9:AI12))</f>
        <v/>
      </c>
      <c r="AJ13" s="3914">
        <f>IF(COUNT(AJ9:AJ12)=0,"",SUM(AJ9:AJ12))</f>
        <v/>
      </c>
      <c r="AK13" s="3914">
        <f>IF(COUNT(AK9:AK12)=0,"",SUM(AK9:AK12))</f>
        <v/>
      </c>
      <c r="AL13" s="3914">
        <f>IF(COUNT(AL9:AL12)=0,"",SUM(AL9:AL12))</f>
        <v/>
      </c>
      <c r="AM13" s="3914">
        <f>IF(COUNT(AM9:AM12)=0,"",SUM(AM9:AM12))</f>
        <v/>
      </c>
      <c r="AN13" s="3914">
        <f>IF(COUNT(AN9:AN12)=0,"",SUM(AN9:AN12))</f>
        <v/>
      </c>
      <c r="AO13" s="3914">
        <f>IF(COUNT(AO9:AO12)=0,"",SUM(AO9:AO12))</f>
        <v/>
      </c>
      <c r="AP13" s="3915">
        <f>Q13</f>
        <v/>
      </c>
      <c r="AQ13" s="3915">
        <f>AC13</f>
        <v/>
      </c>
      <c r="AR13" s="3915">
        <f>AO13</f>
        <v/>
      </c>
      <c r="AS13" s="3874" t="n"/>
      <c r="AT13" s="3874" t="n"/>
      <c r="AU13" s="3874" t="n"/>
    </row>
    <row r="14">
      <c r="A14" s="3911" t="inlineStr">
        <is>
          <t>BS_PPE</t>
        </is>
      </c>
      <c r="B14" s="3879" t="inlineStr">
        <is>
          <t>PP&amp;E</t>
        </is>
      </c>
      <c r="C14" s="3879" t="inlineStr">
        <is>
          <t>+</t>
        </is>
      </c>
      <c r="D14" s="3879" t="inlineStr">
        <is>
          <t>TB/Map</t>
        </is>
      </c>
      <c r="E14" s="3879" t="inlineStr"/>
      <c r="F14" s="3912" t="n"/>
      <c r="G14" s="3912" t="n"/>
      <c r="H14" s="3912" t="n"/>
      <c r="I14" s="3912" t="n"/>
      <c r="J14" s="3912" t="n"/>
      <c r="K14" s="3912" t="n"/>
      <c r="L14" s="3912" t="n"/>
      <c r="M14" s="3912" t="n"/>
      <c r="N14" s="3912" t="n"/>
      <c r="O14" s="3912" t="n"/>
      <c r="P14" s="3912" t="n"/>
      <c r="Q14" s="3912" t="n"/>
      <c r="R14" s="3912" t="n"/>
      <c r="S14" s="3912" t="n"/>
      <c r="T14" s="3912" t="n"/>
      <c r="U14" s="3912" t="n"/>
      <c r="V14" s="3912" t="n"/>
      <c r="W14" s="3912" t="n"/>
      <c r="X14" s="3912" t="n"/>
      <c r="Y14" s="3912" t="n"/>
      <c r="Z14" s="3912" t="n"/>
      <c r="AA14" s="3912" t="n"/>
      <c r="AB14" s="3912" t="n"/>
      <c r="AC14" s="3912" t="n"/>
      <c r="AD14" s="3912" t="n"/>
      <c r="AE14" s="3912" t="n"/>
      <c r="AF14" s="3912" t="n"/>
      <c r="AG14" s="3912" t="n"/>
      <c r="AH14" s="3912" t="n"/>
      <c r="AI14" s="3912" t="n"/>
      <c r="AJ14" s="3912" t="n"/>
      <c r="AK14" s="3912" t="n"/>
      <c r="AL14" s="3912" t="n"/>
      <c r="AM14" s="3912" t="n"/>
      <c r="AN14" s="3912" t="n"/>
      <c r="AO14" s="3912" t="n"/>
      <c r="AP14" s="3913">
        <f>Q14</f>
        <v/>
      </c>
      <c r="AQ14" s="3913">
        <f>AC14</f>
        <v/>
      </c>
      <c r="AR14" s="3913">
        <f>AO14</f>
        <v/>
      </c>
      <c r="AS14" s="3874" t="n"/>
      <c r="AT14" s="3874" t="n"/>
      <c r="AU14" s="3874" t="n"/>
    </row>
    <row r="15">
      <c r="A15" s="3911" t="inlineStr">
        <is>
          <t>BS_OTA</t>
        </is>
      </c>
      <c r="B15" s="3879" t="inlineStr">
        <is>
          <t>Other assets</t>
        </is>
      </c>
      <c r="C15" s="3879" t="inlineStr">
        <is>
          <t>+</t>
        </is>
      </c>
      <c r="D15" s="3879" t="inlineStr">
        <is>
          <t>TB/Map</t>
        </is>
      </c>
      <c r="E15" s="3879" t="inlineStr"/>
      <c r="F15" s="3912" t="n"/>
      <c r="G15" s="3912" t="n"/>
      <c r="H15" s="3912" t="n"/>
      <c r="I15" s="3912" t="n"/>
      <c r="J15" s="3912" t="n"/>
      <c r="K15" s="3912" t="n"/>
      <c r="L15" s="3912" t="n"/>
      <c r="M15" s="3912" t="n"/>
      <c r="N15" s="3912" t="n"/>
      <c r="O15" s="3912" t="n"/>
      <c r="P15" s="3912" t="n"/>
      <c r="Q15" s="3912" t="n"/>
      <c r="R15" s="3912" t="n"/>
      <c r="S15" s="3912" t="n"/>
      <c r="T15" s="3912" t="n"/>
      <c r="U15" s="3912" t="n"/>
      <c r="V15" s="3912" t="n"/>
      <c r="W15" s="3912" t="n"/>
      <c r="X15" s="3912" t="n"/>
      <c r="Y15" s="3912" t="n"/>
      <c r="Z15" s="3912" t="n"/>
      <c r="AA15" s="3912" t="n"/>
      <c r="AB15" s="3912" t="n"/>
      <c r="AC15" s="3912" t="n"/>
      <c r="AD15" s="3912" t="n"/>
      <c r="AE15" s="3912" t="n"/>
      <c r="AF15" s="3912" t="n"/>
      <c r="AG15" s="3912" t="n"/>
      <c r="AH15" s="3912" t="n"/>
      <c r="AI15" s="3912" t="n"/>
      <c r="AJ15" s="3912" t="n"/>
      <c r="AK15" s="3912" t="n"/>
      <c r="AL15" s="3912" t="n"/>
      <c r="AM15" s="3912" t="n"/>
      <c r="AN15" s="3912" t="n"/>
      <c r="AO15" s="3912" t="n"/>
      <c r="AP15" s="3913">
        <f>Q15</f>
        <v/>
      </c>
      <c r="AQ15" s="3913">
        <f>AC15</f>
        <v/>
      </c>
      <c r="AR15" s="3913">
        <f>AO15</f>
        <v/>
      </c>
      <c r="AS15" s="3874" t="n"/>
      <c r="AT15" s="3874" t="n"/>
      <c r="AU15" s="3874" t="n"/>
    </row>
    <row r="16">
      <c r="A16" s="3911" t="inlineStr">
        <is>
          <t>BS_TA</t>
        </is>
      </c>
      <c r="B16" s="3879" t="inlineStr">
        <is>
          <t>Total assets</t>
        </is>
      </c>
      <c r="C16" s="3879" t="inlineStr">
        <is>
          <t>+</t>
        </is>
      </c>
      <c r="D16" s="3879" t="inlineStr">
        <is>
          <t>Formula</t>
        </is>
      </c>
      <c r="E16" s="3879" t="inlineStr">
        <is>
          <t>Derived</t>
        </is>
      </c>
      <c r="F16" s="3914">
        <f>IF(COUNT(F13:F15)=0,"",SUM(F13:F15))</f>
        <v/>
      </c>
      <c r="G16" s="3914">
        <f>IF(COUNT(G13:G15)=0,"",SUM(G13:G15))</f>
        <v/>
      </c>
      <c r="H16" s="3914">
        <f>IF(COUNT(H13:H15)=0,"",SUM(H13:H15))</f>
        <v/>
      </c>
      <c r="I16" s="3914">
        <f>IF(COUNT(I13:I15)=0,"",SUM(I13:I15))</f>
        <v/>
      </c>
      <c r="J16" s="3914">
        <f>IF(COUNT(J13:J15)=0,"",SUM(J13:J15))</f>
        <v/>
      </c>
      <c r="K16" s="3914">
        <f>IF(COUNT(K13:K15)=0,"",SUM(K13:K15))</f>
        <v/>
      </c>
      <c r="L16" s="3914">
        <f>IF(COUNT(L13:L15)=0,"",SUM(L13:L15))</f>
        <v/>
      </c>
      <c r="M16" s="3914">
        <f>IF(COUNT(M13:M15)=0,"",SUM(M13:M15))</f>
        <v/>
      </c>
      <c r="N16" s="3914">
        <f>IF(COUNT(N13:N15)=0,"",SUM(N13:N15))</f>
        <v/>
      </c>
      <c r="O16" s="3914">
        <f>IF(COUNT(O13:O15)=0,"",SUM(O13:O15))</f>
        <v/>
      </c>
      <c r="P16" s="3914">
        <f>IF(COUNT(P13:P15)=0,"",SUM(P13:P15))</f>
        <v/>
      </c>
      <c r="Q16" s="3914">
        <f>IF(COUNT(Q13:Q15)=0,"",SUM(Q13:Q15))</f>
        <v/>
      </c>
      <c r="R16" s="3914">
        <f>IF(COUNT(R13:R15)=0,"",SUM(R13:R15))</f>
        <v/>
      </c>
      <c r="S16" s="3914">
        <f>IF(COUNT(S13:S15)=0,"",SUM(S13:S15))</f>
        <v/>
      </c>
      <c r="T16" s="3914">
        <f>IF(COUNT(T13:T15)=0,"",SUM(T13:T15))</f>
        <v/>
      </c>
      <c r="U16" s="3914">
        <f>IF(COUNT(U13:U15)=0,"",SUM(U13:U15))</f>
        <v/>
      </c>
      <c r="V16" s="3914">
        <f>IF(COUNT(V13:V15)=0,"",SUM(V13:V15))</f>
        <v/>
      </c>
      <c r="W16" s="3914">
        <f>IF(COUNT(W13:W15)=0,"",SUM(W13:W15))</f>
        <v/>
      </c>
      <c r="X16" s="3914">
        <f>IF(COUNT(X13:X15)=0,"",SUM(X13:X15))</f>
        <v/>
      </c>
      <c r="Y16" s="3914">
        <f>IF(COUNT(Y13:Y15)=0,"",SUM(Y13:Y15))</f>
        <v/>
      </c>
      <c r="Z16" s="3914">
        <f>IF(COUNT(Z13:Z15)=0,"",SUM(Z13:Z15))</f>
        <v/>
      </c>
      <c r="AA16" s="3914">
        <f>IF(COUNT(AA13:AA15)=0,"",SUM(AA13:AA15))</f>
        <v/>
      </c>
      <c r="AB16" s="3914">
        <f>IF(COUNT(AB13:AB15)=0,"",SUM(AB13:AB15))</f>
        <v/>
      </c>
      <c r="AC16" s="3914">
        <f>IF(COUNT(AC13:AC15)=0,"",SUM(AC13:AC15))</f>
        <v/>
      </c>
      <c r="AD16" s="3914">
        <f>IF(COUNT(AD13:AD15)=0,"",SUM(AD13:AD15))</f>
        <v/>
      </c>
      <c r="AE16" s="3914">
        <f>IF(COUNT(AE13:AE15)=0,"",SUM(AE13:AE15))</f>
        <v/>
      </c>
      <c r="AF16" s="3914">
        <f>IF(COUNT(AF13:AF15)=0,"",SUM(AF13:AF15))</f>
        <v/>
      </c>
      <c r="AG16" s="3914">
        <f>IF(COUNT(AG13:AG15)=0,"",SUM(AG13:AG15))</f>
        <v/>
      </c>
      <c r="AH16" s="3914">
        <f>IF(COUNT(AH13:AH15)=0,"",SUM(AH13:AH15))</f>
        <v/>
      </c>
      <c r="AI16" s="3914">
        <f>IF(COUNT(AI13:AI15)=0,"",SUM(AI13:AI15))</f>
        <v/>
      </c>
      <c r="AJ16" s="3914">
        <f>IF(COUNT(AJ13:AJ15)=0,"",SUM(AJ13:AJ15))</f>
        <v/>
      </c>
      <c r="AK16" s="3914">
        <f>IF(COUNT(AK13:AK15)=0,"",SUM(AK13:AK15))</f>
        <v/>
      </c>
      <c r="AL16" s="3914">
        <f>IF(COUNT(AL13:AL15)=0,"",SUM(AL13:AL15))</f>
        <v/>
      </c>
      <c r="AM16" s="3914">
        <f>IF(COUNT(AM13:AM15)=0,"",SUM(AM13:AM15))</f>
        <v/>
      </c>
      <c r="AN16" s="3914">
        <f>IF(COUNT(AN13:AN15)=0,"",SUM(AN13:AN15))</f>
        <v/>
      </c>
      <c r="AO16" s="3914">
        <f>IF(COUNT(AO13:AO15)=0,"",SUM(AO13:AO15))</f>
        <v/>
      </c>
      <c r="AP16" s="3915">
        <f>Q16</f>
        <v/>
      </c>
      <c r="AQ16" s="3915">
        <f>AC16</f>
        <v/>
      </c>
      <c r="AR16" s="3915">
        <f>AO16</f>
        <v/>
      </c>
      <c r="AS16" s="3874" t="n"/>
      <c r="AT16" s="3874" t="n"/>
      <c r="AU16" s="3874" t="n"/>
    </row>
    <row r="17">
      <c r="A17" s="3911" t="inlineStr">
        <is>
          <t>BS_AP</t>
        </is>
      </c>
      <c r="B17" s="3879" t="inlineStr">
        <is>
          <t>Accounts payable</t>
        </is>
      </c>
      <c r="C17" s="3879" t="inlineStr">
        <is>
          <t>+</t>
        </is>
      </c>
      <c r="D17" s="3879" t="inlineStr">
        <is>
          <t>TB/Map</t>
        </is>
      </c>
      <c r="E17" s="3879" t="inlineStr"/>
      <c r="F17" s="3912" t="n"/>
      <c r="G17" s="3912" t="n"/>
      <c r="H17" s="3912" t="n"/>
      <c r="I17" s="3912" t="n"/>
      <c r="J17" s="3912" t="n"/>
      <c r="K17" s="3912" t="n"/>
      <c r="L17" s="3912" t="n"/>
      <c r="M17" s="3912" t="n"/>
      <c r="N17" s="3912" t="n"/>
      <c r="O17" s="3912" t="n"/>
      <c r="P17" s="3912" t="n"/>
      <c r="Q17" s="3912" t="n"/>
      <c r="R17" s="3912" t="n"/>
      <c r="S17" s="3912" t="n"/>
      <c r="T17" s="3912" t="n"/>
      <c r="U17" s="3912" t="n"/>
      <c r="V17" s="3912" t="n"/>
      <c r="W17" s="3912" t="n"/>
      <c r="X17" s="3912" t="n"/>
      <c r="Y17" s="3912" t="n"/>
      <c r="Z17" s="3912" t="n"/>
      <c r="AA17" s="3912" t="n"/>
      <c r="AB17" s="3912" t="n"/>
      <c r="AC17" s="3912" t="n"/>
      <c r="AD17" s="3912" t="n"/>
      <c r="AE17" s="3912" t="n"/>
      <c r="AF17" s="3912" t="n"/>
      <c r="AG17" s="3912" t="n"/>
      <c r="AH17" s="3912" t="n"/>
      <c r="AI17" s="3912" t="n"/>
      <c r="AJ17" s="3912" t="n"/>
      <c r="AK17" s="3912" t="n"/>
      <c r="AL17" s="3912" t="n"/>
      <c r="AM17" s="3912" t="n"/>
      <c r="AN17" s="3912" t="n"/>
      <c r="AO17" s="3912" t="n"/>
      <c r="AP17" s="3913">
        <f>Q17</f>
        <v/>
      </c>
      <c r="AQ17" s="3913">
        <f>AC17</f>
        <v/>
      </c>
      <c r="AR17" s="3913">
        <f>AO17</f>
        <v/>
      </c>
      <c r="AS17" s="3874" t="n"/>
      <c r="AT17" s="3874" t="n"/>
      <c r="AU17" s="3874" t="n"/>
    </row>
    <row r="18">
      <c r="A18" s="3911" t="inlineStr">
        <is>
          <t>BS_ACCR</t>
        </is>
      </c>
      <c r="B18" s="3879" t="inlineStr">
        <is>
          <t>Accrued liabilities</t>
        </is>
      </c>
      <c r="C18" s="3879" t="inlineStr">
        <is>
          <t>+</t>
        </is>
      </c>
      <c r="D18" s="3879" t="inlineStr">
        <is>
          <t>TB/Map</t>
        </is>
      </c>
      <c r="E18" s="3879" t="inlineStr"/>
      <c r="F18" s="3912" t="n"/>
      <c r="G18" s="3912" t="n"/>
      <c r="H18" s="3912" t="n"/>
      <c r="I18" s="3912" t="n"/>
      <c r="J18" s="3912" t="n"/>
      <c r="K18" s="3912" t="n"/>
      <c r="L18" s="3912" t="n"/>
      <c r="M18" s="3912" t="n"/>
      <c r="N18" s="3912" t="n"/>
      <c r="O18" s="3912" t="n"/>
      <c r="P18" s="3912" t="n"/>
      <c r="Q18" s="3912" t="n"/>
      <c r="R18" s="3912" t="n"/>
      <c r="S18" s="3912" t="n"/>
      <c r="T18" s="3912" t="n"/>
      <c r="U18" s="3912" t="n"/>
      <c r="V18" s="3912" t="n"/>
      <c r="W18" s="3912" t="n"/>
      <c r="X18" s="3912" t="n"/>
      <c r="Y18" s="3912" t="n"/>
      <c r="Z18" s="3912" t="n"/>
      <c r="AA18" s="3912" t="n"/>
      <c r="AB18" s="3912" t="n"/>
      <c r="AC18" s="3912" t="n"/>
      <c r="AD18" s="3912" t="n"/>
      <c r="AE18" s="3912" t="n"/>
      <c r="AF18" s="3912" t="n"/>
      <c r="AG18" s="3912" t="n"/>
      <c r="AH18" s="3912" t="n"/>
      <c r="AI18" s="3912" t="n"/>
      <c r="AJ18" s="3912" t="n"/>
      <c r="AK18" s="3912" t="n"/>
      <c r="AL18" s="3912" t="n"/>
      <c r="AM18" s="3912" t="n"/>
      <c r="AN18" s="3912" t="n"/>
      <c r="AO18" s="3912" t="n"/>
      <c r="AP18" s="3913">
        <f>Q18</f>
        <v/>
      </c>
      <c r="AQ18" s="3913">
        <f>AC18</f>
        <v/>
      </c>
      <c r="AR18" s="3913">
        <f>AO18</f>
        <v/>
      </c>
      <c r="AS18" s="3874" t="n"/>
      <c r="AT18" s="3874" t="n"/>
      <c r="AU18" s="3874" t="n"/>
    </row>
    <row r="19">
      <c r="A19" s="3911" t="inlineStr">
        <is>
          <t>BS_DEBT</t>
        </is>
      </c>
      <c r="B19" s="3879" t="inlineStr">
        <is>
          <t>Debt</t>
        </is>
      </c>
      <c r="C19" s="3879" t="inlineStr">
        <is>
          <t>+</t>
        </is>
      </c>
      <c r="D19" s="3879" t="inlineStr">
        <is>
          <t>TB/Map</t>
        </is>
      </c>
      <c r="E19" s="3879" t="inlineStr"/>
      <c r="F19" s="3912" t="n"/>
      <c r="G19" s="3912" t="n"/>
      <c r="H19" s="3912" t="n"/>
      <c r="I19" s="3912" t="n"/>
      <c r="J19" s="3912" t="n"/>
      <c r="K19" s="3912" t="n"/>
      <c r="L19" s="3912" t="n"/>
      <c r="M19" s="3912" t="n"/>
      <c r="N19" s="3912" t="n"/>
      <c r="O19" s="3912" t="n"/>
      <c r="P19" s="3912" t="n"/>
      <c r="Q19" s="3912" t="n"/>
      <c r="R19" s="3912" t="n"/>
      <c r="S19" s="3912" t="n"/>
      <c r="T19" s="3912" t="n"/>
      <c r="U19" s="3912" t="n"/>
      <c r="V19" s="3912" t="n"/>
      <c r="W19" s="3912" t="n"/>
      <c r="X19" s="3912" t="n"/>
      <c r="Y19" s="3912" t="n"/>
      <c r="Z19" s="3912" t="n"/>
      <c r="AA19" s="3912" t="n"/>
      <c r="AB19" s="3912" t="n"/>
      <c r="AC19" s="3912" t="n"/>
      <c r="AD19" s="3912" t="n"/>
      <c r="AE19" s="3912" t="n"/>
      <c r="AF19" s="3912" t="n"/>
      <c r="AG19" s="3912" t="n"/>
      <c r="AH19" s="3912" t="n"/>
      <c r="AI19" s="3912" t="n"/>
      <c r="AJ19" s="3912" t="n"/>
      <c r="AK19" s="3912" t="n"/>
      <c r="AL19" s="3912" t="n"/>
      <c r="AM19" s="3912" t="n"/>
      <c r="AN19" s="3912" t="n"/>
      <c r="AO19" s="3912" t="n"/>
      <c r="AP19" s="3913">
        <f>Q19</f>
        <v/>
      </c>
      <c r="AQ19" s="3913">
        <f>AC19</f>
        <v/>
      </c>
      <c r="AR19" s="3913">
        <f>AO19</f>
        <v/>
      </c>
      <c r="AS19" s="3874" t="n"/>
      <c r="AT19" s="3874" t="n"/>
      <c r="AU19" s="3874" t="n"/>
    </row>
    <row r="20">
      <c r="A20" s="3911" t="inlineStr">
        <is>
          <t>BS_OL</t>
        </is>
      </c>
      <c r="B20" s="3879" t="inlineStr">
        <is>
          <t>Other liabilities</t>
        </is>
      </c>
      <c r="C20" s="3879" t="inlineStr">
        <is>
          <t>+</t>
        </is>
      </c>
      <c r="D20" s="3879" t="inlineStr">
        <is>
          <t>TB/Map</t>
        </is>
      </c>
      <c r="E20" s="3879" t="inlineStr"/>
      <c r="F20" s="3912" t="n"/>
      <c r="G20" s="3912" t="n"/>
      <c r="H20" s="3912" t="n"/>
      <c r="I20" s="3912" t="n"/>
      <c r="J20" s="3912" t="n"/>
      <c r="K20" s="3912" t="n"/>
      <c r="L20" s="3912" t="n"/>
      <c r="M20" s="3912" t="n"/>
      <c r="N20" s="3912" t="n"/>
      <c r="O20" s="3912" t="n"/>
      <c r="P20" s="3912" t="n"/>
      <c r="Q20" s="3912" t="n"/>
      <c r="R20" s="3912" t="n"/>
      <c r="S20" s="3912" t="n"/>
      <c r="T20" s="3912" t="n"/>
      <c r="U20" s="3912" t="n"/>
      <c r="V20" s="3912" t="n"/>
      <c r="W20" s="3912" t="n"/>
      <c r="X20" s="3912" t="n"/>
      <c r="Y20" s="3912" t="n"/>
      <c r="Z20" s="3912" t="n"/>
      <c r="AA20" s="3912" t="n"/>
      <c r="AB20" s="3912" t="n"/>
      <c r="AC20" s="3912" t="n"/>
      <c r="AD20" s="3912" t="n"/>
      <c r="AE20" s="3912" t="n"/>
      <c r="AF20" s="3912" t="n"/>
      <c r="AG20" s="3912" t="n"/>
      <c r="AH20" s="3912" t="n"/>
      <c r="AI20" s="3912" t="n"/>
      <c r="AJ20" s="3912" t="n"/>
      <c r="AK20" s="3912" t="n"/>
      <c r="AL20" s="3912" t="n"/>
      <c r="AM20" s="3912" t="n"/>
      <c r="AN20" s="3912" t="n"/>
      <c r="AO20" s="3912" t="n"/>
      <c r="AP20" s="3913">
        <f>Q20</f>
        <v/>
      </c>
      <c r="AQ20" s="3913">
        <f>AC20</f>
        <v/>
      </c>
      <c r="AR20" s="3913">
        <f>AO20</f>
        <v/>
      </c>
      <c r="AS20" s="3874" t="n"/>
      <c r="AT20" s="3874" t="n"/>
      <c r="AU20" s="3874" t="n"/>
    </row>
    <row r="21">
      <c r="A21" s="3911" t="inlineStr">
        <is>
          <t>BS_TL</t>
        </is>
      </c>
      <c r="B21" s="3879" t="inlineStr">
        <is>
          <t>Total liabilities</t>
        </is>
      </c>
      <c r="C21" s="3879" t="inlineStr">
        <is>
          <t>+</t>
        </is>
      </c>
      <c r="D21" s="3879" t="inlineStr">
        <is>
          <t>Formula</t>
        </is>
      </c>
      <c r="E21" s="3879" t="inlineStr">
        <is>
          <t>Derived</t>
        </is>
      </c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3">
        <f>Q21</f>
        <v/>
      </c>
      <c r="AQ21" s="3913">
        <f>AC21</f>
        <v/>
      </c>
      <c r="AR21" s="3913">
        <f>AO21</f>
        <v/>
      </c>
      <c r="AS21" s="3874" t="n"/>
      <c r="AT21" s="3874" t="n"/>
      <c r="AU21" s="3874" t="n"/>
    </row>
    <row r="22">
      <c r="A22" s="3911" t="inlineStr">
        <is>
          <t>BS_EQ</t>
        </is>
      </c>
      <c r="B22" s="3879" t="inlineStr">
        <is>
          <t>Equity</t>
        </is>
      </c>
      <c r="C22" s="3879" t="inlineStr">
        <is>
          <t>+</t>
        </is>
      </c>
      <c r="D22" s="3879" t="inlineStr">
        <is>
          <t>TB/Map</t>
        </is>
      </c>
      <c r="E22" s="3879" t="inlineStr"/>
      <c r="F22" s="3914">
        <f>IF(COUNT(F17:F20)=0,"",SUM(F17:F20))</f>
        <v/>
      </c>
      <c r="G22" s="3914">
        <f>IF(COUNT(G17:G20)=0,"",SUM(G17:G20))</f>
        <v/>
      </c>
      <c r="H22" s="3914">
        <f>IF(COUNT(H17:H20)=0,"",SUM(H17:H20))</f>
        <v/>
      </c>
      <c r="I22" s="3914">
        <f>IF(COUNT(I17:I20)=0,"",SUM(I17:I20))</f>
        <v/>
      </c>
      <c r="J22" s="3914">
        <f>IF(COUNT(J17:J20)=0,"",SUM(J17:J20))</f>
        <v/>
      </c>
      <c r="K22" s="3914">
        <f>IF(COUNT(K17:K20)=0,"",SUM(K17:K20))</f>
        <v/>
      </c>
      <c r="L22" s="3914">
        <f>IF(COUNT(L17:L20)=0,"",SUM(L17:L20))</f>
        <v/>
      </c>
      <c r="M22" s="3914">
        <f>IF(COUNT(M17:M20)=0,"",SUM(M17:M20))</f>
        <v/>
      </c>
      <c r="N22" s="3914">
        <f>IF(COUNT(N17:N20)=0,"",SUM(N17:N20))</f>
        <v/>
      </c>
      <c r="O22" s="3914">
        <f>IF(COUNT(O17:O20)=0,"",SUM(O17:O20))</f>
        <v/>
      </c>
      <c r="P22" s="3914">
        <f>IF(COUNT(P17:P20)=0,"",SUM(P17:P20))</f>
        <v/>
      </c>
      <c r="Q22" s="3914">
        <f>IF(COUNT(Q17:Q20)=0,"",SUM(Q17:Q20))</f>
        <v/>
      </c>
      <c r="R22" s="3914">
        <f>IF(COUNT(R17:R20)=0,"",SUM(R17:R20))</f>
        <v/>
      </c>
      <c r="S22" s="3914">
        <f>IF(COUNT(S17:S20)=0,"",SUM(S17:S20))</f>
        <v/>
      </c>
      <c r="T22" s="3914">
        <f>IF(COUNT(T17:T20)=0,"",SUM(T17:T20))</f>
        <v/>
      </c>
      <c r="U22" s="3914">
        <f>IF(COUNT(U17:U20)=0,"",SUM(U17:U20))</f>
        <v/>
      </c>
      <c r="V22" s="3914">
        <f>IF(COUNT(V17:V20)=0,"",SUM(V17:V20))</f>
        <v/>
      </c>
      <c r="W22" s="3914">
        <f>IF(COUNT(W17:W20)=0,"",SUM(W17:W20))</f>
        <v/>
      </c>
      <c r="X22" s="3914">
        <f>IF(COUNT(X17:X20)=0,"",SUM(X17:X20))</f>
        <v/>
      </c>
      <c r="Y22" s="3914">
        <f>IF(COUNT(Y17:Y20)=0,"",SUM(Y17:Y20))</f>
        <v/>
      </c>
      <c r="Z22" s="3914">
        <f>IF(COUNT(Z17:Z20)=0,"",SUM(Z17:Z20))</f>
        <v/>
      </c>
      <c r="AA22" s="3914">
        <f>IF(COUNT(AA17:AA20)=0,"",SUM(AA17:AA20))</f>
        <v/>
      </c>
      <c r="AB22" s="3914">
        <f>IF(COUNT(AB17:AB20)=0,"",SUM(AB17:AB20))</f>
        <v/>
      </c>
      <c r="AC22" s="3914">
        <f>IF(COUNT(AC17:AC20)=0,"",SUM(AC17:AC20))</f>
        <v/>
      </c>
      <c r="AD22" s="3914">
        <f>IF(COUNT(AD17:AD20)=0,"",SUM(AD17:AD20))</f>
        <v/>
      </c>
      <c r="AE22" s="3914">
        <f>IF(COUNT(AE17:AE20)=0,"",SUM(AE17:AE20))</f>
        <v/>
      </c>
      <c r="AF22" s="3914">
        <f>IF(COUNT(AF17:AF20)=0,"",SUM(AF17:AF20))</f>
        <v/>
      </c>
      <c r="AG22" s="3914">
        <f>IF(COUNT(AG17:AG20)=0,"",SUM(AG17:AG20))</f>
        <v/>
      </c>
      <c r="AH22" s="3914">
        <f>IF(COUNT(AH17:AH20)=0,"",SUM(AH17:AH20))</f>
        <v/>
      </c>
      <c r="AI22" s="3914">
        <f>IF(COUNT(AI17:AI20)=0,"",SUM(AI17:AI20))</f>
        <v/>
      </c>
      <c r="AJ22" s="3914">
        <f>IF(COUNT(AJ17:AJ20)=0,"",SUM(AJ17:AJ20))</f>
        <v/>
      </c>
      <c r="AK22" s="3914">
        <f>IF(COUNT(AK17:AK20)=0,"",SUM(AK17:AK20))</f>
        <v/>
      </c>
      <c r="AL22" s="3914">
        <f>IF(COUNT(AL17:AL20)=0,"",SUM(AL17:AL20))</f>
        <v/>
      </c>
      <c r="AM22" s="3914">
        <f>IF(COUNT(AM17:AM20)=0,"",SUM(AM17:AM20))</f>
        <v/>
      </c>
      <c r="AN22" s="3914">
        <f>IF(COUNT(AN17:AN20)=0,"",SUM(AN17:AN20))</f>
        <v/>
      </c>
      <c r="AO22" s="3914">
        <f>IF(COUNT(AO17:AO20)=0,"",SUM(AO17:AO20))</f>
        <v/>
      </c>
      <c r="AP22" s="3915">
        <f>Q22</f>
        <v/>
      </c>
      <c r="AQ22" s="3915">
        <f>AC22</f>
        <v/>
      </c>
      <c r="AR22" s="3915">
        <f>AO22</f>
        <v/>
      </c>
      <c r="AS22" s="3874" t="n"/>
      <c r="AT22" s="3874" t="n"/>
      <c r="AU22" s="3874" t="n"/>
    </row>
    <row r="23">
      <c r="A23" s="3911" t="inlineStr">
        <is>
          <t>BS_TLE</t>
        </is>
      </c>
      <c r="B23" s="3879" t="inlineStr">
        <is>
          <t>Total liabilities + equity</t>
        </is>
      </c>
      <c r="C23" s="3879" t="inlineStr">
        <is>
          <t>+</t>
        </is>
      </c>
      <c r="D23" s="3879" t="inlineStr">
        <is>
          <t>Formula</t>
        </is>
      </c>
      <c r="E23" s="3879" t="inlineStr">
        <is>
          <t>Derived</t>
        </is>
      </c>
      <c r="F23" s="3912" t="n"/>
      <c r="G23" s="3912" t="n"/>
      <c r="H23" s="3912" t="n"/>
      <c r="I23" s="3912" t="n"/>
      <c r="J23" s="3912" t="n"/>
      <c r="K23" s="3912" t="n"/>
      <c r="L23" s="3912" t="n"/>
      <c r="M23" s="3912" t="n"/>
      <c r="N23" s="3912" t="n"/>
      <c r="O23" s="3912" t="n"/>
      <c r="P23" s="3912" t="n"/>
      <c r="Q23" s="3912" t="n"/>
      <c r="R23" s="3912" t="n"/>
      <c r="S23" s="3912" t="n"/>
      <c r="T23" s="3912" t="n"/>
      <c r="U23" s="3912" t="n"/>
      <c r="V23" s="3912" t="n"/>
      <c r="W23" s="3912" t="n"/>
      <c r="X23" s="3912" t="n"/>
      <c r="Y23" s="3912" t="n"/>
      <c r="Z23" s="3912" t="n"/>
      <c r="AA23" s="3912" t="n"/>
      <c r="AB23" s="3912" t="n"/>
      <c r="AC23" s="3912" t="n"/>
      <c r="AD23" s="3912" t="n"/>
      <c r="AE23" s="3912" t="n"/>
      <c r="AF23" s="3912" t="n"/>
      <c r="AG23" s="3912" t="n"/>
      <c r="AH23" s="3912" t="n"/>
      <c r="AI23" s="3912" t="n"/>
      <c r="AJ23" s="3912" t="n"/>
      <c r="AK23" s="3912" t="n"/>
      <c r="AL23" s="3912" t="n"/>
      <c r="AM23" s="3912" t="n"/>
      <c r="AN23" s="3912" t="n"/>
      <c r="AO23" s="3912" t="n"/>
      <c r="AP23" s="3913">
        <f>Q23</f>
        <v/>
      </c>
      <c r="AQ23" s="3913">
        <f>AC23</f>
        <v/>
      </c>
      <c r="AR23" s="3913">
        <f>AO23</f>
        <v/>
      </c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4">
        <f>IF(COUNT(F22:F23)=0,"",SUM(F22:F23))</f>
        <v/>
      </c>
      <c r="G24" s="3914">
        <f>IF(COUNT(G22:G23)=0,"",SUM(G22:G23))</f>
        <v/>
      </c>
      <c r="H24" s="3914">
        <f>IF(COUNT(H22:H23)=0,"",SUM(H22:H23))</f>
        <v/>
      </c>
      <c r="I24" s="3914">
        <f>IF(COUNT(I22:I23)=0,"",SUM(I22:I23))</f>
        <v/>
      </c>
      <c r="J24" s="3914">
        <f>IF(COUNT(J22:J23)=0,"",SUM(J22:J23))</f>
        <v/>
      </c>
      <c r="K24" s="3914">
        <f>IF(COUNT(K22:K23)=0,"",SUM(K22:K23))</f>
        <v/>
      </c>
      <c r="L24" s="3914">
        <f>IF(COUNT(L22:L23)=0,"",SUM(L22:L23))</f>
        <v/>
      </c>
      <c r="M24" s="3914">
        <f>IF(COUNT(M22:M23)=0,"",SUM(M22:M23))</f>
        <v/>
      </c>
      <c r="N24" s="3914">
        <f>IF(COUNT(N22:N23)=0,"",SUM(N22:N23))</f>
        <v/>
      </c>
      <c r="O24" s="3914">
        <f>IF(COUNT(O22:O23)=0,"",SUM(O22:O23))</f>
        <v/>
      </c>
      <c r="P24" s="3914">
        <f>IF(COUNT(P22:P23)=0,"",SUM(P22:P23))</f>
        <v/>
      </c>
      <c r="Q24" s="3914">
        <f>IF(COUNT(Q22:Q23)=0,"",SUM(Q22:Q23))</f>
        <v/>
      </c>
      <c r="R24" s="3914">
        <f>IF(COUNT(R22:R23)=0,"",SUM(R22:R23))</f>
        <v/>
      </c>
      <c r="S24" s="3914">
        <f>IF(COUNT(S22:S23)=0,"",SUM(S22:S23))</f>
        <v/>
      </c>
      <c r="T24" s="3914">
        <f>IF(COUNT(T22:T23)=0,"",SUM(T22:T23))</f>
        <v/>
      </c>
      <c r="U24" s="3914">
        <f>IF(COUNT(U22:U23)=0,"",SUM(U22:U23))</f>
        <v/>
      </c>
      <c r="V24" s="3914">
        <f>IF(COUNT(V22:V23)=0,"",SUM(V22:V23))</f>
        <v/>
      </c>
      <c r="W24" s="3914">
        <f>IF(COUNT(W22:W23)=0,"",SUM(W22:W23))</f>
        <v/>
      </c>
      <c r="X24" s="3914">
        <f>IF(COUNT(X22:X23)=0,"",SUM(X22:X23))</f>
        <v/>
      </c>
      <c r="Y24" s="3914">
        <f>IF(COUNT(Y22:Y23)=0,"",SUM(Y22:Y23))</f>
        <v/>
      </c>
      <c r="Z24" s="3914">
        <f>IF(COUNT(Z22:Z23)=0,"",SUM(Z22:Z23))</f>
        <v/>
      </c>
      <c r="AA24" s="3914">
        <f>IF(COUNT(AA22:AA23)=0,"",SUM(AA22:AA23))</f>
        <v/>
      </c>
      <c r="AB24" s="3914">
        <f>IF(COUNT(AB22:AB23)=0,"",SUM(AB22:AB23))</f>
        <v/>
      </c>
      <c r="AC24" s="3914">
        <f>IF(COUNT(AC22:AC23)=0,"",SUM(AC22:AC23))</f>
        <v/>
      </c>
      <c r="AD24" s="3914">
        <f>IF(COUNT(AD22:AD23)=0,"",SUM(AD22:AD23))</f>
        <v/>
      </c>
      <c r="AE24" s="3914">
        <f>IF(COUNT(AE22:AE23)=0,"",SUM(AE22:AE23))</f>
        <v/>
      </c>
      <c r="AF24" s="3914">
        <f>IF(COUNT(AF22:AF23)=0,"",SUM(AF22:AF23))</f>
        <v/>
      </c>
      <c r="AG24" s="3914">
        <f>IF(COUNT(AG22:AG23)=0,"",SUM(AG22:AG23))</f>
        <v/>
      </c>
      <c r="AH24" s="3914">
        <f>IF(COUNT(AH22:AH23)=0,"",SUM(AH22:AH23))</f>
        <v/>
      </c>
      <c r="AI24" s="3914">
        <f>IF(COUNT(AI22:AI23)=0,"",SUM(AI22:AI23))</f>
        <v/>
      </c>
      <c r="AJ24" s="3914">
        <f>IF(COUNT(AJ22:AJ23)=0,"",SUM(AJ22:AJ23))</f>
        <v/>
      </c>
      <c r="AK24" s="3914">
        <f>IF(COUNT(AK22:AK23)=0,"",SUM(AK22:AK23))</f>
        <v/>
      </c>
      <c r="AL24" s="3914">
        <f>IF(COUNT(AL22:AL23)=0,"",SUM(AL22:AL23))</f>
        <v/>
      </c>
      <c r="AM24" s="3914">
        <f>IF(COUNT(AM22:AM23)=0,"",SUM(AM22:AM23))</f>
        <v/>
      </c>
      <c r="AN24" s="3914">
        <f>IF(COUNT(AN22:AN23)=0,"",SUM(AN22:AN23))</f>
        <v/>
      </c>
      <c r="AO24" s="3914">
        <f>IF(COUNT(AO22:AO23)=0,"",SUM(AO22:AO23))</f>
        <v/>
      </c>
      <c r="AP24" s="3915">
        <f>Q24</f>
        <v/>
      </c>
      <c r="AQ24" s="3915">
        <f>AC24</f>
        <v/>
      </c>
      <c r="AR24" s="3915">
        <f>AO24</f>
        <v/>
      </c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BS_CHECKS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Balance check (Assets - Liab&amp;Eq)</t>
        </is>
      </c>
      <c r="B28" s="3876" t="n"/>
      <c r="C28" s="3876" t="n"/>
      <c r="D28" s="3876" t="n"/>
      <c r="E28" s="3876" t="n"/>
      <c r="F28" s="3920">
        <f>IF(OR(F16="",F24=""),"",F16-F24)</f>
        <v/>
      </c>
      <c r="G28" s="3920">
        <f>IF(OR(G16="",G24=""),"",G16-G24)</f>
        <v/>
      </c>
      <c r="H28" s="3920">
        <f>IF(OR(H16="",H24=""),"",H16-H24)</f>
        <v/>
      </c>
      <c r="I28" s="3920">
        <f>IF(OR(I16="",I24=""),"",I16-I24)</f>
        <v/>
      </c>
      <c r="J28" s="3920">
        <f>IF(OR(J16="",J24=""),"",J16-J24)</f>
        <v/>
      </c>
      <c r="K28" s="3920">
        <f>IF(OR(K16="",K24=""),"",K16-K24)</f>
        <v/>
      </c>
      <c r="L28" s="3920">
        <f>IF(OR(L16="",L24=""),"",L16-L24)</f>
        <v/>
      </c>
      <c r="M28" s="3920">
        <f>IF(OR(M16="",M24=""),"",M16-M24)</f>
        <v/>
      </c>
      <c r="N28" s="3920">
        <f>IF(OR(N16="",N24=""),"",N16-N24)</f>
        <v/>
      </c>
      <c r="O28" s="3920">
        <f>IF(OR(O16="",O24=""),"",O16-O24)</f>
        <v/>
      </c>
      <c r="P28" s="3920">
        <f>IF(OR(P16="",P24=""),"",P16-P24)</f>
        <v/>
      </c>
      <c r="Q28" s="3920">
        <f>IF(OR(Q16="",Q24=""),"",Q16-Q24)</f>
        <v/>
      </c>
      <c r="R28" s="3920">
        <f>IF(OR(R16="",R24=""),"",R16-R24)</f>
        <v/>
      </c>
      <c r="S28" s="3920">
        <f>IF(OR(S16="",S24=""),"",S16-S24)</f>
        <v/>
      </c>
      <c r="T28" s="3920">
        <f>IF(OR(T16="",T24=""),"",T16-T24)</f>
        <v/>
      </c>
      <c r="U28" s="3920">
        <f>IF(OR(U16="",U24=""),"",U16-U24)</f>
        <v/>
      </c>
      <c r="V28" s="3920">
        <f>IF(OR(V16="",V24=""),"",V16-V24)</f>
        <v/>
      </c>
      <c r="W28" s="3920">
        <f>IF(OR(W16="",W24=""),"",W16-W24)</f>
        <v/>
      </c>
      <c r="X28" s="3920">
        <f>IF(OR(X16="",X24=""),"",X16-X24)</f>
        <v/>
      </c>
      <c r="Y28" s="3920">
        <f>IF(OR(Y16="",Y24=""),"",Y16-Y24)</f>
        <v/>
      </c>
      <c r="Z28" s="3920">
        <f>IF(OR(Z16="",Z24=""),"",Z16-Z24)</f>
        <v/>
      </c>
      <c r="AA28" s="3920">
        <f>IF(OR(AA16="",AA24=""),"",AA16-AA24)</f>
        <v/>
      </c>
      <c r="AB28" s="3920">
        <f>IF(OR(AB16="",AB24=""),"",AB16-AB24)</f>
        <v/>
      </c>
      <c r="AC28" s="3920">
        <f>IF(OR(AC16="",AC24=""),"",AC16-AC24)</f>
        <v/>
      </c>
      <c r="AD28" s="3920">
        <f>IF(OR(AD16="",AD24=""),"",AD16-AD24)</f>
        <v/>
      </c>
      <c r="AE28" s="3920">
        <f>IF(OR(AE16="",AE24=""),"",AE16-AE24)</f>
        <v/>
      </c>
      <c r="AF28" s="3920">
        <f>IF(OR(AF16="",AF24=""),"",AF16-AF24)</f>
        <v/>
      </c>
      <c r="AG28" s="3920">
        <f>IF(OR(AG16="",AG24=""),"",AG16-AG24)</f>
        <v/>
      </c>
      <c r="AH28" s="3920">
        <f>IF(OR(AH16="",AH24=""),"",AH16-AH24)</f>
        <v/>
      </c>
      <c r="AI28" s="3920">
        <f>IF(OR(AI16="",AI24=""),"",AI16-AI24)</f>
        <v/>
      </c>
      <c r="AJ28" s="3920">
        <f>IF(OR(AJ16="",AJ24=""),"",AJ16-AJ24)</f>
        <v/>
      </c>
      <c r="AK28" s="3920">
        <f>IF(OR(AK16="",AK24=""),"",AK16-AK24)</f>
        <v/>
      </c>
      <c r="AL28" s="3920">
        <f>IF(OR(AL16="",AL24=""),"",AL16-AL24)</f>
        <v/>
      </c>
      <c r="AM28" s="3920">
        <f>IF(OR(AM16="",AM24=""),"",AM16-AM24)</f>
        <v/>
      </c>
      <c r="AN28" s="3920">
        <f>IF(OR(AN16="",AN24=""),"",AN16-AN24)</f>
        <v/>
      </c>
      <c r="AO28" s="3920">
        <f>IF(OR(AO16="",AO24=""),"",AO16-AO24)</f>
        <v/>
      </c>
      <c r="AP28" s="3920">
        <f>IF(OR(AP16="",AP24=""),"",AP16-AP24)</f>
        <v/>
      </c>
      <c r="AQ28" s="3920">
        <f>IF(OR(AQ16="",AQ24=""),"",AQ16-AQ24)</f>
        <v/>
      </c>
      <c r="AR28" s="3920">
        <f>IF(OR(AR16="",AR24=""),"",AR16-AR24)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Combined | CF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CF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CF_EBITDA</t>
        </is>
      </c>
      <c r="B9" s="3879" t="inlineStr">
        <is>
          <t>EBITDA</t>
        </is>
      </c>
      <c r="C9" s="3879" t="inlineStr">
        <is>
          <t>+</t>
        </is>
      </c>
      <c r="D9" s="3879" t="inlineStr">
        <is>
          <t>Link/Map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11" t="inlineStr">
        <is>
          <t>CF_CHG_NWC</t>
        </is>
      </c>
      <c r="B10" s="3879" t="inlineStr">
        <is>
          <t>Change in NWC</t>
        </is>
      </c>
      <c r="C10" s="3879" t="inlineStr">
        <is>
          <t>+</t>
        </is>
      </c>
      <c r="D10" s="3879" t="inlineStr">
        <is>
          <t>Link/Map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11" t="inlineStr">
        <is>
          <t>CF_CAPEX</t>
        </is>
      </c>
      <c r="B11" s="3879" t="inlineStr">
        <is>
          <t>Capex</t>
        </is>
      </c>
      <c r="C11" s="3879" t="inlineStr">
        <is>
          <t>+</t>
        </is>
      </c>
      <c r="D11" s="3879" t="inlineStr">
        <is>
          <t>Link/Map</t>
        </is>
      </c>
      <c r="E11" s="3879" t="inlineStr"/>
      <c r="F11" s="3912" t="n"/>
      <c r="G11" s="3912" t="n"/>
      <c r="H11" s="3912" t="n"/>
      <c r="I11" s="3912" t="n"/>
      <c r="J11" s="3912" t="n"/>
      <c r="K11" s="3912" t="n"/>
      <c r="L11" s="3912" t="n"/>
      <c r="M11" s="3912" t="n"/>
      <c r="N11" s="3912" t="n"/>
      <c r="O11" s="3912" t="n"/>
      <c r="P11" s="3912" t="n"/>
      <c r="Q11" s="3912" t="n"/>
      <c r="R11" s="3912" t="n"/>
      <c r="S11" s="3912" t="n"/>
      <c r="T11" s="3912" t="n"/>
      <c r="U11" s="3912" t="n"/>
      <c r="V11" s="3912" t="n"/>
      <c r="W11" s="3912" t="n"/>
      <c r="X11" s="3912" t="n"/>
      <c r="Y11" s="3912" t="n"/>
      <c r="Z11" s="3912" t="n"/>
      <c r="AA11" s="3912" t="n"/>
      <c r="AB11" s="3912" t="n"/>
      <c r="AC11" s="3912" t="n"/>
      <c r="AD11" s="3912" t="n"/>
      <c r="AE11" s="3912" t="n"/>
      <c r="AF11" s="3912" t="n"/>
      <c r="AG11" s="3912" t="n"/>
      <c r="AH11" s="3912" t="n"/>
      <c r="AI11" s="3912" t="n"/>
      <c r="AJ11" s="3912" t="n"/>
      <c r="AK11" s="3912" t="n"/>
      <c r="AL11" s="3912" t="n"/>
      <c r="AM11" s="3912" t="n"/>
      <c r="AN11" s="3912" t="n"/>
      <c r="AO11" s="3912" t="n"/>
      <c r="AP11" s="3913">
        <f>IF(COUNT(F11:Q11)=0,"",SUM(F11:Q11))</f>
        <v/>
      </c>
      <c r="AQ11" s="3913">
        <f>IF(COUNT(R11:AC11)=0,"",SUM(R11:AC11))</f>
        <v/>
      </c>
      <c r="AR11" s="3913">
        <f>IF(COUNT(AD11:AO11)=0,"",SUM(AD11:AO11))</f>
        <v/>
      </c>
      <c r="AS11" s="3874" t="n"/>
      <c r="AT11" s="3874" t="n"/>
      <c r="AU11" s="3874" t="n"/>
    </row>
    <row r="12">
      <c r="A12" s="3911" t="inlineStr">
        <is>
          <t>CF_OTHER</t>
        </is>
      </c>
      <c r="B12" s="3879" t="inlineStr">
        <is>
          <t>Other</t>
        </is>
      </c>
      <c r="C12" s="3879" t="inlineStr">
        <is>
          <t>+</t>
        </is>
      </c>
      <c r="D12" s="3879" t="inlineStr">
        <is>
          <t>Link/Map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11" t="inlineStr">
        <is>
          <t>CF_NET</t>
        </is>
      </c>
      <c r="B13" s="3879" t="inlineStr">
        <is>
          <t>Net cash flow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IF(COUNT(F9:F12)=0,"",SUM(F9:F12))</f>
        <v/>
      </c>
      <c r="G13" s="3914">
        <f>IF(COUNT(G9:G12)=0,"",SUM(G9:G12))</f>
        <v/>
      </c>
      <c r="H13" s="3914">
        <f>IF(COUNT(H9:H12)=0,"",SUM(H9:H12))</f>
        <v/>
      </c>
      <c r="I13" s="3914">
        <f>IF(COUNT(I9:I12)=0,"",SUM(I9:I12))</f>
        <v/>
      </c>
      <c r="J13" s="3914">
        <f>IF(COUNT(J9:J12)=0,"",SUM(J9:J12))</f>
        <v/>
      </c>
      <c r="K13" s="3914">
        <f>IF(COUNT(K9:K12)=0,"",SUM(K9:K12))</f>
        <v/>
      </c>
      <c r="L13" s="3914">
        <f>IF(COUNT(L9:L12)=0,"",SUM(L9:L12))</f>
        <v/>
      </c>
      <c r="M13" s="3914">
        <f>IF(COUNT(M9:M12)=0,"",SUM(M9:M12))</f>
        <v/>
      </c>
      <c r="N13" s="3914">
        <f>IF(COUNT(N9:N12)=0,"",SUM(N9:N12))</f>
        <v/>
      </c>
      <c r="O13" s="3914">
        <f>IF(COUNT(O9:O12)=0,"",SUM(O9:O12))</f>
        <v/>
      </c>
      <c r="P13" s="3914">
        <f>IF(COUNT(P9:P12)=0,"",SUM(P9:P12))</f>
        <v/>
      </c>
      <c r="Q13" s="3914">
        <f>IF(COUNT(Q9:Q12)=0,"",SUM(Q9:Q12))</f>
        <v/>
      </c>
      <c r="R13" s="3914">
        <f>IF(COUNT(R9:R12)=0,"",SUM(R9:R12))</f>
        <v/>
      </c>
      <c r="S13" s="3914">
        <f>IF(COUNT(S9:S12)=0,"",SUM(S9:S12))</f>
        <v/>
      </c>
      <c r="T13" s="3914">
        <f>IF(COUNT(T9:T12)=0,"",SUM(T9:T12))</f>
        <v/>
      </c>
      <c r="U13" s="3914">
        <f>IF(COUNT(U9:U12)=0,"",SUM(U9:U12))</f>
        <v/>
      </c>
      <c r="V13" s="3914">
        <f>IF(COUNT(V9:V12)=0,"",SUM(V9:V12))</f>
        <v/>
      </c>
      <c r="W13" s="3914">
        <f>IF(COUNT(W9:W12)=0,"",SUM(W9:W12))</f>
        <v/>
      </c>
      <c r="X13" s="3914">
        <f>IF(COUNT(X9:X12)=0,"",SUM(X9:X12))</f>
        <v/>
      </c>
      <c r="Y13" s="3914">
        <f>IF(COUNT(Y9:Y12)=0,"",SUM(Y9:Y12))</f>
        <v/>
      </c>
      <c r="Z13" s="3914">
        <f>IF(COUNT(Z9:Z12)=0,"",SUM(Z9:Z12))</f>
        <v/>
      </c>
      <c r="AA13" s="3914">
        <f>IF(COUNT(AA9:AA12)=0,"",SUM(AA9:AA12))</f>
        <v/>
      </c>
      <c r="AB13" s="3914">
        <f>IF(COUNT(AB9:AB12)=0,"",SUM(AB9:AB12))</f>
        <v/>
      </c>
      <c r="AC13" s="3914">
        <f>IF(COUNT(AC9:AC12)=0,"",SUM(AC9:AC12))</f>
        <v/>
      </c>
      <c r="AD13" s="3914">
        <f>IF(COUNT(AD9:AD12)=0,"",SUM(AD9:AD12))</f>
        <v/>
      </c>
      <c r="AE13" s="3914">
        <f>IF(COUNT(AE9:AE12)=0,"",SUM(AE9:AE12))</f>
        <v/>
      </c>
      <c r="AF13" s="3914">
        <f>IF(COUNT(AF9:AF12)=0,"",SUM(AF9:AF12))</f>
        <v/>
      </c>
      <c r="AG13" s="3914">
        <f>IF(COUNT(AG9:AG12)=0,"",SUM(AG9:AG12))</f>
        <v/>
      </c>
      <c r="AH13" s="3914">
        <f>IF(COUNT(AH9:AH12)=0,"",SUM(AH9:AH12))</f>
        <v/>
      </c>
      <c r="AI13" s="3914">
        <f>IF(COUNT(AI9:AI12)=0,"",SUM(AI9:AI12))</f>
        <v/>
      </c>
      <c r="AJ13" s="3914">
        <f>IF(COUNT(AJ9:AJ12)=0,"",SUM(AJ9:AJ12))</f>
        <v/>
      </c>
      <c r="AK13" s="3914">
        <f>IF(COUNT(AK9:AK12)=0,"",SUM(AK9:AK12))</f>
        <v/>
      </c>
      <c r="AL13" s="3914">
        <f>IF(COUNT(AL9:AL12)=0,"",SUM(AL9:AL12))</f>
        <v/>
      </c>
      <c r="AM13" s="3914">
        <f>IF(COUNT(AM9:AM12)=0,"",SUM(AM9:AM12))</f>
        <v/>
      </c>
      <c r="AN13" s="3914">
        <f>IF(COUNT(AN9:AN12)=0,"",SUM(AN9:AN12))</f>
        <v/>
      </c>
      <c r="AO13" s="3914">
        <f>IF(COUNT(AO9:AO12)=0,"",SUM(AO9:AO12))</f>
        <v/>
      </c>
      <c r="AP13" s="3915">
        <f>IF(COUNT(F13:Q13)=0,"",SUM(F13:Q13))</f>
        <v/>
      </c>
      <c r="AQ13" s="3915">
        <f>IF(COUNT(R13:AC13)=0,"",SUM(R13:AC13))</f>
        <v/>
      </c>
      <c r="AR13" s="3915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CF_CHECKS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Net cash tie-out</t>
        </is>
      </c>
      <c r="B28" s="3876" t="n"/>
      <c r="C28" s="3876" t="n"/>
      <c r="D28" s="3876" t="n"/>
      <c r="E28" s="3876" t="n"/>
      <c r="F28" s="3920">
        <f>IF(F13="","",F13-SUM(F9:F12))</f>
        <v/>
      </c>
      <c r="G28" s="3920">
        <f>IF(G13="","",G13-SUM(G9:G12))</f>
        <v/>
      </c>
      <c r="H28" s="3920">
        <f>IF(H13="","",H13-SUM(H9:H12))</f>
        <v/>
      </c>
      <c r="I28" s="3920">
        <f>IF(I13="","",I13-SUM(I9:I12))</f>
        <v/>
      </c>
      <c r="J28" s="3920">
        <f>IF(J13="","",J13-SUM(J9:J12))</f>
        <v/>
      </c>
      <c r="K28" s="3920">
        <f>IF(K13="","",K13-SUM(K9:K12))</f>
        <v/>
      </c>
      <c r="L28" s="3920">
        <f>IF(L13="","",L13-SUM(L9:L12))</f>
        <v/>
      </c>
      <c r="M28" s="3920">
        <f>IF(M13="","",M13-SUM(M9:M12))</f>
        <v/>
      </c>
      <c r="N28" s="3920">
        <f>IF(N13="","",N13-SUM(N9:N12))</f>
        <v/>
      </c>
      <c r="O28" s="3920">
        <f>IF(O13="","",O13-SUM(O9:O12))</f>
        <v/>
      </c>
      <c r="P28" s="3920">
        <f>IF(P13="","",P13-SUM(P9:P12))</f>
        <v/>
      </c>
      <c r="Q28" s="3920">
        <f>IF(Q13="","",Q13-SUM(Q9:Q12))</f>
        <v/>
      </c>
      <c r="R28" s="3920">
        <f>IF(R13="","",R13-SUM(R9:R12))</f>
        <v/>
      </c>
      <c r="S28" s="3920">
        <f>IF(S13="","",S13-SUM(S9:S12))</f>
        <v/>
      </c>
      <c r="T28" s="3920">
        <f>IF(T13="","",T13-SUM(T9:T12))</f>
        <v/>
      </c>
      <c r="U28" s="3920">
        <f>IF(U13="","",U13-SUM(U9:U12))</f>
        <v/>
      </c>
      <c r="V28" s="3920">
        <f>IF(V13="","",V13-SUM(V9:V12))</f>
        <v/>
      </c>
      <c r="W28" s="3920">
        <f>IF(W13="","",W13-SUM(W9:W12))</f>
        <v/>
      </c>
      <c r="X28" s="3920">
        <f>IF(X13="","",X13-SUM(X9:X12))</f>
        <v/>
      </c>
      <c r="Y28" s="3920">
        <f>IF(Y13="","",Y13-SUM(Y9:Y12))</f>
        <v/>
      </c>
      <c r="Z28" s="3920">
        <f>IF(Z13="","",Z13-SUM(Z9:Z12))</f>
        <v/>
      </c>
      <c r="AA28" s="3920">
        <f>IF(AA13="","",AA13-SUM(AA9:AA12))</f>
        <v/>
      </c>
      <c r="AB28" s="3920">
        <f>IF(AB13="","",AB13-SUM(AB9:AB12))</f>
        <v/>
      </c>
      <c r="AC28" s="3920">
        <f>IF(AC13="","",AC13-SUM(AC9:AC12))</f>
        <v/>
      </c>
      <c r="AD28" s="3920">
        <f>IF(AD13="","",AD13-SUM(AD9:AD12))</f>
        <v/>
      </c>
      <c r="AE28" s="3920">
        <f>IF(AE13="","",AE13-SUM(AE9:AE12))</f>
        <v/>
      </c>
      <c r="AF28" s="3920">
        <f>IF(AF13="","",AF13-SUM(AF9:AF12))</f>
        <v/>
      </c>
      <c r="AG28" s="3920">
        <f>IF(AG13="","",AG13-SUM(AG9:AG12))</f>
        <v/>
      </c>
      <c r="AH28" s="3920">
        <f>IF(AH13="","",AH13-SUM(AH9:AH12))</f>
        <v/>
      </c>
      <c r="AI28" s="3920">
        <f>IF(AI13="","",AI13-SUM(AI9:AI12))</f>
        <v/>
      </c>
      <c r="AJ28" s="3920">
        <f>IF(AJ13="","",AJ13-SUM(AJ9:AJ12))</f>
        <v/>
      </c>
      <c r="AK28" s="3920">
        <f>IF(AK13="","",AK13-SUM(AK9:AK12))</f>
        <v/>
      </c>
      <c r="AL28" s="3920">
        <f>IF(AL13="","",AL13-SUM(AL9:AL12))</f>
        <v/>
      </c>
      <c r="AM28" s="3920">
        <f>IF(AM13="","",AM13-SUM(AM9:AM12))</f>
        <v/>
      </c>
      <c r="AN28" s="3920">
        <f>IF(AN13="","",AN13-SUM(AN9:AN12))</f>
        <v/>
      </c>
      <c r="AO28" s="3920">
        <f>IF(AO13="","",AO13-SUM(AO9:AO12))</f>
        <v/>
      </c>
      <c r="AP28" s="3920">
        <f>IF(AP13="","",AP13-SUM(AP9:AP12))</f>
        <v/>
      </c>
      <c r="AQ28" s="3920">
        <f>IF(AQ13="","",AQ13-SUM(AQ9:AQ12))</f>
        <v/>
      </c>
      <c r="AR28" s="3920">
        <f>IF(AR13="","",AR13-SUM(AR9:AR12))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Entity 1 | IS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IS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IS_REV</t>
        </is>
      </c>
      <c r="B9" s="3879" t="inlineStr">
        <is>
          <t>Revenue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11" t="inlineStr">
        <is>
          <t>IS_COGS</t>
        </is>
      </c>
      <c r="B10" s="3879" t="inlineStr">
        <is>
          <t>Cost of goods sold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11" t="inlineStr">
        <is>
          <t>IS_GP</t>
        </is>
      </c>
      <c r="B11" s="3879" t="inlineStr">
        <is>
          <t>Gross profit</t>
        </is>
      </c>
      <c r="C11" s="3879" t="inlineStr">
        <is>
          <t>+</t>
        </is>
      </c>
      <c r="D11" s="3879" t="inlineStr">
        <is>
          <t>Formula</t>
        </is>
      </c>
      <c r="E11" s="3879" t="inlineStr">
        <is>
          <t>Derived</t>
        </is>
      </c>
      <c r="F11" s="3914">
        <f>IF(OR(F9="",F10=""),"",F9+F10)</f>
        <v/>
      </c>
      <c r="G11" s="3914">
        <f>IF(OR(G9="",G10=""),"",G9+G10)</f>
        <v/>
      </c>
      <c r="H11" s="3914">
        <f>IF(OR(H9="",H10=""),"",H9+H10)</f>
        <v/>
      </c>
      <c r="I11" s="3914">
        <f>IF(OR(I9="",I10=""),"",I9+I10)</f>
        <v/>
      </c>
      <c r="J11" s="3914">
        <f>IF(OR(J9="",J10=""),"",J9+J10)</f>
        <v/>
      </c>
      <c r="K11" s="3914">
        <f>IF(OR(K9="",K10=""),"",K9+K10)</f>
        <v/>
      </c>
      <c r="L11" s="3914">
        <f>IF(OR(L9="",L10=""),"",L9+L10)</f>
        <v/>
      </c>
      <c r="M11" s="3914">
        <f>IF(OR(M9="",M10=""),"",M9+M10)</f>
        <v/>
      </c>
      <c r="N11" s="3914">
        <f>IF(OR(N9="",N10=""),"",N9+N10)</f>
        <v/>
      </c>
      <c r="O11" s="3914">
        <f>IF(OR(O9="",O10=""),"",O9+O10)</f>
        <v/>
      </c>
      <c r="P11" s="3914">
        <f>IF(OR(P9="",P10=""),"",P9+P10)</f>
        <v/>
      </c>
      <c r="Q11" s="3914">
        <f>IF(OR(Q9="",Q10=""),"",Q9+Q10)</f>
        <v/>
      </c>
      <c r="R11" s="3914">
        <f>IF(OR(R9="",R10=""),"",R9+R10)</f>
        <v/>
      </c>
      <c r="S11" s="3914">
        <f>IF(OR(S9="",S10=""),"",S9+S10)</f>
        <v/>
      </c>
      <c r="T11" s="3914">
        <f>IF(OR(T9="",T10=""),"",T9+T10)</f>
        <v/>
      </c>
      <c r="U11" s="3914">
        <f>IF(OR(U9="",U10=""),"",U9+U10)</f>
        <v/>
      </c>
      <c r="V11" s="3914">
        <f>IF(OR(V9="",V10=""),"",V9+V10)</f>
        <v/>
      </c>
      <c r="W11" s="3914">
        <f>IF(OR(W9="",W10=""),"",W9+W10)</f>
        <v/>
      </c>
      <c r="X11" s="3914">
        <f>IF(OR(X9="",X10=""),"",X9+X10)</f>
        <v/>
      </c>
      <c r="Y11" s="3914">
        <f>IF(OR(Y9="",Y10=""),"",Y9+Y10)</f>
        <v/>
      </c>
      <c r="Z11" s="3914">
        <f>IF(OR(Z9="",Z10=""),"",Z9+Z10)</f>
        <v/>
      </c>
      <c r="AA11" s="3914">
        <f>IF(OR(AA9="",AA10=""),"",AA9+AA10)</f>
        <v/>
      </c>
      <c r="AB11" s="3914">
        <f>IF(OR(AB9="",AB10=""),"",AB9+AB10)</f>
        <v/>
      </c>
      <c r="AC11" s="3914">
        <f>IF(OR(AC9="",AC10=""),"",AC9+AC10)</f>
        <v/>
      </c>
      <c r="AD11" s="3914">
        <f>IF(OR(AD9="",AD10=""),"",AD9+AD10)</f>
        <v/>
      </c>
      <c r="AE11" s="3914">
        <f>IF(OR(AE9="",AE10=""),"",AE9+AE10)</f>
        <v/>
      </c>
      <c r="AF11" s="3914">
        <f>IF(OR(AF9="",AF10=""),"",AF9+AF10)</f>
        <v/>
      </c>
      <c r="AG11" s="3914">
        <f>IF(OR(AG9="",AG10=""),"",AG9+AG10)</f>
        <v/>
      </c>
      <c r="AH11" s="3914">
        <f>IF(OR(AH9="",AH10=""),"",AH9+AH10)</f>
        <v/>
      </c>
      <c r="AI11" s="3914">
        <f>IF(OR(AI9="",AI10=""),"",AI9+AI10)</f>
        <v/>
      </c>
      <c r="AJ11" s="3914">
        <f>IF(OR(AJ9="",AJ10=""),"",AJ9+AJ10)</f>
        <v/>
      </c>
      <c r="AK11" s="3914">
        <f>IF(OR(AK9="",AK10=""),"",AK9+AK10)</f>
        <v/>
      </c>
      <c r="AL11" s="3914">
        <f>IF(OR(AL9="",AL10=""),"",AL9+AL10)</f>
        <v/>
      </c>
      <c r="AM11" s="3914">
        <f>IF(OR(AM9="",AM10=""),"",AM9+AM10)</f>
        <v/>
      </c>
      <c r="AN11" s="3914">
        <f>IF(OR(AN9="",AN10=""),"",AN9+AN10)</f>
        <v/>
      </c>
      <c r="AO11" s="3914">
        <f>IF(OR(AO9="",AO10=""),"",AO9+AO10)</f>
        <v/>
      </c>
      <c r="AP11" s="3915">
        <f>IF(COUNT(F11:Q11)=0,"",SUM(F11:Q11))</f>
        <v/>
      </c>
      <c r="AQ11" s="3915">
        <f>IF(COUNT(R11:AC11)=0,"",SUM(R11:AC11))</f>
        <v/>
      </c>
      <c r="AR11" s="3915">
        <f>IF(COUNT(AD11:AO11)=0,"",SUM(AD11:AO11))</f>
        <v/>
      </c>
      <c r="AS11" s="3874" t="n"/>
      <c r="AT11" s="3874" t="n"/>
      <c r="AU11" s="3874" t="n"/>
    </row>
    <row r="12">
      <c r="A12" s="3911" t="inlineStr">
        <is>
          <t>IS_OPEX</t>
        </is>
      </c>
      <c r="B12" s="3879" t="inlineStr">
        <is>
          <t>Operating expenses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11" t="inlineStr">
        <is>
          <t>IS_EBITDA</t>
        </is>
      </c>
      <c r="B13" s="3879" t="inlineStr">
        <is>
          <t>EBITDA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IF(OR(F11="",F12=""),"",F11+F12)</f>
        <v/>
      </c>
      <c r="G13" s="3914">
        <f>IF(OR(G11="",G12=""),"",G11+G12)</f>
        <v/>
      </c>
      <c r="H13" s="3914">
        <f>IF(OR(H11="",H12=""),"",H11+H12)</f>
        <v/>
      </c>
      <c r="I13" s="3914">
        <f>IF(OR(I11="",I12=""),"",I11+I12)</f>
        <v/>
      </c>
      <c r="J13" s="3914">
        <f>IF(OR(J11="",J12=""),"",J11+J12)</f>
        <v/>
      </c>
      <c r="K13" s="3914">
        <f>IF(OR(K11="",K12=""),"",K11+K12)</f>
        <v/>
      </c>
      <c r="L13" s="3914">
        <f>IF(OR(L11="",L12=""),"",L11+L12)</f>
        <v/>
      </c>
      <c r="M13" s="3914">
        <f>IF(OR(M11="",M12=""),"",M11+M12)</f>
        <v/>
      </c>
      <c r="N13" s="3914">
        <f>IF(OR(N11="",N12=""),"",N11+N12)</f>
        <v/>
      </c>
      <c r="O13" s="3914">
        <f>IF(OR(O11="",O12=""),"",O11+O12)</f>
        <v/>
      </c>
      <c r="P13" s="3914">
        <f>IF(OR(P11="",P12=""),"",P11+P12)</f>
        <v/>
      </c>
      <c r="Q13" s="3914">
        <f>IF(OR(Q11="",Q12=""),"",Q11+Q12)</f>
        <v/>
      </c>
      <c r="R13" s="3914">
        <f>IF(OR(R11="",R12=""),"",R11+R12)</f>
        <v/>
      </c>
      <c r="S13" s="3914">
        <f>IF(OR(S11="",S12=""),"",S11+S12)</f>
        <v/>
      </c>
      <c r="T13" s="3914">
        <f>IF(OR(T11="",T12=""),"",T11+T12)</f>
        <v/>
      </c>
      <c r="U13" s="3914">
        <f>IF(OR(U11="",U12=""),"",U11+U12)</f>
        <v/>
      </c>
      <c r="V13" s="3914">
        <f>IF(OR(V11="",V12=""),"",V11+V12)</f>
        <v/>
      </c>
      <c r="W13" s="3914">
        <f>IF(OR(W11="",W12=""),"",W11+W12)</f>
        <v/>
      </c>
      <c r="X13" s="3914">
        <f>IF(OR(X11="",X12=""),"",X11+X12)</f>
        <v/>
      </c>
      <c r="Y13" s="3914">
        <f>IF(OR(Y11="",Y12=""),"",Y11+Y12)</f>
        <v/>
      </c>
      <c r="Z13" s="3914">
        <f>IF(OR(Z11="",Z12=""),"",Z11+Z12)</f>
        <v/>
      </c>
      <c r="AA13" s="3914">
        <f>IF(OR(AA11="",AA12=""),"",AA11+AA12)</f>
        <v/>
      </c>
      <c r="AB13" s="3914">
        <f>IF(OR(AB11="",AB12=""),"",AB11+AB12)</f>
        <v/>
      </c>
      <c r="AC13" s="3914">
        <f>IF(OR(AC11="",AC12=""),"",AC11+AC12)</f>
        <v/>
      </c>
      <c r="AD13" s="3914">
        <f>IF(OR(AD11="",AD12=""),"",AD11+AD12)</f>
        <v/>
      </c>
      <c r="AE13" s="3914">
        <f>IF(OR(AE11="",AE12=""),"",AE11+AE12)</f>
        <v/>
      </c>
      <c r="AF13" s="3914">
        <f>IF(OR(AF11="",AF12=""),"",AF11+AF12)</f>
        <v/>
      </c>
      <c r="AG13" s="3914">
        <f>IF(OR(AG11="",AG12=""),"",AG11+AG12)</f>
        <v/>
      </c>
      <c r="AH13" s="3914">
        <f>IF(OR(AH11="",AH12=""),"",AH11+AH12)</f>
        <v/>
      </c>
      <c r="AI13" s="3914">
        <f>IF(OR(AI11="",AI12=""),"",AI11+AI12)</f>
        <v/>
      </c>
      <c r="AJ13" s="3914">
        <f>IF(OR(AJ11="",AJ12=""),"",AJ11+AJ12)</f>
        <v/>
      </c>
      <c r="AK13" s="3914">
        <f>IF(OR(AK11="",AK12=""),"",AK11+AK12)</f>
        <v/>
      </c>
      <c r="AL13" s="3914">
        <f>IF(OR(AL11="",AL12=""),"",AL11+AL12)</f>
        <v/>
      </c>
      <c r="AM13" s="3914">
        <f>IF(OR(AM11="",AM12=""),"",AM11+AM12)</f>
        <v/>
      </c>
      <c r="AN13" s="3914">
        <f>IF(OR(AN11="",AN12=""),"",AN11+AN12)</f>
        <v/>
      </c>
      <c r="AO13" s="3914">
        <f>IF(OR(AO11="",AO12=""),"",AO11+AO12)</f>
        <v/>
      </c>
      <c r="AP13" s="3915">
        <f>IF(COUNT(F13:Q13)=0,"",SUM(F13:Q13))</f>
        <v/>
      </c>
      <c r="AQ13" s="3915">
        <f>IF(COUNT(R13:AC13)=0,"",SUM(R13:AC13))</f>
        <v/>
      </c>
      <c r="AR13" s="3915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IS_CHECKS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Gross profit tie-out</t>
        </is>
      </c>
      <c r="B28" s="3876" t="n"/>
      <c r="C28" s="3876" t="n"/>
      <c r="D28" s="3876" t="n"/>
      <c r="E28" s="3876" t="n"/>
      <c r="F28" s="3920">
        <f>IF(F11="","",F11-(F9+F10))</f>
        <v/>
      </c>
      <c r="G28" s="3920">
        <f>IF(G11="","",G11-(G9+G10))</f>
        <v/>
      </c>
      <c r="H28" s="3920">
        <f>IF(H11="","",H11-(H9+H10))</f>
        <v/>
      </c>
      <c r="I28" s="3920">
        <f>IF(I11="","",I11-(I9+I10))</f>
        <v/>
      </c>
      <c r="J28" s="3920">
        <f>IF(J11="","",J11-(J9+J10))</f>
        <v/>
      </c>
      <c r="K28" s="3920">
        <f>IF(K11="","",K11-(K9+K10))</f>
        <v/>
      </c>
      <c r="L28" s="3920">
        <f>IF(L11="","",L11-(L9+L10))</f>
        <v/>
      </c>
      <c r="M28" s="3920">
        <f>IF(M11="","",M11-(M9+M10))</f>
        <v/>
      </c>
      <c r="N28" s="3920">
        <f>IF(N11="","",N11-(N9+N10))</f>
        <v/>
      </c>
      <c r="O28" s="3920">
        <f>IF(O11="","",O11-(O9+O10))</f>
        <v/>
      </c>
      <c r="P28" s="3920">
        <f>IF(P11="","",P11-(P9+P10))</f>
        <v/>
      </c>
      <c r="Q28" s="3920">
        <f>IF(Q11="","",Q11-(Q9+Q10))</f>
        <v/>
      </c>
      <c r="R28" s="3920">
        <f>IF(R11="","",R11-(R9+R10))</f>
        <v/>
      </c>
      <c r="S28" s="3920">
        <f>IF(S11="","",S11-(S9+S10))</f>
        <v/>
      </c>
      <c r="T28" s="3920">
        <f>IF(T11="","",T11-(T9+T10))</f>
        <v/>
      </c>
      <c r="U28" s="3920">
        <f>IF(U11="","",U11-(U9+U10))</f>
        <v/>
      </c>
      <c r="V28" s="3920">
        <f>IF(V11="","",V11-(V9+V10))</f>
        <v/>
      </c>
      <c r="W28" s="3920">
        <f>IF(W11="","",W11-(W9+W10))</f>
        <v/>
      </c>
      <c r="X28" s="3920">
        <f>IF(X11="","",X11-(X9+X10))</f>
        <v/>
      </c>
      <c r="Y28" s="3920">
        <f>IF(Y11="","",Y11-(Y9+Y10))</f>
        <v/>
      </c>
      <c r="Z28" s="3920">
        <f>IF(Z11="","",Z11-(Z9+Z10))</f>
        <v/>
      </c>
      <c r="AA28" s="3920">
        <f>IF(AA11="","",AA11-(AA9+AA10))</f>
        <v/>
      </c>
      <c r="AB28" s="3920">
        <f>IF(AB11="","",AB11-(AB9+AB10))</f>
        <v/>
      </c>
      <c r="AC28" s="3920">
        <f>IF(AC11="","",AC11-(AC9+AC10))</f>
        <v/>
      </c>
      <c r="AD28" s="3920">
        <f>IF(AD11="","",AD11-(AD9+AD10))</f>
        <v/>
      </c>
      <c r="AE28" s="3920">
        <f>IF(AE11="","",AE11-(AE9+AE10))</f>
        <v/>
      </c>
      <c r="AF28" s="3920">
        <f>IF(AF11="","",AF11-(AF9+AF10))</f>
        <v/>
      </c>
      <c r="AG28" s="3920">
        <f>IF(AG11="","",AG11-(AG9+AG10))</f>
        <v/>
      </c>
      <c r="AH28" s="3920">
        <f>IF(AH11="","",AH11-(AH9+AH10))</f>
        <v/>
      </c>
      <c r="AI28" s="3920">
        <f>IF(AI11="","",AI11-(AI9+AI10))</f>
        <v/>
      </c>
      <c r="AJ28" s="3920">
        <f>IF(AJ11="","",AJ11-(AJ9+AJ10))</f>
        <v/>
      </c>
      <c r="AK28" s="3920">
        <f>IF(AK11="","",AK11-(AK9+AK10))</f>
        <v/>
      </c>
      <c r="AL28" s="3920">
        <f>IF(AL11="","",AL11-(AL9+AL10))</f>
        <v/>
      </c>
      <c r="AM28" s="3920">
        <f>IF(AM11="","",AM11-(AM9+AM10))</f>
        <v/>
      </c>
      <c r="AN28" s="3920">
        <f>IF(AN11="","",AN11-(AN9+AN10))</f>
        <v/>
      </c>
      <c r="AO28" s="3920">
        <f>IF(AO11="","",AO11-(AO9+AO10))</f>
        <v/>
      </c>
      <c r="AP28" s="3920">
        <f>IF(AP11="","",AP11-(AP9+AP10))</f>
        <v/>
      </c>
      <c r="AQ28" s="3920">
        <f>IF(AQ11="","",AQ11-(AQ9+AQ10))</f>
        <v/>
      </c>
      <c r="AR28" s="3920">
        <f>IF(AR11="","",AR11-(AR9+AR10))</f>
        <v/>
      </c>
      <c r="AS28" s="3874" t="n"/>
      <c r="AT28" s="3874" t="n"/>
      <c r="AU28" s="3874" t="n"/>
    </row>
    <row r="29">
      <c r="A29" s="3876" t="inlineStr">
        <is>
          <t>EBITDA tie-out</t>
        </is>
      </c>
      <c r="B29" s="3876" t="n"/>
      <c r="C29" s="3876" t="n"/>
      <c r="D29" s="3876" t="n"/>
      <c r="E29" s="3876" t="n"/>
      <c r="F29" s="3920">
        <f>IF(F13="","",F13-(F11+F12))</f>
        <v/>
      </c>
      <c r="G29" s="3920">
        <f>IF(G13="","",G13-(G11+G12))</f>
        <v/>
      </c>
      <c r="H29" s="3920">
        <f>IF(H13="","",H13-(H11+H12))</f>
        <v/>
      </c>
      <c r="I29" s="3920">
        <f>IF(I13="","",I13-(I11+I12))</f>
        <v/>
      </c>
      <c r="J29" s="3920">
        <f>IF(J13="","",J13-(J11+J12))</f>
        <v/>
      </c>
      <c r="K29" s="3920">
        <f>IF(K13="","",K13-(K11+K12))</f>
        <v/>
      </c>
      <c r="L29" s="3920">
        <f>IF(L13="","",L13-(L11+L12))</f>
        <v/>
      </c>
      <c r="M29" s="3920">
        <f>IF(M13="","",M13-(M11+M12))</f>
        <v/>
      </c>
      <c r="N29" s="3920">
        <f>IF(N13="","",N13-(N11+N12))</f>
        <v/>
      </c>
      <c r="O29" s="3920">
        <f>IF(O13="","",O13-(O11+O12))</f>
        <v/>
      </c>
      <c r="P29" s="3920">
        <f>IF(P13="","",P13-(P11+P12))</f>
        <v/>
      </c>
      <c r="Q29" s="3920">
        <f>IF(Q13="","",Q13-(Q11+Q12))</f>
        <v/>
      </c>
      <c r="R29" s="3920">
        <f>IF(R13="","",R13-(R11+R12))</f>
        <v/>
      </c>
      <c r="S29" s="3920">
        <f>IF(S13="","",S13-(S11+S12))</f>
        <v/>
      </c>
      <c r="T29" s="3920">
        <f>IF(T13="","",T13-(T11+T12))</f>
        <v/>
      </c>
      <c r="U29" s="3920">
        <f>IF(U13="","",U13-(U11+U12))</f>
        <v/>
      </c>
      <c r="V29" s="3920">
        <f>IF(V13="","",V13-(V11+V12))</f>
        <v/>
      </c>
      <c r="W29" s="3920">
        <f>IF(W13="","",W13-(W11+W12))</f>
        <v/>
      </c>
      <c r="X29" s="3920">
        <f>IF(X13="","",X13-(X11+X12))</f>
        <v/>
      </c>
      <c r="Y29" s="3920">
        <f>IF(Y13="","",Y13-(Y11+Y12))</f>
        <v/>
      </c>
      <c r="Z29" s="3920">
        <f>IF(Z13="","",Z13-(Z11+Z12))</f>
        <v/>
      </c>
      <c r="AA29" s="3920">
        <f>IF(AA13="","",AA13-(AA11+AA12))</f>
        <v/>
      </c>
      <c r="AB29" s="3920">
        <f>IF(AB13="","",AB13-(AB11+AB12))</f>
        <v/>
      </c>
      <c r="AC29" s="3920">
        <f>IF(AC13="","",AC13-(AC11+AC12))</f>
        <v/>
      </c>
      <c r="AD29" s="3920">
        <f>IF(AD13="","",AD13-(AD11+AD12))</f>
        <v/>
      </c>
      <c r="AE29" s="3920">
        <f>IF(AE13="","",AE13-(AE11+AE12))</f>
        <v/>
      </c>
      <c r="AF29" s="3920">
        <f>IF(AF13="","",AF13-(AF11+AF12))</f>
        <v/>
      </c>
      <c r="AG29" s="3920">
        <f>IF(AG13="","",AG13-(AG11+AG12))</f>
        <v/>
      </c>
      <c r="AH29" s="3920">
        <f>IF(AH13="","",AH13-(AH11+AH12))</f>
        <v/>
      </c>
      <c r="AI29" s="3920">
        <f>IF(AI13="","",AI13-(AI11+AI12))</f>
        <v/>
      </c>
      <c r="AJ29" s="3920">
        <f>IF(AJ13="","",AJ13-(AJ11+AJ12))</f>
        <v/>
      </c>
      <c r="AK29" s="3920">
        <f>IF(AK13="","",AK13-(AK11+AK12))</f>
        <v/>
      </c>
      <c r="AL29" s="3920">
        <f>IF(AL13="","",AL13-(AL11+AL12))</f>
        <v/>
      </c>
      <c r="AM29" s="3920">
        <f>IF(AM13="","",AM13-(AM11+AM12))</f>
        <v/>
      </c>
      <c r="AN29" s="3920">
        <f>IF(AN13="","",AN13-(AN11+AN12))</f>
        <v/>
      </c>
      <c r="AO29" s="3920">
        <f>IF(AO13="","",AO13-(AO11+AO12))</f>
        <v/>
      </c>
      <c r="AP29" s="3920">
        <f>IF(AP13="","",AP13-(AP11+AP12))</f>
        <v/>
      </c>
      <c r="AQ29" s="3920">
        <f>IF(AQ13="","",AQ13-(AQ11+AQ12))</f>
        <v/>
      </c>
      <c r="AR29" s="3920">
        <f>IF(AR13="","",AR13-(AR11+AR12))</f>
        <v/>
      </c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Entity 1 | BS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BS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BS_CASH</t>
        </is>
      </c>
      <c r="B9" s="3879" t="inlineStr">
        <is>
          <t>Cash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Q9</f>
        <v/>
      </c>
      <c r="AQ9" s="3913">
        <f>AC9</f>
        <v/>
      </c>
      <c r="AR9" s="3913">
        <f>AO9</f>
        <v/>
      </c>
      <c r="AS9" s="3874" t="n"/>
      <c r="AT9" s="3874" t="n"/>
      <c r="AU9" s="3874" t="n"/>
    </row>
    <row r="10">
      <c r="A10" s="3911" t="inlineStr">
        <is>
          <t>BS_AR</t>
        </is>
      </c>
      <c r="B10" s="3879" t="inlineStr">
        <is>
          <t>Accounts receivable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Q10</f>
        <v/>
      </c>
      <c r="AQ10" s="3913">
        <f>AC10</f>
        <v/>
      </c>
      <c r="AR10" s="3913">
        <f>AO10</f>
        <v/>
      </c>
      <c r="AS10" s="3874" t="n"/>
      <c r="AT10" s="3874" t="n"/>
      <c r="AU10" s="3874" t="n"/>
    </row>
    <row r="11">
      <c r="A11" s="3911" t="inlineStr">
        <is>
          <t>BS_INV</t>
        </is>
      </c>
      <c r="B11" s="3879" t="inlineStr">
        <is>
          <t>Inventory</t>
        </is>
      </c>
      <c r="C11" s="3879" t="inlineStr">
        <is>
          <t>+</t>
        </is>
      </c>
      <c r="D11" s="3879" t="inlineStr">
        <is>
          <t>TB/Map</t>
        </is>
      </c>
      <c r="E11" s="3879" t="inlineStr"/>
      <c r="F11" s="3912" t="n"/>
      <c r="G11" s="3912" t="n"/>
      <c r="H11" s="3912" t="n"/>
      <c r="I11" s="3912" t="n"/>
      <c r="J11" s="3912" t="n"/>
      <c r="K11" s="3912" t="n"/>
      <c r="L11" s="3912" t="n"/>
      <c r="M11" s="3912" t="n"/>
      <c r="N11" s="3912" t="n"/>
      <c r="O11" s="3912" t="n"/>
      <c r="P11" s="3912" t="n"/>
      <c r="Q11" s="3912" t="n"/>
      <c r="R11" s="3912" t="n"/>
      <c r="S11" s="3912" t="n"/>
      <c r="T11" s="3912" t="n"/>
      <c r="U11" s="3912" t="n"/>
      <c r="V11" s="3912" t="n"/>
      <c r="W11" s="3912" t="n"/>
      <c r="X11" s="3912" t="n"/>
      <c r="Y11" s="3912" t="n"/>
      <c r="Z11" s="3912" t="n"/>
      <c r="AA11" s="3912" t="n"/>
      <c r="AB11" s="3912" t="n"/>
      <c r="AC11" s="3912" t="n"/>
      <c r="AD11" s="3912" t="n"/>
      <c r="AE11" s="3912" t="n"/>
      <c r="AF11" s="3912" t="n"/>
      <c r="AG11" s="3912" t="n"/>
      <c r="AH11" s="3912" t="n"/>
      <c r="AI11" s="3912" t="n"/>
      <c r="AJ11" s="3912" t="n"/>
      <c r="AK11" s="3912" t="n"/>
      <c r="AL11" s="3912" t="n"/>
      <c r="AM11" s="3912" t="n"/>
      <c r="AN11" s="3912" t="n"/>
      <c r="AO11" s="3912" t="n"/>
      <c r="AP11" s="3913">
        <f>Q11</f>
        <v/>
      </c>
      <c r="AQ11" s="3913">
        <f>AC11</f>
        <v/>
      </c>
      <c r="AR11" s="3913">
        <f>AO11</f>
        <v/>
      </c>
      <c r="AS11" s="3874" t="n"/>
      <c r="AT11" s="3874" t="n"/>
      <c r="AU11" s="3874" t="n"/>
    </row>
    <row r="12">
      <c r="A12" s="3911" t="inlineStr">
        <is>
          <t>BS_OCA</t>
        </is>
      </c>
      <c r="B12" s="3879" t="inlineStr">
        <is>
          <t>Other current assets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Q12</f>
        <v/>
      </c>
      <c r="AQ12" s="3913">
        <f>AC12</f>
        <v/>
      </c>
      <c r="AR12" s="3913">
        <f>AO12</f>
        <v/>
      </c>
      <c r="AS12" s="3874" t="n"/>
      <c r="AT12" s="3874" t="n"/>
      <c r="AU12" s="3874" t="n"/>
    </row>
    <row r="13">
      <c r="A13" s="3911" t="inlineStr">
        <is>
          <t>BS_TCA</t>
        </is>
      </c>
      <c r="B13" s="3879" t="inlineStr">
        <is>
          <t>Total current assets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IF(COUNT(F9:F12)=0,"",SUM(F9:F12))</f>
        <v/>
      </c>
      <c r="G13" s="3914">
        <f>IF(COUNT(G9:G12)=0,"",SUM(G9:G12))</f>
        <v/>
      </c>
      <c r="H13" s="3914">
        <f>IF(COUNT(H9:H12)=0,"",SUM(H9:H12))</f>
        <v/>
      </c>
      <c r="I13" s="3914">
        <f>IF(COUNT(I9:I12)=0,"",SUM(I9:I12))</f>
        <v/>
      </c>
      <c r="J13" s="3914">
        <f>IF(COUNT(J9:J12)=0,"",SUM(J9:J12))</f>
        <v/>
      </c>
      <c r="K13" s="3914">
        <f>IF(COUNT(K9:K12)=0,"",SUM(K9:K12))</f>
        <v/>
      </c>
      <c r="L13" s="3914">
        <f>IF(COUNT(L9:L12)=0,"",SUM(L9:L12))</f>
        <v/>
      </c>
      <c r="M13" s="3914">
        <f>IF(COUNT(M9:M12)=0,"",SUM(M9:M12))</f>
        <v/>
      </c>
      <c r="N13" s="3914">
        <f>IF(COUNT(N9:N12)=0,"",SUM(N9:N12))</f>
        <v/>
      </c>
      <c r="O13" s="3914">
        <f>IF(COUNT(O9:O12)=0,"",SUM(O9:O12))</f>
        <v/>
      </c>
      <c r="P13" s="3914">
        <f>IF(COUNT(P9:P12)=0,"",SUM(P9:P12))</f>
        <v/>
      </c>
      <c r="Q13" s="3914">
        <f>IF(COUNT(Q9:Q12)=0,"",SUM(Q9:Q12))</f>
        <v/>
      </c>
      <c r="R13" s="3914">
        <f>IF(COUNT(R9:R12)=0,"",SUM(R9:R12))</f>
        <v/>
      </c>
      <c r="S13" s="3914">
        <f>IF(COUNT(S9:S12)=0,"",SUM(S9:S12))</f>
        <v/>
      </c>
      <c r="T13" s="3914">
        <f>IF(COUNT(T9:T12)=0,"",SUM(T9:T12))</f>
        <v/>
      </c>
      <c r="U13" s="3914">
        <f>IF(COUNT(U9:U12)=0,"",SUM(U9:U12))</f>
        <v/>
      </c>
      <c r="V13" s="3914">
        <f>IF(COUNT(V9:V12)=0,"",SUM(V9:V12))</f>
        <v/>
      </c>
      <c r="W13" s="3914">
        <f>IF(COUNT(W9:W12)=0,"",SUM(W9:W12))</f>
        <v/>
      </c>
      <c r="X13" s="3914">
        <f>IF(COUNT(X9:X12)=0,"",SUM(X9:X12))</f>
        <v/>
      </c>
      <c r="Y13" s="3914">
        <f>IF(COUNT(Y9:Y12)=0,"",SUM(Y9:Y12))</f>
        <v/>
      </c>
      <c r="Z13" s="3914">
        <f>IF(COUNT(Z9:Z12)=0,"",SUM(Z9:Z12))</f>
        <v/>
      </c>
      <c r="AA13" s="3914">
        <f>IF(COUNT(AA9:AA12)=0,"",SUM(AA9:AA12))</f>
        <v/>
      </c>
      <c r="AB13" s="3914">
        <f>IF(COUNT(AB9:AB12)=0,"",SUM(AB9:AB12))</f>
        <v/>
      </c>
      <c r="AC13" s="3914">
        <f>IF(COUNT(AC9:AC12)=0,"",SUM(AC9:AC12))</f>
        <v/>
      </c>
      <c r="AD13" s="3914">
        <f>IF(COUNT(AD9:AD12)=0,"",SUM(AD9:AD12))</f>
        <v/>
      </c>
      <c r="AE13" s="3914">
        <f>IF(COUNT(AE9:AE12)=0,"",SUM(AE9:AE12))</f>
        <v/>
      </c>
      <c r="AF13" s="3914">
        <f>IF(COUNT(AF9:AF12)=0,"",SUM(AF9:AF12))</f>
        <v/>
      </c>
      <c r="AG13" s="3914">
        <f>IF(COUNT(AG9:AG12)=0,"",SUM(AG9:AG12))</f>
        <v/>
      </c>
      <c r="AH13" s="3914">
        <f>IF(COUNT(AH9:AH12)=0,"",SUM(AH9:AH12))</f>
        <v/>
      </c>
      <c r="AI13" s="3914">
        <f>IF(COUNT(AI9:AI12)=0,"",SUM(AI9:AI12))</f>
        <v/>
      </c>
      <c r="AJ13" s="3914">
        <f>IF(COUNT(AJ9:AJ12)=0,"",SUM(AJ9:AJ12))</f>
        <v/>
      </c>
      <c r="AK13" s="3914">
        <f>IF(COUNT(AK9:AK12)=0,"",SUM(AK9:AK12))</f>
        <v/>
      </c>
      <c r="AL13" s="3914">
        <f>IF(COUNT(AL9:AL12)=0,"",SUM(AL9:AL12))</f>
        <v/>
      </c>
      <c r="AM13" s="3914">
        <f>IF(COUNT(AM9:AM12)=0,"",SUM(AM9:AM12))</f>
        <v/>
      </c>
      <c r="AN13" s="3914">
        <f>IF(COUNT(AN9:AN12)=0,"",SUM(AN9:AN12))</f>
        <v/>
      </c>
      <c r="AO13" s="3914">
        <f>IF(COUNT(AO9:AO12)=0,"",SUM(AO9:AO12))</f>
        <v/>
      </c>
      <c r="AP13" s="3915">
        <f>Q13</f>
        <v/>
      </c>
      <c r="AQ13" s="3915">
        <f>AC13</f>
        <v/>
      </c>
      <c r="AR13" s="3915">
        <f>AO13</f>
        <v/>
      </c>
      <c r="AS13" s="3874" t="n"/>
      <c r="AT13" s="3874" t="n"/>
      <c r="AU13" s="3874" t="n"/>
    </row>
    <row r="14">
      <c r="A14" s="3911" t="inlineStr">
        <is>
          <t>BS_PPE</t>
        </is>
      </c>
      <c r="B14" s="3879" t="inlineStr">
        <is>
          <t>PP&amp;E</t>
        </is>
      </c>
      <c r="C14" s="3879" t="inlineStr">
        <is>
          <t>+</t>
        </is>
      </c>
      <c r="D14" s="3879" t="inlineStr">
        <is>
          <t>TB/Map</t>
        </is>
      </c>
      <c r="E14" s="3879" t="inlineStr"/>
      <c r="F14" s="3912" t="n"/>
      <c r="G14" s="3912" t="n"/>
      <c r="H14" s="3912" t="n"/>
      <c r="I14" s="3912" t="n"/>
      <c r="J14" s="3912" t="n"/>
      <c r="K14" s="3912" t="n"/>
      <c r="L14" s="3912" t="n"/>
      <c r="M14" s="3912" t="n"/>
      <c r="N14" s="3912" t="n"/>
      <c r="O14" s="3912" t="n"/>
      <c r="P14" s="3912" t="n"/>
      <c r="Q14" s="3912" t="n"/>
      <c r="R14" s="3912" t="n"/>
      <c r="S14" s="3912" t="n"/>
      <c r="T14" s="3912" t="n"/>
      <c r="U14" s="3912" t="n"/>
      <c r="V14" s="3912" t="n"/>
      <c r="W14" s="3912" t="n"/>
      <c r="X14" s="3912" t="n"/>
      <c r="Y14" s="3912" t="n"/>
      <c r="Z14" s="3912" t="n"/>
      <c r="AA14" s="3912" t="n"/>
      <c r="AB14" s="3912" t="n"/>
      <c r="AC14" s="3912" t="n"/>
      <c r="AD14" s="3912" t="n"/>
      <c r="AE14" s="3912" t="n"/>
      <c r="AF14" s="3912" t="n"/>
      <c r="AG14" s="3912" t="n"/>
      <c r="AH14" s="3912" t="n"/>
      <c r="AI14" s="3912" t="n"/>
      <c r="AJ14" s="3912" t="n"/>
      <c r="AK14" s="3912" t="n"/>
      <c r="AL14" s="3912" t="n"/>
      <c r="AM14" s="3912" t="n"/>
      <c r="AN14" s="3912" t="n"/>
      <c r="AO14" s="3912" t="n"/>
      <c r="AP14" s="3913">
        <f>Q14</f>
        <v/>
      </c>
      <c r="AQ14" s="3913">
        <f>AC14</f>
        <v/>
      </c>
      <c r="AR14" s="3913">
        <f>AO14</f>
        <v/>
      </c>
      <c r="AS14" s="3874" t="n"/>
      <c r="AT14" s="3874" t="n"/>
      <c r="AU14" s="3874" t="n"/>
    </row>
    <row r="15">
      <c r="A15" s="3911" t="inlineStr">
        <is>
          <t>BS_OTA</t>
        </is>
      </c>
      <c r="B15" s="3879" t="inlineStr">
        <is>
          <t>Other assets</t>
        </is>
      </c>
      <c r="C15" s="3879" t="inlineStr">
        <is>
          <t>+</t>
        </is>
      </c>
      <c r="D15" s="3879" t="inlineStr">
        <is>
          <t>TB/Map</t>
        </is>
      </c>
      <c r="E15" s="3879" t="inlineStr"/>
      <c r="F15" s="3912" t="n"/>
      <c r="G15" s="3912" t="n"/>
      <c r="H15" s="3912" t="n"/>
      <c r="I15" s="3912" t="n"/>
      <c r="J15" s="3912" t="n"/>
      <c r="K15" s="3912" t="n"/>
      <c r="L15" s="3912" t="n"/>
      <c r="M15" s="3912" t="n"/>
      <c r="N15" s="3912" t="n"/>
      <c r="O15" s="3912" t="n"/>
      <c r="P15" s="3912" t="n"/>
      <c r="Q15" s="3912" t="n"/>
      <c r="R15" s="3912" t="n"/>
      <c r="S15" s="3912" t="n"/>
      <c r="T15" s="3912" t="n"/>
      <c r="U15" s="3912" t="n"/>
      <c r="V15" s="3912" t="n"/>
      <c r="W15" s="3912" t="n"/>
      <c r="X15" s="3912" t="n"/>
      <c r="Y15" s="3912" t="n"/>
      <c r="Z15" s="3912" t="n"/>
      <c r="AA15" s="3912" t="n"/>
      <c r="AB15" s="3912" t="n"/>
      <c r="AC15" s="3912" t="n"/>
      <c r="AD15" s="3912" t="n"/>
      <c r="AE15" s="3912" t="n"/>
      <c r="AF15" s="3912" t="n"/>
      <c r="AG15" s="3912" t="n"/>
      <c r="AH15" s="3912" t="n"/>
      <c r="AI15" s="3912" t="n"/>
      <c r="AJ15" s="3912" t="n"/>
      <c r="AK15" s="3912" t="n"/>
      <c r="AL15" s="3912" t="n"/>
      <c r="AM15" s="3912" t="n"/>
      <c r="AN15" s="3912" t="n"/>
      <c r="AO15" s="3912" t="n"/>
      <c r="AP15" s="3913">
        <f>Q15</f>
        <v/>
      </c>
      <c r="AQ15" s="3913">
        <f>AC15</f>
        <v/>
      </c>
      <c r="AR15" s="3913">
        <f>AO15</f>
        <v/>
      </c>
      <c r="AS15" s="3874" t="n"/>
      <c r="AT15" s="3874" t="n"/>
      <c r="AU15" s="3874" t="n"/>
    </row>
    <row r="16">
      <c r="A16" s="3911" t="inlineStr">
        <is>
          <t>BS_TA</t>
        </is>
      </c>
      <c r="B16" s="3879" t="inlineStr">
        <is>
          <t>Total assets</t>
        </is>
      </c>
      <c r="C16" s="3879" t="inlineStr">
        <is>
          <t>+</t>
        </is>
      </c>
      <c r="D16" s="3879" t="inlineStr">
        <is>
          <t>Formula</t>
        </is>
      </c>
      <c r="E16" s="3879" t="inlineStr">
        <is>
          <t>Derived</t>
        </is>
      </c>
      <c r="F16" s="3914">
        <f>IF(COUNT(F13:F15)=0,"",SUM(F13:F15))</f>
        <v/>
      </c>
      <c r="G16" s="3914">
        <f>IF(COUNT(G13:G15)=0,"",SUM(G13:G15))</f>
        <v/>
      </c>
      <c r="H16" s="3914">
        <f>IF(COUNT(H13:H15)=0,"",SUM(H13:H15))</f>
        <v/>
      </c>
      <c r="I16" s="3914">
        <f>IF(COUNT(I13:I15)=0,"",SUM(I13:I15))</f>
        <v/>
      </c>
      <c r="J16" s="3914">
        <f>IF(COUNT(J13:J15)=0,"",SUM(J13:J15))</f>
        <v/>
      </c>
      <c r="K16" s="3914">
        <f>IF(COUNT(K13:K15)=0,"",SUM(K13:K15))</f>
        <v/>
      </c>
      <c r="L16" s="3914">
        <f>IF(COUNT(L13:L15)=0,"",SUM(L13:L15))</f>
        <v/>
      </c>
      <c r="M16" s="3914">
        <f>IF(COUNT(M13:M15)=0,"",SUM(M13:M15))</f>
        <v/>
      </c>
      <c r="N16" s="3914">
        <f>IF(COUNT(N13:N15)=0,"",SUM(N13:N15))</f>
        <v/>
      </c>
      <c r="O16" s="3914">
        <f>IF(COUNT(O13:O15)=0,"",SUM(O13:O15))</f>
        <v/>
      </c>
      <c r="P16" s="3914">
        <f>IF(COUNT(P13:P15)=0,"",SUM(P13:P15))</f>
        <v/>
      </c>
      <c r="Q16" s="3914">
        <f>IF(COUNT(Q13:Q15)=0,"",SUM(Q13:Q15))</f>
        <v/>
      </c>
      <c r="R16" s="3914">
        <f>IF(COUNT(R13:R15)=0,"",SUM(R13:R15))</f>
        <v/>
      </c>
      <c r="S16" s="3914">
        <f>IF(COUNT(S13:S15)=0,"",SUM(S13:S15))</f>
        <v/>
      </c>
      <c r="T16" s="3914">
        <f>IF(COUNT(T13:T15)=0,"",SUM(T13:T15))</f>
        <v/>
      </c>
      <c r="U16" s="3914">
        <f>IF(COUNT(U13:U15)=0,"",SUM(U13:U15))</f>
        <v/>
      </c>
      <c r="V16" s="3914">
        <f>IF(COUNT(V13:V15)=0,"",SUM(V13:V15))</f>
        <v/>
      </c>
      <c r="W16" s="3914">
        <f>IF(COUNT(W13:W15)=0,"",SUM(W13:W15))</f>
        <v/>
      </c>
      <c r="X16" s="3914">
        <f>IF(COUNT(X13:X15)=0,"",SUM(X13:X15))</f>
        <v/>
      </c>
      <c r="Y16" s="3914">
        <f>IF(COUNT(Y13:Y15)=0,"",SUM(Y13:Y15))</f>
        <v/>
      </c>
      <c r="Z16" s="3914">
        <f>IF(COUNT(Z13:Z15)=0,"",SUM(Z13:Z15))</f>
        <v/>
      </c>
      <c r="AA16" s="3914">
        <f>IF(COUNT(AA13:AA15)=0,"",SUM(AA13:AA15))</f>
        <v/>
      </c>
      <c r="AB16" s="3914">
        <f>IF(COUNT(AB13:AB15)=0,"",SUM(AB13:AB15))</f>
        <v/>
      </c>
      <c r="AC16" s="3914">
        <f>IF(COUNT(AC13:AC15)=0,"",SUM(AC13:AC15))</f>
        <v/>
      </c>
      <c r="AD16" s="3914">
        <f>IF(COUNT(AD13:AD15)=0,"",SUM(AD13:AD15))</f>
        <v/>
      </c>
      <c r="AE16" s="3914">
        <f>IF(COUNT(AE13:AE15)=0,"",SUM(AE13:AE15))</f>
        <v/>
      </c>
      <c r="AF16" s="3914">
        <f>IF(COUNT(AF13:AF15)=0,"",SUM(AF13:AF15))</f>
        <v/>
      </c>
      <c r="AG16" s="3914">
        <f>IF(COUNT(AG13:AG15)=0,"",SUM(AG13:AG15))</f>
        <v/>
      </c>
      <c r="AH16" s="3914">
        <f>IF(COUNT(AH13:AH15)=0,"",SUM(AH13:AH15))</f>
        <v/>
      </c>
      <c r="AI16" s="3914">
        <f>IF(COUNT(AI13:AI15)=0,"",SUM(AI13:AI15))</f>
        <v/>
      </c>
      <c r="AJ16" s="3914">
        <f>IF(COUNT(AJ13:AJ15)=0,"",SUM(AJ13:AJ15))</f>
        <v/>
      </c>
      <c r="AK16" s="3914">
        <f>IF(COUNT(AK13:AK15)=0,"",SUM(AK13:AK15))</f>
        <v/>
      </c>
      <c r="AL16" s="3914">
        <f>IF(COUNT(AL13:AL15)=0,"",SUM(AL13:AL15))</f>
        <v/>
      </c>
      <c r="AM16" s="3914">
        <f>IF(COUNT(AM13:AM15)=0,"",SUM(AM13:AM15))</f>
        <v/>
      </c>
      <c r="AN16" s="3914">
        <f>IF(COUNT(AN13:AN15)=0,"",SUM(AN13:AN15))</f>
        <v/>
      </c>
      <c r="AO16" s="3914">
        <f>IF(COUNT(AO13:AO15)=0,"",SUM(AO13:AO15))</f>
        <v/>
      </c>
      <c r="AP16" s="3915">
        <f>Q16</f>
        <v/>
      </c>
      <c r="AQ16" s="3915">
        <f>AC16</f>
        <v/>
      </c>
      <c r="AR16" s="3915">
        <f>AO16</f>
        <v/>
      </c>
      <c r="AS16" s="3874" t="n"/>
      <c r="AT16" s="3874" t="n"/>
      <c r="AU16" s="3874" t="n"/>
    </row>
    <row r="17">
      <c r="A17" s="3911" t="inlineStr">
        <is>
          <t>BS_AP</t>
        </is>
      </c>
      <c r="B17" s="3879" t="inlineStr">
        <is>
          <t>Accounts payable</t>
        </is>
      </c>
      <c r="C17" s="3879" t="inlineStr">
        <is>
          <t>+</t>
        </is>
      </c>
      <c r="D17" s="3879" t="inlineStr">
        <is>
          <t>TB/Map</t>
        </is>
      </c>
      <c r="E17" s="3879" t="inlineStr"/>
      <c r="F17" s="3912" t="n"/>
      <c r="G17" s="3912" t="n"/>
      <c r="H17" s="3912" t="n"/>
      <c r="I17" s="3912" t="n"/>
      <c r="J17" s="3912" t="n"/>
      <c r="K17" s="3912" t="n"/>
      <c r="L17" s="3912" t="n"/>
      <c r="M17" s="3912" t="n"/>
      <c r="N17" s="3912" t="n"/>
      <c r="O17" s="3912" t="n"/>
      <c r="P17" s="3912" t="n"/>
      <c r="Q17" s="3912" t="n"/>
      <c r="R17" s="3912" t="n"/>
      <c r="S17" s="3912" t="n"/>
      <c r="T17" s="3912" t="n"/>
      <c r="U17" s="3912" t="n"/>
      <c r="V17" s="3912" t="n"/>
      <c r="W17" s="3912" t="n"/>
      <c r="X17" s="3912" t="n"/>
      <c r="Y17" s="3912" t="n"/>
      <c r="Z17" s="3912" t="n"/>
      <c r="AA17" s="3912" t="n"/>
      <c r="AB17" s="3912" t="n"/>
      <c r="AC17" s="3912" t="n"/>
      <c r="AD17" s="3912" t="n"/>
      <c r="AE17" s="3912" t="n"/>
      <c r="AF17" s="3912" t="n"/>
      <c r="AG17" s="3912" t="n"/>
      <c r="AH17" s="3912" t="n"/>
      <c r="AI17" s="3912" t="n"/>
      <c r="AJ17" s="3912" t="n"/>
      <c r="AK17" s="3912" t="n"/>
      <c r="AL17" s="3912" t="n"/>
      <c r="AM17" s="3912" t="n"/>
      <c r="AN17" s="3912" t="n"/>
      <c r="AO17" s="3912" t="n"/>
      <c r="AP17" s="3913">
        <f>Q17</f>
        <v/>
      </c>
      <c r="AQ17" s="3913">
        <f>AC17</f>
        <v/>
      </c>
      <c r="AR17" s="3913">
        <f>AO17</f>
        <v/>
      </c>
      <c r="AS17" s="3874" t="n"/>
      <c r="AT17" s="3874" t="n"/>
      <c r="AU17" s="3874" t="n"/>
    </row>
    <row r="18">
      <c r="A18" s="3911" t="inlineStr">
        <is>
          <t>BS_ACCR</t>
        </is>
      </c>
      <c r="B18" s="3879" t="inlineStr">
        <is>
          <t>Accrued liabilities</t>
        </is>
      </c>
      <c r="C18" s="3879" t="inlineStr">
        <is>
          <t>+</t>
        </is>
      </c>
      <c r="D18" s="3879" t="inlineStr">
        <is>
          <t>TB/Map</t>
        </is>
      </c>
      <c r="E18" s="3879" t="inlineStr"/>
      <c r="F18" s="3912" t="n"/>
      <c r="G18" s="3912" t="n"/>
      <c r="H18" s="3912" t="n"/>
      <c r="I18" s="3912" t="n"/>
      <c r="J18" s="3912" t="n"/>
      <c r="K18" s="3912" t="n"/>
      <c r="L18" s="3912" t="n"/>
      <c r="M18" s="3912" t="n"/>
      <c r="N18" s="3912" t="n"/>
      <c r="O18" s="3912" t="n"/>
      <c r="P18" s="3912" t="n"/>
      <c r="Q18" s="3912" t="n"/>
      <c r="R18" s="3912" t="n"/>
      <c r="S18" s="3912" t="n"/>
      <c r="T18" s="3912" t="n"/>
      <c r="U18" s="3912" t="n"/>
      <c r="V18" s="3912" t="n"/>
      <c r="W18" s="3912" t="n"/>
      <c r="X18" s="3912" t="n"/>
      <c r="Y18" s="3912" t="n"/>
      <c r="Z18" s="3912" t="n"/>
      <c r="AA18" s="3912" t="n"/>
      <c r="AB18" s="3912" t="n"/>
      <c r="AC18" s="3912" t="n"/>
      <c r="AD18" s="3912" t="n"/>
      <c r="AE18" s="3912" t="n"/>
      <c r="AF18" s="3912" t="n"/>
      <c r="AG18" s="3912" t="n"/>
      <c r="AH18" s="3912" t="n"/>
      <c r="AI18" s="3912" t="n"/>
      <c r="AJ18" s="3912" t="n"/>
      <c r="AK18" s="3912" t="n"/>
      <c r="AL18" s="3912" t="n"/>
      <c r="AM18" s="3912" t="n"/>
      <c r="AN18" s="3912" t="n"/>
      <c r="AO18" s="3912" t="n"/>
      <c r="AP18" s="3913">
        <f>Q18</f>
        <v/>
      </c>
      <c r="AQ18" s="3913">
        <f>AC18</f>
        <v/>
      </c>
      <c r="AR18" s="3913">
        <f>AO18</f>
        <v/>
      </c>
      <c r="AS18" s="3874" t="n"/>
      <c r="AT18" s="3874" t="n"/>
      <c r="AU18" s="3874" t="n"/>
    </row>
    <row r="19">
      <c r="A19" s="3911" t="inlineStr">
        <is>
          <t>BS_DEBT</t>
        </is>
      </c>
      <c r="B19" s="3879" t="inlineStr">
        <is>
          <t>Debt</t>
        </is>
      </c>
      <c r="C19" s="3879" t="inlineStr">
        <is>
          <t>+</t>
        </is>
      </c>
      <c r="D19" s="3879" t="inlineStr">
        <is>
          <t>TB/Map</t>
        </is>
      </c>
      <c r="E19" s="3879" t="inlineStr"/>
      <c r="F19" s="3912" t="n"/>
      <c r="G19" s="3912" t="n"/>
      <c r="H19" s="3912" t="n"/>
      <c r="I19" s="3912" t="n"/>
      <c r="J19" s="3912" t="n"/>
      <c r="K19" s="3912" t="n"/>
      <c r="L19" s="3912" t="n"/>
      <c r="M19" s="3912" t="n"/>
      <c r="N19" s="3912" t="n"/>
      <c r="O19" s="3912" t="n"/>
      <c r="P19" s="3912" t="n"/>
      <c r="Q19" s="3912" t="n"/>
      <c r="R19" s="3912" t="n"/>
      <c r="S19" s="3912" t="n"/>
      <c r="T19" s="3912" t="n"/>
      <c r="U19" s="3912" t="n"/>
      <c r="V19" s="3912" t="n"/>
      <c r="W19" s="3912" t="n"/>
      <c r="X19" s="3912" t="n"/>
      <c r="Y19" s="3912" t="n"/>
      <c r="Z19" s="3912" t="n"/>
      <c r="AA19" s="3912" t="n"/>
      <c r="AB19" s="3912" t="n"/>
      <c r="AC19" s="3912" t="n"/>
      <c r="AD19" s="3912" t="n"/>
      <c r="AE19" s="3912" t="n"/>
      <c r="AF19" s="3912" t="n"/>
      <c r="AG19" s="3912" t="n"/>
      <c r="AH19" s="3912" t="n"/>
      <c r="AI19" s="3912" t="n"/>
      <c r="AJ19" s="3912" t="n"/>
      <c r="AK19" s="3912" t="n"/>
      <c r="AL19" s="3912" t="n"/>
      <c r="AM19" s="3912" t="n"/>
      <c r="AN19" s="3912" t="n"/>
      <c r="AO19" s="3912" t="n"/>
      <c r="AP19" s="3913">
        <f>Q19</f>
        <v/>
      </c>
      <c r="AQ19" s="3913">
        <f>AC19</f>
        <v/>
      </c>
      <c r="AR19" s="3913">
        <f>AO19</f>
        <v/>
      </c>
      <c r="AS19" s="3874" t="n"/>
      <c r="AT19" s="3874" t="n"/>
      <c r="AU19" s="3874" t="n"/>
    </row>
    <row r="20">
      <c r="A20" s="3911" t="inlineStr">
        <is>
          <t>BS_OL</t>
        </is>
      </c>
      <c r="B20" s="3879" t="inlineStr">
        <is>
          <t>Other liabilities</t>
        </is>
      </c>
      <c r="C20" s="3879" t="inlineStr">
        <is>
          <t>+</t>
        </is>
      </c>
      <c r="D20" s="3879" t="inlineStr">
        <is>
          <t>TB/Map</t>
        </is>
      </c>
      <c r="E20" s="3879" t="inlineStr"/>
      <c r="F20" s="3912" t="n"/>
      <c r="G20" s="3912" t="n"/>
      <c r="H20" s="3912" t="n"/>
      <c r="I20" s="3912" t="n"/>
      <c r="J20" s="3912" t="n"/>
      <c r="K20" s="3912" t="n"/>
      <c r="L20" s="3912" t="n"/>
      <c r="M20" s="3912" t="n"/>
      <c r="N20" s="3912" t="n"/>
      <c r="O20" s="3912" t="n"/>
      <c r="P20" s="3912" t="n"/>
      <c r="Q20" s="3912" t="n"/>
      <c r="R20" s="3912" t="n"/>
      <c r="S20" s="3912" t="n"/>
      <c r="T20" s="3912" t="n"/>
      <c r="U20" s="3912" t="n"/>
      <c r="V20" s="3912" t="n"/>
      <c r="W20" s="3912" t="n"/>
      <c r="X20" s="3912" t="n"/>
      <c r="Y20" s="3912" t="n"/>
      <c r="Z20" s="3912" t="n"/>
      <c r="AA20" s="3912" t="n"/>
      <c r="AB20" s="3912" t="n"/>
      <c r="AC20" s="3912" t="n"/>
      <c r="AD20" s="3912" t="n"/>
      <c r="AE20" s="3912" t="n"/>
      <c r="AF20" s="3912" t="n"/>
      <c r="AG20" s="3912" t="n"/>
      <c r="AH20" s="3912" t="n"/>
      <c r="AI20" s="3912" t="n"/>
      <c r="AJ20" s="3912" t="n"/>
      <c r="AK20" s="3912" t="n"/>
      <c r="AL20" s="3912" t="n"/>
      <c r="AM20" s="3912" t="n"/>
      <c r="AN20" s="3912" t="n"/>
      <c r="AO20" s="3912" t="n"/>
      <c r="AP20" s="3913">
        <f>Q20</f>
        <v/>
      </c>
      <c r="AQ20" s="3913">
        <f>AC20</f>
        <v/>
      </c>
      <c r="AR20" s="3913">
        <f>AO20</f>
        <v/>
      </c>
      <c r="AS20" s="3874" t="n"/>
      <c r="AT20" s="3874" t="n"/>
      <c r="AU20" s="3874" t="n"/>
    </row>
    <row r="21">
      <c r="A21" s="3911" t="inlineStr">
        <is>
          <t>BS_TL</t>
        </is>
      </c>
      <c r="B21" s="3879" t="inlineStr">
        <is>
          <t>Total liabilities</t>
        </is>
      </c>
      <c r="C21" s="3879" t="inlineStr">
        <is>
          <t>+</t>
        </is>
      </c>
      <c r="D21" s="3879" t="inlineStr">
        <is>
          <t>Formula</t>
        </is>
      </c>
      <c r="E21" s="3879" t="inlineStr">
        <is>
          <t>Derived</t>
        </is>
      </c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3">
        <f>Q21</f>
        <v/>
      </c>
      <c r="AQ21" s="3913">
        <f>AC21</f>
        <v/>
      </c>
      <c r="AR21" s="3913">
        <f>AO21</f>
        <v/>
      </c>
      <c r="AS21" s="3874" t="n"/>
      <c r="AT21" s="3874" t="n"/>
      <c r="AU21" s="3874" t="n"/>
    </row>
    <row r="22">
      <c r="A22" s="3911" t="inlineStr">
        <is>
          <t>BS_EQ</t>
        </is>
      </c>
      <c r="B22" s="3879" t="inlineStr">
        <is>
          <t>Equity</t>
        </is>
      </c>
      <c r="C22" s="3879" t="inlineStr">
        <is>
          <t>+</t>
        </is>
      </c>
      <c r="D22" s="3879" t="inlineStr">
        <is>
          <t>TB/Map</t>
        </is>
      </c>
      <c r="E22" s="3879" t="inlineStr"/>
      <c r="F22" s="3914">
        <f>IF(COUNT(F17:F20)=0,"",SUM(F17:F20))</f>
        <v/>
      </c>
      <c r="G22" s="3914">
        <f>IF(COUNT(G17:G20)=0,"",SUM(G17:G20))</f>
        <v/>
      </c>
      <c r="H22" s="3914">
        <f>IF(COUNT(H17:H20)=0,"",SUM(H17:H20))</f>
        <v/>
      </c>
      <c r="I22" s="3914">
        <f>IF(COUNT(I17:I20)=0,"",SUM(I17:I20))</f>
        <v/>
      </c>
      <c r="J22" s="3914">
        <f>IF(COUNT(J17:J20)=0,"",SUM(J17:J20))</f>
        <v/>
      </c>
      <c r="K22" s="3914">
        <f>IF(COUNT(K17:K20)=0,"",SUM(K17:K20))</f>
        <v/>
      </c>
      <c r="L22" s="3914">
        <f>IF(COUNT(L17:L20)=0,"",SUM(L17:L20))</f>
        <v/>
      </c>
      <c r="M22" s="3914">
        <f>IF(COUNT(M17:M20)=0,"",SUM(M17:M20))</f>
        <v/>
      </c>
      <c r="N22" s="3914">
        <f>IF(COUNT(N17:N20)=0,"",SUM(N17:N20))</f>
        <v/>
      </c>
      <c r="O22" s="3914">
        <f>IF(COUNT(O17:O20)=0,"",SUM(O17:O20))</f>
        <v/>
      </c>
      <c r="P22" s="3914">
        <f>IF(COUNT(P17:P20)=0,"",SUM(P17:P20))</f>
        <v/>
      </c>
      <c r="Q22" s="3914">
        <f>IF(COUNT(Q17:Q20)=0,"",SUM(Q17:Q20))</f>
        <v/>
      </c>
      <c r="R22" s="3914">
        <f>IF(COUNT(R17:R20)=0,"",SUM(R17:R20))</f>
        <v/>
      </c>
      <c r="S22" s="3914">
        <f>IF(COUNT(S17:S20)=0,"",SUM(S17:S20))</f>
        <v/>
      </c>
      <c r="T22" s="3914">
        <f>IF(COUNT(T17:T20)=0,"",SUM(T17:T20))</f>
        <v/>
      </c>
      <c r="U22" s="3914">
        <f>IF(COUNT(U17:U20)=0,"",SUM(U17:U20))</f>
        <v/>
      </c>
      <c r="V22" s="3914">
        <f>IF(COUNT(V17:V20)=0,"",SUM(V17:V20))</f>
        <v/>
      </c>
      <c r="W22" s="3914">
        <f>IF(COUNT(W17:W20)=0,"",SUM(W17:W20))</f>
        <v/>
      </c>
      <c r="X22" s="3914">
        <f>IF(COUNT(X17:X20)=0,"",SUM(X17:X20))</f>
        <v/>
      </c>
      <c r="Y22" s="3914">
        <f>IF(COUNT(Y17:Y20)=0,"",SUM(Y17:Y20))</f>
        <v/>
      </c>
      <c r="Z22" s="3914">
        <f>IF(COUNT(Z17:Z20)=0,"",SUM(Z17:Z20))</f>
        <v/>
      </c>
      <c r="AA22" s="3914">
        <f>IF(COUNT(AA17:AA20)=0,"",SUM(AA17:AA20))</f>
        <v/>
      </c>
      <c r="AB22" s="3914">
        <f>IF(COUNT(AB17:AB20)=0,"",SUM(AB17:AB20))</f>
        <v/>
      </c>
      <c r="AC22" s="3914">
        <f>IF(COUNT(AC17:AC20)=0,"",SUM(AC17:AC20))</f>
        <v/>
      </c>
      <c r="AD22" s="3914">
        <f>IF(COUNT(AD17:AD20)=0,"",SUM(AD17:AD20))</f>
        <v/>
      </c>
      <c r="AE22" s="3914">
        <f>IF(COUNT(AE17:AE20)=0,"",SUM(AE17:AE20))</f>
        <v/>
      </c>
      <c r="AF22" s="3914">
        <f>IF(COUNT(AF17:AF20)=0,"",SUM(AF17:AF20))</f>
        <v/>
      </c>
      <c r="AG22" s="3914">
        <f>IF(COUNT(AG17:AG20)=0,"",SUM(AG17:AG20))</f>
        <v/>
      </c>
      <c r="AH22" s="3914">
        <f>IF(COUNT(AH17:AH20)=0,"",SUM(AH17:AH20))</f>
        <v/>
      </c>
      <c r="AI22" s="3914">
        <f>IF(COUNT(AI17:AI20)=0,"",SUM(AI17:AI20))</f>
        <v/>
      </c>
      <c r="AJ22" s="3914">
        <f>IF(COUNT(AJ17:AJ20)=0,"",SUM(AJ17:AJ20))</f>
        <v/>
      </c>
      <c r="AK22" s="3914">
        <f>IF(COUNT(AK17:AK20)=0,"",SUM(AK17:AK20))</f>
        <v/>
      </c>
      <c r="AL22" s="3914">
        <f>IF(COUNT(AL17:AL20)=0,"",SUM(AL17:AL20))</f>
        <v/>
      </c>
      <c r="AM22" s="3914">
        <f>IF(COUNT(AM17:AM20)=0,"",SUM(AM17:AM20))</f>
        <v/>
      </c>
      <c r="AN22" s="3914">
        <f>IF(COUNT(AN17:AN20)=0,"",SUM(AN17:AN20))</f>
        <v/>
      </c>
      <c r="AO22" s="3914">
        <f>IF(COUNT(AO17:AO20)=0,"",SUM(AO17:AO20))</f>
        <v/>
      </c>
      <c r="AP22" s="3915">
        <f>Q22</f>
        <v/>
      </c>
      <c r="AQ22" s="3915">
        <f>AC22</f>
        <v/>
      </c>
      <c r="AR22" s="3915">
        <f>AO22</f>
        <v/>
      </c>
      <c r="AS22" s="3874" t="n"/>
      <c r="AT22" s="3874" t="n"/>
      <c r="AU22" s="3874" t="n"/>
    </row>
    <row r="23">
      <c r="A23" s="3911" t="inlineStr">
        <is>
          <t>BS_TLE</t>
        </is>
      </c>
      <c r="B23" s="3879" t="inlineStr">
        <is>
          <t>Total liabilities + equity</t>
        </is>
      </c>
      <c r="C23" s="3879" t="inlineStr">
        <is>
          <t>+</t>
        </is>
      </c>
      <c r="D23" s="3879" t="inlineStr">
        <is>
          <t>Formula</t>
        </is>
      </c>
      <c r="E23" s="3879" t="inlineStr">
        <is>
          <t>Derived</t>
        </is>
      </c>
      <c r="F23" s="3912" t="n"/>
      <c r="G23" s="3912" t="n"/>
      <c r="H23" s="3912" t="n"/>
      <c r="I23" s="3912" t="n"/>
      <c r="J23" s="3912" t="n"/>
      <c r="K23" s="3912" t="n"/>
      <c r="L23" s="3912" t="n"/>
      <c r="M23" s="3912" t="n"/>
      <c r="N23" s="3912" t="n"/>
      <c r="O23" s="3912" t="n"/>
      <c r="P23" s="3912" t="n"/>
      <c r="Q23" s="3912" t="n"/>
      <c r="R23" s="3912" t="n"/>
      <c r="S23" s="3912" t="n"/>
      <c r="T23" s="3912" t="n"/>
      <c r="U23" s="3912" t="n"/>
      <c r="V23" s="3912" t="n"/>
      <c r="W23" s="3912" t="n"/>
      <c r="X23" s="3912" t="n"/>
      <c r="Y23" s="3912" t="n"/>
      <c r="Z23" s="3912" t="n"/>
      <c r="AA23" s="3912" t="n"/>
      <c r="AB23" s="3912" t="n"/>
      <c r="AC23" s="3912" t="n"/>
      <c r="AD23" s="3912" t="n"/>
      <c r="AE23" s="3912" t="n"/>
      <c r="AF23" s="3912" t="n"/>
      <c r="AG23" s="3912" t="n"/>
      <c r="AH23" s="3912" t="n"/>
      <c r="AI23" s="3912" t="n"/>
      <c r="AJ23" s="3912" t="n"/>
      <c r="AK23" s="3912" t="n"/>
      <c r="AL23" s="3912" t="n"/>
      <c r="AM23" s="3912" t="n"/>
      <c r="AN23" s="3912" t="n"/>
      <c r="AO23" s="3912" t="n"/>
      <c r="AP23" s="3913">
        <f>Q23</f>
        <v/>
      </c>
      <c r="AQ23" s="3913">
        <f>AC23</f>
        <v/>
      </c>
      <c r="AR23" s="3913">
        <f>AO23</f>
        <v/>
      </c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4">
        <f>IF(COUNT(F22:F23)=0,"",SUM(F22:F23))</f>
        <v/>
      </c>
      <c r="G24" s="3914">
        <f>IF(COUNT(G22:G23)=0,"",SUM(G22:G23))</f>
        <v/>
      </c>
      <c r="H24" s="3914">
        <f>IF(COUNT(H22:H23)=0,"",SUM(H22:H23))</f>
        <v/>
      </c>
      <c r="I24" s="3914">
        <f>IF(COUNT(I22:I23)=0,"",SUM(I22:I23))</f>
        <v/>
      </c>
      <c r="J24" s="3914">
        <f>IF(COUNT(J22:J23)=0,"",SUM(J22:J23))</f>
        <v/>
      </c>
      <c r="K24" s="3914">
        <f>IF(COUNT(K22:K23)=0,"",SUM(K22:K23))</f>
        <v/>
      </c>
      <c r="L24" s="3914">
        <f>IF(COUNT(L22:L23)=0,"",SUM(L22:L23))</f>
        <v/>
      </c>
      <c r="M24" s="3914">
        <f>IF(COUNT(M22:M23)=0,"",SUM(M22:M23))</f>
        <v/>
      </c>
      <c r="N24" s="3914">
        <f>IF(COUNT(N22:N23)=0,"",SUM(N22:N23))</f>
        <v/>
      </c>
      <c r="O24" s="3914">
        <f>IF(COUNT(O22:O23)=0,"",SUM(O22:O23))</f>
        <v/>
      </c>
      <c r="P24" s="3914">
        <f>IF(COUNT(P22:P23)=0,"",SUM(P22:P23))</f>
        <v/>
      </c>
      <c r="Q24" s="3914">
        <f>IF(COUNT(Q22:Q23)=0,"",SUM(Q22:Q23))</f>
        <v/>
      </c>
      <c r="R24" s="3914">
        <f>IF(COUNT(R22:R23)=0,"",SUM(R22:R23))</f>
        <v/>
      </c>
      <c r="S24" s="3914">
        <f>IF(COUNT(S22:S23)=0,"",SUM(S22:S23))</f>
        <v/>
      </c>
      <c r="T24" s="3914">
        <f>IF(COUNT(T22:T23)=0,"",SUM(T22:T23))</f>
        <v/>
      </c>
      <c r="U24" s="3914">
        <f>IF(COUNT(U22:U23)=0,"",SUM(U22:U23))</f>
        <v/>
      </c>
      <c r="V24" s="3914">
        <f>IF(COUNT(V22:V23)=0,"",SUM(V22:V23))</f>
        <v/>
      </c>
      <c r="W24" s="3914">
        <f>IF(COUNT(W22:W23)=0,"",SUM(W22:W23))</f>
        <v/>
      </c>
      <c r="X24" s="3914">
        <f>IF(COUNT(X22:X23)=0,"",SUM(X22:X23))</f>
        <v/>
      </c>
      <c r="Y24" s="3914">
        <f>IF(COUNT(Y22:Y23)=0,"",SUM(Y22:Y23))</f>
        <v/>
      </c>
      <c r="Z24" s="3914">
        <f>IF(COUNT(Z22:Z23)=0,"",SUM(Z22:Z23))</f>
        <v/>
      </c>
      <c r="AA24" s="3914">
        <f>IF(COUNT(AA22:AA23)=0,"",SUM(AA22:AA23))</f>
        <v/>
      </c>
      <c r="AB24" s="3914">
        <f>IF(COUNT(AB22:AB23)=0,"",SUM(AB22:AB23))</f>
        <v/>
      </c>
      <c r="AC24" s="3914">
        <f>IF(COUNT(AC22:AC23)=0,"",SUM(AC22:AC23))</f>
        <v/>
      </c>
      <c r="AD24" s="3914">
        <f>IF(COUNT(AD22:AD23)=0,"",SUM(AD22:AD23))</f>
        <v/>
      </c>
      <c r="AE24" s="3914">
        <f>IF(COUNT(AE22:AE23)=0,"",SUM(AE22:AE23))</f>
        <v/>
      </c>
      <c r="AF24" s="3914">
        <f>IF(COUNT(AF22:AF23)=0,"",SUM(AF22:AF23))</f>
        <v/>
      </c>
      <c r="AG24" s="3914">
        <f>IF(COUNT(AG22:AG23)=0,"",SUM(AG22:AG23))</f>
        <v/>
      </c>
      <c r="AH24" s="3914">
        <f>IF(COUNT(AH22:AH23)=0,"",SUM(AH22:AH23))</f>
        <v/>
      </c>
      <c r="AI24" s="3914">
        <f>IF(COUNT(AI22:AI23)=0,"",SUM(AI22:AI23))</f>
        <v/>
      </c>
      <c r="AJ24" s="3914">
        <f>IF(COUNT(AJ22:AJ23)=0,"",SUM(AJ22:AJ23))</f>
        <v/>
      </c>
      <c r="AK24" s="3914">
        <f>IF(COUNT(AK22:AK23)=0,"",SUM(AK22:AK23))</f>
        <v/>
      </c>
      <c r="AL24" s="3914">
        <f>IF(COUNT(AL22:AL23)=0,"",SUM(AL22:AL23))</f>
        <v/>
      </c>
      <c r="AM24" s="3914">
        <f>IF(COUNT(AM22:AM23)=0,"",SUM(AM22:AM23))</f>
        <v/>
      </c>
      <c r="AN24" s="3914">
        <f>IF(COUNT(AN22:AN23)=0,"",SUM(AN22:AN23))</f>
        <v/>
      </c>
      <c r="AO24" s="3914">
        <f>IF(COUNT(AO22:AO23)=0,"",SUM(AO22:AO23))</f>
        <v/>
      </c>
      <c r="AP24" s="3915">
        <f>Q24</f>
        <v/>
      </c>
      <c r="AQ24" s="3915">
        <f>AC24</f>
        <v/>
      </c>
      <c r="AR24" s="3915">
        <f>AO24</f>
        <v/>
      </c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BS_CHECKS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Balance check (Assets - Liab&amp;Eq)</t>
        </is>
      </c>
      <c r="B28" s="3876" t="n"/>
      <c r="C28" s="3876" t="n"/>
      <c r="D28" s="3876" t="n"/>
      <c r="E28" s="3876" t="n"/>
      <c r="F28" s="3920">
        <f>IF(OR(F16="",F24=""),"",F16-F24)</f>
        <v/>
      </c>
      <c r="G28" s="3920">
        <f>IF(OR(G16="",G24=""),"",G16-G24)</f>
        <v/>
      </c>
      <c r="H28" s="3920">
        <f>IF(OR(H16="",H24=""),"",H16-H24)</f>
        <v/>
      </c>
      <c r="I28" s="3920">
        <f>IF(OR(I16="",I24=""),"",I16-I24)</f>
        <v/>
      </c>
      <c r="J28" s="3920">
        <f>IF(OR(J16="",J24=""),"",J16-J24)</f>
        <v/>
      </c>
      <c r="K28" s="3920">
        <f>IF(OR(K16="",K24=""),"",K16-K24)</f>
        <v/>
      </c>
      <c r="L28" s="3920">
        <f>IF(OR(L16="",L24=""),"",L16-L24)</f>
        <v/>
      </c>
      <c r="M28" s="3920">
        <f>IF(OR(M16="",M24=""),"",M16-M24)</f>
        <v/>
      </c>
      <c r="N28" s="3920">
        <f>IF(OR(N16="",N24=""),"",N16-N24)</f>
        <v/>
      </c>
      <c r="O28" s="3920">
        <f>IF(OR(O16="",O24=""),"",O16-O24)</f>
        <v/>
      </c>
      <c r="P28" s="3920">
        <f>IF(OR(P16="",P24=""),"",P16-P24)</f>
        <v/>
      </c>
      <c r="Q28" s="3920">
        <f>IF(OR(Q16="",Q24=""),"",Q16-Q24)</f>
        <v/>
      </c>
      <c r="R28" s="3920">
        <f>IF(OR(R16="",R24=""),"",R16-R24)</f>
        <v/>
      </c>
      <c r="S28" s="3920">
        <f>IF(OR(S16="",S24=""),"",S16-S24)</f>
        <v/>
      </c>
      <c r="T28" s="3920">
        <f>IF(OR(T16="",T24=""),"",T16-T24)</f>
        <v/>
      </c>
      <c r="U28" s="3920">
        <f>IF(OR(U16="",U24=""),"",U16-U24)</f>
        <v/>
      </c>
      <c r="V28" s="3920">
        <f>IF(OR(V16="",V24=""),"",V16-V24)</f>
        <v/>
      </c>
      <c r="W28" s="3920">
        <f>IF(OR(W16="",W24=""),"",W16-W24)</f>
        <v/>
      </c>
      <c r="X28" s="3920">
        <f>IF(OR(X16="",X24=""),"",X16-X24)</f>
        <v/>
      </c>
      <c r="Y28" s="3920">
        <f>IF(OR(Y16="",Y24=""),"",Y16-Y24)</f>
        <v/>
      </c>
      <c r="Z28" s="3920">
        <f>IF(OR(Z16="",Z24=""),"",Z16-Z24)</f>
        <v/>
      </c>
      <c r="AA28" s="3920">
        <f>IF(OR(AA16="",AA24=""),"",AA16-AA24)</f>
        <v/>
      </c>
      <c r="AB28" s="3920">
        <f>IF(OR(AB16="",AB24=""),"",AB16-AB24)</f>
        <v/>
      </c>
      <c r="AC28" s="3920">
        <f>IF(OR(AC16="",AC24=""),"",AC16-AC24)</f>
        <v/>
      </c>
      <c r="AD28" s="3920">
        <f>IF(OR(AD16="",AD24=""),"",AD16-AD24)</f>
        <v/>
      </c>
      <c r="AE28" s="3920">
        <f>IF(OR(AE16="",AE24=""),"",AE16-AE24)</f>
        <v/>
      </c>
      <c r="AF28" s="3920">
        <f>IF(OR(AF16="",AF24=""),"",AF16-AF24)</f>
        <v/>
      </c>
      <c r="AG28" s="3920">
        <f>IF(OR(AG16="",AG24=""),"",AG16-AG24)</f>
        <v/>
      </c>
      <c r="AH28" s="3920">
        <f>IF(OR(AH16="",AH24=""),"",AH16-AH24)</f>
        <v/>
      </c>
      <c r="AI28" s="3920">
        <f>IF(OR(AI16="",AI24=""),"",AI16-AI24)</f>
        <v/>
      </c>
      <c r="AJ28" s="3920">
        <f>IF(OR(AJ16="",AJ24=""),"",AJ16-AJ24)</f>
        <v/>
      </c>
      <c r="AK28" s="3920">
        <f>IF(OR(AK16="",AK24=""),"",AK16-AK24)</f>
        <v/>
      </c>
      <c r="AL28" s="3920">
        <f>IF(OR(AL16="",AL24=""),"",AL16-AL24)</f>
        <v/>
      </c>
      <c r="AM28" s="3920">
        <f>IF(OR(AM16="",AM24=""),"",AM16-AM24)</f>
        <v/>
      </c>
      <c r="AN28" s="3920">
        <f>IF(OR(AN16="",AN24=""),"",AN16-AN24)</f>
        <v/>
      </c>
      <c r="AO28" s="3920">
        <f>IF(OR(AO16="",AO24=""),"",AO16-AO24)</f>
        <v/>
      </c>
      <c r="AP28" s="3920">
        <f>IF(OR(AP16="",AP24=""),"",AP16-AP24)</f>
        <v/>
      </c>
      <c r="AQ28" s="3920">
        <f>IF(OR(AQ16="",AQ24=""),"",AQ16-AQ24)</f>
        <v/>
      </c>
      <c r="AR28" s="3920">
        <f>IF(OR(AR16="",AR24=""),"",AR16-AR24)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890" t="inlineStr">
        <is>
          <t>Entity 1 | CF (Template Scaffold)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CF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inlineStr">
        <is>
          <t>Data as of</t>
        </is>
      </c>
      <c r="B4" s="3909" t="inlineStr"/>
      <c r="C4" s="3874" t="n"/>
      <c r="D4" s="3890" t="inlineStr">
        <is>
          <t>Units</t>
        </is>
      </c>
      <c r="E4" s="3910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10">
        <f>'Control | Setup'!B9</f>
        <v/>
      </c>
      <c r="C5" s="3874" t="n"/>
      <c r="D5" s="3890" t="inlineStr">
        <is>
          <t>Last refresh</t>
        </is>
      </c>
      <c r="E5" s="3910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74" t="n"/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  <c r="AS7" s="3874" t="n"/>
      <c r="AT7" s="3874" t="n"/>
      <c r="AU7" s="3874" t="n"/>
    </row>
    <row r="8">
      <c r="A8" s="3891" t="inlineStr">
        <is>
          <t>LineKey</t>
        </is>
      </c>
      <c r="B8" s="3891" t="inlineStr">
        <is>
          <t>LineName</t>
        </is>
      </c>
      <c r="C8" s="3891" t="inlineStr">
        <is>
          <t>Sign</t>
        </is>
      </c>
      <c r="D8" s="3891" t="inlineStr">
        <is>
          <t>Source</t>
        </is>
      </c>
      <c r="E8" s="3891" t="inlineStr">
        <is>
          <t>Comments</t>
        </is>
      </c>
      <c r="F8" s="3892">
        <f>'Control | Periods'!A9</f>
        <v/>
      </c>
      <c r="G8" s="3892">
        <f>'Control | Periods'!A10</f>
        <v/>
      </c>
      <c r="H8" s="3892">
        <f>'Control | Periods'!A11</f>
        <v/>
      </c>
      <c r="I8" s="3892">
        <f>'Control | Periods'!A12</f>
        <v/>
      </c>
      <c r="J8" s="3892">
        <f>'Control | Periods'!A13</f>
        <v/>
      </c>
      <c r="K8" s="3892">
        <f>'Control | Periods'!A14</f>
        <v/>
      </c>
      <c r="L8" s="3892">
        <f>'Control | Periods'!A15</f>
        <v/>
      </c>
      <c r="M8" s="3892">
        <f>'Control | Periods'!A16</f>
        <v/>
      </c>
      <c r="N8" s="3892">
        <f>'Control | Periods'!A17</f>
        <v/>
      </c>
      <c r="O8" s="3892">
        <f>'Control | Periods'!A18</f>
        <v/>
      </c>
      <c r="P8" s="3892">
        <f>'Control | Periods'!A19</f>
        <v/>
      </c>
      <c r="Q8" s="3892">
        <f>'Control | Periods'!A20</f>
        <v/>
      </c>
      <c r="R8" s="3892">
        <f>'Control | Periods'!A21</f>
        <v/>
      </c>
      <c r="S8" s="3892">
        <f>'Control | Periods'!A22</f>
        <v/>
      </c>
      <c r="T8" s="3892">
        <f>'Control | Periods'!A23</f>
        <v/>
      </c>
      <c r="U8" s="3892">
        <f>'Control | Periods'!A24</f>
        <v/>
      </c>
      <c r="V8" s="3892">
        <f>'Control | Periods'!A25</f>
        <v/>
      </c>
      <c r="W8" s="3892">
        <f>'Control | Periods'!A26</f>
        <v/>
      </c>
      <c r="X8" s="3892">
        <f>'Control | Periods'!A27</f>
        <v/>
      </c>
      <c r="Y8" s="3892">
        <f>'Control | Periods'!A28</f>
        <v/>
      </c>
      <c r="Z8" s="3892">
        <f>'Control | Periods'!A29</f>
        <v/>
      </c>
      <c r="AA8" s="3892">
        <f>'Control | Periods'!A30</f>
        <v/>
      </c>
      <c r="AB8" s="3892">
        <f>'Control | Periods'!A31</f>
        <v/>
      </c>
      <c r="AC8" s="3892">
        <f>'Control | Periods'!A32</f>
        <v/>
      </c>
      <c r="AD8" s="3892">
        <f>'Control | Periods'!A33</f>
        <v/>
      </c>
      <c r="AE8" s="3892">
        <f>'Control | Periods'!A34</f>
        <v/>
      </c>
      <c r="AF8" s="3892">
        <f>'Control | Periods'!A35</f>
        <v/>
      </c>
      <c r="AG8" s="3892">
        <f>'Control | Periods'!A36</f>
        <v/>
      </c>
      <c r="AH8" s="3892">
        <f>'Control | Periods'!A37</f>
        <v/>
      </c>
      <c r="AI8" s="3892">
        <f>'Control | Periods'!A38</f>
        <v/>
      </c>
      <c r="AJ8" s="3892">
        <f>'Control | Periods'!A39</f>
        <v/>
      </c>
      <c r="AK8" s="3892">
        <f>'Control | Periods'!A40</f>
        <v/>
      </c>
      <c r="AL8" s="3892">
        <f>'Control | Periods'!A41</f>
        <v/>
      </c>
      <c r="AM8" s="3892">
        <f>'Control | Periods'!A42</f>
        <v/>
      </c>
      <c r="AN8" s="3892">
        <f>'Control | Periods'!A43</f>
        <v/>
      </c>
      <c r="AO8" s="3892">
        <f>'Control | Periods'!A44</f>
        <v/>
      </c>
      <c r="AP8" s="3893" t="inlineStr">
        <is>
          <t>FY-2</t>
        </is>
      </c>
      <c r="AQ8" s="3893" t="inlineStr">
        <is>
          <t>FY-1</t>
        </is>
      </c>
      <c r="AR8" s="3893" t="inlineStr">
        <is>
          <t>TTM</t>
        </is>
      </c>
      <c r="AS8" s="3874" t="n"/>
      <c r="AT8" s="3874" t="n"/>
      <c r="AU8" s="3874" t="n"/>
    </row>
    <row r="9">
      <c r="A9" s="3911" t="inlineStr">
        <is>
          <t>CF_EBITDA</t>
        </is>
      </c>
      <c r="B9" s="3879" t="inlineStr">
        <is>
          <t>EBITDA</t>
        </is>
      </c>
      <c r="C9" s="3879" t="inlineStr">
        <is>
          <t>+</t>
        </is>
      </c>
      <c r="D9" s="3879" t="inlineStr">
        <is>
          <t>Link/Map</t>
        </is>
      </c>
      <c r="E9" s="3879" t="inlineStr"/>
      <c r="F9" s="3912" t="n"/>
      <c r="G9" s="3912" t="n"/>
      <c r="H9" s="3912" t="n"/>
      <c r="I9" s="3912" t="n"/>
      <c r="J9" s="3912" t="n"/>
      <c r="K9" s="3912" t="n"/>
      <c r="L9" s="3912" t="n"/>
      <c r="M9" s="3912" t="n"/>
      <c r="N9" s="3912" t="n"/>
      <c r="O9" s="3912" t="n"/>
      <c r="P9" s="3912" t="n"/>
      <c r="Q9" s="3912" t="n"/>
      <c r="R9" s="3912" t="n"/>
      <c r="S9" s="3912" t="n"/>
      <c r="T9" s="3912" t="n"/>
      <c r="U9" s="3912" t="n"/>
      <c r="V9" s="3912" t="n"/>
      <c r="W9" s="3912" t="n"/>
      <c r="X9" s="3912" t="n"/>
      <c r="Y9" s="3912" t="n"/>
      <c r="Z9" s="3912" t="n"/>
      <c r="AA9" s="3912" t="n"/>
      <c r="AB9" s="3912" t="n"/>
      <c r="AC9" s="3912" t="n"/>
      <c r="AD9" s="3912" t="n"/>
      <c r="AE9" s="3912" t="n"/>
      <c r="AF9" s="3912" t="n"/>
      <c r="AG9" s="3912" t="n"/>
      <c r="AH9" s="3912" t="n"/>
      <c r="AI9" s="3912" t="n"/>
      <c r="AJ9" s="3912" t="n"/>
      <c r="AK9" s="3912" t="n"/>
      <c r="AL9" s="3912" t="n"/>
      <c r="AM9" s="3912" t="n"/>
      <c r="AN9" s="3912" t="n"/>
      <c r="AO9" s="3912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11" t="inlineStr">
        <is>
          <t>CF_CHG_NWC</t>
        </is>
      </c>
      <c r="B10" s="3879" t="inlineStr">
        <is>
          <t>Change in NWC</t>
        </is>
      </c>
      <c r="C10" s="3879" t="inlineStr">
        <is>
          <t>+</t>
        </is>
      </c>
      <c r="D10" s="3879" t="inlineStr">
        <is>
          <t>Link/Map</t>
        </is>
      </c>
      <c r="E10" s="3879" t="inlineStr"/>
      <c r="F10" s="3912" t="n"/>
      <c r="G10" s="3912" t="n"/>
      <c r="H10" s="3912" t="n"/>
      <c r="I10" s="3912" t="n"/>
      <c r="J10" s="3912" t="n"/>
      <c r="K10" s="3912" t="n"/>
      <c r="L10" s="3912" t="n"/>
      <c r="M10" s="3912" t="n"/>
      <c r="N10" s="3912" t="n"/>
      <c r="O10" s="3912" t="n"/>
      <c r="P10" s="3912" t="n"/>
      <c r="Q10" s="3912" t="n"/>
      <c r="R10" s="3912" t="n"/>
      <c r="S10" s="3912" t="n"/>
      <c r="T10" s="3912" t="n"/>
      <c r="U10" s="3912" t="n"/>
      <c r="V10" s="3912" t="n"/>
      <c r="W10" s="3912" t="n"/>
      <c r="X10" s="3912" t="n"/>
      <c r="Y10" s="3912" t="n"/>
      <c r="Z10" s="3912" t="n"/>
      <c r="AA10" s="3912" t="n"/>
      <c r="AB10" s="3912" t="n"/>
      <c r="AC10" s="3912" t="n"/>
      <c r="AD10" s="3912" t="n"/>
      <c r="AE10" s="3912" t="n"/>
      <c r="AF10" s="3912" t="n"/>
      <c r="AG10" s="3912" t="n"/>
      <c r="AH10" s="3912" t="n"/>
      <c r="AI10" s="3912" t="n"/>
      <c r="AJ10" s="3912" t="n"/>
      <c r="AK10" s="3912" t="n"/>
      <c r="AL10" s="3912" t="n"/>
      <c r="AM10" s="3912" t="n"/>
      <c r="AN10" s="3912" t="n"/>
      <c r="AO10" s="3912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11" t="inlineStr">
        <is>
          <t>CF_CAPEX</t>
        </is>
      </c>
      <c r="B11" s="3879" t="inlineStr">
        <is>
          <t>Capex</t>
        </is>
      </c>
      <c r="C11" s="3879" t="inlineStr">
        <is>
          <t>+</t>
        </is>
      </c>
      <c r="D11" s="3879" t="inlineStr">
        <is>
          <t>Link/Map</t>
        </is>
      </c>
      <c r="E11" s="3879" t="inlineStr"/>
      <c r="F11" s="3912" t="n"/>
      <c r="G11" s="3912" t="n"/>
      <c r="H11" s="3912" t="n"/>
      <c r="I11" s="3912" t="n"/>
      <c r="J11" s="3912" t="n"/>
      <c r="K11" s="3912" t="n"/>
      <c r="L11" s="3912" t="n"/>
      <c r="M11" s="3912" t="n"/>
      <c r="N11" s="3912" t="n"/>
      <c r="O11" s="3912" t="n"/>
      <c r="P11" s="3912" t="n"/>
      <c r="Q11" s="3912" t="n"/>
      <c r="R11" s="3912" t="n"/>
      <c r="S11" s="3912" t="n"/>
      <c r="T11" s="3912" t="n"/>
      <c r="U11" s="3912" t="n"/>
      <c r="V11" s="3912" t="n"/>
      <c r="W11" s="3912" t="n"/>
      <c r="X11" s="3912" t="n"/>
      <c r="Y11" s="3912" t="n"/>
      <c r="Z11" s="3912" t="n"/>
      <c r="AA11" s="3912" t="n"/>
      <c r="AB11" s="3912" t="n"/>
      <c r="AC11" s="3912" t="n"/>
      <c r="AD11" s="3912" t="n"/>
      <c r="AE11" s="3912" t="n"/>
      <c r="AF11" s="3912" t="n"/>
      <c r="AG11" s="3912" t="n"/>
      <c r="AH11" s="3912" t="n"/>
      <c r="AI11" s="3912" t="n"/>
      <c r="AJ11" s="3912" t="n"/>
      <c r="AK11" s="3912" t="n"/>
      <c r="AL11" s="3912" t="n"/>
      <c r="AM11" s="3912" t="n"/>
      <c r="AN11" s="3912" t="n"/>
      <c r="AO11" s="3912" t="n"/>
      <c r="AP11" s="3913">
        <f>IF(COUNT(F11:Q11)=0,"",SUM(F11:Q11))</f>
        <v/>
      </c>
      <c r="AQ11" s="3913">
        <f>IF(COUNT(R11:AC11)=0,"",SUM(R11:AC11))</f>
        <v/>
      </c>
      <c r="AR11" s="3913">
        <f>IF(COUNT(AD11:AO11)=0,"",SUM(AD11:AO11))</f>
        <v/>
      </c>
      <c r="AS11" s="3874" t="n"/>
      <c r="AT11" s="3874" t="n"/>
      <c r="AU11" s="3874" t="n"/>
    </row>
    <row r="12">
      <c r="A12" s="3911" t="inlineStr">
        <is>
          <t>CF_OTHER</t>
        </is>
      </c>
      <c r="B12" s="3879" t="inlineStr">
        <is>
          <t>Other</t>
        </is>
      </c>
      <c r="C12" s="3879" t="inlineStr">
        <is>
          <t>+</t>
        </is>
      </c>
      <c r="D12" s="3879" t="inlineStr">
        <is>
          <t>Link/Map</t>
        </is>
      </c>
      <c r="E12" s="3879" t="inlineStr"/>
      <c r="F12" s="3912" t="n"/>
      <c r="G12" s="3912" t="n"/>
      <c r="H12" s="3912" t="n"/>
      <c r="I12" s="3912" t="n"/>
      <c r="J12" s="3912" t="n"/>
      <c r="K12" s="3912" t="n"/>
      <c r="L12" s="3912" t="n"/>
      <c r="M12" s="3912" t="n"/>
      <c r="N12" s="3912" t="n"/>
      <c r="O12" s="3912" t="n"/>
      <c r="P12" s="3912" t="n"/>
      <c r="Q12" s="3912" t="n"/>
      <c r="R12" s="3912" t="n"/>
      <c r="S12" s="3912" t="n"/>
      <c r="T12" s="3912" t="n"/>
      <c r="U12" s="3912" t="n"/>
      <c r="V12" s="3912" t="n"/>
      <c r="W12" s="3912" t="n"/>
      <c r="X12" s="3912" t="n"/>
      <c r="Y12" s="3912" t="n"/>
      <c r="Z12" s="3912" t="n"/>
      <c r="AA12" s="3912" t="n"/>
      <c r="AB12" s="3912" t="n"/>
      <c r="AC12" s="3912" t="n"/>
      <c r="AD12" s="3912" t="n"/>
      <c r="AE12" s="3912" t="n"/>
      <c r="AF12" s="3912" t="n"/>
      <c r="AG12" s="3912" t="n"/>
      <c r="AH12" s="3912" t="n"/>
      <c r="AI12" s="3912" t="n"/>
      <c r="AJ12" s="3912" t="n"/>
      <c r="AK12" s="3912" t="n"/>
      <c r="AL12" s="3912" t="n"/>
      <c r="AM12" s="3912" t="n"/>
      <c r="AN12" s="3912" t="n"/>
      <c r="AO12" s="3912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11" t="inlineStr">
        <is>
          <t>CF_NET</t>
        </is>
      </c>
      <c r="B13" s="3879" t="inlineStr">
        <is>
          <t>Net cash flow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14">
        <f>IF(COUNT(F9:F12)=0,"",SUM(F9:F12))</f>
        <v/>
      </c>
      <c r="G13" s="3914">
        <f>IF(COUNT(G9:G12)=0,"",SUM(G9:G12))</f>
        <v/>
      </c>
      <c r="H13" s="3914">
        <f>IF(COUNT(H9:H12)=0,"",SUM(H9:H12))</f>
        <v/>
      </c>
      <c r="I13" s="3914">
        <f>IF(COUNT(I9:I12)=0,"",SUM(I9:I12))</f>
        <v/>
      </c>
      <c r="J13" s="3914">
        <f>IF(COUNT(J9:J12)=0,"",SUM(J9:J12))</f>
        <v/>
      </c>
      <c r="K13" s="3914">
        <f>IF(COUNT(K9:K12)=0,"",SUM(K9:K12))</f>
        <v/>
      </c>
      <c r="L13" s="3914">
        <f>IF(COUNT(L9:L12)=0,"",SUM(L9:L12))</f>
        <v/>
      </c>
      <c r="M13" s="3914">
        <f>IF(COUNT(M9:M12)=0,"",SUM(M9:M12))</f>
        <v/>
      </c>
      <c r="N13" s="3914">
        <f>IF(COUNT(N9:N12)=0,"",SUM(N9:N12))</f>
        <v/>
      </c>
      <c r="O13" s="3914">
        <f>IF(COUNT(O9:O12)=0,"",SUM(O9:O12))</f>
        <v/>
      </c>
      <c r="P13" s="3914">
        <f>IF(COUNT(P9:P12)=0,"",SUM(P9:P12))</f>
        <v/>
      </c>
      <c r="Q13" s="3914">
        <f>IF(COUNT(Q9:Q12)=0,"",SUM(Q9:Q12))</f>
        <v/>
      </c>
      <c r="R13" s="3914">
        <f>IF(COUNT(R9:R12)=0,"",SUM(R9:R12))</f>
        <v/>
      </c>
      <c r="S13" s="3914">
        <f>IF(COUNT(S9:S12)=0,"",SUM(S9:S12))</f>
        <v/>
      </c>
      <c r="T13" s="3914">
        <f>IF(COUNT(T9:T12)=0,"",SUM(T9:T12))</f>
        <v/>
      </c>
      <c r="U13" s="3914">
        <f>IF(COUNT(U9:U12)=0,"",SUM(U9:U12))</f>
        <v/>
      </c>
      <c r="V13" s="3914">
        <f>IF(COUNT(V9:V12)=0,"",SUM(V9:V12))</f>
        <v/>
      </c>
      <c r="W13" s="3914">
        <f>IF(COUNT(W9:W12)=0,"",SUM(W9:W12))</f>
        <v/>
      </c>
      <c r="X13" s="3914">
        <f>IF(COUNT(X9:X12)=0,"",SUM(X9:X12))</f>
        <v/>
      </c>
      <c r="Y13" s="3914">
        <f>IF(COUNT(Y9:Y12)=0,"",SUM(Y9:Y12))</f>
        <v/>
      </c>
      <c r="Z13" s="3914">
        <f>IF(COUNT(Z9:Z12)=0,"",SUM(Z9:Z12))</f>
        <v/>
      </c>
      <c r="AA13" s="3914">
        <f>IF(COUNT(AA9:AA12)=0,"",SUM(AA9:AA12))</f>
        <v/>
      </c>
      <c r="AB13" s="3914">
        <f>IF(COUNT(AB9:AB12)=0,"",SUM(AB9:AB12))</f>
        <v/>
      </c>
      <c r="AC13" s="3914">
        <f>IF(COUNT(AC9:AC12)=0,"",SUM(AC9:AC12))</f>
        <v/>
      </c>
      <c r="AD13" s="3914">
        <f>IF(COUNT(AD9:AD12)=0,"",SUM(AD9:AD12))</f>
        <v/>
      </c>
      <c r="AE13" s="3914">
        <f>IF(COUNT(AE9:AE12)=0,"",SUM(AE9:AE12))</f>
        <v/>
      </c>
      <c r="AF13" s="3914">
        <f>IF(COUNT(AF9:AF12)=0,"",SUM(AF9:AF12))</f>
        <v/>
      </c>
      <c r="AG13" s="3914">
        <f>IF(COUNT(AG9:AG12)=0,"",SUM(AG9:AG12))</f>
        <v/>
      </c>
      <c r="AH13" s="3914">
        <f>IF(COUNT(AH9:AH12)=0,"",SUM(AH9:AH12))</f>
        <v/>
      </c>
      <c r="AI13" s="3914">
        <f>IF(COUNT(AI9:AI12)=0,"",SUM(AI9:AI12))</f>
        <v/>
      </c>
      <c r="AJ13" s="3914">
        <f>IF(COUNT(AJ9:AJ12)=0,"",SUM(AJ9:AJ12))</f>
        <v/>
      </c>
      <c r="AK13" s="3914">
        <f>IF(COUNT(AK9:AK12)=0,"",SUM(AK9:AK12))</f>
        <v/>
      </c>
      <c r="AL13" s="3914">
        <f>IF(COUNT(AL9:AL12)=0,"",SUM(AL9:AL12))</f>
        <v/>
      </c>
      <c r="AM13" s="3914">
        <f>IF(COUNT(AM9:AM12)=0,"",SUM(AM9:AM12))</f>
        <v/>
      </c>
      <c r="AN13" s="3914">
        <f>IF(COUNT(AN9:AN12)=0,"",SUM(AN9:AN12))</f>
        <v/>
      </c>
      <c r="AO13" s="3914">
        <f>IF(COUNT(AO9:AO12)=0,"",SUM(AO9:AO12))</f>
        <v/>
      </c>
      <c r="AP13" s="3915">
        <f>IF(COUNT(F13:Q13)=0,"",SUM(F13:Q13))</f>
        <v/>
      </c>
      <c r="AQ13" s="3915">
        <f>IF(COUNT(R13:AC13)=0,"",SUM(R13:AC13))</f>
        <v/>
      </c>
      <c r="AR13" s="3915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CF_CHECKS</t>
        </is>
      </c>
      <c r="B27" s="3917" t="n"/>
      <c r="C27" s="3917" t="n"/>
      <c r="D27" s="3917" t="n"/>
      <c r="E27" s="3918" t="n"/>
      <c r="F27" s="3919" t="n"/>
      <c r="G27" s="3919" t="n"/>
      <c r="H27" s="3919" t="n"/>
      <c r="I27" s="3919" t="n"/>
      <c r="J27" s="3919" t="n"/>
      <c r="K27" s="3919" t="n"/>
      <c r="L27" s="3919" t="n"/>
      <c r="M27" s="3919" t="n"/>
      <c r="N27" s="3919" t="n"/>
      <c r="O27" s="3919" t="n"/>
      <c r="P27" s="3919" t="n"/>
      <c r="Q27" s="3919" t="n"/>
      <c r="R27" s="3919" t="n"/>
      <c r="S27" s="3919" t="n"/>
      <c r="T27" s="3919" t="n"/>
      <c r="U27" s="3919" t="n"/>
      <c r="V27" s="3919" t="n"/>
      <c r="W27" s="3919" t="n"/>
      <c r="X27" s="3919" t="n"/>
      <c r="Y27" s="3919" t="n"/>
      <c r="Z27" s="3919" t="n"/>
      <c r="AA27" s="3919" t="n"/>
      <c r="AB27" s="3919" t="n"/>
      <c r="AC27" s="3919" t="n"/>
      <c r="AD27" s="3919" t="n"/>
      <c r="AE27" s="3919" t="n"/>
      <c r="AF27" s="3919" t="n"/>
      <c r="AG27" s="3919" t="n"/>
      <c r="AH27" s="3919" t="n"/>
      <c r="AI27" s="3919" t="n"/>
      <c r="AJ27" s="3919" t="n"/>
      <c r="AK27" s="3919" t="n"/>
      <c r="AL27" s="3919" t="n"/>
      <c r="AM27" s="3919" t="n"/>
      <c r="AN27" s="3919" t="n"/>
      <c r="AO27" s="3919" t="n"/>
      <c r="AP27" s="3919" t="n"/>
      <c r="AQ27" s="3919" t="n"/>
      <c r="AR27" s="3919" t="n"/>
      <c r="AS27" s="3874" t="n"/>
      <c r="AT27" s="3874" t="n"/>
      <c r="AU27" s="3874" t="n"/>
    </row>
    <row r="28">
      <c r="A28" s="3876" t="inlineStr">
        <is>
          <t>Net cash tie-out</t>
        </is>
      </c>
      <c r="B28" s="3876" t="n"/>
      <c r="C28" s="3876" t="n"/>
      <c r="D28" s="3876" t="n"/>
      <c r="E28" s="3876" t="n"/>
      <c r="F28" s="3920">
        <f>IF(F13="","",F13-SUM(F9:F12))</f>
        <v/>
      </c>
      <c r="G28" s="3920">
        <f>IF(G13="","",G13-SUM(G9:G12))</f>
        <v/>
      </c>
      <c r="H28" s="3920">
        <f>IF(H13="","",H13-SUM(H9:H12))</f>
        <v/>
      </c>
      <c r="I28" s="3920">
        <f>IF(I13="","",I13-SUM(I9:I12))</f>
        <v/>
      </c>
      <c r="J28" s="3920">
        <f>IF(J13="","",J13-SUM(J9:J12))</f>
        <v/>
      </c>
      <c r="K28" s="3920">
        <f>IF(K13="","",K13-SUM(K9:K12))</f>
        <v/>
      </c>
      <c r="L28" s="3920">
        <f>IF(L13="","",L13-SUM(L9:L12))</f>
        <v/>
      </c>
      <c r="M28" s="3920">
        <f>IF(M13="","",M13-SUM(M9:M12))</f>
        <v/>
      </c>
      <c r="N28" s="3920">
        <f>IF(N13="","",N13-SUM(N9:N12))</f>
        <v/>
      </c>
      <c r="O28" s="3920">
        <f>IF(O13="","",O13-SUM(O9:O12))</f>
        <v/>
      </c>
      <c r="P28" s="3920">
        <f>IF(P13="","",P13-SUM(P9:P12))</f>
        <v/>
      </c>
      <c r="Q28" s="3920">
        <f>IF(Q13="","",Q13-SUM(Q9:Q12))</f>
        <v/>
      </c>
      <c r="R28" s="3920">
        <f>IF(R13="","",R13-SUM(R9:R12))</f>
        <v/>
      </c>
      <c r="S28" s="3920">
        <f>IF(S13="","",S13-SUM(S9:S12))</f>
        <v/>
      </c>
      <c r="T28" s="3920">
        <f>IF(T13="","",T13-SUM(T9:T12))</f>
        <v/>
      </c>
      <c r="U28" s="3920">
        <f>IF(U13="","",U13-SUM(U9:U12))</f>
        <v/>
      </c>
      <c r="V28" s="3920">
        <f>IF(V13="","",V13-SUM(V9:V12))</f>
        <v/>
      </c>
      <c r="W28" s="3920">
        <f>IF(W13="","",W13-SUM(W9:W12))</f>
        <v/>
      </c>
      <c r="X28" s="3920">
        <f>IF(X13="","",X13-SUM(X9:X12))</f>
        <v/>
      </c>
      <c r="Y28" s="3920">
        <f>IF(Y13="","",Y13-SUM(Y9:Y12))</f>
        <v/>
      </c>
      <c r="Z28" s="3920">
        <f>IF(Z13="","",Z13-SUM(Z9:Z12))</f>
        <v/>
      </c>
      <c r="AA28" s="3920">
        <f>IF(AA13="","",AA13-SUM(AA9:AA12))</f>
        <v/>
      </c>
      <c r="AB28" s="3920">
        <f>IF(AB13="","",AB13-SUM(AB9:AB12))</f>
        <v/>
      </c>
      <c r="AC28" s="3920">
        <f>IF(AC13="","",AC13-SUM(AC9:AC12))</f>
        <v/>
      </c>
      <c r="AD28" s="3920">
        <f>IF(AD13="","",AD13-SUM(AD9:AD12))</f>
        <v/>
      </c>
      <c r="AE28" s="3920">
        <f>IF(AE13="","",AE13-SUM(AE9:AE12))</f>
        <v/>
      </c>
      <c r="AF28" s="3920">
        <f>IF(AF13="","",AF13-SUM(AF9:AF12))</f>
        <v/>
      </c>
      <c r="AG28" s="3920">
        <f>IF(AG13="","",AG13-SUM(AG9:AG12))</f>
        <v/>
      </c>
      <c r="AH28" s="3920">
        <f>IF(AH13="","",AH13-SUM(AH9:AH12))</f>
        <v/>
      </c>
      <c r="AI28" s="3920">
        <f>IF(AI13="","",AI13-SUM(AI9:AI12))</f>
        <v/>
      </c>
      <c r="AJ28" s="3920">
        <f>IF(AJ13="","",AJ13-SUM(AJ9:AJ12))</f>
        <v/>
      </c>
      <c r="AK28" s="3920">
        <f>IF(AK13="","",AK13-SUM(AK9:AK12))</f>
        <v/>
      </c>
      <c r="AL28" s="3920">
        <f>IF(AL13="","",AL13-SUM(AL9:AL12))</f>
        <v/>
      </c>
      <c r="AM28" s="3920">
        <f>IF(AM13="","",AM13-SUM(AM9:AM12))</f>
        <v/>
      </c>
      <c r="AN28" s="3920">
        <f>IF(AN13="","",AN13-SUM(AN9:AN12))</f>
        <v/>
      </c>
      <c r="AO28" s="3920">
        <f>IF(AO13="","",AO13-SUM(AO9:AO12))</f>
        <v/>
      </c>
      <c r="AP28" s="3920">
        <f>IF(AP13="","",AP13-SUM(AP9:AP12))</f>
        <v/>
      </c>
      <c r="AQ28" s="3920">
        <f>IF(AQ13="","",AQ13-SUM(AQ9:AQ12))</f>
        <v/>
      </c>
      <c r="AR28" s="3920">
        <f>IF(AR13="","",AR13-SUM(AR9:AR12))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mergeCells count="4">
    <mergeCell ref="A1:AR1"/>
    <mergeCell ref="AT6:AU6"/>
    <mergeCell ref="A27:E27"/>
    <mergeCell ref="A2:A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2026-02-18T16:24:20Z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