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600" windowWidth="51200" windowHeight="28200" tabRatio="897" firstSheet="4" activeTab="0" autoFilterDateGrouping="1"/>
  </bookViews>
  <sheets>
    <sheet name="Cover" sheetId="1" state="visible" r:id="rId1"/>
    <sheet name="Control | Setup" sheetId="2" state="visible" r:id="rId2"/>
    <sheet name="Control | QC" sheetId="3" state="visible" r:id="rId3"/>
    <sheet name="Template | Index" sheetId="4" state="visible" r:id="rId4"/>
    <sheet name="Data | TB" sheetId="5" state="visible" r:id="rId5"/>
    <sheet name="Data | AR Aging" sheetId="6" state="visible" r:id="rId6"/>
    <sheet name="Data | AP Aging" sheetId="7" state="visible" r:id="rId7"/>
    <sheet name="Map | COA to Lines" sheetId="8" state="visible" r:id="rId8"/>
    <sheet name="Map | NWC &amp; NetDebt Class" sheetId="9" state="visible" r:id="rId9"/>
    <sheet name="Map | Entities" sheetId="10" state="visible" r:id="rId10"/>
    <sheet name="Financials&gt;&gt;" sheetId="11" state="visible" r:id="rId11"/>
    <sheet name="Combined | IS" sheetId="12" state="visible" r:id="rId12"/>
    <sheet name="Combined | BS" sheetId="13" state="visible" r:id="rId13"/>
    <sheet name="Combined | CF" sheetId="14" state="visible" r:id="rId14"/>
    <sheet name="Entity 1 | IS" sheetId="15" state="visible" r:id="rId15"/>
    <sheet name="Entity 1 | BS" sheetId="16" state="visible" r:id="rId16"/>
    <sheet name="Entity 1 | CF" sheetId="17" state="visible" r:id="rId17"/>
    <sheet name="QofE&gt;&gt;" sheetId="18" state="visible" r:id="rId18"/>
    <sheet name="QofE | Summary" sheetId="19" state="visible" r:id="rId19"/>
    <sheet name="QofE | Detail" sheetId="20" state="visible" r:id="rId20"/>
    <sheet name="NWC&gt;&gt;" sheetId="21" state="visible" r:id="rId21"/>
    <sheet name="NWC | Summary" sheetId="22" state="visible" r:id="rId22"/>
    <sheet name="NWC | Detail" sheetId="23" state="visible" r:id="rId23"/>
    <sheet name="NWC | Days" sheetId="24" state="visible" r:id="rId24"/>
    <sheet name="Stratified | BS" sheetId="25" state="visible" r:id="rId25"/>
    <sheet name="Net_debt" sheetId="26" state="visible" r:id="rId26"/>
    <sheet name="Recons" sheetId="27" state="visible" r:id="rId27"/>
    <sheet name="Agings" sheetId="28" state="visible" r:id="rId28"/>
    <sheet name="Personnel" sheetId="29" state="visible" r:id="rId29"/>
    <sheet name="Capex" sheetId="30" state="visible" r:id="rId30"/>
    <sheet name="Leases" sheetId="31" state="visible" r:id="rId31"/>
    <sheet name="Other | Analysis" sheetId="32" state="visible" r:id="rId32"/>
  </sheets>
  <definedNames>
    <definedName name="_____________t2" hidden="1">{"'Sheet1'!$A$5:$G$42"}</definedName>
    <definedName name="____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___t2" hidden="1">{"'Sheet1'!$A$5:$G$42"}</definedName>
    <definedName name="___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_t2" hidden="1">{"'Sheet1'!$A$5:$G$42"}</definedName>
    <definedName name="_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t2" hidden="1">{"'Sheet1'!$A$5:$G$42"}</definedName>
    <definedName name="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t2" hidden="1">{"'Sheet1'!$A$5:$G$42"}</definedName>
    <definedName name="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t2" hidden="1">{"'Sheet1'!$A$5:$G$42"}</definedName>
    <definedName name="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t2" hidden="1">{"'Sheet1'!$A$5:$G$42"}</definedName>
    <definedName name="______WHO2" hidden="1">{#N/A,#N/A,FALSE,"SUMMARY";#N/A,#N/A,FALSE,"DETAIL";#N/A,#N/A,FALSE,"VARIANCE"}</definedName>
    <definedName name="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t2" hidden="1">{"'Sheet1'!$A$5:$G$42"}</definedName>
    <definedName name="_____wrn2" hidden="1">{#N/A,#N/A,FALSE,"ASSUMPTIONS";#N/A,#N/A,FALSE,"Valuation Summary";"page1",#N/A,FALSE,"PRESENTATION";"page2",#N/A,FALSE,"PRESENTATION";#N/A,#N/A,FALSE,"ORIGINAL_ROLLBACK"}</definedName>
    <definedName name="_____wrn3" hidden="1">{#N/A,#N/A,FALSE,"ASSUMPTIONS";#N/A,#N/A,FALSE,"Valuation Summary";"page1",#N/A,FALSE,"PRESENTATION";"page2",#N/A,FALSE,"PRESENTATION";#N/A,#N/A,FALSE,"ORIGINAL_ROLLBACK"}</definedName>
    <definedName name="____t2" hidden="1">{"'Sheet1'!$A$5:$G$42"}</definedName>
    <definedName name="____WHO2" hidden="1">{#N/A,#N/A,FALSE,"SUMMARY";#N/A,#N/A,FALSE,"DETAIL";#N/A,#N/A,FALSE,"VARIANCE"}</definedName>
    <definedName name="____wr3" hidden="1">{#N/A,#N/A,FALSE,"ASSUMPTIONS";#N/A,#N/A,FALSE,"Valuation Summary";"page1",#N/A,FALSE,"PRESENTATION";"page2",#N/A,FALSE,"PRESENTATION";#N/A,#N/A,FALSE,"ORIGINAL_ROLLBACK"}</definedName>
    <definedName name="____wrn2" hidden="1">{#N/A,#N/A,FALSE,"ASSUMPTIONS";#N/A,#N/A,FALSE,"Valuation Summary";"page1",#N/A,FALSE,"PRESENTATION";"page2",#N/A,FALSE,"PRESENTATION";#N/A,#N/A,FALSE,"ORIGINAL_ROLLBACK"}</definedName>
    <definedName name="____wrn3" hidden="1">{#N/A,#N/A,FALSE,"ASSUMPTIONS";#N/A,#N/A,FALSE,"Valuation Summary";"page1",#N/A,FALSE,"PRESENTATION";"page2",#N/A,FALSE,"PRESENTATION";#N/A,#N/A,FALSE,"ORIGINAL_ROLLBACK"}</definedName>
    <definedName name="___t2" hidden="1">{"'Sheet1'!$A$5:$G$42"}</definedName>
    <definedName name="___wrn2" hidden="1">{#N/A,#N/A,FALSE,"ASSUMPTIONS";#N/A,#N/A,FALSE,"Valuation Summary";"page1",#N/A,FALSE,"PRESENTATION";"page2",#N/A,FALSE,"PRESENTATION";#N/A,#N/A,FALSE,"ORIGINAL_ROLLBACK"}</definedName>
    <definedName name="___wrn3" hidden="1">{#N/A,#N/A,FALSE,"ASSUMPTIONS";#N/A,#N/A,FALSE,"Valuation Summary";"page1",#N/A,FALSE,"PRESENTATION";"page2",#N/A,FALSE,"PRESENTATION";#N/A,#N/A,FALSE,"ORIGINAL_ROLLBACK"}</definedName>
    <definedName name="__FDS_HYPERLINK_TOGGLE_STATE__" hidden="1">"ON"</definedName>
    <definedName name="__IntlFixup" hidden="1">TRUE</definedName>
    <definedName name="__p1" hidden="1">{"SUM",#N/A,FALSE,"Details (2)"}</definedName>
    <definedName name="__pp2" hidden="1">{"Summary",#N/A,FALSE,"Details (2)"}</definedName>
    <definedName name="__ppp1" hidden="1">{"SUM",#N/A,FALSE,"Details (2)"}</definedName>
    <definedName name="__q2" hidden="1">{"Summary",#N/A,FALSE,"Details (2)"}</definedName>
    <definedName name="__q3" hidden="1">{"SUM",#N/A,FALSE,"Details (2)"}</definedName>
    <definedName name="__q4" hidden="1">{"Summary",#N/A,FALSE,"Details (2)"}</definedName>
    <definedName name="__q5" hidden="1">{"SUM",#N/A,FALSE,"Details (2)"}</definedName>
    <definedName name="__t2" hidden="1">{"'Sheet1'!$A$5:$G$42"}</definedName>
    <definedName name="__v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WHO2" hidden="1">{#N/A,#N/A,FALSE,"SUMMARY";#N/A,#N/A,FALSE,"DETAIL";#N/A,#N/A,FALSE,"VARIANCE"}</definedName>
    <definedName name="__wrn2" hidden="1">{#N/A,#N/A,FALSE,"ASSUMPTIONS";#N/A,#N/A,FALSE,"Valuation Summary";"page1",#N/A,FALSE,"PRESENTATION";"page2",#N/A,FALSE,"PRESENTATION";#N/A,#N/A,FALSE,"ORIGINAL_ROLLBACK"}</definedName>
    <definedName name="__wrn3" hidden="1">{#N/A,#N/A,FALSE,"ASSUMPTIONS";#N/A,#N/A,FALSE,"Valuation Summary";"page1",#N/A,FALSE,"PRESENTATION";"page2",#N/A,FALSE,"PRESENTATION";#N/A,#N/A,FALSE,"ORIGINAL_ROLLBACK"}</definedName>
    <definedName name="__X1" hidden="1">{"Summary",#N/A,FALSE,"Details (2)"}</definedName>
    <definedName name="__xlfn.IFERROR" hidden="1">#NAME?</definedName>
    <definedName name="_1__FDSAUDITLINK__" hidden="1">{"fdsup://directions/FAT Viewer?action=UPDATE&amp;creator=factset&amp;DYN_ARGS=TRUE&amp;DOC_NAME=FAT:FQL_AUDITING_CLIENT_TEMPLATE.FAT&amp;display_string=Audit&amp;VAR:KEY=YXKJUNQROF&amp;VAR:QUERY=RkZfRUJJVERBX09QRVIoQU5OLDEyLzMxLzIwMDgsMTIvMzEvMjAxMCxGWSk=&amp;WINDOW=FIRST_POPUP&amp;HEIGH","T=450&amp;WIDTH=450&amp;START_MAXIMIZED=FALSE&amp;VAR:CALENDAR=US&amp;VAR:SYMBOL=PZA.UN&amp;VAR:INDEX=0"}</definedName>
    <definedName name="_2__FDSAUDITLINK__" hidden="1">{"fdsup://directions/FAT Viewer?action=UPDATE&amp;creator=factset&amp;DYN_ARGS=TRUE&amp;DOC_NAME=FAT:FQL_AUDITING_CLIENT_TEMPLATE.FAT&amp;display_string=Audit&amp;VAR:KEY=WZETIXUZET&amp;VAR:QUERY=RkZfQ09HUyhBTk4sMTIvMzEvMjAwOCwxMi8zMS8yMDEwLEZZKQ==&amp;WINDOW=FIRST_POPUP&amp;HEIGHT=450&amp;WI","DTH=450&amp;START_MAXIMIZED=FALSE&amp;VAR:CALENDAR=US&amp;VAR:SYMBOL=PZA.UN&amp;VAR:INDEX=0"}</definedName>
    <definedName name="_3__FDSAUDITLINK__" hidden="1">{"fdsup://Directions/FactSet Auditing Viewer?action=AUDIT_VALUE&amp;DB=129&amp;ID1=B0CVPN&amp;VALUEID=01001&amp;SDATE=2008&amp;PERIODTYPE=ANN_STD&amp;SCFT=3&amp;window=popup_no_bar&amp;width=385&amp;height=120&amp;START_MAXIMIZED=FALSE&amp;creator=factset&amp;display_string=Audit"}</definedName>
    <definedName name="_ADS1" hidden="1">{"FCB_ALL",#N/A,FALSE,"FCB"}</definedName>
    <definedName name="_as1" hidden="1">{"FCB_ALL",#N/A,FALSE,"FCB"}</definedName>
    <definedName name="_AS2" hidden="1">{"FCB_ALL",#N/A,FALSE,"FCB"}</definedName>
    <definedName name="_as3" hidden="1">{"FCB_ALL",#N/A,FALSE,"FCB"}</definedName>
    <definedName name="_AS4" hidden="1">{"FCB_ALL",#N/A,FALSE,"FCB"}</definedName>
    <definedName name="_as6" hidden="1">{"FCB_ALL",#N/A,FALSE,"FCB"}</definedName>
    <definedName name="_AS7" hidden="1">{"FCB_ALL",#N/A,FALSE,"FCB"}</definedName>
    <definedName name="_AtRisk_SimSetting_AutomaticallyGenerateReports" hidden="1">FALSE</definedName>
    <definedName name="_AtRisk_SimSetting_AutomaticResultsDisplayMode" hidden="1">1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df1" hidden="1">{#N/A,#N/A,FALSE,"Calc";#N/A,#N/A,FALSE,"Sensitivity";#N/A,#N/A,FALSE,"LT Earn.Dil.";#N/A,#N/A,FALSE,"Dil. AVP"}</definedName>
    <definedName name="_df2" hidden="1">{#N/A,#N/A,FALSE,"Calc";#N/A,#N/A,FALSE,"Sensitivity";#N/A,#N/A,FALSE,"LT Earn.Dil.";#N/A,#N/A,FALSE,"Dil. AVP"}</definedName>
    <definedName name="_dfd1" hidden="1">{"FCB_ALL",#N/A,FALSE,"FCB";"GREY_ALL",#N/A,FALSE,"GREY"}</definedName>
    <definedName name="_GSRATES_1" hidden="1">"CT30000120060921        "</definedName>
    <definedName name="_GSRATES_COUNT" hidden="1">1</definedName>
    <definedName name="_hd1" hidden="1">{#N/A,#N/A,FALSE,"Calc";#N/A,#N/A,FALSE,"Sensitivity";#N/A,#N/A,FALSE,"LT Earn.Dil.";#N/A,#N/A,FALSE,"Dil. AVP"}</definedName>
    <definedName name="_hd2" hidden="1">{#N/A,#N/A,FALSE,"Calc";#N/A,#N/A,FALSE,"Sensitivity";#N/A,#N/A,FALSE,"LT Earn.Dil.";#N/A,#N/A,FALSE,"Dil. AVP"}</definedName>
    <definedName name="_new1" hidden="1">{#N/A,#N/A,TRUE,"Sheet5 (4)";#N/A,#N/A,TRUE,"Sheet10 (2)";#N/A,#N/A,TRUE,"Sheet16 (2)"}</definedName>
    <definedName name="_OK2" hidden="1">{#N/A,#N/A,FALSE,"Cover";#N/A,#N/A,FALSE,"LUMI";#N/A,#N/A,FALSE,"COMD";#N/A,#N/A,FALSE,"Valuation";#N/A,#N/A,FALSE,"Assumptions";#N/A,#N/A,FALSE,"Pooling";#N/A,#N/A,FALSE,"BalanceSheet"}</definedName>
    <definedName name="_Order1" hidden="1">255</definedName>
    <definedName name="_Order2" hidden="1">255</definedName>
    <definedName name="_p1" hidden="1">{"SUM",#N/A,FALSE,"Details (2)"}</definedName>
    <definedName name="_PL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4" hidden="1">{#N/A,#N/A,FALSE,"Report Data";#N/A,#N/A,FALSE,"COMP POOL";#N/A,#N/A,FALSE,"COMP POOL NB95";#N/A,#N/A,FALSE,"COMP POOL NB94"}</definedName>
    <definedName name="_PL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p2" hidden="1">{"Summary",#N/A,FALSE,"Details (2)"}</definedName>
    <definedName name="_ppp1" hidden="1">{"SUM",#N/A,FALSE,"Details (2)"}</definedName>
    <definedName name="_q2" hidden="1">{"Summary",#N/A,FALSE,"Details (2)"}</definedName>
    <definedName name="_q3" hidden="1">{"SUM",#N/A,FALSE,"Details (2)"}</definedName>
    <definedName name="_q4" hidden="1">{"Summary",#N/A,FALSE,"Details (2)"}</definedName>
    <definedName name="_q5" hidden="1">{"SUM",#N/A,FALSE,"Details (2)"}</definedName>
    <definedName name="_sop3" hidden="1">{"data",#N/A,FALSE,"client (3)";"margins",#N/A,FALSE,"client (3)";"multiple",#N/A,FALSE,"client (3)"}</definedName>
    <definedName name="_t2" hidden="1">{"'Sheet1'!$A$5:$G$42"}</definedName>
    <definedName name="_t9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_UNDO_UPS_" hidden="1">'Lost customers'!$BA$1002:$CU$1002</definedName>
    <definedName name="_UNDO_UPS_SEL_" hidden="1">'Lost customers'!$BA$1002:$CU$1002</definedName>
    <definedName name="_UNDO31X31X_" hidden="1">'NWC | Adjusted'!$BF$11:$BF$25</definedName>
    <definedName name="_v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ver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wrn1" hidden="1">{"FCB_ALL",#N/A,FALSE,"FCB"}</definedName>
    <definedName name="_wrn2" hidden="1">{#N/A,#N/A,FALSE,"ASSUMPTIONS";#N/A,#N/A,FALSE,"Valuation Summary";"page1",#N/A,FALSE,"PRESENTATION";"page2",#N/A,FALSE,"PRESENTATION";#N/A,#N/A,FALSE,"ORIGINAL_ROLLBACK"}</definedName>
    <definedName name="_wrn3" hidden="1">{#N/A,#N/A,FALSE,"ASSUMPTIONS";#N/A,#N/A,FALSE,"Valuation Summary";"page1",#N/A,FALSE,"PRESENTATION";"page2",#N/A,FALSE,"PRESENTATION";#N/A,#N/A,FALSE,"ORIGINAL_ROLLBACK"}</definedName>
    <definedName name="_wrn9" hidden="1">{"FCB_ALL",#N/A,FALSE,"FCB"}</definedName>
    <definedName name="_X1" hidden="1">{"Summary",#N/A,FALSE,"Details (2)"}</definedName>
    <definedName name="_Zcomps1" hidden="1">{0,0,0,0,1,-4105,42.5196850393701,42.5196850393701,42.5196850393701,42.5196850393701,2,TRUE,TRUE,FALSE,FALSE,FALSE,#N/A,1,85,1,1,"","","","&amp;""Kennerly,Roman Bold""&amp;14L&amp;12EHMAN &amp;14 B&amp;12ROTHERS","","",FALSE}</definedName>
    <definedName name="_Zcomps2" hidden="1">{0,0,0,0,1,-4105,28.3464566929134,28.3464566929134,28.346456664,28.3464566929134,2,TRUE,TRUE,FALSE,FALSE,FALSE,#N/A,1,85,1,2,"","","","&amp;""Kennerly,Roman Bold""&amp;14L&amp;12EHMAN &amp;14 B&amp;12ROTHERS","","",FALSE}</definedName>
    <definedName name="\" hidden="1">{"kricash",#N/A,FALSE,"INC";"kriinc",#N/A,FALSE,"INC";"krimiami",#N/A,FALSE,"INC";"kriother",#N/A,FALSE,"INC";"kripapers",#N/A,FALSE,"INC"}</definedName>
    <definedName name="a" hidden="1">{"'Sheet1'!$A$5:$G$42"}</definedName>
    <definedName name="aa" hidden="1">{"'Sheet1'!$A$5:$G$42"}</definedName>
    <definedName name="aa.2" hidden="1">{#N/A,#N/A,FALSE,"Cashflow Analysis";#N/A,#N/A,FALSE,"Sensitivity Analysis";#N/A,#N/A,FALSE,"PV";#N/A,#N/A,FALSE,"Pro Forma"}</definedName>
    <definedName name="aaaa" hidden="1">{"'Edit'!$A$1:$V$2277"}</definedName>
    <definedName name="aaaaaa" hidden="1">{"Report",#N/A,FALSE,"March Details"}</definedName>
    <definedName name="aaaaaaa" hidden="1">{"barlup",#N/A,FALSE,"evabnk97";"gillespey",#N/A,FALSE,"evabnk97";"koon",#N/A,FALSE,"evabnk97";"schreur",#N/A,FALSE,"evabnk97";"stone",#N/A,FALSE,"evabnk97";"wichmann",#N/A,FALSE,"evabnk97";"wright",#N/A,FALSE,"evabnk97"}</definedName>
    <definedName name="aaaaaaaaaa" hidden="1">{"FCB_ALL",#N/A,FALSE,"FCB";"GREY_ALL",#N/A,FALSE,"GREY"}</definedName>
    <definedName name="AAB_GSPPG" hidden="1">"AAB_Goldman Sachs PPG Chart Utilities 1.0g"</definedName>
    <definedName name="aassas" hidden="1">{"PR1","pr1",TRUE,"Sch PR-1"}</definedName>
    <definedName name="ab" hidden="1">{"fis.dbo.r1_datasum"}</definedName>
    <definedName name="abc" hidden="1">{#N/A,#N/A,FALSE,"Sheet1";#N/A,#N/A,FALSE,"Sheet2";#N/A,#N/A,FALSE,"Sheet3";#N/A,#N/A,FALSE,"Sheet4";#N/A,#N/A,FALSE,"Sheet5";#N/A,#N/A,FALSE,"Sheet6"}</definedName>
    <definedName name="absfghbtg" hidden="1">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Access_Button" hidden="1">"CONSOL_SIM_List"</definedName>
    <definedName name="AccessDatabase" hidden="1">"P:\LGF Access Files.mdb"</definedName>
    <definedName name="Accessforecast" hidden="1">{"SUM",#N/A,FALSE,"Details (2)"}</definedName>
    <definedName name="ad" hidden="1">{#N/A,#N/A,FALSE,"Sheet1";#N/A,#N/A,FALSE,"Sheet2";#N/A,#N/A,FALSE,"Sheet3";#N/A,#N/A,FALSE,"Sheet4";#N/A,#N/A,FALSE,"Sheet5";#N/A,#N/A,FALSE,"Sheet6"}</definedName>
    <definedName name="adasdasdasdasd" hidden="1">{"PR1","pr1",TRUE,"Sch PR-1"}</definedName>
    <definedName name="adcd" hidden="1">{#N/A,#N/A,FALSE,"Sheet8";#N/A,#N/A,FALSE,"Sheet7"}</definedName>
    <definedName name="aDfa" hidden="1">{#N/A,#N/A,FALSE,"Aging Summary";#N/A,#N/A,FALSE,"Ratio Analysis";#N/A,#N/A,FALSE,"Test 120 Day Accts";#N/A,#N/A,FALSE,"Tickmarks"}</definedName>
    <definedName name="ADFWAE" hidden="1">{"summary1",#N/A,TRUE,"Comps";"summary2",#N/A,TRUE,"Comps";"summary3",#N/A,TRUE,"Comps"}</definedName>
    <definedName name="adgad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ads" hidden="1">{"inputs raw data",#N/A,TRUE,"INPUT"}</definedName>
    <definedName name="adsew" hidden="1">{"FCB_ALL",#N/A,FALSE,"FCB"}</definedName>
    <definedName name="ADSFA" hidden="1">{"inputs raw data",#N/A,TRUE,"INPUT"}</definedName>
    <definedName name="adsfaw" hidden="1">{"FCB_ALL",#N/A,FALSE,"FCB";"GREY_ALL",#N/A,FALSE,"GREY"}</definedName>
    <definedName name="adsfca" hidden="1">{"FCB_ALL",#N/A,FALSE,"FCB";"GREY_ALL",#N/A,FALSE,"GREY"}</definedName>
    <definedName name="adsfeklj" hidden="1">{"FCB_ALL",#N/A,FALSE,"FCB"}</definedName>
    <definedName name="adsfkl" hidden="1">{"FCB_ALL",#N/A,FALSE,"FCB";"GREY_ALL",#N/A,FALSE,"GREY"}</definedName>
    <definedName name="adsga" hidden="1">{"FCB_ALL",#N/A,FALSE,"FCB"}</definedName>
    <definedName name="adsgawe" hidden="1">{"FCB_ALL",#N/A,FALSE,"FCB"}</definedName>
    <definedName name="adwdlkj" hidden="1">{"FCB_ALL",#N/A,FALSE,"FCB"}</definedName>
    <definedName name="ae" hidden="1">{"'Edit'!$A$1:$V$2277"}</definedName>
    <definedName name="AEWEW" hidden="1">{"inputs raw data",#N/A,TRUE,"INPUT"}</definedName>
    <definedName name="aewfwe" hidden="1">{#N/A,#N/A,FALSE,"Brad_DCFM";#N/A,#N/A,FALSE,"Nick_DCFM";#N/A,#N/A,FALSE,"Mobile_DCFM"}</definedName>
    <definedName name="afge" hidden="1">{"FCB_ALL",#N/A,FALSE,"FCB";"GREY_ALL",#N/A,FALSE,"GREY"}</definedName>
    <definedName name="agne" hidden="1">{"FCB_ALL",#N/A,FALSE,"FCB";"GREY_ALL",#N/A,FALSE,"GREY"}</definedName>
    <definedName name="ahge" hidden="1">{"FCB_ALL",#N/A,FALSE,"FCB";"GREY_ALL",#N/A,FALSE,"GREY"}</definedName>
    <definedName name="alfredo" hidden="1">{#N/A,#N/A,FALSE,"CNS_ADJ";"Balance Consolidado",#N/A,FALSE,"BCEC_CNS";#N/A,#N/A,FALSE,"USGAAP_ADJ"}</definedName>
    <definedName name="all" hidden="1">{#N/A,#N/A,TRUE,"Gross Revenue";#N/A,#N/A,TRUE,"CURRENCY";#N/A,#N/A,TRUE,"EXOTICS";#N/A,#N/A,TRUE,"EM OPTIONS";#N/A,#N/A,TRUE,"MEX  FWD NDF";#N/A,#N/A,TRUE,"FE ASIA SPOT";#N/A,#N/A,TRUE,"INT RATE SWP";#N/A,#N/A,TRUE,"NON-LATIN";#N/A,#N/A,TRUE,"NON-MEX NDF";#N/A,#N/A,TRUE,"ENERGY";#N/A,#N/A,TRUE,"METALS";#N/A,#N/A,TRUE,"BONDS";#N/A,#N/A,TRUE,"HY BONDS";#N/A,#N/A,TRUE,"LA-ASIAN";#N/A,#N/A,TRUE,"EMG REPO";#N/A,#N/A,TRUE,"TREASURY REPO";#N/A,#N/A,TRUE,"EMG BONDS";#N/A,#N/A,TRUE,"CREDIT DERIV";#N/A,#N/A,TRUE,"CORP DERIV";#N/A,#N/A,TRUE,"LDN-BOND";#N/A,#N/A,TRUE,"LDN-EEC";#N/A,#N/A,TRUE,"LDN-DOLLAR";#N/A,#N/A,TRUE,"LDN-CROSS";#N/A,#N/A,TRUE,"LDN-EXOTICS";#N/A,#N/A,TRUE,"LDN-EM REPO";#N/A,#N/A,TRUE,"LDN-T REPO";#N/A,#N/A,TRUE,"LDN-NDF";#N/A,#N/A,TRUE,"LDN-EM BOND";#N/A,#N/A,TRUE,"LDN-DERIV";#N/A,#N/A,TRUE,"LDN-ELEC";#N/A,#N/A,TRUE,"LDN-ENERGY";#N/A,#N/A,TRUE,"LDN-GOLD SPOT";#N/A,#N/A,TRUE,"LDN-GOLD FWD-OPT";#N/A,#N/A,TRUE,"LDN-GAS";#N/A,#N/A,TRUE,"LDN-ILLIQUID BD";#N/A,#N/A,TRUE,"LDN-EQUITY";#N/A,#N/A,TRUE,"LDN-ASSET SWP";#N/A,#N/A,TRUE,"LDN-HY BOND";#N/A,#N/A,TRUE,"LDN-INV GRD BD"}</definedName>
    <definedName name="ana" hidden="1">{#N/A,#N/A,FALSE,"Sheet1";#N/A,#N/A,FALSE,"Sheet2";#N/A,#N/A,FALSE,"Sheet3";#N/A,#N/A,FALSE,"Sheet4";#N/A,#N/A,FALSE,"Sheet5";#N/A,#N/A,FALSE,"Sheet6"}</definedName>
    <definedName name="analyst" hidden="1">{#N/A,#N/A,FALSE,"Sheet1";#N/A,#N/A,FALSE,"Sheet2";#N/A,#N/A,FALSE,"Sheet3";#N/A,#N/A,FALSE,"Sheet4";#N/A,#N/A,FALSE,"Sheet5";#N/A,#N/A,FALSE,"Sheet6"}</definedName>
    <definedName name="annualforc" hidden="1">{#N/A,#N/A,FALSE,"FAB VENDORS";"BUD SUM",#N/A,FALSE,"BUD SUM WO TEX"}</definedName>
    <definedName name="anything" hidden="1">{#N/A,#N/A,FALSE,"Output";#N/A,#N/A,FALSE,"Cover Sheet";#N/A,#N/A,FALSE,"Current Mkt. Projections"}</definedName>
    <definedName name="aq" hidden="1">{"'Edit'!$A$1:$V$2277"}</definedName>
    <definedName name="ardoutput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arew" hidden="1">{"cap_structure",#N/A,FALSE,"Graph-Mkt Cap";"price",#N/A,FALSE,"Graph-Price";"ebit",#N/A,FALSE,"Graph-EBITDA";"ebitda",#N/A,FALSE,"Graph-EBITDA"}</definedName>
    <definedName name="arg" hidden="1">{"inputs raw data",#N/A,TRUE,"INPUT"}</definedName>
    <definedName name="as" hidden="1">{"'Edit'!$A$1:$V$2277"}</definedName>
    <definedName name="AS2DocOpenMode" hidden="1">"AS2DocumentEdit"</definedName>
    <definedName name="AS2HasNoAutoHeaderFooter" hidden="1">" "</definedName>
    <definedName name="asa" hidden="1">{"FCB_ALL",#N/A,FALSE,"FCB"}</definedName>
    <definedName name="asasasasas" hidden="1">{"PR1","pr1",TRUE,"Sch PR-1"}</definedName>
    <definedName name="asdaw" hidden="1">{"FCB_ALL",#N/A,FALSE,"FCB"}</definedName>
    <definedName name="asdf" hidden="1">{"'Edit'!$A$1:$V$2277"}</definedName>
    <definedName name="asdfag" hidden="1">{"DTCONSOASSUMPTIONS1",#N/A,FALSE,"CONSO";"DTCONSOASSUMPTIONS2",#N/A,FALSE,"CONSO";"DTCONSOASSUMPTIONS3",#N/A,FALSE,"CONSO";"DTCONSOINCOME",#N/A,FALSE,"CONSO";"DTCOOSAEBITDA",#N/A,FALSE,"COOSA";"DTCONSOCASHFLOW",#N/A,FALSE,"CONSO";"DTCONSOBALANCESHEET",#N/A,FALSE,"CONSO";"DTCONSOCAPEX1",#N/A,FALSE,"CONSO";"DTCONSOCAPEX2",#N/A,FALSE,"CONSO";"DTCONSOCAPEX3",#N/A,FALSE,"CONSO";"DTDONNAASSUMPTIONS1",#N/A,FALSE,"PAPER DONNACONA";"DTDONNAASSUMPTIONS2",#N/A,FALSE,"PAPER DONNACONA";"DTDONNAASSUMPTIONS3",#N/A,FALSE,"PAPER DONNACONA";"DTDONNAINCOME",#N/A,FALSE,"PAPER DONNACONA";"DTDONNACASHFLOW",#N/A,FALSE,"PAPER DONNACONA";"DTDONNABALANCESHEET",#N/A,FALSE,"PAPER DONNACONA";"DTDONNACAPEX",#N/A,FALSE,"PAPER DONNACONA";"DTDOLBEAUASSUMPTIONS1",#N/A,FALSE,"PAPER DOLBEAU";"DTDOLBEAUASSUMPTIONS2",#N/A,FALSE,"PAPER DOLBEAU";"DTDOLBEAUASSUMPTIONS3",#N/A,FALSE,"PAPER DOLBEAU";"DTDOLBEAUINCOME",#N/A,FALSE,"PAPER DOLBEAU";"DTDOLBEAUCASHFLOW",#N/A,FALSE,"PAPER DOLBEAU";"DTDOLBEAUBALANCESHEET",#N/A,FALSE,"PAPER DOLBEAU";"DTDOLBEAUCAPEX",#N/A,FALSE,"PAPER DOLBEAU";"DTLUMBERASSUMPTIONS1",#N/A,FALSE,"LUMBER";"DTLUMBERASSUMPTIONS2",#N/A,FALSE,"LUMBER";"DTLUMBERASSUMPTIONS3",#N/A,FALSE,"LUMBER";"DTLUMBERINCOME",#N/A,FALSE,"LUMBER";"DTLUMBERCASHFLOW",#N/A,FALSE,"LUMBER";"DTLUMBERBALANCESHEET",#N/A,FALSE,"LUMBER";"DTLUMBERCAPEX",#N/A,FALSE,"LUMBER";"DTCOOSAASSUMPTIONS1",#N/A,FALSE,"COOSA";"DTCOOSAASSUMPTION2",#N/A,FALSE,"COOSA";"DTCOOSAASSUMPTIONS3",#N/A,FALSE,"COOSA";"DTCOOSAINCOME",#N/A,FALSE,"COOSA";"DTCOOSACASHFLOW",#N/A,FALSE,"COOSA";"DTCOOSABALANCESHEET",#N/A,FALSE,"COOSA";"DTCOOSACAPEX",#N/A,FALSE,"COOSA";"DTELIMINATIONINCOME",#N/A,FALSE,"ELIMINATION";"DTELIMINATIONCASHFLOW",#N/A,FALSE,"ELIMINATION";"DTELIMINATIONBALANCESHEET",#N/A,FALSE,"ELIMINATION";"DTHEADOFFICEASSUMPTIONS",#N/A,FALSE,"H.OFFICE";"DTHEADOFFICEINCOME",#N/A,FALSE,"H.OFFICE";"DTHEADOFFICECASHFLOW",#N/A,FALSE,"H.OFFICE";"DTHEADOFFICEBALANCESHEET",#N/A,FALSE,"H.OFFICE";"DTHEADOFFICECAPEX",#N/A,FALSE,"H.OFFICE";"DTSEGMENTED",#N/A,FALSE,"SEGMENTED INFO";"DTTAX1",#N/A,FALSE,"impôt";"DTTAX2",#N/A,FALSE,"impôt"}</definedName>
    <definedName name="asdfasdf" hidden="1">{"'Edit'!$A$1:$V$2277"}</definedName>
    <definedName name="asdfasdfas" hidden="1">{#N/A,#N/A,FALSE,"Sheet1";#N/A,#N/A,FALSE,"Sheet2";#N/A,#N/A,FALSE,"Sheet3";#N/A,#N/A,FALSE,"Sheet4";#N/A,#N/A,FALSE,"Sheet5";#N/A,#N/A,FALSE,"Sheet6"}</definedName>
    <definedName name="asdfe" hidden="1">{"FCB_ALL",#N/A,FALSE,"FCB"}</definedName>
    <definedName name="asdfn" hidden="1">{"FCB_ALL",#N/A,FALSE,"FCB";"GREY_ALL",#N/A,FALSE,"GREY"}</definedName>
    <definedName name="asdfSDF" hidden="1">{#N/A,#N/A,FALSE,"Sheet1";#N/A,#N/A,FALSE,"Sheet2";#N/A,#N/A,FALSE,"Sheet3";#N/A,#N/A,FALSE,"Sheet4";#N/A,#N/A,FALSE,"Sheet5";#N/A,#N/A,FALSE,"Sheet6"}</definedName>
    <definedName name="asdgaew" hidden="1">{"FCB_ALL",#N/A,FALSE,"FCB"}</definedName>
    <definedName name="asdr5" hidden="1">{"FCB_ALL",#N/A,FALSE,"FCB";"GREY_ALL",#N/A,FALSE,"GREY"}</definedName>
    <definedName name="asfd" hidden="1">{"FCB_ALL",#N/A,FALSE,"FCB"}</definedName>
    <definedName name="ass" hidden="1">{"'Edit'!$A$1:$V$2277"}</definedName>
    <definedName name="assasdafsda" hidden="1">{"PR1","pr1",TRUE,"Sch PR-1"}</definedName>
    <definedName name="ASSS" hidden="1">{"FCB_ALL",#N/A,FALSE,"FCB"}</definedName>
    <definedName name="assssss" hidden="1">{"FCB_ALL",#N/A,FALSE,"FCB"}</definedName>
    <definedName name="assum" hidden="1">{"'Sheet1'!$A$5:$G$42"}</definedName>
    <definedName name="att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awe" hidden="1">{"FCB_ALL",#N/A,FALSE,"FCB"}</definedName>
    <definedName name="awea" hidden="1">{"FCB_ALL",#N/A,FALSE,"FCB";"GREY_ALL",#N/A,FALSE,"GREY"}</definedName>
    <definedName name="az" hidden="1">{"'Edit'!$A$1:$V$2277"}</definedName>
    <definedName name="b" hidden="1">{"barlup",#N/A,FALSE,"evabnk97";"gillespey",#N/A,FALSE,"evabnk97";"koon",#N/A,FALSE,"evabnk97";"schreur",#N/A,FALSE,"evabnk97";"stone",#N/A,FALSE,"evabnk97";"wichmann",#N/A,FALSE,"evabnk97";"wright",#N/A,FALSE,"evabnk97"}</definedName>
    <definedName name="ba" hidden="1">{"FCB_ALL",#N/A,FALSE,"FCB";"GREY_ALL",#N/A,FALSE,"GREY"}</definedName>
    <definedName name="Bank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barrera" hidden="1">{#N/A,#N/A,FALSE,"RESUMEN ECON.";#N/A,#N/A,FALSE,"Costos de R.H.";#N/A,#N/A,FALSE,"COSTO HW";#N/A,#N/A,FALSE,"CUADROS";#N/A,#N/A,FALSE,"SCADA´s";#N/A,#N/A,FALSE,"PRECIOS EQUIPOS"}</definedName>
    <definedName name="bbbbb" hidden="1">{"Curr Month",#N/A,FALSE,"Months";"All Months",#N/A,FALSE,"Months";"YTD",#N/A,FALSE,"Months";"01 Months",#N/A,FALSE,"01";"03 Months",#N/A,FALSE,"Months";"05 Months",#N/A,FALSE,"Months";"06 Months",#N/A,FALSE,"Months";"08 Months",#N/A,FALSE,"Months";"09 Months",#N/A,FALSE,"Months";"10 Months",#N/A,FALSE,"Months";"11 Months",#N/A,FALSE,"Months";"12 Months",#N/A,FALSE,"Months";"13 Months",#N/A,FALSE,"Months";"14 Months",#N/A,FALSE,"Months";"15 Months",#N/A,FALSE,"Months";"23 Months",#N/A,FALSE,"Months";"24 Months",#N/A,FALSE,"Months";"25 Months",#N/A,FALSE,"Months";"43 Months",#N/A,FALSE,"Months";"45 Months",#N/A,FALSE,"Months";"50 Months",#N/A,FALSE,"Months"}</definedName>
    <definedName name="Bea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befits" hidden="1">{"summary",#N/A,FALSE,"3 yr average";"comps",#N/A,FALSE,"3 yr average"}</definedName>
    <definedName name="BILL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UE" hidden="1">{#N/A,#N/A,FALSE,"Barranca"}</definedName>
    <definedName name="BLUE1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BM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rightline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iteline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iteline___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udget1" hidden="1">{"Overview",#N/A,TRUE,"Overview";"New Gen",#N/A,TRUE,"New Gen";"cap-ex",#N/A,TRUE,"Consol cap-ex";"cap-ex",#N/A,TRUE,"APC cap-ex";"cap-ex",#N/A,TRUE,"GPC cap-ex";"cap-ex",#N/A,TRUE,"GUL cap-ex";"cap-ex",#N/A,TRUE,"MPC cap-ex";"cap-ex",#N/A,TRUE,"SAV cap-ex";"cap-ex",#N/A,TRUE,"SEGCO cap-ex";"cap-ex",#N/A,TRUE,"SWE cap-ex"}</definedName>
    <definedName name="BudgetSumm" hidden="1">{#N/A,#N/A,FALSE,"Cashflow Analysis";#N/A,#N/A,FALSE,"Sensitivity Analysis";#N/A,#N/A,FALSE,"PV";#N/A,#N/A,FALSE,"Pro Forma"}</definedName>
    <definedName name="BudgetSumm.2" hidden="1">{#N/A,#N/A,FALSE,"Cashflow Analysis";#N/A,#N/A,FALSE,"Sensitivity Analysis";#N/A,#N/A,FALSE,"PV";#N/A,#N/A,FALSE,"Pro Forma"}</definedName>
    <definedName name="Button_429">"LeaseCalc_Lease_Data_List"</definedName>
    <definedName name="cade" hidden="1">{"FCB_ALL",#N/A,FALSE,"FCB"}</definedName>
    <definedName name="cads" hidden="1">{"FCB_ALL",#N/A,FALSE,"FCB"}</definedName>
    <definedName name="cadsf" hidden="1">{"FCB_ALL",#N/A,FALSE,"FCB"}</definedName>
    <definedName name="caega" hidden="1">{"FCB_ALL",#N/A,FALSE,"FCB"}</definedName>
    <definedName name="caer" hidden="1">{"FCB_ALL",#N/A,FALSE,"FCB"}</definedName>
    <definedName name="cagare" hidden="1">{"FCB_ALL",#N/A,FALSE,"FCB"}</definedName>
    <definedName name="Cap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cap.pos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apacity" hidden="1">{#N/A,#N/A,FALSE,"IPO";#N/A,#N/A,FALSE,"DCF";#N/A,#N/A,FALSE,"LBO";#N/A,#N/A,FALSE,"MULT_VAL";#N/A,#N/A,FALSE,"Status Quo";#N/A,#N/A,FALSE,"Recap"}</definedName>
    <definedName name="cavde" hidden="1">{"FCB_ALL",#N/A,FALSE,"FCB"}</definedName>
    <definedName name="cb_sChartFD191DC_opts" hidden="1">"1, 3, 1, False, 2, True, False, , 0, False, True, 1, 1"</definedName>
    <definedName name="cb_sChartFD1A245_opts" hidden="1">"1, 3, 1, False, 2, True, False, , 0, False, True, 1, 1"</definedName>
    <definedName name="cb_sChartFD3F0E9_opts" hidden="1">"1, 3, 1, False, 2, True, False, , 0, False, False, 1, 1"</definedName>
    <definedName name="cb_sChartFD3F27E_opts" hidden="1">"1, 3, 1, False, 2, True, False, , 0, False, True, 1, 1"</definedName>
    <definedName name="CBWorkbookPriority" hidden="1">-1679205845</definedName>
    <definedName name="CBWorkbookPriority1" hidden="1">-1222926411</definedName>
    <definedName name="ccc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CCOmps" hidden="1">{"page1",#N/A,TRUE,"PRICING";"page2",#N/A,TRUE,"PRICING"}</definedName>
    <definedName name="CellAbove">INDIRECT(ADDRESS(ROW()-1,COLUMN()))</definedName>
    <definedName name="cert" hidden="1">{"fis.dbo.r1_datasum"}</definedName>
    <definedName name="cert1" hidden="1">{"fis.dbo.r1_datasum"}</definedName>
    <definedName name="CFFleet" hidden="1">{#N/A,#N/A,FALSE,"Cover";#N/A,#N/A,FALSE,"TOC";#N/A,#N/A,FALSE,"IS";#N/A,#N/A,FALSE,"Mo. IS";#N/A,#N/A,FALSE,"Cont By Div";#N/A,#N/A,FALSE,"BS";#N/A,#N/A,FALSE,"CF";#N/A,#N/A,FALSE,"Inventory"}</definedName>
    <definedName name="cgaf" hidden="1">{"FCB_ALL",#N/A,FALSE,"FCB"}</definedName>
    <definedName name="cgafde" hidden="1">{"FCB_ALL",#N/A,FALSE,"FCB"}</definedName>
    <definedName name="ch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ChangeRange" hidden="1">#N/A</definedName>
    <definedName name="check2" hidden="1">{#N/A,#N/A,FALSE,"Cashflow Analysis";#N/A,#N/A,FALSE,"Sensitivity Analysis";#N/A,#N/A,FALSE,"PV";#N/A,#N/A,FALSE,"Pro Forma"}</definedName>
    <definedName name="cheryl" hidden="1">{#N/A,#N/A,FALSE,"Barranca"}</definedName>
    <definedName name="chgeas" hidden="1">{"FCB_ALL",#N/A,FALSE,"FCB"}</definedName>
    <definedName name="CIQWBGuid" hidden="1">"e5d3da9a-a122-4f10-8591-a05f5c4fcf3a"</definedName>
    <definedName name="CIT">#N/A</definedName>
    <definedName name="Compco1" hidden="1">{"Page1",#N/A,FALSE,"CompCo";"Page2",#N/A,FALSE,"CompCo"}</definedName>
    <definedName name="Compco2" hidden="1">{"Page1",#N/A,FALSE,"CompCo";"Page2",#N/A,FALSE,"CompCo"}</definedName>
    <definedName name="CompPie" hidden="1">{"one",#N/A,TRUE,"Alaska";"two",#N/A,TRUE,"Alaska";"three",#N/A,TRUE,"Alaska";"four",#N/A,TRUE,"Alaska"}</definedName>
    <definedName name="conflict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consumer" hidden="1">{"'Sheet1'!$A$5:$G$42"}</definedName>
    <definedName name="ContentsHelp" hidden="1">#N/A</definedName>
    <definedName name="copin" hidden="1">{#N/A,#N/A,TRUE,"RESUMEN ECON.";#N/A,#N/A,TRUE,"Costos de R.H.";#N/A,#N/A,TRUE,"COSTO HW";#N/A,#N/A,TRUE,"CUADROS";#N/A,#N/A,TRUE,"SCADA´s";#N/A,#N/A,TRUE,"PRECIOS EQUIPOS"}</definedName>
    <definedName name="copon" hidden="1">{#N/A,#N/A,FALSE,"RESUMEN ECON.";#N/A,#N/A,FALSE,"Costos de R.H.";#N/A,#N/A,FALSE,"COSTO HW";#N/A,#N/A,FALSE,"CUADROS";#N/A,#N/A,FALSE,"SCADA´s";#N/A,#N/A,FALSE,"PRECIOS EQUIPOS"}</definedName>
    <definedName name="Costes" hidden="1">{#N/A,#N/A,TRUE,"RESUMEN ECON.";#N/A,#N/A,TRUE,"Costos de R.H.";#N/A,#N/A,TRUE,"COSTO HW";#N/A,#N/A,TRUE,"CUADROS";#N/A,#N/A,TRUE,"SCADA´s";#N/A,#N/A,TRUE,"PRECIOS EQUIPOS"}</definedName>
    <definedName name="cpvs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reateTable" hidden="1">#N/A</definedName>
    <definedName name="credit1" hidden="1">{#N/A,#N/A,TRUE,"Overview";#N/A,#N/A,TRUE,"New Gen"}</definedName>
    <definedName name="CSG" hidden="1">{"cap_structure",#N/A,FALSE,"Graph-Mkt Cap";"price",#N/A,FALSE,"Graph-Price";"ebit",#N/A,FALSE,"Graph-EBITDA";"ebitda",#N/A,FALSE,"Graph-EBITDA"}</definedName>
    <definedName name="cursource" hidden="1">"SQLServer"</definedName>
    <definedName name="cvade" hidden="1">{"FCB_ALL",#N/A,FALSE,"FCB"}</definedName>
    <definedName name="cxgxgfgfs" hidden="1">{#N/A,#N/A,FALSE,"Cashflow Analysis";#N/A,#N/A,FALSE,"Sensitivity Analysis";#N/A,#N/A,FALSE,"PV";#N/A,#N/A,FALSE,"Pro Forma"}</definedName>
    <definedName name="cxgxgfgfs.2" hidden="1">{#N/A,#N/A,FALSE,"Cashflow Analysis";#N/A,#N/A,FALSE,"Sensitivity Analysis";#N/A,#N/A,FALSE,"PV";#N/A,#N/A,FALSE,"Pro Forma"}</definedName>
    <definedName name="d" hidden="1">{#N/A,#N/A,FALSE,"Barranca"}</definedName>
    <definedName name="daeklj" hidden="1">{"FCB_ALL",#N/A,FALSE,"FCB"}</definedName>
    <definedName name="daewkl" hidden="1">{"FCB_ALL",#N/A,FALSE,"FCB";"GREY_ALL",#N/A,FALSE,"GREY"}</definedName>
    <definedName name="DAFAD" hidden="1">{"cap_structure",#N/A,FALSE,"Graph-Mkt Cap";"price",#N/A,FALSE,"Graph-Price";"ebit",#N/A,FALSE,"Graph-EBITDA";"ebitda",#N/A,FALSE,"Graph-EBITDA"}</definedName>
    <definedName name="Daily" hidden="1">0</definedName>
    <definedName name="das" hidden="1">{"FCB_ALL",#N/A,FALSE,"FCB";"GREY_ALL",#N/A,FALSE,"GREY"}</definedName>
    <definedName name="dasfdsa" hidden="1">{"SUM",#N/A,FALSE,"Details (2)"}</definedName>
    <definedName name="dasgfdag" hidden="1">{"FCB_ALL",#N/A,FALSE,"FCB"}</definedName>
    <definedName name="dasklej" hidden="1">{"FCB_ALL",#N/A,FALSE,"FCB"}</definedName>
    <definedName name="DateRangePrice" hidden="1">OFFSET(#REF!,5,0,COUNTA(#REF!)-COUNTA(#REF!),1)</definedName>
    <definedName name="dbase_char_set" hidden="1">1</definedName>
    <definedName name="dbase_compatibility" hidden="1">1</definedName>
    <definedName name="dbase_dflt" hidden="1">TRUE</definedName>
    <definedName name="dd" hidden="1">{"Summary",#N/A,FALSE,"Details (2)"}</definedName>
    <definedName name="ddd" hidden="1">{#N/A,#N/A,FALSE,"FAB VENDORS";"BUD SUM",#N/A,FALSE,"BUD SUM WO TEX"}</definedName>
    <definedName name="dddddd" hidden="1">{"FCB_ALL",#N/A,FALSE,"FCB";"GREY_ALL",#N/A,FALSE,"GREY"}</definedName>
    <definedName name="DeleteRange" hidden="1">#N/A</definedName>
    <definedName name="DeleteTable" hidden="1">#N/A</definedName>
    <definedName name="dfd" hidden="1">{"FCB_ALL",#N/A,FALSE,"FCB";"GREY_ALL",#N/A,FALSE,"GREY"}</definedName>
    <definedName name="dfdas" hidden="1">{"FCB_ALL",#N/A,FALSE,"FCB";"GREY_ALL",#N/A,FALSE,"GREY"}</definedName>
    <definedName name="dfdas1" hidden="1">{"FCB_ALL",#N/A,FALSE,"FCB";"GREY_ALL",#N/A,FALSE,"GREY"}</definedName>
    <definedName name="dfdfd" hidden="1">{"FCB_ALL",#N/A,FALSE,"FCB";"GREY_ALL",#N/A,FALSE,"GREY"}</definedName>
    <definedName name="dfdfdd" hidden="1">{"FCB_ALL",#N/A,FALSE,"FCB";"GREY_ALL",#N/A,FALSE,"GREY"}</definedName>
    <definedName name="dfdfdfd" hidden="1">{"FCB_ALL",#N/A,FALSE,"FCB"}</definedName>
    <definedName name="dfdfdfd1" hidden="1">{"FCB_ALL",#N/A,FALSE,"FCB"}</definedName>
    <definedName name="dfdsf" hidden="1">{"FCB_ALL",#N/A,FALSE,"FCB";"GREY_ALL",#N/A,FALSE,"GREY"}</definedName>
    <definedName name="dfgd" hidden="1">{#N/A,#N/A,FALSE,"Cashflow Analysis";#N/A,#N/A,FALSE,"Sensitivity Analysis";#N/A,#N/A,FALSE,"PV";#N/A,#N/A,FALSE,"Pro Forma"}</definedName>
    <definedName name="dfgdgd" hidden="1">{"FCB_ALL",#N/A,FALSE,"FCB"}</definedName>
    <definedName name="dfgdxfv" hidden="1">{"FCB_ALL",#N/A,FALSE,"FCB"}</definedName>
    <definedName name="dfgsdf" hidden="1">{"FCB_ALL",#N/A,FALSE,"FCB"}</definedName>
    <definedName name="dfhzfd" hidden="1">{"'Sheet1'!$A$5:$G$42"}</definedName>
    <definedName name="dfs" hidden="1">{#N/A,#N/A,FALSE,"Cover";#N/A,#N/A,FALSE,"TOC";#N/A,#N/A,FALSE,"IS";#N/A,#N/A,FALSE,"Mo. IS";#N/A,#N/A,FALSE,"Cont By Div";#N/A,#N/A,FALSE,"BS";#N/A,#N/A,FALSE,"CF";#N/A,#N/A,FALSE,"Inventory"}</definedName>
    <definedName name="df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s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gsdfg" hidden="1">{#N/A,#N/A,FALSE,"Cover";#N/A,#N/A,FALSE,"TOC";#N/A,#N/A,FALSE,"IS";#N/A,#N/A,FALSE,"Mo. IS";#N/A,#N/A,FALSE,"Cont By Div";#N/A,#N/A,FALSE,"BS";#N/A,#N/A,FALSE,"CF";#N/A,#N/A,FALSE,"Inventory"}</definedName>
    <definedName name="dgh" hidden="1">{"summary",#N/A,FALSE,"3 yr average";"comps",#N/A,FALSE,"3 yr average"}</definedName>
    <definedName name="dgtdf" hidden="1">{"FCB_ALL",#N/A,FALSE,"FCB"}</definedName>
    <definedName name="DHG" hidden="1">{"cap_structure",#N/A,FALSE,"Graph-Mkt Cap";"price",#N/A,FALSE,"Graph-Price";"ebit",#N/A,FALSE,"Graph-EBITDA";"ebitda",#N/A,FALSE,"Graph-EBITDA"}</definedName>
    <definedName name="dis" hidden="1">{#N/A,#N/A,FALSE,"Cashflow Analysis";#N/A,#N/A,FALSE,"Sensitivity Analysis";#N/A,#N/A,FALSE,"PV";#N/A,#N/A,FALSE,"Pro Forma"}</definedName>
    <definedName name="dis.2" hidden="1">{#N/A,#N/A,FALSE,"Cashflow Analysis";#N/A,#N/A,FALSE,"Sensitivity Analysis";#N/A,#N/A,FALSE,"PV";#N/A,#N/A,FALSE,"Pro Forma"}</definedName>
    <definedName name="dreyer" hidden="1">{"FCB_ALL",#N/A,FALSE,"FCB"}</definedName>
    <definedName name="drgd" hidden="1">{"FCB_ALL",#N/A,FALSE,"FCB"}</definedName>
    <definedName name="drtd" hidden="1">{"FCB_ALL",#N/A,FALSE,"FCB"}</definedName>
    <definedName name="drtg" hidden="1">{"FCB_ALL",#N/A,FALSE,"FCB"}</definedName>
    <definedName name="drtgdg" hidden="1">{"FCB_ALL",#N/A,FALSE,"FCB"}</definedName>
    <definedName name="d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aflkj" hidden="1">{"FCB_ALL",#N/A,FALSE,"FCB";"GREY_ALL",#N/A,FALSE,"GREY"}</definedName>
    <definedName name="dsaflkje" hidden="1">{"FCB_ALL",#N/A,FALSE,"FCB"}</definedName>
    <definedName name="dsafwlekj" hidden="1">{"FCB_ALL",#N/A,FALSE,"FCB";"GREY_ALL",#N/A,FALSE,"GREY"}</definedName>
    <definedName name="dsea" hidden="1">{"FCB_ALL",#N/A,FALSE,"FCB"}</definedName>
    <definedName name="dsfgr" hidden="1">{"FCB_ALL",#N/A,FALSE,"FCB"}</definedName>
    <definedName name="dsfsd" hidden="1">{"Total",#N/A,FALSE,"Six Fields";"PDP",#N/A,FALSE,"Six Fields";"PNP",#N/A,FALSE,"Six Fields";"PUD",#N/A,FALSE,"Six Fields";"Prob",#N/A,FALSE,"Six Fields"}</definedName>
    <definedName name="Dummy" hidden="1">{"Summary",#N/A,FALSE,"Summary"}</definedName>
    <definedName name="Dummy_1" hidden="1">{"Summary",#N/A,FALSE,"Summary"}</definedName>
    <definedName name="Dummy_1_1" hidden="1">{"Summary",#N/A,FALSE,"Summary"}</definedName>
    <definedName name="Dummy_1_2" hidden="1">{"Summary",#N/A,FALSE,"Summary"}</definedName>
    <definedName name="Dummy_1_3" hidden="1">{"Summary",#N/A,FALSE,"Summary"}</definedName>
    <definedName name="Dummy_1_4" hidden="1">{"Summary",#N/A,FALSE,"Summary"}</definedName>
    <definedName name="Dummy_2" hidden="1">{"Summary",#N/A,FALSE,"Summary"}</definedName>
    <definedName name="Dummy_3" hidden="1">{"Summary",#N/A,FALSE,"Summary"}</definedName>
    <definedName name="Dummy_4" hidden="1">{"Summary",#N/A,FALSE,"Summary"}</definedName>
    <definedName name="Dummy_5" hidden="1">{"Summary",#N/A,FALSE,"Summary"}</definedName>
    <definedName name="Dummy1" hidden="1">{"Summary",#N/A,FALSE,"Summary"}</definedName>
    <definedName name="Dummy1_1" hidden="1">{"Summary",#N/A,FALSE,"Summary"}</definedName>
    <definedName name="Dummy1_1_1" hidden="1">{"Summary",#N/A,FALSE,"Summary"}</definedName>
    <definedName name="Dummy1_1_2" hidden="1">{"Summary",#N/A,FALSE,"Summary"}</definedName>
    <definedName name="Dummy1_1_3" hidden="1">{"Summary",#N/A,FALSE,"Summary"}</definedName>
    <definedName name="Dummy1_1_4" hidden="1">{"Summary",#N/A,FALSE,"Summary"}</definedName>
    <definedName name="Dummy1_2" hidden="1">{"Summary",#N/A,FALSE,"Summary"}</definedName>
    <definedName name="Dummy1_3" hidden="1">{"Summary",#N/A,FALSE,"Summary"}</definedName>
    <definedName name="Dummy1_4" hidden="1">{"Summary",#N/A,FALSE,"Summary"}</definedName>
    <definedName name="Dummy1_5" hidden="1">{"Summary",#N/A,FALSE,"Summary"}</definedName>
    <definedName name="e" hidden="1">{"Summary",#N/A,FALSE,"Details (2)"}</definedName>
    <definedName name="ed" hidden="1">{#N/A,#N/A,FALSE,"FAB VENDORS";"BUD SUM",#N/A,FALSE,"BUD SUM WO TEX"}</definedName>
    <definedName name="eerr" hidden="1">{"Alle Perioden",#N/A,FALSE,"Erf";"Alle Perioden",#N/A,FALSE,"Ang";"Alle Perioden",#N/A,FALSE,"BV";"Alle Perioden",#N/A,FALSE,"BE";"Alle Perioden",#N/A,FALSE,"Re";"Alle Perioden",#N/A,FALSE,"Vol"}</definedName>
    <definedName name="e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fin" hidden="1">{#N/A,#N/A,FALSE,"Output";#N/A,#N/A,FALSE,"Cover Sheet";#N/A,#N/A,FALSE,"Current Mkt. Projections"}</definedName>
    <definedName name="efn" hidden="1">{#N/A,#N/A,TRUE,"DCF Summary";#N/A,#N/A,TRUE,"Casema";#N/A,#N/A,TRUE,"UK";#N/A,#N/A,TRUE,"RCF";#N/A,#N/A,TRUE,"Intercable CZ";#N/A,#N/A,TRUE,"Interkabel P";#N/A,#N/A,TRUE,"LBO-Total";#N/A,#N/A,TRUE,"LBO-Casema"}</definedName>
    <definedName name="ENG_BI_EXE_NAME" hidden="1">"BICORE.EXE"</definedName>
    <definedName name="ENG_BI_EXEC_CMD_ARGS" hidden="1">"03304607809811810611010910610803605007005005305105305405505805705404905704903305005712708707909608606508708005909212011511307211111811909811013009404709606711511411210611912107707309412612709112012010907611811011210611112209804609507211111812109711412"</definedName>
    <definedName name="ENG_BI_EXEC_CMD_ARGS_10" hidden="1">"11203803704806303601006407211111811909811013007406903708610111311711007003407007807803503604706603701006905408410112411610611611006601506009310611511106701106108809711911207307703908709711711810206603405305304905705904905205304905103803205106703201906"</definedName>
    <definedName name="ENG_BI_EXEC_CMD_ARGS_11" hidden="1">"7048084106116108067010064052069119127105118116111110105110120067125132086083068078083070073080069087065086092061053130"</definedName>
    <definedName name="ENG_BI_EXEC_CMD_ARGS_2" hidden="1">"60740690970610430710730860461260320540751240890690820700780931040670830730700620700730811301230770730850890890700620581251271001121231141181011211020690700830730870860780890620770740840840740820900740821341320951161191061191011161050730660760720850650"</definedName>
    <definedName name="ENG_BI_EXEC_CMD_ARGS_3" hidden="1">"85080072066115101108101062057048099071074078099097116117125132102113114114119098121101072071085092078082065103115102114100101113125132102113117107109106104076069083071076088068073066102111129123099117117107115106099076080078085065082094078074086069065"</definedName>
    <definedName name="ENG_BI_EXEC_CMD_ARGS_4" hidden="1">"07109810011103210911503208611811710512011103308710110810209804108211010305112612409911212110310811410606808509108307008306709306606707407712512710011311810210810910407008208509006907408308408906508608906807409306906505305003307809711412209712312803305"</definedName>
    <definedName name="ENG_BI_EXEC_CMD_ARGS_5" hidden="1">"00570500541301230991171171071171051030750740790930690690870690870750690650930700620560490360731011081101091021061150330540480530581251321021131171071091061040700770830890780740820730830690620540480530581251321021131171071091061040700770830890780740820"</definedName>
    <definedName name="ENG_BI_EXEC_CMD_ARGS_6" hidden="1">"87089066083088061054053049062132124095121118099113105103072085091091077083083085073073078072073065093076062051058033066122103121120116041059048053058126124099112121103108114106068085091083078084078088077083093074082088073066085073061052054032074124104"</definedName>
    <definedName name="ENG_BI_EXEC_CMD_ARGS_7" hidden="1">"11712411703305504805305812513210411211811011909812010108107008307608607807707407906908906909208906106907811012211011511211410910511511607101706108311011611611011111406701006909411510511906301106408511910611408207503308610610911810606103810311411011910"</definedName>
    <definedName name="ENG_BI_EXEC_CMD_ARGS_8" hidden="1">"01011130350480660100640741101081211221121250810981201151231161141090410861011131181020650340881191171100410480620190610811021151191241111231090320901021091181050610380390470710170610841231181161211011040721111191191011031211061121140320901021081261080"</definedName>
    <definedName name="ENG_BI_EXEC_CMD_ARGS_9" hidden="1">"62034093115118106034036052062019069047089120102115066010064088081085090102114127102115083097113106032095106108121106062035081065087088069091093070082043033048067010064073066087106109105037087098112117105066034124104104101062049049100066077082095106121"</definedName>
    <definedName name="ENG_BI_GEN_LIC" hidden="1">"0"</definedName>
    <definedName name="ENG_BI_GEN_LIC_WS" hidden="1">"True"</definedName>
    <definedName name="ENG_BI_LBI" hidden="1">"31T70U3BZY"</definedName>
    <definedName name="ENG_BI_PROFILE_PATH" hidden="1">"C:\ProgramData\Alchemex\AlchemexSmartReporting\MetaData\MAS\Report Designer Add-In S500 Demo 1-0-2\BICORE_profiler_20130111_145418.csv"</definedName>
    <definedName name="ENG_BI_REPOS_FILE" hidden="1">"\\sur2008files\mascustom$\MI\alchemex.svd"</definedName>
    <definedName name="ENG_BI_REPOS_PATH" hidden="1">"\\sur2008files\mascustom$\MI"</definedName>
    <definedName name="ENG_BI_TLA" hidden="1">"45;221;52;132;127;181;248;161;55;54;252;123;147;268;176;156;41;65;78;271;223;115;189;103;154;150;113;101;67;258;249;103"</definedName>
    <definedName name="EPC" hidden="1">{#N/A,#N/A,FALSE,"RESUMEN ECON.";#N/A,#N/A,FALSE,"Costos de R.H.";#N/A,#N/A,FALSE,"COSTO HW";#N/A,#N/A,FALSE,"CUADROS";#N/A,#N/A,FALSE,"SCADA´s";#N/A,#N/A,FALSE,"PRECIOS EQUIPOS"}</definedName>
    <definedName name="EPMWorkbookOptions_1" hidden="1">"dgEAAB+LCAAAAAAABACFkMEKgkAQhu9B77DsPVcLOoTaoS5BYhRU10lHXdJZ2d3aHj8pLKpD12++f4b5w/mtqdkVtZGKIh54PmdImcollRG/2GIUTPk8Hg7Cg9Lnk1LntLWdaliXIzO7GRnxytp2JoRzznMTT+lSjH0/EMdkvcsqbGAkyVigDPkrlf9P8e4qY+EWC42mSiltkeICaoOh+IQPb1Ej6CVYSGkHV+zNb/xw+182WlnMLOa9/Tv4"</definedName>
    <definedName name="EPMWorkbookOptions_2" hidden="1">"9F3OxBOtzB60hFONCeryveGHd9WJr+7iO45h/1l2AQAA"</definedName>
    <definedName name="er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ere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ere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erew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ers" hidden="1">{"FCB_ALL",#N/A,FALSE,"FCB";"GREY_ALL",#N/A,FALSE,"GREY"}</definedName>
    <definedName name="ersdf" hidden="1">{"FCB_ALL",#N/A,FALSE,"FCB";"GREY_ALL",#N/A,FALSE,"GREY"}</definedName>
    <definedName name="erser" hidden="1">{"FCB_ALL",#N/A,FALSE,"FCB"}</definedName>
    <definedName name="es" hidden="1">{"FCB_ALL",#N/A,FALSE,"FCB"}</definedName>
    <definedName name="esr" hidden="1">{"FCB_ALL",#N/A,FALSE,"FCB"}</definedName>
    <definedName name="esrs" hidden="1">{"FCB_ALL",#N/A,FALSE,"FCB"}</definedName>
    <definedName name="EV__LASTREFTIME__" hidden="1">39429.3810648148</definedName>
    <definedName name="EV__MAXEXPCOLS__" hidden="1">200</definedName>
    <definedName name="EV__MAXEXPROWS__" hidden="1">20000</definedName>
    <definedName name="EV__WBEVMODE__" hidden="1">0</definedName>
    <definedName name="EV__WBREFOPTIONS__" hidden="1">134217733</definedName>
    <definedName name="EV__WBVERSION__" hidden="1">0</definedName>
    <definedName name="ExactAddinConnection.050" hidden="1">"TMN_EXACT;002;6124;1"</definedName>
    <definedName name="ExactAddinReports" hidden="1">1</definedName>
    <definedName name="Expenses" hidden="1">{"SUM",#N/A,FALSE,"Details (2)"}</definedName>
    <definedName name="fads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afs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fasdfs" hidden="1">{#N/A,#N/A,FALSE,"Aging Summary";#N/A,#N/A,FALSE,"Ratio Analysis";#N/A,#N/A,FALSE,"Test 120 Day Accts";#N/A,#N/A,FALSE,"Tickmarks"}</definedName>
    <definedName name="fd" hidden="1">{"FCB_ALL",#N/A,FALSE,"FCB"}</definedName>
    <definedName name="fdgad" hidden="1">{"inputs raw data",#N/A,TRUE,"INPUT"}</definedName>
    <definedName name="fdgfdg" hidden="1">{"FCB_ALL",#N/A,FALSE,"FCB";"GREY_ALL",#N/A,FALSE,"GREY"}</definedName>
    <definedName name="fds" hidden="1">{"FCB_ALL",#N/A,FALSE,"FCB"}</definedName>
    <definedName name="fdsafdas" hidden="1">{"Summary",#N/A,FALSE,"Details (2)"}</definedName>
    <definedName name="fdsag" hidden="1">{"FCB_ALL",#N/A,FALSE,"FCB"}</definedName>
    <definedName name="fdsakfjds" hidden="1">{"FCB_ALL",#N/A,FALSE,"FCB";"GREY_ALL",#N/A,FALSE,"GREY"}</definedName>
    <definedName name="fdsg" hidden="1">{"FCB_ALL",#N/A,FALSE,"FCB"}</definedName>
    <definedName name="feb" hidden="1">{#N/A,#N/A,FALSE,"FAB VENDORS";"BUD SUM",#N/A,FALSE,"BUD SUM WO TEX"}</definedName>
    <definedName name="ff" hidden="1">{"Summary",#N/A,FALSE,"Details (2)"}</definedName>
    <definedName name="fff" hidden="1">{"SUM",#N/A,FALSE,"Details (2)"}</definedName>
    <definedName name="ffffff" hidden="1">{#N/A,#N/A,FALSE,"Cashflow Analysis";#N/A,#N/A,FALSE,"Sensitivity Analysis";#N/A,#N/A,FALSE,"PV";#N/A,#N/A,FALSE,"Pro Forma"}</definedName>
    <definedName name="ffffff.2" hidden="1">{#N/A,#N/A,FALSE,"Cashflow Analysis";#N/A,#N/A,FALSE,"Sensitivity Analysis";#N/A,#N/A,FALSE,"PV";#N/A,#N/A,FALSE,"Pro Forma"}</definedName>
    <definedName name="ffffffffff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fgfdg" hidden="1">{"FCB_ALL",#N/A,FALSE,"FCB";"GREY_ALL",#N/A,FALSE,"GREY"}</definedName>
    <definedName name="fhg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fhj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ficha" hidden="1">{#N/A,#N/A,FALSE,"RESUMEN ECON.";#N/A,#N/A,FALSE,"Costos de R.H.";#N/A,#N/A,FALSE,"COSTO HW";#N/A,#N/A,FALSE,"CUADROS";#N/A,#N/A,FALSE,"SCADA´s";#N/A,#N/A,FALSE,"PRECIOS EQUIPOS"}</definedName>
    <definedName name="fin" hidden="1">{"rev_history_revenueDetail",#N/A,FALSE,"historical rev us";"rev_history_minutesDetail",#N/A,FALSE,"historical rev us"}</definedName>
    <definedName name="Final_Summary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inancials" hidden="1">{"PAGE1",#N/A,FALSE,"BID (3)";"PAGE2",#N/A,FALSE,"BID (3)"}</definedName>
    <definedName name="fine" hidden="1">{#N/A,#N/A,FALSE,"RESUMEN ECON.";#N/A,#N/A,FALSE,"Costos de R.H.";#N/A,#N/A,FALSE,"COSTO HW";#N/A,#N/A,FALSE,"CUADROS";#N/A,#N/A,FALSE,"SCADA´s";#N/A,#N/A,FALSE,"PRECIOS EQUIPOS"}</definedName>
    <definedName name="fm" hidden="1">{"summary1",#N/A,TRUE,"Comps";"summary2",#N/A,TRUE,"Comps";"summary3",#N/A,TRUE,"Comps"}</definedName>
    <definedName name="fsdafdsa" hidden="1">{"SUM",#N/A,FALSE,"Details (2)"}</definedName>
    <definedName name="fsdsfafd" hidden="1">{"CSheet",#N/A,FALSE,"C";"SmCap",#N/A,FALSE,"VAL1";"GulfCoast",#N/A,FALSE,"VAL1";"nav",#N/A,FALSE,"NAV";"Summary",#N/A,FALSE,"NAV"}</definedName>
    <definedName name="fsfsd" hidden="1">{#N/A,#N/A,TRUE,"RESUMEN ECON.";#N/A,#N/A,TRUE,"Costos de R.H.";#N/A,#N/A,TRUE,"COSTO HW";#N/A,#N/A,TRUE,"CUADROS";#N/A,#N/A,TRUE,"SCADA´s";#N/A,#N/A,TRUE,"PRECIOS EQUIPOS"}</definedName>
    <definedName name="fsgdr" hidden="1">{"FCB_ALL",#N/A,FALSE,"FCB"}</definedName>
    <definedName name="fsr" hidden="1">{"FCB_ALL",#N/A,FALSE,"FCB"}</definedName>
    <definedName name="fsv" hidden="1">{"FCB_ALL",#N/A,FALSE,"FCB";"GREY_ALL",#N/A,FALSE,"GREY"}</definedName>
    <definedName name="ftyf" hidden="1">{"FCB_ALL",#N/A,FALSE,"FCB";"GREY_ALL",#N/A,FALSE,"GREY"}</definedName>
    <definedName name="Fuckoff" hidden="1">{"Input Sheet",#N/A,FALSE,"Input";"New Co",#N/A,FALSE,"NEWCO";"Acq Cash Flow",#N/A,FALSE,"Acq. CF";"Target Cash Flow",#N/A,FALSE,"Tgt. CF";"Operational Merger",#N/A,FALSE,"OP Merger";"Acq Balance Sheet",#N/A,FALSE,"Acq. BS";"Target Balance Sheet",#N/A,FALSE,"Tgt. BS";"BOE Comp",#N/A,FALSE,"BOEComp"}</definedName>
    <definedName name="fundIV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fundiv1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g" hidden="1">{"SUM",#N/A,FALSE,"Details (2)"}</definedName>
    <definedName name="gadew" hidden="1">{"FCB_ALL",#N/A,FALSE,"FCB"}</definedName>
    <definedName name="gadfsh" hidden="1">{"FCB_ALL",#N/A,FALSE,"FCB"}</definedName>
    <definedName name="gads" hidden="1">{"FCB_ALL",#N/A,FALSE,"FCB"}</definedName>
    <definedName name="gadse" hidden="1">{"FCB_ALL",#N/A,FALSE,"FCB"}</definedName>
    <definedName name="Gatewayforecast" hidden="1">{"SUM",#N/A,FALSE,"Details (2)"}</definedName>
    <definedName name="gawea" hidden="1">{"FCB_ALL",#N/A,FALSE,"FCB"}</definedName>
    <definedName name="gawen" hidden="1">{"FCB_ALL",#N/A,FALSE,"FCB"}</definedName>
    <definedName name="gegeg" hidden="1">{#N/A,#N/A,FALSE,"Cashflow Analysis";#N/A,#N/A,FALSE,"Sensitivity Analysis";#N/A,#N/A,FALSE,"PV";#N/A,#N/A,FALSE,"Pro Forma"}</definedName>
    <definedName name="gegeg.2" hidden="1">{#N/A,#N/A,FALSE,"Cashflow Analysis";#N/A,#N/A,FALSE,"Sensitivity Analysis";#N/A,#N/A,FALSE,"PV";#N/A,#N/A,FALSE,"Pro Forma"}</definedName>
    <definedName name="gfasd" hidden="1">{"FCB_ALL",#N/A,FALSE,"FCB"}</definedName>
    <definedName name="gfhs" hidden="1">{"summary1",#N/A,TRUE,"Comps";"summary2",#N/A,TRUE,"Comps";"summary3",#N/A,TRUE,"Comps"}</definedName>
    <definedName name="gfsdn" hidden="1">{"FCB_ALL",#N/A,FALSE,"FCB";"GREY_ALL",#N/A,FALSE,"GREY"}</definedName>
    <definedName name="gg" hidden="1">{#N/A,#N/A,FALSE,"DCF Summary";#N/A,#N/A,FALSE,"Casema";#N/A,#N/A,FALSE,"Casema NoTel";#N/A,#N/A,FALSE,"UK";#N/A,#N/A,FALSE,"RCF";#N/A,#N/A,FALSE,"Intercable CZ";#N/A,#N/A,FALSE,"Interkabel P"}</definedName>
    <definedName name="gg.2" hidden="1">{#N/A,#N/A,FALSE,"Cashflow Analysis";#N/A,#N/A,FALSE,"Sensitivity Analysis";#N/A,#N/A,FALSE,"PV";#N/A,#N/A,FALSE,"Pro Forma"}</definedName>
    <definedName name="ggg" hidden="1">{#N/A,#N/A,TRUE,"RESUMEN ECON.";#N/A,#N/A,TRUE,"Costos de R.H.";#N/A,#N/A,TRUE,"COSTO HW";#N/A,#N/A,TRUE,"CUADROS";#N/A,#N/A,TRUE,"SCADA´s";#N/A,#N/A,TRUE,"PRECIOS EQUIPOS"}</definedName>
    <definedName name="gkn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GKUY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gnr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go" hidden="1">{#N/A,#N/A,FALSE,"Barranca"}</definedName>
    <definedName name="gtrwegrwegw" hidden="1">{"Summary",#N/A,FALSE,"Details (2)"}</definedName>
    <definedName name="gty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h" hidden="1">{#N/A,#N/A,FALSE,"Sheet1";#N/A,#N/A,FALSE,"Sheet2";#N/A,#N/A,FALSE,"Sheet3";#N/A,#N/A,FALSE,"Sheet4";#N/A,#N/A,FALSE,"Sheet5";#N/A,#N/A,FALSE,"Sheet6"}</definedName>
    <definedName name="HD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HEI" hidden="1">{"AQUIRORDCF",#N/A,FALSE,"Merger consequences";"Acquirorassns",#N/A,FALSE,"Merger consequences"}</definedName>
    <definedName name="Help" hidden="1">{#N/A,#N/A,FALSE,"Barranca"}</definedName>
    <definedName name="help1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hfd" hidden="1">{"FCB_ALL",#N/A,FALSE,"FCB";"GREY_ALL",#N/A,FALSE,"GREY"}</definedName>
    <definedName name="hfydf" hidden="1">{"FCB_ALL",#N/A,FALSE,"FCB"}</definedName>
    <definedName name="hgsrt" hidden="1">{"FCB_ALL",#N/A,FALSE,"FCB";"GREY_ALL",#N/A,FALSE,"GREY"}</definedName>
    <definedName name="hh" hidden="1">{#N/A,#N/A,TRUE,"DCF Summary";#N/A,#N/A,TRUE,"Casema";#N/A,#N/A,TRUE,"UK";#N/A,#N/A,TRUE,"RCF";#N/A,#N/A,TRUE,"Intercable CZ";#N/A,#N/A,TRUE,"Interkabel P";#N/A,#N/A,TRUE,"LBO-Total";#N/A,#N/A,TRUE,"LBO-Casema"}</definedName>
    <definedName name="hhhh" hidden="1">{"SUM",#N/A,FALSE,"Details (2)"}</definedName>
    <definedName name="Hi" hidden="1">{#N/A,#N/A,FALSE,"FAB VENDORS";"BUD SUM",#N/A,FALSE,"BUD SUM WO TEX"}</definedName>
    <definedName name="hj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hn.ConvertZero1" hidden="1">#REF!,#REF!,#REF!,#REF!,#REF!,#REF!,#REF!,#REF!,#REF!,#REF!</definedName>
    <definedName name="hn.ConvertZero2" hidden="1">#REF!,#REF!,#REF!,#REF!,#REF!,#REF!,#REF!,#REF!</definedName>
    <definedName name="hn.ConvertZero3" hidden="1">#REF!,#REF!,#REF!,#REF!,#REF!</definedName>
    <definedName name="hn.ConvertZero4" hidden="1">#REF!,#REF!,#REF!,#REF!,#REF!,#REF!,#REF!,#REF!</definedName>
    <definedName name="hn.ConvertZeroUnhide1" hidden="1">#REF!,#REF!,#REF!</definedName>
    <definedName name="hn.Delete015" hidden="1">#REF!,#REF!,#REF!,#REF!,#REF!</definedName>
    <definedName name="hn.DZ_MultByFXRates" hidden="1">#REF!,#REF!,#REF!,#REF!</definedName>
    <definedName name="hn.LTM_MultByFXRates" hidden="1">#REF!,#REF!,#REF!,#REF!,#REF!,#REF!,#REF!</definedName>
    <definedName name="hn.ModelVersion" hidden="1">1</definedName>
    <definedName name="hn.MultbyFXRates" hidden="1">#REF!,#REF!,#REF!,#REF!,#REF!,#REF!,#REF!</definedName>
    <definedName name="hn.MultByFXRates1" hidden="1">#REF!,#REF!,#REF!,#REF!,#REF!</definedName>
    <definedName name="hn.MultByFXRates2" hidden="1">#REF!,#REF!,#REF!,#REF!,#REF!</definedName>
    <definedName name="hn.MultByFXRates3" hidden="1">#REF!,#REF!,#REF!,#REF!,#REF!</definedName>
    <definedName name="hn.MultbyFxrates4" hidden="1">#REF!,#REF!,#REF!,#REF!,#REF!,#REF!,#REF!</definedName>
    <definedName name="hn.multbyfxrates5" hidden="1">#REF!,#REF!,#REF!,#REF!,#REF!</definedName>
    <definedName name="hn.multbyfxrates6" hidden="1">#REF!,#REF!,#REF!,#REF!,#REF!</definedName>
    <definedName name="hn.multbyfxrates7" hidden="1">#REF!,#REF!,#REF!,#REF!,#REF!</definedName>
    <definedName name="hn.MultByFXRatesBot1" hidden="1">#REF!,#REF!,#REF!,#REF!,#REF!,#REF!,#REF!,#REF!,#REF!,#REF!,#REF!,#REF!</definedName>
    <definedName name="hn.MultByFXRatesBot2" hidden="1">#REF!,#REF!,#REF!,#REF!,#REF!,#REF!,#REF!,#REF!,#REF!,#REF!,#REF!,#REF!</definedName>
    <definedName name="hn.MultByFXRatesBot3" hidden="1">#REF!,#REF!,#REF!,#REF!,#REF!,#REF!,#REF!,#REF!,#REF!,#REF!,#REF!,#REF!</definedName>
    <definedName name="hn.MultByFXRatesBot4" hidden="1">#REF!,#REF!,#REF!,#REF!,#REF!,#REF!,#REF!,#REF!,#REF!,#REF!,#REF!,#REF!,#REF!</definedName>
    <definedName name="hn.MultByFXRatesBot5" hidden="1">#REF!,#REF!,#REF!,#REF!,#REF!,#REF!,#REF!,#REF!,#REF!,#REF!,#REF!</definedName>
    <definedName name="hn.MultByFXRatesBot6" hidden="1">#REF!,#REF!,#REF!,#REF!,#REF!,#REF!,#REF!,#REF!,#REF!,#REF!,#REF!</definedName>
    <definedName name="hn.MultByFXRatesBot7" hidden="1">#REF!,#REF!,#REF!,#REF!,#REF!,#REF!,#REF!,#REF!,#REF!,#REF!,#REF!</definedName>
    <definedName name="hn.MultByFXRatesTop1" hidden="1">#REF!,#REF!,#REF!,#REF!,#REF!,#REF!,#REF!,#REF!,#REF!,#REF!,#REF!,#REF!</definedName>
    <definedName name="hn.MultByFXRatesTop2" hidden="1">#REF!,#REF!,#REF!,#REF!,#REF!,#REF!,#REF!,#REF!,#REF!,#REF!,#REF!,#REF!,#REF!,#REF!,#REF!</definedName>
    <definedName name="hn.MultByFXRatesTop3" hidden="1">#REF!,#REF!,#REF!,#REF!,#REF!,#REF!,#REF!,#REF!,#REF!,#REF!,#REF!,#REF!,#REF!,#REF!,#REF!</definedName>
    <definedName name="hn.MultByFXRatesTop4" hidden="1">#REF!,#REF!,#REF!,#REF!,#REF!,#REF!,#REF!,#REF!,#REF!,#REF!,#REF!,#REF!,#REF!,#REF!,#REF!</definedName>
    <definedName name="hn.MultByFXRatesTop5" hidden="1">#REF!,#REF!,#REF!,#REF!,#REF!,#REF!,#REF!,#REF!,#REF!,#REF!,#REF!,#REF!</definedName>
    <definedName name="hn.MultByFXRatesTop6" hidden="1">#REF!,#REF!,#REF!,#REF!,#REF!,#REF!,#REF!,#REF!,#REF!,#REF!,#REF!,#REF!,#REF!,#REF!,#REF!</definedName>
    <definedName name="hn.MultByFXRatesTop7" hidden="1">#REF!,#REF!,#REF!,#REF!,#REF!,#REF!,#REF!,#REF!,#REF!,#REF!,#REF!,#REF!,#REF!,#REF!,#REF!</definedName>
    <definedName name="hn.NoUpload" hidden="1">0</definedName>
    <definedName name="hod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uy" hidden="1">{#N/A,#N/A,FALSE,"AD_Purchase";#N/A,#N/A,FALSE,"Credit";#N/A,#N/A,FALSE,"PF Acquisition";#N/A,#N/A,FALSE,"PF Offering"}</definedName>
    <definedName name="HQ" hidden="1">{#N/A,#N/A,FALSE,"6405";#N/A,#N/A,FALSE,"6406";#N/A,#N/A,FALSE,"6409";#N/A,#N/A,FALSE,"6425";#N/A,#N/A,FALSE,"6426";#N/A,#N/A,FALSE,"6427";#N/A,#N/A,FALSE,"6440";#N/A,#N/A,FALSE,"6441";#N/A,#N/A,FALSE,"6442";#N/A,#N/A,FALSE,"6443"}</definedName>
    <definedName name="HTML_Control_BS" hidden="1">{"'Sheet1'!$A$1:$L$21"}</definedName>
    <definedName name="HTML1_1" hidden="1">"[TB9.XLS]St_tot_94_95!$A$1:$J$428"</definedName>
    <definedName name="HTML3_1" hidden="1">"[TB9.XLS]St_tot_94_95!$A$1:$H$427"</definedName>
    <definedName name="HTML4_10" hidden="1">"Emil.Asistores@crtc.x400.gc.ca"</definedName>
    <definedName name="HTML4_11" hidden="1">1</definedName>
    <definedName name="HTML4_12" hidden="1">"O:\ENG\PROC_REP\TELECOM\1997\PART7\QS_REP98\BCTEL\BCTEL.HTM"</definedName>
    <definedName name="HTML4_2" hidden="1">1</definedName>
    <definedName name="HTML4_3" hidden="1">"BC Tel 1998 Quality Of Service Report"</definedName>
    <definedName name="HTML4_4" hidden="1">"BC Tel 1998 Quality Of Service Report"</definedName>
    <definedName name="HTML4_5" hidden="1">""</definedName>
    <definedName name="HTML4_6" hidden="1">-4146</definedName>
    <definedName name="HTML4_7" hidden="1">-4146</definedName>
    <definedName name="HTML4_8" hidden="1">"1997/10/24"</definedName>
    <definedName name="HTML4_9" hidden="1">"Emil Asistores"</definedName>
    <definedName name="HTML5_10" hidden="1">"Emil.Asistores@crtc.x400.gc.ca"</definedName>
    <definedName name="HTML5_11" hidden="1">1</definedName>
    <definedName name="HTML5_12" hidden="1">"O:\ENG\PROC_REP\TELECOM\1997\PART7\QS_REP98\TCI\TCI.HTM"</definedName>
    <definedName name="HTML5_2" hidden="1">1</definedName>
    <definedName name="HTML5_3" hidden="1">"TCI 1998 Quality Of Service Report"</definedName>
    <definedName name="HTML5_4" hidden="1">"TCI 1998 Quality Of Service Report"</definedName>
    <definedName name="HTML5_5" hidden="1">""</definedName>
    <definedName name="HTML5_6" hidden="1">-4146</definedName>
    <definedName name="HTML5_7" hidden="1">-4146</definedName>
    <definedName name="HTML5_8" hidden="1">"1997/10/30"</definedName>
    <definedName name="HTML5_9" hidden="1">"Emil Asistores"</definedName>
    <definedName name="HTMLControl" hidden="1">{"'Edit'!$A$1:$V$2277"}</definedName>
    <definedName name="i" hidden="1">{#N/A,#N/A,TRUE,"DCF Summary";#N/A,#N/A,TRUE,"Casema";#N/A,#N/A,TRUE,"UK";#N/A,#N/A,TRUE,"RCF";#N/A,#N/A,TRUE,"Intercable CZ";#N/A,#N/A,TRUE,"Interkabel P";#N/A,#N/A,TRUE,"LBO-Total";#N/A,#N/A,TRUE,"LBO-Casema"}</definedName>
    <definedName name="INFO_BI_EXE_NAME" hidden="1">"BICORE.EXE"</definedName>
    <definedName name="INFO_EXE_SERVER_PATH" hidden="1">"C:\Program Files (x86)\Sage Software\Sage MAS 500 Client\Managed Applications\SMIFramework\BICORE.EXE"</definedName>
    <definedName name="INFO_INSTANCE_ID" hidden="1">"0"</definedName>
    <definedName name="INFO_INSTANCE_NAME" hidden="1">"Overall Reporting Statement 2016_20150812_10_25_43_2525.xls"</definedName>
    <definedName name="INFO_REPORT_CODE" hidden="1">"S500-AI01-1-2"</definedName>
    <definedName name="INFO_REPORT_ID" hidden="1">"9"</definedName>
    <definedName name="INFO_REPORT_NAME" hidden="1">"Overall Reporting Statement 2016"</definedName>
    <definedName name="INFO_RUN_USER" hidden="1">""</definedName>
    <definedName name="INFO_RUN_WORKSTATION" hidden="1">"RDPFINANCE"</definedName>
    <definedName name="Inmovilizado2" hidden="1">{#N/A,#N/A,FALSE,"CNS_ADJ";"Balance Consolidado",#N/A,FALSE,"BCEC_CNS";#N/A,#N/A,FALSE,"USGAAP_ADJ"}</definedName>
    <definedName name="int_ext_sel" hidden="1">2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COUNT_CHANGE" hidden="1">"c413"</definedName>
    <definedName name="IQ_ACCOUNTS_PAY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"c8"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"c7"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D" hidden="1">"c7"</definedName>
    <definedName name="IQ_ADD_PAID_IN" hidden="1">"c39"</definedName>
    <definedName name="IQ_ADDIN" hidden="1">"AUTO"</definedName>
    <definedName name="IQ_ADDITIONAL_NON_INT_INC_FDIC" hidden="1">"c6574"</definedName>
    <definedName name="IQ_ADJUSTABLE_RATE_LOANS_FDIC" hidden="1">"c6375"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LLOW_BORROW_CONST" hidden="1">"c15"</definedName>
    <definedName name="IQ_ALLOW_CONST" hidden="1">"c16"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"c1471"</definedName>
    <definedName name="IQ_AMORTIZED_COST_FDIC" hidden="1">"c6426"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UDITOR_NAME" hidden="1">"c1539"</definedName>
    <definedName name="IQ_AUDITOR_OPINION" hidden="1">"c1540"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"c65"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"c88"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ILDINGS" hidden="1">"c99"</definedName>
    <definedName name="IQ_BUSINESS_DESCRIPTION" hidden="1">"c322"</definedName>
    <definedName name="IQ_BV_OVER_SHARES" hidden="1">"c100"</definedName>
    <definedName name="IQ_BV_SHARE" hidden="1">"c100"</definedName>
    <definedName name="IQ_BV_SHARE_ACT_OR_EST_REUT" hidden="1">"c5477"</definedName>
    <definedName name="IQ_BV_SHARE_EST_REUT" hidden="1">"c5439"</definedName>
    <definedName name="IQ_BV_SHARE_HIGH_EST_REUT" hidden="1">"c5441"</definedName>
    <definedName name="IQ_BV_SHARE_LOW_EST_REUT" hidden="1">"c5442"</definedName>
    <definedName name="IQ_BV_SHARE_MEDIAN_EST_REUT" hidden="1">"c5440"</definedName>
    <definedName name="IQ_BV_SHARE_NUM_EST_REUT" hidden="1">"c5443"</definedName>
    <definedName name="IQ_BV_SHARE_STDDEV_EST_REUT" hidden="1">"c5444"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ACT_OR_EST_REUT" hidden="1">"c5474"</definedName>
    <definedName name="IQ_CAPEX_BNK" hidden="1">"c110"</definedName>
    <definedName name="IQ_CAPEX_BR" hidden="1">"c111"</definedName>
    <definedName name="IQ_CAPEX_EST_REUT" hidden="1">"c3969"</definedName>
    <definedName name="IQ_CAPEX_FIN" hidden="1">"c112"</definedName>
    <definedName name="IQ_CAPEX_HIGH_EST_REUT" hidden="1">"c3971"</definedName>
    <definedName name="IQ_CAPEX_INS" hidden="1">"c113"</definedName>
    <definedName name="IQ_CAPEX_LOW_EST_REUT" hidden="1">"c3972"</definedName>
    <definedName name="IQ_CAPEX_MEDIAN_EST_REUT" hidden="1">"c3970"</definedName>
    <definedName name="IQ_CAPEX_NUM_EST_REUT" hidden="1">"c3973"</definedName>
    <definedName name="IQ_CAPEX_STDDEV_EST_REUT" hidden="1">"c3974"</definedName>
    <definedName name="IQ_CAPEX_UTI" hidden="1">"c114"</definedName>
    <definedName name="IQ_CAPITAL_LEASE" hidden="1">"c115"</definedName>
    <definedName name="IQ_CAPITAL_LEASES" hidden="1">"c115"</definedName>
    <definedName name="IQ_CAPITALIZED_INTEREST" hidden="1">"c2076"</definedName>
    <definedName name="IQ_CASH" hidden="1">"c118"</definedName>
    <definedName name="IQ_CASH_ACQUIRE_CF" hidden="1">"c1630"</definedName>
    <definedName name="IQ_CASH_CONVERSION" hidden="1">"c117"</definedName>
    <definedName name="IQ_CASH_DIVIDENDS_NET_INCOME_FDIC" hidden="1">"c6738"</definedName>
    <definedName name="IQ_CASH_DUE_BANKS" hidden="1">"c118"</definedName>
    <definedName name="IQ_CASH_EQUIV" hidden="1">"c118"</definedName>
    <definedName name="IQ_CASH_FINAN" hidden="1">"c119"</definedName>
    <definedName name="IQ_CASH_IN_PROCESS_FDIC" hidden="1">"c6386"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"c124"</definedName>
    <definedName name="IQ_CASH_ST_INVEST" hidden="1">"c124"</definedName>
    <definedName name="IQ_CASH_TAXES" hidden="1">"c125"</definedName>
    <definedName name="IQ_CCE_FDIC" hidden="1">"c6296"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_REUT" hidden="1">"c5463"</definedName>
    <definedName name="IQ_CFPS_EST_REUT" hidden="1">"c3844"</definedName>
    <definedName name="IQ_CFPS_HIGH_EST_REUT" hidden="1">"c3846"</definedName>
    <definedName name="IQ_CFPS_LOW_EST_REUT" hidden="1">"c3847"</definedName>
    <definedName name="IQ_CFPS_MEDIAN_EST_REUT" hidden="1">"c3845"</definedName>
    <definedName name="IQ_CFPS_NUM_EST_REUT" hidden="1">"c3848"</definedName>
    <definedName name="IQ_CFPS_STDDEV_EST_REUT" hidden="1">"c3849"</definedName>
    <definedName name="IQ_CH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INVENTORY" hidden="1">"c151"</definedName>
    <definedName name="IQ_CHANGE_NET_WORKING_CAPITAL" hidden="1">"c1909"</definedName>
    <definedName name="IQ_CHANGE_OTHER_NET_OPER_ASSETS_BR" hidden="1">"c3595"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"c161"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ASSB_OUTSTANDING_BS_DATE" hidden="1">"c1972"</definedName>
    <definedName name="IQ_CLASSB_OUTSTANDING_FILING_DATE" hidden="1">"c1974"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"c182"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LOANS" hidden="1">"c223"</definedName>
    <definedName name="IQ_CONTRACTS_OTHER_COMMODITIES_EQUITIES_FDIC" hidden="1">"c6522"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BORROWINGS" hidden="1">"c225"</definedName>
    <definedName name="IQ_COST_OF_FUNDING_ASSETS_FDIC" hidden="1">"c6725"</definedName>
    <definedName name="IQ_COST_REV" hidden="1">"c226"</definedName>
    <definedName name="IQ_COST_REVENUE" hidden="1">"c226"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"c274"</definedName>
    <definedName name="IQ_DAYS_PAYABLE_OUT" hidden="1">"c274"</definedName>
    <definedName name="IQ_DAYS_SALES_OUT" hidden="1">"c275"</definedName>
    <definedName name="IQ_DAYS_SALES_OUTST" hidden="1">"c275"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"c315"</definedName>
    <definedName name="IQ_DEFERRED_TAXES" hidden="1">"c147"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"c247"</definedName>
    <definedName name="IQ_DEPRE_AMORT_SUPPL" hidden="1">"c1593"</definedName>
    <definedName name="IQ_DEPRE_DEPLE" hidden="1">"c261"</definedName>
    <definedName name="IQ_DEPRE_SUPP" hidden="1">"c1443"</definedName>
    <definedName name="IQ_DERIVATIVES_FDIC" hidden="1">"c6523"</definedName>
    <definedName name="IQ_DESCRIPTION_LONG" hidden="1">"c322"</definedName>
    <definedName name="IQ_DEVELOP_LAND" hidden="1">"c323"</definedName>
    <definedName name="IQ_DIFF_LASTCLOSE_TARGET_PRICE_REUT" hidden="1">"c5436"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"c333"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"c330"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" hidden="1">"c2801"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_REUT" hidden="1">"c5464"</definedName>
    <definedName name="IQ_DPS_EST_BOTTOM_UP_REUT" hidden="1">"c5501"</definedName>
    <definedName name="IQ_DPS_EST_REUT" hidden="1">"c3851"</definedName>
    <definedName name="IQ_DPS_HIGH_EST_REUT" hidden="1">"c3853"</definedName>
    <definedName name="IQ_DPS_LOW_EST_REUT" hidden="1">"c3854"</definedName>
    <definedName name="IQ_DPS_MEDIAN_EST_REUT" hidden="1">"c3852"</definedName>
    <definedName name="IQ_DPS_NUM_EST_REUT" hidden="1">"c3855"</definedName>
    <definedName name="IQ_DPS_STDDEV_EST_REUT" hidden="1">"c3856"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COVERAGE_NET_CHARGE_OFFS_FDIC" hidden="1">"c6735"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_REUT" hidden="1">"c5465"</definedName>
    <definedName name="IQ_EBIT_EST_REUT" hidden="1">"c5333"</definedName>
    <definedName name="IQ_EBIT_HIGH_EST_REUT" hidden="1">"c5335"</definedName>
    <definedName name="IQ_EBIT_INT" hidden="1">"c360"</definedName>
    <definedName name="IQ_EBIT_LOW_EST_REUT" hidden="1">"c5336"</definedName>
    <definedName name="IQ_EBIT_MARGIN" hidden="1">"c359"</definedName>
    <definedName name="IQ_EBIT_MEDIAN_EST_REUT" hidden="1">"c5334"</definedName>
    <definedName name="IQ_EBIT_NUM_EST_REUT" hidden="1">"c5337"</definedName>
    <definedName name="IQ_EBIT_OVER_IE" hidden="1">"c360"</definedName>
    <definedName name="IQ_EBIT_STDDEV_EST_REUT" hidden="1">"c5338"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_REUT" hidden="1">"c5462"</definedName>
    <definedName name="IQ_EBITDA_CAPEX_INT" hidden="1">"c368"</definedName>
    <definedName name="IQ_EBITDA_CAPEX_OVER_TOTAL_IE" hidden="1">"c368"</definedName>
    <definedName name="IQ_EBITDA_INT" hidden="1">"c373"</definedName>
    <definedName name="IQ_EBITDA_MARGIN" hidden="1">"c372"</definedName>
    <definedName name="IQ_EBITDA_OVER_TOTAL_IE" hidden="1">"c373"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CO_METRIC_6810" hidden="1">"c6810"</definedName>
    <definedName name="IQ_ECO_METRIC_6811" hidden="1">"c6811"</definedName>
    <definedName name="IQ_ECO_METRIC_6812" hidden="1">"c6812"</definedName>
    <definedName name="IQ_ECO_METRIC_6813" hidden="1">"c6813"</definedName>
    <definedName name="IQ_ECO_METRIC_6814" hidden="1">"c6814"</definedName>
    <definedName name="IQ_ECO_METRIC_6815" hidden="1">"c6815"</definedName>
    <definedName name="IQ_ECO_METRIC_6816" hidden="1">"c6816"</definedName>
    <definedName name="IQ_ECO_METRIC_6817" hidden="1">"c6817"</definedName>
    <definedName name="IQ_ECO_METRIC_6818" hidden="1">"c6818"</definedName>
    <definedName name="IQ_ECO_METRIC_6819" hidden="1">"c6819"</definedName>
    <definedName name="IQ_ECO_METRIC_6820" hidden="1">"c6820"</definedName>
    <definedName name="IQ_ECO_METRIC_6821" hidden="1">"c6821"</definedName>
    <definedName name="IQ_ECO_METRIC_6822" hidden="1">"c6822"</definedName>
    <definedName name="IQ_ECO_METRIC_6823" hidden="1">"c6823"</definedName>
    <definedName name="IQ_ECO_METRIC_6824" hidden="1">"c6824"</definedName>
    <definedName name="IQ_ECO_METRIC_6825" hidden="1">"c6825"</definedName>
    <definedName name="IQ_ECO_METRIC_6825_UNUSED_UNUSED_UNUSED" hidden="1">"c6825"</definedName>
    <definedName name="IQ_ECO_METRIC_6826" hidden="1">"c6826"</definedName>
    <definedName name="IQ_ECO_METRIC_6827" hidden="1">"c6827"</definedName>
    <definedName name="IQ_ECO_METRIC_6828" hidden="1">"c6828"</definedName>
    <definedName name="IQ_ECO_METRIC_6829" hidden="1">"c6829"</definedName>
    <definedName name="IQ_ECO_METRIC_6830" hidden="1">"c6830"</definedName>
    <definedName name="IQ_ECO_METRIC_6831" hidden="1">"c6831"</definedName>
    <definedName name="IQ_ECO_METRIC_6832" hidden="1">"c6832"</definedName>
    <definedName name="IQ_ECO_METRIC_6833" hidden="1">"c6833"</definedName>
    <definedName name="IQ_ECO_METRIC_6834" hidden="1">"c6834"</definedName>
    <definedName name="IQ_ECO_METRIC_6835" hidden="1">"c6835"</definedName>
    <definedName name="IQ_ECO_METRIC_6836" hidden="1">"c6836"</definedName>
    <definedName name="IQ_ECO_METRIC_6837" hidden="1">"c6837"</definedName>
    <definedName name="IQ_ECO_METRIC_6838" hidden="1">"c6838"</definedName>
    <definedName name="IQ_ECO_METRIC_6839" hidden="1">"c6839"</definedName>
    <definedName name="IQ_ECO_METRIC_6839_UNUSED_UNUSED_UNUSED" hidden="1">"c6839"</definedName>
    <definedName name="IQ_ECO_METRIC_6840" hidden="1">"c6840"</definedName>
    <definedName name="IQ_ECO_METRIC_6841" hidden="1">"c6841"</definedName>
    <definedName name="IQ_ECO_METRIC_6842" hidden="1">"c6842"</definedName>
    <definedName name="IQ_ECO_METRIC_6843" hidden="1">"c6843"</definedName>
    <definedName name="IQ_ECO_METRIC_6844" hidden="1">"c6844"</definedName>
    <definedName name="IQ_ECO_METRIC_6845" hidden="1">"c6845"</definedName>
    <definedName name="IQ_ECO_METRIC_6846" hidden="1">"c6846"</definedName>
    <definedName name="IQ_ECO_METRIC_6847" hidden="1">"c6847"</definedName>
    <definedName name="IQ_ECO_METRIC_6848" hidden="1">"c6848"</definedName>
    <definedName name="IQ_ECO_METRIC_6849" hidden="1">"c6849"</definedName>
    <definedName name="IQ_ECO_METRIC_6850" hidden="1">"c6850"</definedName>
    <definedName name="IQ_ECO_METRIC_6851" hidden="1">"c6851"</definedName>
    <definedName name="IQ_ECO_METRIC_6852" hidden="1">"c6852"</definedName>
    <definedName name="IQ_ECO_METRIC_6853" hidden="1">"c6853"</definedName>
    <definedName name="IQ_ECO_METRIC_6854" hidden="1">"c6854"</definedName>
    <definedName name="IQ_ECO_METRIC_6855" hidden="1">"c6855"</definedName>
    <definedName name="IQ_ECO_METRIC_6856" hidden="1">"c6856"</definedName>
    <definedName name="IQ_ECO_METRIC_6857" hidden="1">"c6857"</definedName>
    <definedName name="IQ_ECO_METRIC_6858" hidden="1">"c6858"</definedName>
    <definedName name="IQ_ECO_METRIC_6859" hidden="1">"c6859"</definedName>
    <definedName name="IQ_ECO_METRIC_6860" hidden="1">"c6860"</definedName>
    <definedName name="IQ_ECO_METRIC_6861" hidden="1">"c6861"</definedName>
    <definedName name="IQ_ECO_METRIC_6862" hidden="1">"c6862"</definedName>
    <definedName name="IQ_ECO_METRIC_6863" hidden="1">"c6863"</definedName>
    <definedName name="IQ_ECO_METRIC_6864" hidden="1">"c6864"</definedName>
    <definedName name="IQ_ECO_METRIC_6865" hidden="1">"c6865"</definedName>
    <definedName name="IQ_ECO_METRIC_6866" hidden="1">"c6866"</definedName>
    <definedName name="IQ_ECO_METRIC_6867" hidden="1">"c6867"</definedName>
    <definedName name="IQ_ECO_METRIC_6868" hidden="1">"c6868"</definedName>
    <definedName name="IQ_ECO_METRIC_6869" hidden="1">"c6869"</definedName>
    <definedName name="IQ_ECO_METRIC_6870" hidden="1">"c6870"</definedName>
    <definedName name="IQ_ECO_METRIC_6871" hidden="1">"c6871"</definedName>
    <definedName name="IQ_ECO_METRIC_6872" hidden="1">"c6872"</definedName>
    <definedName name="IQ_ECO_METRIC_6873" hidden="1">"c6873"</definedName>
    <definedName name="IQ_ECO_METRIC_6874" hidden="1">"c6874"</definedName>
    <definedName name="IQ_ECO_METRIC_6875" hidden="1">"c6875"</definedName>
    <definedName name="IQ_ECO_METRIC_6876" hidden="1">"c6876"</definedName>
    <definedName name="IQ_ECO_METRIC_6877" hidden="1">"c6877"</definedName>
    <definedName name="IQ_ECO_METRIC_6878" hidden="1">"c6878"</definedName>
    <definedName name="IQ_ECO_METRIC_6879" hidden="1">"c6879"</definedName>
    <definedName name="IQ_ECO_METRIC_6880" hidden="1">"c6880"</definedName>
    <definedName name="IQ_ECO_METRIC_6881" hidden="1">"c6881"</definedName>
    <definedName name="IQ_ECO_METRIC_6882" hidden="1">"c6882"</definedName>
    <definedName name="IQ_ECO_METRIC_6883" hidden="1">"c6883"</definedName>
    <definedName name="IQ_ECO_METRIC_6884" hidden="1">"c6884"</definedName>
    <definedName name="IQ_ECO_METRIC_6885" hidden="1">"c6885"</definedName>
    <definedName name="IQ_ECO_METRIC_6886" hidden="1">"c6886"</definedName>
    <definedName name="IQ_ECO_METRIC_6887" hidden="1">"c6887"</definedName>
    <definedName name="IQ_ECO_METRIC_6888" hidden="1">"c6888"</definedName>
    <definedName name="IQ_ECO_METRIC_6889" hidden="1">"c6889"</definedName>
    <definedName name="IQ_ECO_METRIC_6890" hidden="1">"c6890"</definedName>
    <definedName name="IQ_ECO_METRIC_6891" hidden="1">"c6891"</definedName>
    <definedName name="IQ_ECO_METRIC_6892" hidden="1">"c6892"</definedName>
    <definedName name="IQ_ECO_METRIC_6893" hidden="1">"c6893"</definedName>
    <definedName name="IQ_ECO_METRIC_6894" hidden="1">"c6894"</definedName>
    <definedName name="IQ_ECO_METRIC_6895" hidden="1">"c6895"</definedName>
    <definedName name="IQ_ECO_METRIC_6896" hidden="1">"c6896"</definedName>
    <definedName name="IQ_ECO_METRIC_6896_UNUSED_UNUSED_UNUSED" hidden="1">"c6896"</definedName>
    <definedName name="IQ_ECO_METRIC_6897" hidden="1">"c6897"</definedName>
    <definedName name="IQ_ECO_METRIC_6897_UNUSED_UNUSED_UNUSED" hidden="1">"c6897"</definedName>
    <definedName name="IQ_ECO_METRIC_6899" hidden="1">"c6899"</definedName>
    <definedName name="IQ_ECO_METRIC_6900" hidden="1">"c6900"</definedName>
    <definedName name="IQ_ECO_METRIC_6901" hidden="1">"c6901"</definedName>
    <definedName name="IQ_ECO_METRIC_6902" hidden="1">"c6902"</definedName>
    <definedName name="IQ_ECO_METRIC_6903" hidden="1">"c6903"</definedName>
    <definedName name="IQ_ECO_METRIC_6904" hidden="1">"c6904"</definedName>
    <definedName name="IQ_ECO_METRIC_6905" hidden="1">"c6905"</definedName>
    <definedName name="IQ_ECO_METRIC_6906" hidden="1">"c6906"</definedName>
    <definedName name="IQ_ECO_METRIC_6907" hidden="1">"c6907"</definedName>
    <definedName name="IQ_ECO_METRIC_6908" hidden="1">"c6908"</definedName>
    <definedName name="IQ_ECO_METRIC_6909" hidden="1">"c6909"</definedName>
    <definedName name="IQ_ECO_METRIC_6910" hidden="1">"c6910"</definedName>
    <definedName name="IQ_ECO_METRIC_6911" hidden="1">"c6911"</definedName>
    <definedName name="IQ_ECO_METRIC_6912" hidden="1">"c6912"</definedName>
    <definedName name="IQ_ECO_METRIC_6913" hidden="1">"c6913"</definedName>
    <definedName name="IQ_ECO_METRIC_6914" hidden="1">"c6914"</definedName>
    <definedName name="IQ_ECO_METRIC_6915" hidden="1">"c6915"</definedName>
    <definedName name="IQ_ECO_METRIC_6916" hidden="1">"c6916"</definedName>
    <definedName name="IQ_ECO_METRIC_6917" hidden="1">"c6917"</definedName>
    <definedName name="IQ_ECO_METRIC_6918" hidden="1">"c6918"</definedName>
    <definedName name="IQ_ECO_METRIC_6919" hidden="1">"c6919"</definedName>
    <definedName name="IQ_ECO_METRIC_6920" hidden="1">"c6920"</definedName>
    <definedName name="IQ_ECO_METRIC_6921" hidden="1">"c6921"</definedName>
    <definedName name="IQ_ECO_METRIC_6922" hidden="1">"c6922"</definedName>
    <definedName name="IQ_ECO_METRIC_6923" hidden="1">"c6923"</definedName>
    <definedName name="IQ_ECO_METRIC_6924" hidden="1">"c6924"</definedName>
    <definedName name="IQ_ECO_METRIC_6925" hidden="1">"c6925"</definedName>
    <definedName name="IQ_ECO_METRIC_6926" hidden="1">"c6926"</definedName>
    <definedName name="IQ_ECO_METRIC_6928" hidden="1">"c6928"</definedName>
    <definedName name="IQ_ECO_METRIC_6929" hidden="1">"c6929"</definedName>
    <definedName name="IQ_ECO_METRIC_6930" hidden="1">"c6930"</definedName>
    <definedName name="IQ_ECO_METRIC_6931" hidden="1">"c6931"</definedName>
    <definedName name="IQ_ECO_METRIC_6932" hidden="1">"c6932"</definedName>
    <definedName name="IQ_ECO_METRIC_6933" hidden="1">"c6933"</definedName>
    <definedName name="IQ_ECO_METRIC_6934" hidden="1">"c6934"</definedName>
    <definedName name="IQ_ECO_METRIC_6935" hidden="1">"c6935"</definedName>
    <definedName name="IQ_ECO_METRIC_6936" hidden="1">"c6936"</definedName>
    <definedName name="IQ_ECO_METRIC_6937" hidden="1">"c6937"</definedName>
    <definedName name="IQ_ECO_METRIC_6938" hidden="1">"c6938"</definedName>
    <definedName name="IQ_ECO_METRIC_6939" hidden="1">"c6939"</definedName>
    <definedName name="IQ_ECO_METRIC_6940" hidden="1">"c6940"</definedName>
    <definedName name="IQ_ECO_METRIC_6941" hidden="1">"c6941"</definedName>
    <definedName name="IQ_ECO_METRIC_6942" hidden="1">"c6942"</definedName>
    <definedName name="IQ_ECO_METRIC_6943" hidden="1">"c6943"</definedName>
    <definedName name="IQ_ECO_METRIC_6944" hidden="1">"c6944"</definedName>
    <definedName name="IQ_ECO_METRIC_6945" hidden="1">"c6945"</definedName>
    <definedName name="IQ_ECO_METRIC_6946" hidden="1">"c6946"</definedName>
    <definedName name="IQ_ECO_METRIC_6947" hidden="1">"c6947"</definedName>
    <definedName name="IQ_ECO_METRIC_6948" hidden="1">"c6948"</definedName>
    <definedName name="IQ_ECO_METRIC_6949" hidden="1">"c6949"</definedName>
    <definedName name="IQ_ECO_METRIC_6950" hidden="1">"c6950"</definedName>
    <definedName name="IQ_ECO_METRIC_6951" hidden="1">"c6951"</definedName>
    <definedName name="IQ_ECO_METRIC_6952" hidden="1">"c6952"</definedName>
    <definedName name="IQ_ECO_METRIC_6953" hidden="1">"c6953"</definedName>
    <definedName name="IQ_ECO_METRIC_6954" hidden="1">"c6954"</definedName>
    <definedName name="IQ_ECO_METRIC_6955" hidden="1">"c6955"</definedName>
    <definedName name="IQ_ECO_METRIC_6956" hidden="1">"c6956"</definedName>
    <definedName name="IQ_ECO_METRIC_6957" hidden="1">"c6957"</definedName>
    <definedName name="IQ_ECO_METRIC_6958" hidden="1">"c6958"</definedName>
    <definedName name="IQ_ECO_METRIC_6959" hidden="1">"c6959"</definedName>
    <definedName name="IQ_ECO_METRIC_6960" hidden="1">"c6960"</definedName>
    <definedName name="IQ_ECO_METRIC_6962" hidden="1">"c6962"</definedName>
    <definedName name="IQ_ECO_METRIC_6963" hidden="1">"c6963"</definedName>
    <definedName name="IQ_ECO_METRIC_6964" hidden="1">"c6964"</definedName>
    <definedName name="IQ_ECO_METRIC_6965" hidden="1">"c6965"</definedName>
    <definedName name="IQ_ECO_METRIC_6966" hidden="1">"c6966"</definedName>
    <definedName name="IQ_ECO_METRIC_6967" hidden="1">"c6967"</definedName>
    <definedName name="IQ_ECO_METRIC_6968" hidden="1">"c6968"</definedName>
    <definedName name="IQ_ECO_METRIC_6969" hidden="1">"c6969"</definedName>
    <definedName name="IQ_ECO_METRIC_6970" hidden="1">"c6970"</definedName>
    <definedName name="IQ_ECO_METRIC_6971" hidden="1">"c6971"</definedName>
    <definedName name="IQ_ECO_METRIC_6972" hidden="1">"c6972"</definedName>
    <definedName name="IQ_ECO_METRIC_6973" hidden="1">"c6973"</definedName>
    <definedName name="IQ_ECO_METRIC_6974" hidden="1">"c6974"</definedName>
    <definedName name="IQ_ECO_METRIC_6975" hidden="1">"c6975"</definedName>
    <definedName name="IQ_ECO_METRIC_6976" hidden="1">"c6976"</definedName>
    <definedName name="IQ_ECO_METRIC_6977" hidden="1">"c6977"</definedName>
    <definedName name="IQ_ECO_METRIC_6978" hidden="1">"c6978"</definedName>
    <definedName name="IQ_ECO_METRIC_6979" hidden="1">"c6979"</definedName>
    <definedName name="IQ_ECO_METRIC_6980" hidden="1">"c6980"</definedName>
    <definedName name="IQ_ECO_METRIC_6981" hidden="1">"c6981"</definedName>
    <definedName name="IQ_ECO_METRIC_6982" hidden="1">"c6982"</definedName>
    <definedName name="IQ_ECO_METRIC_6983" hidden="1">"c6983"</definedName>
    <definedName name="IQ_ECO_METRIC_6984" hidden="1">"c6984"</definedName>
    <definedName name="IQ_ECO_METRIC_6985" hidden="1">"c6985"</definedName>
    <definedName name="IQ_ECO_METRIC_6986" hidden="1">"c6986"</definedName>
    <definedName name="IQ_ECO_METRIC_6987" hidden="1">"c6987"</definedName>
    <definedName name="IQ_ECO_METRIC_6988" hidden="1">"c6988"</definedName>
    <definedName name="IQ_ECO_METRIC_6988_UNUSED_UNUSED_UNUSED" hidden="1">"c6988"</definedName>
    <definedName name="IQ_ECO_METRIC_6989" hidden="1">"c6989"</definedName>
    <definedName name="IQ_ECO_METRIC_6990" hidden="1">"c6990"</definedName>
    <definedName name="IQ_ECO_METRIC_6991" hidden="1">"c6991"</definedName>
    <definedName name="IQ_ECO_METRIC_6992" hidden="1">"c6992"</definedName>
    <definedName name="IQ_ECO_METRIC_6993" hidden="1">"c6993"</definedName>
    <definedName name="IQ_ECO_METRIC_6994" hidden="1">"c6994"</definedName>
    <definedName name="IQ_ECO_METRIC_6995" hidden="1">"c6995"</definedName>
    <definedName name="IQ_ECO_METRIC_6996" hidden="1">"c6996"</definedName>
    <definedName name="IQ_ECO_METRIC_6997" hidden="1">"c6997"</definedName>
    <definedName name="IQ_ECO_METRIC_6998" hidden="1">"c6998"</definedName>
    <definedName name="IQ_ECO_METRIC_7000" hidden="1">"c7000"</definedName>
    <definedName name="IQ_ECO_METRIC_7001" hidden="1">"c7001"</definedName>
    <definedName name="IQ_ECO_METRIC_7002" hidden="1">"c7002"</definedName>
    <definedName name="IQ_ECO_METRIC_7003" hidden="1">"c7003"</definedName>
    <definedName name="IQ_ECO_METRIC_7004" hidden="1">"c7004"</definedName>
    <definedName name="IQ_ECO_METRIC_7005" hidden="1">"c7005"</definedName>
    <definedName name="IQ_ECO_METRIC_7006" hidden="1">"c7006"</definedName>
    <definedName name="IQ_ECO_METRIC_7007" hidden="1">"c7007"</definedName>
    <definedName name="IQ_ECO_METRIC_7008" hidden="1">"c7008"</definedName>
    <definedName name="IQ_ECO_METRIC_7009" hidden="1">"c7009"</definedName>
    <definedName name="IQ_ECO_METRIC_7010" hidden="1">"c7010"</definedName>
    <definedName name="IQ_ECO_METRIC_7011" hidden="1">"c7011"</definedName>
    <definedName name="IQ_ECO_METRIC_7012" hidden="1">"c7012"</definedName>
    <definedName name="IQ_ECO_METRIC_7013" hidden="1">"c7013"</definedName>
    <definedName name="IQ_ECO_METRIC_7015" hidden="1">"c7015"</definedName>
    <definedName name="IQ_ECO_METRIC_7016" hidden="1">"c7016"</definedName>
    <definedName name="IQ_ECO_METRIC_7017" hidden="1">"c7017"</definedName>
    <definedName name="IQ_ECO_METRIC_7018" hidden="1">"c7018"</definedName>
    <definedName name="IQ_ECO_METRIC_7019" hidden="1">"c7019"</definedName>
    <definedName name="IQ_ECO_METRIC_7020" hidden="1">"c7020"</definedName>
    <definedName name="IQ_ECO_METRIC_7021" hidden="1">"c7021"</definedName>
    <definedName name="IQ_ECO_METRIC_7023" hidden="1">"c7023"</definedName>
    <definedName name="IQ_ECO_METRIC_7024" hidden="1">"c7024"</definedName>
    <definedName name="IQ_ECO_METRIC_7025" hidden="1">"c7025"</definedName>
    <definedName name="IQ_ECO_METRIC_7026" hidden="1">"c7026"</definedName>
    <definedName name="IQ_ECO_METRIC_7027" hidden="1">"c7027"</definedName>
    <definedName name="IQ_ECO_METRIC_7028" hidden="1">"c7028"</definedName>
    <definedName name="IQ_ECO_METRIC_7029" hidden="1">"c7029"</definedName>
    <definedName name="IQ_ECO_METRIC_7030" hidden="1">"c7030"</definedName>
    <definedName name="IQ_ECO_METRIC_7031" hidden="1">"c7031"</definedName>
    <definedName name="IQ_ECO_METRIC_7032" hidden="1">"c7032"</definedName>
    <definedName name="IQ_ECO_METRIC_7033" hidden="1">"c7033"</definedName>
    <definedName name="IQ_ECO_METRIC_7034" hidden="1">"c7034"</definedName>
    <definedName name="IQ_ECO_METRIC_7035" hidden="1">"c7035"</definedName>
    <definedName name="IQ_ECO_METRIC_7036" hidden="1">"c7036"</definedName>
    <definedName name="IQ_ECO_METRIC_7037" hidden="1">"c7037"</definedName>
    <definedName name="IQ_ECO_METRIC_7038" hidden="1">"c7038"</definedName>
    <definedName name="IQ_ECO_METRIC_7039" hidden="1">"c7039"</definedName>
    <definedName name="IQ_ECO_METRIC_7040" hidden="1">"c7040"</definedName>
    <definedName name="IQ_ECO_METRIC_7041" hidden="1">"c7041"</definedName>
    <definedName name="IQ_ECO_METRIC_7042" hidden="1">"c7042"</definedName>
    <definedName name="IQ_ECO_METRIC_7043" hidden="1">"c7043"</definedName>
    <definedName name="IQ_ECO_METRIC_7044" hidden="1">"c7044"</definedName>
    <definedName name="IQ_ECO_METRIC_7045" hidden="1">"c7045"</definedName>
    <definedName name="IQ_ECO_METRIC_7045_UNUSED_UNUSED_UNUSED" hidden="1">"c7045"</definedName>
    <definedName name="IQ_ECO_METRIC_7046" hidden="1">"c7046"</definedName>
    <definedName name="IQ_ECO_METRIC_7047" hidden="1">"c7047"</definedName>
    <definedName name="IQ_ECO_METRIC_7048" hidden="1">"c7048"</definedName>
    <definedName name="IQ_ECO_METRIC_7049" hidden="1">"c7049"</definedName>
    <definedName name="IQ_ECO_METRIC_7050" hidden="1">"c7050"</definedName>
    <definedName name="IQ_ECO_METRIC_7051" hidden="1">"c7051"</definedName>
    <definedName name="IQ_ECO_METRIC_7052" hidden="1">"c7052"</definedName>
    <definedName name="IQ_ECO_METRIC_7053" hidden="1">"c7053"</definedName>
    <definedName name="IQ_ECO_METRIC_7054" hidden="1">"c7054"</definedName>
    <definedName name="IQ_ECO_METRIC_7055" hidden="1">"c7055"</definedName>
    <definedName name="IQ_ECO_METRIC_7056" hidden="1">"c7056"</definedName>
    <definedName name="IQ_ECO_METRIC_7057" hidden="1">"c7057"</definedName>
    <definedName name="IQ_ECO_METRIC_7058" hidden="1">"c7058"</definedName>
    <definedName name="IQ_ECO_METRIC_7059" hidden="1">"c7059"</definedName>
    <definedName name="IQ_ECO_METRIC_7059_UNUSED_UNUSED_UNUSED" hidden="1">"c7059"</definedName>
    <definedName name="IQ_ECO_METRIC_7060" hidden="1">"c7060"</definedName>
    <definedName name="IQ_ECO_METRIC_7061" hidden="1">"c7061"</definedName>
    <definedName name="IQ_ECO_METRIC_7062" hidden="1">"c7062"</definedName>
    <definedName name="IQ_ECO_METRIC_7063" hidden="1">"c7063"</definedName>
    <definedName name="IQ_ECO_METRIC_7064" hidden="1">"c7064"</definedName>
    <definedName name="IQ_ECO_METRIC_7065" hidden="1">"c7065"</definedName>
    <definedName name="IQ_ECO_METRIC_7066" hidden="1">"c7066"</definedName>
    <definedName name="IQ_ECO_METRIC_7067" hidden="1">"c7067"</definedName>
    <definedName name="IQ_ECO_METRIC_7068" hidden="1">"c7068"</definedName>
    <definedName name="IQ_ECO_METRIC_7069" hidden="1">"c7069"</definedName>
    <definedName name="IQ_ECO_METRIC_7070" hidden="1">"c7070"</definedName>
    <definedName name="IQ_ECO_METRIC_7071" hidden="1">"c7071"</definedName>
    <definedName name="IQ_ECO_METRIC_7072" hidden="1">"c7072"</definedName>
    <definedName name="IQ_ECO_METRIC_7073" hidden="1">"c7073"</definedName>
    <definedName name="IQ_ECO_METRIC_7074" hidden="1">"c7074"</definedName>
    <definedName name="IQ_ECO_METRIC_7075" hidden="1">"c7075"</definedName>
    <definedName name="IQ_ECO_METRIC_7076" hidden="1">"c7076"</definedName>
    <definedName name="IQ_ECO_METRIC_7077" hidden="1">"c7077"</definedName>
    <definedName name="IQ_ECO_METRIC_7078" hidden="1">"c7078"</definedName>
    <definedName name="IQ_ECO_METRIC_7079" hidden="1">"c7079"</definedName>
    <definedName name="IQ_ECO_METRIC_7080" hidden="1">"c7080"</definedName>
    <definedName name="IQ_ECO_METRIC_7081" hidden="1">"c7081"</definedName>
    <definedName name="IQ_ECO_METRIC_7082" hidden="1">"c7082"</definedName>
    <definedName name="IQ_ECO_METRIC_7083" hidden="1">"c7083"</definedName>
    <definedName name="IQ_ECO_METRIC_7084" hidden="1">"c7084"</definedName>
    <definedName name="IQ_ECO_METRIC_7085" hidden="1">"c7085"</definedName>
    <definedName name="IQ_ECO_METRIC_7086" hidden="1">"c7086"</definedName>
    <definedName name="IQ_ECO_METRIC_7087" hidden="1">"c7087"</definedName>
    <definedName name="IQ_ECO_METRIC_7088" hidden="1">"c7088"</definedName>
    <definedName name="IQ_ECO_METRIC_7089" hidden="1">"c7089"</definedName>
    <definedName name="IQ_ECO_METRIC_7090" hidden="1">"c7090"</definedName>
    <definedName name="IQ_ECO_METRIC_7091" hidden="1">"c7091"</definedName>
    <definedName name="IQ_ECO_METRIC_7092" hidden="1">"c7092"</definedName>
    <definedName name="IQ_ECO_METRIC_7093" hidden="1">"c7093"</definedName>
    <definedName name="IQ_ECO_METRIC_7094" hidden="1">"c7094"</definedName>
    <definedName name="IQ_ECO_METRIC_7095" hidden="1">"c7095"</definedName>
    <definedName name="IQ_ECO_METRIC_7096" hidden="1">"c7096"</definedName>
    <definedName name="IQ_ECO_METRIC_7097" hidden="1">"c7097"</definedName>
    <definedName name="IQ_ECO_METRIC_7098" hidden="1">"c7098"</definedName>
    <definedName name="IQ_ECO_METRIC_7099" hidden="1">"c7099"</definedName>
    <definedName name="IQ_ECO_METRIC_7100" hidden="1">"c7100"</definedName>
    <definedName name="IQ_ECO_METRIC_7101" hidden="1">"c7101"</definedName>
    <definedName name="IQ_ECO_METRIC_7102" hidden="1">"c7102"</definedName>
    <definedName name="IQ_ECO_METRIC_7103" hidden="1">"c7103"</definedName>
    <definedName name="IQ_ECO_METRIC_7104" hidden="1">"c7104"</definedName>
    <definedName name="IQ_ECO_METRIC_7105" hidden="1">"c7105"</definedName>
    <definedName name="IQ_ECO_METRIC_7106" hidden="1">"c7106"</definedName>
    <definedName name="IQ_ECO_METRIC_7107" hidden="1">"c7107"</definedName>
    <definedName name="IQ_ECO_METRIC_7108" hidden="1">"c7108"</definedName>
    <definedName name="IQ_ECO_METRIC_7109" hidden="1">"c7109"</definedName>
    <definedName name="IQ_ECO_METRIC_7110" hidden="1">"c7110"</definedName>
    <definedName name="IQ_ECO_METRIC_7111" hidden="1">"c7111"</definedName>
    <definedName name="IQ_ECO_METRIC_7112" hidden="1">"c7112"</definedName>
    <definedName name="IQ_ECO_METRIC_7113" hidden="1">"c7113"</definedName>
    <definedName name="IQ_ECO_METRIC_7114" hidden="1">"c7114"</definedName>
    <definedName name="IQ_ECO_METRIC_7115" hidden="1">"c7115"</definedName>
    <definedName name="IQ_ECO_METRIC_7116" hidden="1">"c7116"</definedName>
    <definedName name="IQ_ECO_METRIC_7116_UNUSED_UNUSED_UNUSED" hidden="1">"c7116"</definedName>
    <definedName name="IQ_ECO_METRIC_7117" hidden="1">"c7117"</definedName>
    <definedName name="IQ_ECO_METRIC_7117_UNUSED_UNUSED_UNUSED" hidden="1">"c7117"</definedName>
    <definedName name="IQ_ECO_METRIC_7119" hidden="1">"c7119"</definedName>
    <definedName name="IQ_ECO_METRIC_7120" hidden="1">"c7120"</definedName>
    <definedName name="IQ_ECO_METRIC_7121" hidden="1">"c7121"</definedName>
    <definedName name="IQ_ECO_METRIC_7122" hidden="1">"c7122"</definedName>
    <definedName name="IQ_ECO_METRIC_7123" hidden="1">"c7123"</definedName>
    <definedName name="IQ_ECO_METRIC_7124" hidden="1">"c7124"</definedName>
    <definedName name="IQ_ECO_METRIC_7125" hidden="1">"c7125"</definedName>
    <definedName name="IQ_ECO_METRIC_7126" hidden="1">"c7126"</definedName>
    <definedName name="IQ_ECO_METRIC_7127" hidden="1">"c7127"</definedName>
    <definedName name="IQ_ECO_METRIC_7128" hidden="1">"c7128"</definedName>
    <definedName name="IQ_ECO_METRIC_7129" hidden="1">"c7129"</definedName>
    <definedName name="IQ_ECO_METRIC_7130" hidden="1">"c7130"</definedName>
    <definedName name="IQ_ECO_METRIC_7131" hidden="1">"c7131"</definedName>
    <definedName name="IQ_ECO_METRIC_7132" hidden="1">"c7132"</definedName>
    <definedName name="IQ_ECO_METRIC_7133" hidden="1">"c7133"</definedName>
    <definedName name="IQ_ECO_METRIC_7134" hidden="1">"c7134"</definedName>
    <definedName name="IQ_ECO_METRIC_7135" hidden="1">"c7135"</definedName>
    <definedName name="IQ_ECO_METRIC_7136" hidden="1">"c7136"</definedName>
    <definedName name="IQ_ECO_METRIC_7137" hidden="1">"c7137"</definedName>
    <definedName name="IQ_ECO_METRIC_7138" hidden="1">"c7138"</definedName>
    <definedName name="IQ_ECO_METRIC_7139" hidden="1">"c7139"</definedName>
    <definedName name="IQ_ECO_METRIC_7140" hidden="1">"c7140"</definedName>
    <definedName name="IQ_ECO_METRIC_7141" hidden="1">"c7141"</definedName>
    <definedName name="IQ_ECO_METRIC_7142" hidden="1">"c7142"</definedName>
    <definedName name="IQ_ECO_METRIC_7143" hidden="1">"c7143"</definedName>
    <definedName name="IQ_ECO_METRIC_7144" hidden="1">"c7144"</definedName>
    <definedName name="IQ_ECO_METRIC_7145" hidden="1">"c7145"</definedName>
    <definedName name="IQ_ECO_METRIC_7146" hidden="1">"c7146"</definedName>
    <definedName name="IQ_ECO_METRIC_7148" hidden="1">"c7148"</definedName>
    <definedName name="IQ_ECO_METRIC_7149" hidden="1">"c7149"</definedName>
    <definedName name="IQ_ECO_METRIC_7150" hidden="1">"c7150"</definedName>
    <definedName name="IQ_ECO_METRIC_7151" hidden="1">"c7151"</definedName>
    <definedName name="IQ_ECO_METRIC_7152" hidden="1">"c7152"</definedName>
    <definedName name="IQ_ECO_METRIC_7153" hidden="1">"c7153"</definedName>
    <definedName name="IQ_ECO_METRIC_7154" hidden="1">"c7154"</definedName>
    <definedName name="IQ_ECO_METRIC_7155" hidden="1">"c7155"</definedName>
    <definedName name="IQ_ECO_METRIC_7156" hidden="1">"c7156"</definedName>
    <definedName name="IQ_ECO_METRIC_7157" hidden="1">"c7157"</definedName>
    <definedName name="IQ_ECO_METRIC_7158" hidden="1">"c7158"</definedName>
    <definedName name="IQ_ECO_METRIC_7159" hidden="1">"c7159"</definedName>
    <definedName name="IQ_ECO_METRIC_7160" hidden="1">"c7160"</definedName>
    <definedName name="IQ_ECO_METRIC_7161" hidden="1">"c7161"</definedName>
    <definedName name="IQ_ECO_METRIC_7162" hidden="1">"c7162"</definedName>
    <definedName name="IQ_ECO_METRIC_7163" hidden="1">"c7163"</definedName>
    <definedName name="IQ_ECO_METRIC_7164" hidden="1">"c7164"</definedName>
    <definedName name="IQ_ECO_METRIC_7165" hidden="1">"c7165"</definedName>
    <definedName name="IQ_ECO_METRIC_7166" hidden="1">"c7166"</definedName>
    <definedName name="IQ_ECO_METRIC_7167" hidden="1">"c7167"</definedName>
    <definedName name="IQ_ECO_METRIC_7168" hidden="1">"c7168"</definedName>
    <definedName name="IQ_ECO_METRIC_7169" hidden="1">"c7169"</definedName>
    <definedName name="IQ_ECO_METRIC_7170" hidden="1">"c7170"</definedName>
    <definedName name="IQ_ECO_METRIC_7171" hidden="1">"c7171"</definedName>
    <definedName name="IQ_ECO_METRIC_7172" hidden="1">"c7172"</definedName>
    <definedName name="IQ_ECO_METRIC_7173" hidden="1">"c7173"</definedName>
    <definedName name="IQ_ECO_METRIC_7174" hidden="1">"c7174"</definedName>
    <definedName name="IQ_ECO_METRIC_7175" hidden="1">"c7175"</definedName>
    <definedName name="IQ_ECO_METRIC_7176" hidden="1">"c7176"</definedName>
    <definedName name="IQ_ECO_METRIC_7177" hidden="1">"c7177"</definedName>
    <definedName name="IQ_ECO_METRIC_7178" hidden="1">"c7178"</definedName>
    <definedName name="IQ_ECO_METRIC_7179" hidden="1">"c7179"</definedName>
    <definedName name="IQ_ECO_METRIC_7180" hidden="1">"c7180"</definedName>
    <definedName name="IQ_ECO_METRIC_7182" hidden="1">"c7182"</definedName>
    <definedName name="IQ_ECO_METRIC_7183" hidden="1">"c7183"</definedName>
    <definedName name="IQ_ECO_METRIC_7184" hidden="1">"c7184"</definedName>
    <definedName name="IQ_ECO_METRIC_7185" hidden="1">"c7185"</definedName>
    <definedName name="IQ_ECO_METRIC_7186" hidden="1">"c7186"</definedName>
    <definedName name="IQ_ECO_METRIC_7187" hidden="1">"c7187"</definedName>
    <definedName name="IQ_ECO_METRIC_7188" hidden="1">"c7188"</definedName>
    <definedName name="IQ_ECO_METRIC_7189" hidden="1">"c7189"</definedName>
    <definedName name="IQ_ECO_METRIC_7190" hidden="1">"c7190"</definedName>
    <definedName name="IQ_ECO_METRIC_7191" hidden="1">"c7191"</definedName>
    <definedName name="IQ_ECO_METRIC_7192" hidden="1">"c7192"</definedName>
    <definedName name="IQ_ECO_METRIC_7193" hidden="1">"c7193"</definedName>
    <definedName name="IQ_ECO_METRIC_7194" hidden="1">"c7194"</definedName>
    <definedName name="IQ_ECO_METRIC_7195" hidden="1">"c7195"</definedName>
    <definedName name="IQ_ECO_METRIC_7196" hidden="1">"c7196"</definedName>
    <definedName name="IQ_ECO_METRIC_7197" hidden="1">"c7197"</definedName>
    <definedName name="IQ_ECO_METRIC_7198" hidden="1">"c7198"</definedName>
    <definedName name="IQ_ECO_METRIC_7199" hidden="1">"c7199"</definedName>
    <definedName name="IQ_ECO_METRIC_7200" hidden="1">"c7200"</definedName>
    <definedName name="IQ_ECO_METRIC_7201" hidden="1">"c7201"</definedName>
    <definedName name="IQ_ECO_METRIC_7202" hidden="1">"c7202"</definedName>
    <definedName name="IQ_ECO_METRIC_7203" hidden="1">"c7203"</definedName>
    <definedName name="IQ_ECO_METRIC_7204" hidden="1">"c7204"</definedName>
    <definedName name="IQ_ECO_METRIC_7205" hidden="1">"c7205"</definedName>
    <definedName name="IQ_ECO_METRIC_7206" hidden="1">"c7206"</definedName>
    <definedName name="IQ_ECO_METRIC_7207" hidden="1">"c7207"</definedName>
    <definedName name="IQ_ECO_METRIC_7208" hidden="1">"c7208"</definedName>
    <definedName name="IQ_ECO_METRIC_7208_UNUSED_UNUSED_UNUSED" hidden="1">"c7208"</definedName>
    <definedName name="IQ_ECO_METRIC_7209" hidden="1">"c7209"</definedName>
    <definedName name="IQ_ECO_METRIC_7210" hidden="1">"c7210"</definedName>
    <definedName name="IQ_ECO_METRIC_7211" hidden="1">"c7211"</definedName>
    <definedName name="IQ_ECO_METRIC_7212" hidden="1">"c7212"</definedName>
    <definedName name="IQ_ECO_METRIC_7213" hidden="1">"c7213"</definedName>
    <definedName name="IQ_ECO_METRIC_7214" hidden="1">"c7214"</definedName>
    <definedName name="IQ_ECO_METRIC_7215" hidden="1">"c7215"</definedName>
    <definedName name="IQ_ECO_METRIC_7216" hidden="1">"c7216"</definedName>
    <definedName name="IQ_ECO_METRIC_7217" hidden="1">"c7217"</definedName>
    <definedName name="IQ_ECO_METRIC_7218" hidden="1">"c7218"</definedName>
    <definedName name="IQ_ECO_METRIC_7220" hidden="1">"c7220"</definedName>
    <definedName name="IQ_ECO_METRIC_7221" hidden="1">"c7221"</definedName>
    <definedName name="IQ_ECO_METRIC_7222" hidden="1">"c7222"</definedName>
    <definedName name="IQ_ECO_METRIC_7223" hidden="1">"c7223"</definedName>
    <definedName name="IQ_ECO_METRIC_7224" hidden="1">"c7224"</definedName>
    <definedName name="IQ_ECO_METRIC_7225" hidden="1">"c7225"</definedName>
    <definedName name="IQ_ECO_METRIC_7226" hidden="1">"c7226"</definedName>
    <definedName name="IQ_ECO_METRIC_7227" hidden="1">"c7227"</definedName>
    <definedName name="IQ_ECO_METRIC_7228" hidden="1">"c7228"</definedName>
    <definedName name="IQ_ECO_METRIC_7229" hidden="1">"c7229"</definedName>
    <definedName name="IQ_ECO_METRIC_7230" hidden="1">"c7230"</definedName>
    <definedName name="IQ_ECO_METRIC_7231" hidden="1">"c7231"</definedName>
    <definedName name="IQ_ECO_METRIC_7232" hidden="1">"c7232"</definedName>
    <definedName name="IQ_ECO_METRIC_7233" hidden="1">"c7233"</definedName>
    <definedName name="IQ_ECO_METRIC_7235" hidden="1">"c7235"</definedName>
    <definedName name="IQ_ECO_METRIC_7236" hidden="1">"c7236"</definedName>
    <definedName name="IQ_ECO_METRIC_7237" hidden="1">"c7237"</definedName>
    <definedName name="IQ_ECO_METRIC_7238" hidden="1">"c7238"</definedName>
    <definedName name="IQ_ECO_METRIC_7239" hidden="1">"c7239"</definedName>
    <definedName name="IQ_ECO_METRIC_7240" hidden="1">"c7240"</definedName>
    <definedName name="IQ_ECO_METRIC_7241" hidden="1">"c7241"</definedName>
    <definedName name="IQ_ECO_METRIC_7243" hidden="1">"c7243"</definedName>
    <definedName name="IQ_ECO_METRIC_7244" hidden="1">"c7244"</definedName>
    <definedName name="IQ_ECO_METRIC_7245" hidden="1">"c7245"</definedName>
    <definedName name="IQ_ECO_METRIC_7246" hidden="1">"c7246"</definedName>
    <definedName name="IQ_ECO_METRIC_7247" hidden="1">"c7247"</definedName>
    <definedName name="IQ_ECO_METRIC_7248" hidden="1">"c7248"</definedName>
    <definedName name="IQ_ECO_METRIC_7249" hidden="1">"c7249"</definedName>
    <definedName name="IQ_ECO_METRIC_7250" hidden="1">"c7250"</definedName>
    <definedName name="IQ_ECO_METRIC_7251" hidden="1">"c7251"</definedName>
    <definedName name="IQ_ECO_METRIC_7252" hidden="1">"c7252"</definedName>
    <definedName name="IQ_ECO_METRIC_7253" hidden="1">"c7253"</definedName>
    <definedName name="IQ_ECO_METRIC_7254" hidden="1">"c7254"</definedName>
    <definedName name="IQ_ECO_METRIC_7255" hidden="1">"c7255"</definedName>
    <definedName name="IQ_ECO_METRIC_7256" hidden="1">"c7256"</definedName>
    <definedName name="IQ_ECO_METRIC_7257" hidden="1">"c7257"</definedName>
    <definedName name="IQ_ECO_METRIC_7258" hidden="1">"c7258"</definedName>
    <definedName name="IQ_ECO_METRIC_7259" hidden="1">"c7259"</definedName>
    <definedName name="IQ_ECO_METRIC_7260" hidden="1">"c7260"</definedName>
    <definedName name="IQ_ECO_METRIC_7261" hidden="1">"c7261"</definedName>
    <definedName name="IQ_ECO_METRIC_7262" hidden="1">"c7262"</definedName>
    <definedName name="IQ_ECO_METRIC_7263" hidden="1">"c7263"</definedName>
    <definedName name="IQ_ECO_METRIC_7264" hidden="1">"c7264"</definedName>
    <definedName name="IQ_ECO_METRIC_7265" hidden="1">"c7265"</definedName>
    <definedName name="IQ_ECO_METRIC_7265_UNUSED_UNUSED_UNUSED" hidden="1">"c7265"</definedName>
    <definedName name="IQ_ECO_METRIC_7266" hidden="1">"c7266"</definedName>
    <definedName name="IQ_ECO_METRIC_7267" hidden="1">"c7267"</definedName>
    <definedName name="IQ_ECO_METRIC_7268" hidden="1">"c7268"</definedName>
    <definedName name="IQ_ECO_METRIC_7269" hidden="1">"c7269"</definedName>
    <definedName name="IQ_ECO_METRIC_7270" hidden="1">"c7270"</definedName>
    <definedName name="IQ_ECO_METRIC_7272" hidden="1">"c7272"</definedName>
    <definedName name="IQ_ECO_METRIC_7273" hidden="1">"c7273"</definedName>
    <definedName name="IQ_ECO_METRIC_7274" hidden="1">"c7274"</definedName>
    <definedName name="IQ_ECO_METRIC_7275" hidden="1">"c7275"</definedName>
    <definedName name="IQ_ECO_METRIC_7276" hidden="1">"c7276"</definedName>
    <definedName name="IQ_ECO_METRIC_7277" hidden="1">"c7277"</definedName>
    <definedName name="IQ_ECO_METRIC_7278" hidden="1">"c7278"</definedName>
    <definedName name="IQ_ECO_METRIC_7279" hidden="1">"c7279"</definedName>
    <definedName name="IQ_ECO_METRIC_7279_UNUSED_UNUSED_UNUSED" hidden="1">"c7279"</definedName>
    <definedName name="IQ_ECO_METRIC_7280" hidden="1">"c7280"</definedName>
    <definedName name="IQ_ECO_METRIC_7281" hidden="1">"c7281"</definedName>
    <definedName name="IQ_ECO_METRIC_7282" hidden="1">"c7282"</definedName>
    <definedName name="IQ_ECO_METRIC_7283" hidden="1">"c7283"</definedName>
    <definedName name="IQ_ECO_METRIC_7284" hidden="1">"c7284"</definedName>
    <definedName name="IQ_ECO_METRIC_7285" hidden="1">"c7285"</definedName>
    <definedName name="IQ_ECO_METRIC_7286" hidden="1">"c7286"</definedName>
    <definedName name="IQ_ECO_METRIC_7287" hidden="1">"c7287"</definedName>
    <definedName name="IQ_ECO_METRIC_7288" hidden="1">"c7288"</definedName>
    <definedName name="IQ_ECO_METRIC_7289" hidden="1">"c7289"</definedName>
    <definedName name="IQ_ECO_METRIC_7290" hidden="1">"c7290"</definedName>
    <definedName name="IQ_ECO_METRIC_7291" hidden="1">"c7291"</definedName>
    <definedName name="IQ_ECO_METRIC_7292" hidden="1">"c7292"</definedName>
    <definedName name="IQ_ECO_METRIC_7293" hidden="1">"c7293"</definedName>
    <definedName name="IQ_ECO_METRIC_7294" hidden="1">"c7294"</definedName>
    <definedName name="IQ_ECO_METRIC_7295" hidden="1">"c7295"</definedName>
    <definedName name="IQ_ECO_METRIC_7296" hidden="1">"c7296"</definedName>
    <definedName name="IQ_ECO_METRIC_7297" hidden="1">"c7297"</definedName>
    <definedName name="IQ_ECO_METRIC_7298" hidden="1">"c7298"</definedName>
    <definedName name="IQ_ECO_METRIC_7299" hidden="1">"c7299"</definedName>
    <definedName name="IQ_ECO_METRIC_7300" hidden="1">"c7300"</definedName>
    <definedName name="IQ_ECO_METRIC_7301" hidden="1">"c7301"</definedName>
    <definedName name="IQ_ECO_METRIC_7302" hidden="1">"c7302"</definedName>
    <definedName name="IQ_ECO_METRIC_7303" hidden="1">"c7303"</definedName>
    <definedName name="IQ_ECO_METRIC_7304" hidden="1">"c7304"</definedName>
    <definedName name="IQ_ECO_METRIC_7305" hidden="1">"c7305"</definedName>
    <definedName name="IQ_ECO_METRIC_7306" hidden="1">"c7306"</definedName>
    <definedName name="IQ_ECO_METRIC_7307" hidden="1">"c7307"</definedName>
    <definedName name="IQ_ECO_METRIC_7308" hidden="1">"c7308"</definedName>
    <definedName name="IQ_ECO_METRIC_7309" hidden="1">"c7309"</definedName>
    <definedName name="IQ_ECO_METRIC_7310" hidden="1">"c7310"</definedName>
    <definedName name="IQ_ECO_METRIC_7311" hidden="1">"c7311"</definedName>
    <definedName name="IQ_ECO_METRIC_7312" hidden="1">"c7312"</definedName>
    <definedName name="IQ_ECO_METRIC_7313" hidden="1">"c7313"</definedName>
    <definedName name="IQ_ECO_METRIC_7314" hidden="1">"c7314"</definedName>
    <definedName name="IQ_ECO_METRIC_7315" hidden="1">"c7315"</definedName>
    <definedName name="IQ_ECO_METRIC_7316" hidden="1">"c7316"</definedName>
    <definedName name="IQ_ECO_METRIC_7317" hidden="1">"c7317"</definedName>
    <definedName name="IQ_ECO_METRIC_7318" hidden="1">"c7318"</definedName>
    <definedName name="IQ_ECO_METRIC_7319" hidden="1">"c7319"</definedName>
    <definedName name="IQ_ECO_METRIC_7320" hidden="1">"c7320"</definedName>
    <definedName name="IQ_ECO_METRIC_7321" hidden="1">"c7321"</definedName>
    <definedName name="IQ_ECO_METRIC_7322" hidden="1">"c7322"</definedName>
    <definedName name="IQ_ECO_METRIC_7323" hidden="1">"c7323"</definedName>
    <definedName name="IQ_ECO_METRIC_7324" hidden="1">"c7324"</definedName>
    <definedName name="IQ_ECO_METRIC_7325" hidden="1">"c7325"</definedName>
    <definedName name="IQ_ECO_METRIC_7326" hidden="1">"c7326"</definedName>
    <definedName name="IQ_ECO_METRIC_7327" hidden="1">"c7327"</definedName>
    <definedName name="IQ_ECO_METRIC_7328" hidden="1">"c7328"</definedName>
    <definedName name="IQ_ECO_METRIC_7329" hidden="1">"c7329"</definedName>
    <definedName name="IQ_ECO_METRIC_7330" hidden="1">"c7330"</definedName>
    <definedName name="IQ_ECO_METRIC_7331" hidden="1">"c7331"</definedName>
    <definedName name="IQ_ECO_METRIC_7332" hidden="1">"c7332"</definedName>
    <definedName name="IQ_ECO_METRIC_7333" hidden="1">"c7333"</definedName>
    <definedName name="IQ_ECO_METRIC_7334" hidden="1">"c7334"</definedName>
    <definedName name="IQ_ECO_METRIC_7335" hidden="1">"c7335"</definedName>
    <definedName name="IQ_ECO_METRIC_7336" hidden="1">"c7336"</definedName>
    <definedName name="IQ_ECO_METRIC_7336_UNUSED_UNUSED_UNUSED" hidden="1">"c7336"</definedName>
    <definedName name="IQ_ECO_METRIC_7337" hidden="1">"c7337"</definedName>
    <definedName name="IQ_ECO_METRIC_7337_UNUSED_UNUSED_UNUSED" hidden="1">"c7337"</definedName>
    <definedName name="IQ_ECO_METRIC_7339" hidden="1">"c7339"</definedName>
    <definedName name="IQ_ECO_METRIC_7341" hidden="1">"c7341"</definedName>
    <definedName name="IQ_ECO_METRIC_7342" hidden="1">"c7342"</definedName>
    <definedName name="IQ_ECO_METRIC_7343" hidden="1">"c7343"</definedName>
    <definedName name="IQ_ECO_METRIC_7344" hidden="1">"c7344"</definedName>
    <definedName name="IQ_ECO_METRIC_7345" hidden="1">"c7345"</definedName>
    <definedName name="IQ_ECO_METRIC_7346" hidden="1">"c7346"</definedName>
    <definedName name="IQ_ECO_METRIC_7347" hidden="1">"c7347"</definedName>
    <definedName name="IQ_ECO_METRIC_7348" hidden="1">"c7348"</definedName>
    <definedName name="IQ_ECO_METRIC_7349" hidden="1">"c7349"</definedName>
    <definedName name="IQ_ECO_METRIC_7350" hidden="1">"c7350"</definedName>
    <definedName name="IQ_ECO_METRIC_7351" hidden="1">"c7351"</definedName>
    <definedName name="IQ_ECO_METRIC_7352" hidden="1">"c7352"</definedName>
    <definedName name="IQ_ECO_METRIC_7353" hidden="1">"c7353"</definedName>
    <definedName name="IQ_ECO_METRIC_7354" hidden="1">"c7354"</definedName>
    <definedName name="IQ_ECO_METRIC_7355" hidden="1">"c7355"</definedName>
    <definedName name="IQ_ECO_METRIC_7356" hidden="1">"c7356"</definedName>
    <definedName name="IQ_ECO_METRIC_7357" hidden="1">"c7357"</definedName>
    <definedName name="IQ_ECO_METRIC_7358" hidden="1">"c7358"</definedName>
    <definedName name="IQ_ECO_METRIC_7359" hidden="1">"c7359"</definedName>
    <definedName name="IQ_ECO_METRIC_7360" hidden="1">"c7360"</definedName>
    <definedName name="IQ_ECO_METRIC_7361" hidden="1">"c7361"</definedName>
    <definedName name="IQ_ECO_METRIC_7362" hidden="1">"c7362"</definedName>
    <definedName name="IQ_ECO_METRIC_7363" hidden="1">"c7363"</definedName>
    <definedName name="IQ_ECO_METRIC_7364" hidden="1">"c7364"</definedName>
    <definedName name="IQ_ECO_METRIC_7365" hidden="1">"c7365"</definedName>
    <definedName name="IQ_ECO_METRIC_7366" hidden="1">"c7366"</definedName>
    <definedName name="IQ_ECO_METRIC_7368" hidden="1">"c7368"</definedName>
    <definedName name="IQ_ECO_METRIC_7369" hidden="1">"c7369"</definedName>
    <definedName name="IQ_ECO_METRIC_7370" hidden="1">"c7370"</definedName>
    <definedName name="IQ_ECO_METRIC_7371" hidden="1">"c7371"</definedName>
    <definedName name="IQ_ECO_METRIC_7372" hidden="1">"c7372"</definedName>
    <definedName name="IQ_ECO_METRIC_7373" hidden="1">"c7373"</definedName>
    <definedName name="IQ_ECO_METRIC_7374" hidden="1">"c7374"</definedName>
    <definedName name="IQ_ECO_METRIC_7375" hidden="1">"c7375"</definedName>
    <definedName name="IQ_ECO_METRIC_7376" hidden="1">"c7376"</definedName>
    <definedName name="IQ_ECO_METRIC_7377" hidden="1">"c7377"</definedName>
    <definedName name="IQ_ECO_METRIC_7378" hidden="1">"c7378"</definedName>
    <definedName name="IQ_ECO_METRIC_7379" hidden="1">"c7379"</definedName>
    <definedName name="IQ_ECO_METRIC_7380" hidden="1">"c7380"</definedName>
    <definedName name="IQ_ECO_METRIC_7381" hidden="1">"c7381"</definedName>
    <definedName name="IQ_ECO_METRIC_7382" hidden="1">"c7382"</definedName>
    <definedName name="IQ_ECO_METRIC_7383" hidden="1">"c7383"</definedName>
    <definedName name="IQ_ECO_METRIC_7384" hidden="1">"c7384"</definedName>
    <definedName name="IQ_ECO_METRIC_7385" hidden="1">"c7385"</definedName>
    <definedName name="IQ_ECO_METRIC_7386" hidden="1">"c7386"</definedName>
    <definedName name="IQ_ECO_METRIC_7387" hidden="1">"c7387"</definedName>
    <definedName name="IQ_ECO_METRIC_7388" hidden="1">"c7388"</definedName>
    <definedName name="IQ_ECO_METRIC_7389" hidden="1">"c7389"</definedName>
    <definedName name="IQ_ECO_METRIC_7390" hidden="1">"c7390"</definedName>
    <definedName name="IQ_ECO_METRIC_7391" hidden="1">"c7391"</definedName>
    <definedName name="IQ_ECO_METRIC_7392" hidden="1">"c7392"</definedName>
    <definedName name="IQ_ECO_METRIC_7393" hidden="1">"c7393"</definedName>
    <definedName name="IQ_ECO_METRIC_7394" hidden="1">"c7394"</definedName>
    <definedName name="IQ_ECO_METRIC_7395" hidden="1">"c7395"</definedName>
    <definedName name="IQ_ECO_METRIC_7396" hidden="1">"c7396"</definedName>
    <definedName name="IQ_ECO_METRIC_7397" hidden="1">"c7397"</definedName>
    <definedName name="IQ_ECO_METRIC_7398" hidden="1">"c7398"</definedName>
    <definedName name="IQ_ECO_METRIC_7399" hidden="1">"c7399"</definedName>
    <definedName name="IQ_ECO_METRIC_7400" hidden="1">"c7400"</definedName>
    <definedName name="IQ_ECO_METRIC_7402" hidden="1">"c7402"</definedName>
    <definedName name="IQ_ECO_METRIC_7403" hidden="1">"c7403"</definedName>
    <definedName name="IQ_ECO_METRIC_7404" hidden="1">"c7404"</definedName>
    <definedName name="IQ_ECO_METRIC_7405" hidden="1">"c7405"</definedName>
    <definedName name="IQ_ECO_METRIC_7406" hidden="1">"c7406"</definedName>
    <definedName name="IQ_ECO_METRIC_7407" hidden="1">"c7407"</definedName>
    <definedName name="IQ_ECO_METRIC_7408" hidden="1">"c7408"</definedName>
    <definedName name="IQ_ECO_METRIC_7409" hidden="1">"c7409"</definedName>
    <definedName name="IQ_ECO_METRIC_7410" hidden="1">"c7410"</definedName>
    <definedName name="IQ_ECO_METRIC_7411" hidden="1">"c7411"</definedName>
    <definedName name="IQ_ECO_METRIC_7412" hidden="1">"c7412"</definedName>
    <definedName name="IQ_ECO_METRIC_7413" hidden="1">"c7413"</definedName>
    <definedName name="IQ_ECO_METRIC_7414" hidden="1">"c7414"</definedName>
    <definedName name="IQ_ECO_METRIC_7415" hidden="1">"c7415"</definedName>
    <definedName name="IQ_ECO_METRIC_7416" hidden="1">"c7416"</definedName>
    <definedName name="IQ_ECO_METRIC_7417" hidden="1">"c7417"</definedName>
    <definedName name="IQ_ECO_METRIC_7418" hidden="1">"c7418"</definedName>
    <definedName name="IQ_ECO_METRIC_7419" hidden="1">"c7419"</definedName>
    <definedName name="IQ_ECO_METRIC_7420" hidden="1">"c7420"</definedName>
    <definedName name="IQ_ECO_METRIC_7421" hidden="1">"c7421"</definedName>
    <definedName name="IQ_ECO_METRIC_7422" hidden="1">"c7422"</definedName>
    <definedName name="IQ_ECO_METRIC_7423" hidden="1">"c7423"</definedName>
    <definedName name="IQ_ECO_METRIC_7424" hidden="1">"c7424"</definedName>
    <definedName name="IQ_ECO_METRIC_7425" hidden="1">"c7425"</definedName>
    <definedName name="IQ_ECO_METRIC_7426" hidden="1">"c7426"</definedName>
    <definedName name="IQ_ECO_METRIC_7427" hidden="1">"c7427"</definedName>
    <definedName name="IQ_ECO_METRIC_7428" hidden="1">"c7428"</definedName>
    <definedName name="IQ_ECO_METRIC_7428_UNUSED_UNUSED_UNUSED" hidden="1">"c7428"</definedName>
    <definedName name="IQ_ECO_METRIC_7429" hidden="1">"c7429"</definedName>
    <definedName name="IQ_ECO_METRIC_7430" hidden="1">"c7430"</definedName>
    <definedName name="IQ_ECO_METRIC_7431" hidden="1">"c7431"</definedName>
    <definedName name="IQ_ECO_METRIC_7432" hidden="1">"c7432"</definedName>
    <definedName name="IQ_ECO_METRIC_7433" hidden="1">"c7433"</definedName>
    <definedName name="IQ_ECO_METRIC_7434" hidden="1">"c7434"</definedName>
    <definedName name="IQ_ECO_METRIC_7435" hidden="1">"c7435"</definedName>
    <definedName name="IQ_ECO_METRIC_7436" hidden="1">"c7436"</definedName>
    <definedName name="IQ_ECO_METRIC_7437" hidden="1">"c7437"</definedName>
    <definedName name="IQ_ECO_METRIC_7438" hidden="1">"c7438"</definedName>
    <definedName name="IQ_ECO_METRIC_7440" hidden="1">"c7440"</definedName>
    <definedName name="IQ_ECO_METRIC_7441" hidden="1">"c7441"</definedName>
    <definedName name="IQ_ECO_METRIC_7442" hidden="1">"c7442"</definedName>
    <definedName name="IQ_ECO_METRIC_7443" hidden="1">"c7443"</definedName>
    <definedName name="IQ_ECO_METRIC_7444" hidden="1">"c7444"</definedName>
    <definedName name="IQ_ECO_METRIC_7445" hidden="1">"c7445"</definedName>
    <definedName name="IQ_ECO_METRIC_7446" hidden="1">"c7446"</definedName>
    <definedName name="IQ_ECO_METRIC_7447" hidden="1">"c7447"</definedName>
    <definedName name="IQ_ECO_METRIC_7448" hidden="1">"c7448"</definedName>
    <definedName name="IQ_ECO_METRIC_7449" hidden="1">"c7449"</definedName>
    <definedName name="IQ_ECO_METRIC_7450" hidden="1">"c7450"</definedName>
    <definedName name="IQ_ECO_METRIC_7451" hidden="1">"c7451"</definedName>
    <definedName name="IQ_ECO_METRIC_7452" hidden="1">"c7452"</definedName>
    <definedName name="IQ_ECO_METRIC_7453" hidden="1">"c7453"</definedName>
    <definedName name="IQ_ECO_METRIC_7455" hidden="1">"c7455"</definedName>
    <definedName name="IQ_ECO_METRIC_7456" hidden="1">"c7456"</definedName>
    <definedName name="IQ_ECO_METRIC_7457" hidden="1">"c7457"</definedName>
    <definedName name="IQ_ECO_METRIC_7458" hidden="1">"c7458"</definedName>
    <definedName name="IQ_ECO_METRIC_7459" hidden="1">"c7459"</definedName>
    <definedName name="IQ_ECO_METRIC_7460" hidden="1">"c7460"</definedName>
    <definedName name="IQ_ECO_METRIC_7461" hidden="1">"c7461"</definedName>
    <definedName name="IQ_ECO_METRIC_7463" hidden="1">"c7463"</definedName>
    <definedName name="IQ_ECO_METRIC_7464" hidden="1">"c7464"</definedName>
    <definedName name="IQ_ECO_METRIC_7465" hidden="1">"c7465"</definedName>
    <definedName name="IQ_ECO_METRIC_7466" hidden="1">"c7466"</definedName>
    <definedName name="IQ_ECO_METRIC_7467" hidden="1">"c7467"</definedName>
    <definedName name="IQ_ECO_METRIC_7468" hidden="1">"c7468"</definedName>
    <definedName name="IQ_ECO_METRIC_7469" hidden="1">"c7469"</definedName>
    <definedName name="IQ_ECO_METRIC_7470" hidden="1">"c7470"</definedName>
    <definedName name="IQ_ECO_METRIC_7472" hidden="1">"c7472"</definedName>
    <definedName name="IQ_ECO_METRIC_7473" hidden="1">"c7473"</definedName>
    <definedName name="IQ_ECO_METRIC_7474" hidden="1">"c7474"</definedName>
    <definedName name="IQ_ECO_METRIC_7475" hidden="1">"c7475"</definedName>
    <definedName name="IQ_ECO_METRIC_7476" hidden="1">"c7476"</definedName>
    <definedName name="IQ_ECO_METRIC_7477" hidden="1">"c7477"</definedName>
    <definedName name="IQ_ECO_METRIC_7478" hidden="1">"c7478"</definedName>
    <definedName name="IQ_ECO_METRIC_7479" hidden="1">"c7479"</definedName>
    <definedName name="IQ_ECO_METRIC_7480" hidden="1">"c7480"</definedName>
    <definedName name="IQ_ECO_METRIC_7481" hidden="1">"c7481"</definedName>
    <definedName name="IQ_ECO_METRIC_7482" hidden="1">"c7482"</definedName>
    <definedName name="IQ_ECO_METRIC_7483" hidden="1">"c7483"</definedName>
    <definedName name="IQ_ECO_METRIC_7486" hidden="1">"c7486"</definedName>
    <definedName name="IQ_ECO_METRIC_7487" hidden="1">"c7487"</definedName>
    <definedName name="IQ_ECO_METRIC_7488" hidden="1">"c7488"</definedName>
    <definedName name="IQ_ECO_METRIC_7489" hidden="1">"c7489"</definedName>
    <definedName name="IQ_ECO_METRIC_7490" hidden="1">"c7490"</definedName>
    <definedName name="IQ_ECO_METRIC_7491" hidden="1">"c7491"</definedName>
    <definedName name="IQ_ECO_METRIC_7492" hidden="1">"c7492"</definedName>
    <definedName name="IQ_ECO_METRIC_7493" hidden="1">"c7493"</definedName>
    <definedName name="IQ_ECO_METRIC_7494" hidden="1">"c7494"</definedName>
    <definedName name="IQ_ECO_METRIC_7495" hidden="1">"c7495"</definedName>
    <definedName name="IQ_ECO_METRIC_7496" hidden="1">"c7496"</definedName>
    <definedName name="IQ_ECO_METRIC_7497" hidden="1">"c7497"</definedName>
    <definedName name="IQ_ECO_METRIC_7498" hidden="1">"c7498"</definedName>
    <definedName name="IQ_ECO_METRIC_7500" hidden="1">"c7500"</definedName>
    <definedName name="IQ_ECO_METRIC_7501" hidden="1">"c7501"</definedName>
    <definedName name="IQ_ECO_METRIC_7502" hidden="1">"c7502"</definedName>
    <definedName name="IQ_ECO_METRIC_7503" hidden="1">"c7503"</definedName>
    <definedName name="IQ_ECO_METRIC_7504" hidden="1">"c7504"</definedName>
    <definedName name="IQ_ECO_METRIC_7505" hidden="1">"c7505"</definedName>
    <definedName name="IQ_ECO_METRIC_7507" hidden="1">"c7507"</definedName>
    <definedName name="IQ_ECO_METRIC_7508" hidden="1">"c7508"</definedName>
    <definedName name="IQ_ECO_METRIC_7509" hidden="1">"c7509"</definedName>
    <definedName name="IQ_ECO_METRIC_7510" hidden="1">"c7510"</definedName>
    <definedName name="IQ_ECO_METRIC_7511" hidden="1">"c7511"</definedName>
    <definedName name="IQ_ECO_METRIC_7512" hidden="1">"c7512"</definedName>
    <definedName name="IQ_ECO_METRIC_7513" hidden="1">"c7513"</definedName>
    <definedName name="IQ_ECO_METRIC_7514" hidden="1">"c7514"</definedName>
    <definedName name="IQ_ECO_METRIC_7515" hidden="1">"c7515"</definedName>
    <definedName name="IQ_ECO_METRIC_7516" hidden="1">"c7516"</definedName>
    <definedName name="IQ_ECO_METRIC_7517" hidden="1">"c7517"</definedName>
    <definedName name="IQ_ECO_METRIC_7518" hidden="1">"c7518"</definedName>
    <definedName name="IQ_ECO_METRIC_7519" hidden="1">"c7519"</definedName>
    <definedName name="IQ_ECO_METRIC_7520" hidden="1">"c7520"</definedName>
    <definedName name="IQ_ECO_METRIC_7521" hidden="1">"c7521"</definedName>
    <definedName name="IQ_ECO_METRIC_7522" hidden="1">"c7522"</definedName>
    <definedName name="IQ_ECO_METRIC_7523" hidden="1">"c7523"</definedName>
    <definedName name="IQ_ECO_METRIC_7524" hidden="1">"c7524"</definedName>
    <definedName name="IQ_ECO_METRIC_7525" hidden="1">"c7525"</definedName>
    <definedName name="IQ_ECO_METRIC_7526" hidden="1">"c7526"</definedName>
    <definedName name="IQ_ECO_METRIC_7527" hidden="1">"c7527"</definedName>
    <definedName name="IQ_ECO_METRIC_7528" hidden="1">"c7528"</definedName>
    <definedName name="IQ_ECO_METRIC_7529" hidden="1">"c7529"</definedName>
    <definedName name="IQ_ECO_METRIC_7530" hidden="1">"c7530"</definedName>
    <definedName name="IQ_ECO_METRIC_7531" hidden="1">"c7531"</definedName>
    <definedName name="IQ_ECO_METRIC_7532" hidden="1">"c7532"</definedName>
    <definedName name="IQ_ECO_METRIC_7533" hidden="1">"c7533"</definedName>
    <definedName name="IQ_ECO_METRIC_7534" hidden="1">"c7534"</definedName>
    <definedName name="IQ_ECO_METRIC_7535" hidden="1">"c7535"</definedName>
    <definedName name="IQ_ECO_METRIC_7536" hidden="1">"c7536"</definedName>
    <definedName name="IQ_ECO_METRIC_7537" hidden="1">"c7537"</definedName>
    <definedName name="IQ_ECO_METRIC_7538" hidden="1">"c7538"</definedName>
    <definedName name="IQ_ECO_METRIC_7539" hidden="1">"c7539"</definedName>
    <definedName name="IQ_ECO_METRIC_7540" hidden="1">"c7540"</definedName>
    <definedName name="IQ_ECO_METRIC_7541" hidden="1">"c7541"</definedName>
    <definedName name="IQ_ECO_METRIC_7542" hidden="1">"c7542"</definedName>
    <definedName name="IQ_ECO_METRIC_7543" hidden="1">"c7543"</definedName>
    <definedName name="IQ_ECO_METRIC_7544" hidden="1">"c7544"</definedName>
    <definedName name="IQ_ECO_METRIC_7545" hidden="1">"c7545"</definedName>
    <definedName name="IQ_ECO_METRIC_7546" hidden="1">"c7546"</definedName>
    <definedName name="IQ_ECO_METRIC_7547" hidden="1">"c7547"</definedName>
    <definedName name="IQ_ECO_METRIC_7548" hidden="1">"c7548"</definedName>
    <definedName name="IQ_ECO_METRIC_7549" hidden="1">"c7549"</definedName>
    <definedName name="IQ_ECO_METRIC_7550" hidden="1">"c7550"</definedName>
    <definedName name="IQ_ECO_METRIC_7551" hidden="1">"c7551"</definedName>
    <definedName name="IQ_ECO_METRIC_7552" hidden="1">"c7552"</definedName>
    <definedName name="IQ_ECO_METRIC_7553" hidden="1">"c7553"</definedName>
    <definedName name="IQ_ECO_METRIC_7554" hidden="1">"c7554"</definedName>
    <definedName name="IQ_ECO_METRIC_7555" hidden="1">"c7555"</definedName>
    <definedName name="IQ_ECO_METRIC_7556" hidden="1">"c7556"</definedName>
    <definedName name="IQ_ECO_METRIC_7556_UNUSED_UNUSED_UNUSED" hidden="1">"c7556"</definedName>
    <definedName name="IQ_ECO_METRIC_7557" hidden="1">"c7557"</definedName>
    <definedName name="IQ_ECO_METRIC_7557_UNUSED_UNUSED_UNUSED" hidden="1">"c7557"</definedName>
    <definedName name="IQ_ECO_METRIC_7560" hidden="1">"c7560"</definedName>
    <definedName name="IQ_ECO_METRIC_7561" hidden="1">"c7561"</definedName>
    <definedName name="IQ_ECO_METRIC_7562" hidden="1">"c7562"</definedName>
    <definedName name="IQ_ECO_METRIC_7563" hidden="1">"c7563"</definedName>
    <definedName name="IQ_ECO_METRIC_7564" hidden="1">"c7564"</definedName>
    <definedName name="IQ_ECO_METRIC_7565" hidden="1">"c7565"</definedName>
    <definedName name="IQ_ECO_METRIC_7566" hidden="1">"c7566"</definedName>
    <definedName name="IQ_ECO_METRIC_7567" hidden="1">"c7567"</definedName>
    <definedName name="IQ_ECO_METRIC_7568" hidden="1">"c7568"</definedName>
    <definedName name="IQ_ECO_METRIC_7570" hidden="1">"c7570"</definedName>
    <definedName name="IQ_ECO_METRIC_7571" hidden="1">"c7571"</definedName>
    <definedName name="IQ_ECO_METRIC_7572" hidden="1">"c7572"</definedName>
    <definedName name="IQ_ECO_METRIC_7573" hidden="1">"c7573"</definedName>
    <definedName name="IQ_ECO_METRIC_7574" hidden="1">"c7574"</definedName>
    <definedName name="IQ_ECO_METRIC_7575" hidden="1">"c7575"</definedName>
    <definedName name="IQ_ECO_METRIC_7576" hidden="1">"c7576"</definedName>
    <definedName name="IQ_ECO_METRIC_7577" hidden="1">"c7577"</definedName>
    <definedName name="IQ_ECO_METRIC_7578" hidden="1">"c7578"</definedName>
    <definedName name="IQ_ECO_METRIC_7579" hidden="1">"c7579"</definedName>
    <definedName name="IQ_ECO_METRIC_7580" hidden="1">"c7580"</definedName>
    <definedName name="IQ_ECO_METRIC_7581" hidden="1">"c7581"</definedName>
    <definedName name="IQ_ECO_METRIC_7582" hidden="1">"c7582"</definedName>
    <definedName name="IQ_ECO_METRIC_7583" hidden="1">"c7583"</definedName>
    <definedName name="IQ_ECO_METRIC_7584" hidden="1">"c7584"</definedName>
    <definedName name="IQ_ECO_METRIC_7585" hidden="1">"c7585"</definedName>
    <definedName name="IQ_ECO_METRIC_7586" hidden="1">"c7586"</definedName>
    <definedName name="IQ_ECO_METRIC_7588" hidden="1">"c7588"</definedName>
    <definedName name="IQ_ECO_METRIC_7589" hidden="1">"c7589"</definedName>
    <definedName name="IQ_ECO_METRIC_7590" hidden="1">"c7590"</definedName>
    <definedName name="IQ_ECO_METRIC_7591" hidden="1">"c7591"</definedName>
    <definedName name="IQ_ECO_METRIC_7592" hidden="1">"c7592"</definedName>
    <definedName name="IQ_ECO_METRIC_7593" hidden="1">"c7593"</definedName>
    <definedName name="IQ_ECO_METRIC_7594" hidden="1">"c7594"</definedName>
    <definedName name="IQ_ECO_METRIC_7596" hidden="1">"c7596"</definedName>
    <definedName name="IQ_ECO_METRIC_7597" hidden="1">"c7597"</definedName>
    <definedName name="IQ_ECO_METRIC_7598" hidden="1">"c7598"</definedName>
    <definedName name="IQ_ECO_METRIC_7599" hidden="1">"c7599"</definedName>
    <definedName name="IQ_ECO_METRIC_7600" hidden="1">"c7600"</definedName>
    <definedName name="IQ_ECO_METRIC_7601" hidden="1">"c7601"</definedName>
    <definedName name="IQ_ECO_METRIC_7602" hidden="1">"c7602"</definedName>
    <definedName name="IQ_ECO_METRIC_7603" hidden="1">"c7603"</definedName>
    <definedName name="IQ_ECO_METRIC_7604" hidden="1">"c7604"</definedName>
    <definedName name="IQ_ECO_METRIC_7605" hidden="1">"c7605"</definedName>
    <definedName name="IQ_ECO_METRIC_7606" hidden="1">"c7606"</definedName>
    <definedName name="IQ_ECO_METRIC_7607" hidden="1">"c7607"</definedName>
    <definedName name="IQ_ECO_METRIC_7608" hidden="1">"c7608"</definedName>
    <definedName name="IQ_ECO_METRIC_7609" hidden="1">"c7609"</definedName>
    <definedName name="IQ_ECO_METRIC_7610" hidden="1">"c7610"</definedName>
    <definedName name="IQ_ECO_METRIC_7611" hidden="1">"c7611"</definedName>
    <definedName name="IQ_ECO_METRIC_7612" hidden="1">"c7612"</definedName>
    <definedName name="IQ_ECO_METRIC_7613" hidden="1">"c7613"</definedName>
    <definedName name="IQ_ECO_METRIC_7614" hidden="1">"c7614"</definedName>
    <definedName name="IQ_ECO_METRIC_7615" hidden="1">"c7615"</definedName>
    <definedName name="IQ_ECO_METRIC_7616" hidden="1">"c7616"</definedName>
    <definedName name="IQ_ECO_METRIC_7617" hidden="1">"c7617"</definedName>
    <definedName name="IQ_ECO_METRIC_7618" hidden="1">"c7618"</definedName>
    <definedName name="IQ_ECO_METRIC_7619" hidden="1">"c7619"</definedName>
    <definedName name="IQ_ECO_METRIC_7620" hidden="1">"c7620"</definedName>
    <definedName name="IQ_ECO_METRIC_7622" hidden="1">"c7622"</definedName>
    <definedName name="IQ_ECO_METRIC_7623" hidden="1">"c7623"</definedName>
    <definedName name="IQ_ECO_METRIC_7624" hidden="1">"c7624"</definedName>
    <definedName name="IQ_ECO_METRIC_7625" hidden="1">"c7625"</definedName>
    <definedName name="IQ_ECO_METRIC_7626" hidden="1">"c7626"</definedName>
    <definedName name="IQ_ECO_METRIC_7627" hidden="1">"c7627"</definedName>
    <definedName name="IQ_ECO_METRIC_7628" hidden="1">"c7628"</definedName>
    <definedName name="IQ_ECO_METRIC_7629" hidden="1">"c7629"</definedName>
    <definedName name="IQ_ECO_METRIC_7630" hidden="1">"c7630"</definedName>
    <definedName name="IQ_ECO_METRIC_7631" hidden="1">"c7631"</definedName>
    <definedName name="IQ_ECO_METRIC_7632" hidden="1">"c7632"</definedName>
    <definedName name="IQ_ECO_METRIC_7633" hidden="1">"c7633"</definedName>
    <definedName name="IQ_ECO_METRIC_7634" hidden="1">"c7634"</definedName>
    <definedName name="IQ_ECO_METRIC_7635" hidden="1">"c7635"</definedName>
    <definedName name="IQ_ECO_METRIC_7636" hidden="1">"c7636"</definedName>
    <definedName name="IQ_ECO_METRIC_7637" hidden="1">"c7637"</definedName>
    <definedName name="IQ_ECO_METRIC_7638" hidden="1">"c7638"</definedName>
    <definedName name="IQ_ECO_METRIC_7639" hidden="1">"c7639"</definedName>
    <definedName name="IQ_ECO_METRIC_7640" hidden="1">"c7640"</definedName>
    <definedName name="IQ_ECO_METRIC_7641" hidden="1">"c7641"</definedName>
    <definedName name="IQ_ECO_METRIC_7642" hidden="1">"c7642"</definedName>
    <definedName name="IQ_ECO_METRIC_7643" hidden="1">"c7643"</definedName>
    <definedName name="IQ_ECO_METRIC_7644" hidden="1">"c7644"</definedName>
    <definedName name="IQ_ECO_METRIC_7645" hidden="1">"c7645"</definedName>
    <definedName name="IQ_ECO_METRIC_7646" hidden="1">"c7646"</definedName>
    <definedName name="IQ_ECO_METRIC_7647" hidden="1">"c7647"</definedName>
    <definedName name="IQ_ECO_METRIC_7648" hidden="1">"c7648"</definedName>
    <definedName name="IQ_ECO_METRIC_7648_UNUSED_UNUSED_UNUSED" hidden="1">"c7648"</definedName>
    <definedName name="IQ_ECO_METRIC_7649" hidden="1">"c7649"</definedName>
    <definedName name="IQ_ECO_METRIC_7650" hidden="1">"c7650"</definedName>
    <definedName name="IQ_ECO_METRIC_7651" hidden="1">"c7651"</definedName>
    <definedName name="IQ_ECO_METRIC_7652" hidden="1">"c7652"</definedName>
    <definedName name="IQ_ECO_METRIC_7653" hidden="1">"c7653"</definedName>
    <definedName name="IQ_ECO_METRIC_7654" hidden="1">"c7654"</definedName>
    <definedName name="IQ_ECO_METRIC_7655" hidden="1">"c7655"</definedName>
    <definedName name="IQ_ECO_METRIC_7656" hidden="1">"c7656"</definedName>
    <definedName name="IQ_ECO_METRIC_7657" hidden="1">"c7657"</definedName>
    <definedName name="IQ_ECO_METRIC_7658" hidden="1">"c7658"</definedName>
    <definedName name="IQ_ECO_METRIC_7660" hidden="1">"c7660"</definedName>
    <definedName name="IQ_ECO_METRIC_7661" hidden="1">"c7661"</definedName>
    <definedName name="IQ_ECO_METRIC_7663" hidden="1">"c7663"</definedName>
    <definedName name="IQ_ECO_METRIC_7664" hidden="1">"c7664"</definedName>
    <definedName name="IQ_ECO_METRIC_7665" hidden="1">"c7665"</definedName>
    <definedName name="IQ_ECO_METRIC_7666" hidden="1">"c7666"</definedName>
    <definedName name="IQ_ECO_METRIC_7667" hidden="1">"c7667"</definedName>
    <definedName name="IQ_ECO_METRIC_7668" hidden="1">"c7668"</definedName>
    <definedName name="IQ_ECO_METRIC_7669" hidden="1">"c7669"</definedName>
    <definedName name="IQ_ECO_METRIC_7670" hidden="1">"c7670"</definedName>
    <definedName name="IQ_ECO_METRIC_7675" hidden="1">"c7675"</definedName>
    <definedName name="IQ_ECO_METRIC_7676" hidden="1">"c7676"</definedName>
    <definedName name="IQ_ECO_METRIC_7677" hidden="1">"c7677"</definedName>
    <definedName name="IQ_ECO_METRIC_7678" hidden="1">"c7678"</definedName>
    <definedName name="IQ_ECO_METRIC_7679" hidden="1">"c7679"</definedName>
    <definedName name="IQ_ECO_METRIC_7680" hidden="1">"c7680"</definedName>
    <definedName name="IQ_ECO_METRIC_7681" hidden="1">"c7681"</definedName>
    <definedName name="IQ_ECO_METRIC_7685" hidden="1">"c7685"</definedName>
    <definedName name="IQ_ECO_METRIC_7687" hidden="1">"c7687"</definedName>
    <definedName name="IQ_ECO_METRIC_7688" hidden="1">"c7688"</definedName>
    <definedName name="IQ_ECO_METRIC_7689" hidden="1">"c7689"</definedName>
    <definedName name="IQ_ECO_METRIC_7690" hidden="1">"c7690"</definedName>
    <definedName name="IQ_ECO_METRIC_7691" hidden="1">"c7691"</definedName>
    <definedName name="IQ_ECO_METRIC_7692" hidden="1">"c7692"</definedName>
    <definedName name="IQ_ECO_METRIC_7693" hidden="1">"c7693"</definedName>
    <definedName name="IQ_ECO_METRIC_7694" hidden="1">"c7694"</definedName>
    <definedName name="IQ_ECO_METRIC_7695" hidden="1">"c7695"</definedName>
    <definedName name="IQ_ECO_METRIC_7696" hidden="1">"c7696"</definedName>
    <definedName name="IQ_ECO_METRIC_7697" hidden="1">"c7697"</definedName>
    <definedName name="IQ_ECO_METRIC_7698" hidden="1">"c7698"</definedName>
    <definedName name="IQ_ECO_METRIC_7699" hidden="1">"c7699"</definedName>
    <definedName name="IQ_ECO_METRIC_7700" hidden="1">"c7700"</definedName>
    <definedName name="IQ_ECO_METRIC_7701" hidden="1">"c7701"</definedName>
    <definedName name="IQ_ECO_METRIC_7702" hidden="1">"c7702"</definedName>
    <definedName name="IQ_ECO_METRIC_7703" hidden="1">"c7703"</definedName>
    <definedName name="IQ_ECO_METRIC_7705" hidden="1">"c7705"</definedName>
    <definedName name="IQ_ECO_METRIC_7705_UNUSED_UNUSED_UNUSED" hidden="1">"c7705"</definedName>
    <definedName name="IQ_ECO_METRIC_7707" hidden="1">"c7707"</definedName>
    <definedName name="IQ_ECO_METRIC_7708" hidden="1">"c7708"</definedName>
    <definedName name="IQ_ECO_METRIC_7709" hidden="1">"c7709"</definedName>
    <definedName name="IQ_ECO_METRIC_7710" hidden="1">"c7710"</definedName>
    <definedName name="IQ_ECO_METRIC_7711" hidden="1">"c7711"</definedName>
    <definedName name="IQ_ECO_METRIC_7712" hidden="1">"c7712"</definedName>
    <definedName name="IQ_ECO_METRIC_7713" hidden="1">"c7713"</definedName>
    <definedName name="IQ_ECO_METRIC_7714" hidden="1">"c7714"</definedName>
    <definedName name="IQ_ECO_METRIC_7715" hidden="1">"c7715"</definedName>
    <definedName name="IQ_ECO_METRIC_7716" hidden="1">"c7716"</definedName>
    <definedName name="IQ_ECO_METRIC_7717" hidden="1">"c7717"</definedName>
    <definedName name="IQ_ECO_METRIC_7719" hidden="1">"c7719"</definedName>
    <definedName name="IQ_ECO_METRIC_7719_UNUSED_UNUSED_UNUSED" hidden="1">"c7719"</definedName>
    <definedName name="IQ_ECO_METRIC_7720" hidden="1">"c7720"</definedName>
    <definedName name="IQ_ECO_METRIC_7721" hidden="1">"c7721"</definedName>
    <definedName name="IQ_ECO_METRIC_7722" hidden="1">"c7722"</definedName>
    <definedName name="IQ_ECO_METRIC_7723" hidden="1">"c7723"</definedName>
    <definedName name="IQ_ECO_METRIC_7724" hidden="1">"c7724"</definedName>
    <definedName name="IQ_ECO_METRIC_7725" hidden="1">"c7725"</definedName>
    <definedName name="IQ_ECO_METRIC_7726" hidden="1">"c7726"</definedName>
    <definedName name="IQ_ECO_METRIC_7727" hidden="1">"c7727"</definedName>
    <definedName name="IQ_ECO_METRIC_7728" hidden="1">"c7728"</definedName>
    <definedName name="IQ_ECO_METRIC_7729" hidden="1">"c7729"</definedName>
    <definedName name="IQ_ECO_METRIC_7730" hidden="1">"c7730"</definedName>
    <definedName name="IQ_ECO_METRIC_7731" hidden="1">"c7731"</definedName>
    <definedName name="IQ_ECO_METRIC_7732" hidden="1">"c7732"</definedName>
    <definedName name="IQ_ECO_METRIC_7733" hidden="1">"c7733"</definedName>
    <definedName name="IQ_ECO_METRIC_7734" hidden="1">"c7734"</definedName>
    <definedName name="IQ_ECO_METRIC_7735" hidden="1">"c7735"</definedName>
    <definedName name="IQ_ECO_METRIC_7736" hidden="1">"c7736"</definedName>
    <definedName name="IQ_ECO_METRIC_7737" hidden="1">"c7737"</definedName>
    <definedName name="IQ_ECO_METRIC_7738" hidden="1">"c7738"</definedName>
    <definedName name="IQ_ECO_METRIC_7739" hidden="1">"c7739"</definedName>
    <definedName name="IQ_ECO_METRIC_7740" hidden="1">"c7740"</definedName>
    <definedName name="IQ_ECO_METRIC_7741" hidden="1">"c7741"</definedName>
    <definedName name="IQ_ECO_METRIC_7742" hidden="1">"c7742"</definedName>
    <definedName name="IQ_ECO_METRIC_7743" hidden="1">"c7743"</definedName>
    <definedName name="IQ_ECO_METRIC_7744" hidden="1">"c7744"</definedName>
    <definedName name="IQ_ECO_METRIC_7745" hidden="1">"c7745"</definedName>
    <definedName name="IQ_ECO_METRIC_7746" hidden="1">"c7746"</definedName>
    <definedName name="IQ_ECO_METRIC_7747" hidden="1">"c7747"</definedName>
    <definedName name="IQ_ECO_METRIC_7748" hidden="1">"c7748"</definedName>
    <definedName name="IQ_ECO_METRIC_7749" hidden="1">"c7749"</definedName>
    <definedName name="IQ_ECO_METRIC_7750" hidden="1">"c7750"</definedName>
    <definedName name="IQ_ECO_METRIC_7751" hidden="1">"c7751"</definedName>
    <definedName name="IQ_ECO_METRIC_7752" hidden="1">"c7752"</definedName>
    <definedName name="IQ_ECO_METRIC_7753" hidden="1">"c7753"</definedName>
    <definedName name="IQ_ECO_METRIC_7754" hidden="1">"c7754"</definedName>
    <definedName name="IQ_ECO_METRIC_7755" hidden="1">"c7755"</definedName>
    <definedName name="IQ_ECO_METRIC_7756" hidden="1">"c7756"</definedName>
    <definedName name="IQ_ECO_METRIC_7757" hidden="1">"c7757"</definedName>
    <definedName name="IQ_ECO_METRIC_7758" hidden="1">"c7758"</definedName>
    <definedName name="IQ_ECO_METRIC_7759" hidden="1">"c7759"</definedName>
    <definedName name="IQ_ECO_METRIC_7760" hidden="1">"c7760"</definedName>
    <definedName name="IQ_ECO_METRIC_7761" hidden="1">"c7761"</definedName>
    <definedName name="IQ_ECO_METRIC_7762" hidden="1">"c7762"</definedName>
    <definedName name="IQ_ECO_METRIC_7763" hidden="1">"c7763"</definedName>
    <definedName name="IQ_ECO_METRIC_7764" hidden="1">"c7764"</definedName>
    <definedName name="IQ_ECO_METRIC_7765" hidden="1">"c7765"</definedName>
    <definedName name="IQ_ECO_METRIC_7766" hidden="1">"c7766"</definedName>
    <definedName name="IQ_ECO_METRIC_7767" hidden="1">"c7767"</definedName>
    <definedName name="IQ_ECO_METRIC_7768" hidden="1">"c7768"</definedName>
    <definedName name="IQ_ECO_METRIC_7769" hidden="1">"c7769"</definedName>
    <definedName name="IQ_ECO_METRIC_7770" hidden="1">"c7770"</definedName>
    <definedName name="IQ_ECO_METRIC_7771" hidden="1">"c7771"</definedName>
    <definedName name="IQ_ECO_METRIC_7772" hidden="1">"c7772"</definedName>
    <definedName name="IQ_ECO_METRIC_7773" hidden="1">"c7773"</definedName>
    <definedName name="IQ_ECO_METRIC_7774" hidden="1">"c7774"</definedName>
    <definedName name="IQ_ECO_METRIC_7775" hidden="1">"c7775"</definedName>
    <definedName name="IQ_ECO_METRIC_7776" hidden="1">"c7776"</definedName>
    <definedName name="IQ_ECO_METRIC_7776_UNUSED_UNUSED_UNUSED" hidden="1">"c7776"</definedName>
    <definedName name="IQ_ECO_METRIC_7777" hidden="1">"c7777"</definedName>
    <definedName name="IQ_ECO_METRIC_7777_UNUSED_UNUSED_UNUSED" hidden="1">"c7777"</definedName>
    <definedName name="IQ_ECO_METRIC_7779" hidden="1">"c7779"</definedName>
    <definedName name="IQ_ECO_METRIC_7780" hidden="1">"c7780"</definedName>
    <definedName name="IQ_ECO_METRIC_7781" hidden="1">"c7781"</definedName>
    <definedName name="IQ_ECO_METRIC_7782" hidden="1">"c7782"</definedName>
    <definedName name="IQ_ECO_METRIC_7783" hidden="1">"c7783"</definedName>
    <definedName name="IQ_ECO_METRIC_7784" hidden="1">"c7784"</definedName>
    <definedName name="IQ_ECO_METRIC_7785" hidden="1">"c7785"</definedName>
    <definedName name="IQ_ECO_METRIC_7786" hidden="1">"c7786"</definedName>
    <definedName name="IQ_ECO_METRIC_7787" hidden="1">"c7787"</definedName>
    <definedName name="IQ_ECO_METRIC_7788" hidden="1">"c7788"</definedName>
    <definedName name="IQ_ECO_METRIC_7789" hidden="1">"c7789"</definedName>
    <definedName name="IQ_ECO_METRIC_7790" hidden="1">"c7790"</definedName>
    <definedName name="IQ_ECO_METRIC_7791" hidden="1">"c7791"</definedName>
    <definedName name="IQ_ECO_METRIC_7792" hidden="1">"c7792"</definedName>
    <definedName name="IQ_ECO_METRIC_7793" hidden="1">"c7793"</definedName>
    <definedName name="IQ_ECO_METRIC_7794" hidden="1">"c7794"</definedName>
    <definedName name="IQ_ECO_METRIC_7795" hidden="1">"c7795"</definedName>
    <definedName name="IQ_ECO_METRIC_7796" hidden="1">"c7796"</definedName>
    <definedName name="IQ_ECO_METRIC_7797" hidden="1">"c7797"</definedName>
    <definedName name="IQ_ECO_METRIC_7798" hidden="1">"c7798"</definedName>
    <definedName name="IQ_ECO_METRIC_7799" hidden="1">"c7799"</definedName>
    <definedName name="IQ_ECO_METRIC_7800" hidden="1">"c7800"</definedName>
    <definedName name="IQ_ECO_METRIC_7801" hidden="1">"c7801"</definedName>
    <definedName name="IQ_ECO_METRIC_7802" hidden="1">"c7802"</definedName>
    <definedName name="IQ_ECO_METRIC_7803" hidden="1">"c7803"</definedName>
    <definedName name="IQ_ECO_METRIC_7804" hidden="1">"c7804"</definedName>
    <definedName name="IQ_ECO_METRIC_7805" hidden="1">"c7805"</definedName>
    <definedName name="IQ_ECO_METRIC_7806" hidden="1">"c7806"</definedName>
    <definedName name="IQ_ECO_METRIC_7808" hidden="1">"c7808"</definedName>
    <definedName name="IQ_ECO_METRIC_7809" hidden="1">"c7809"</definedName>
    <definedName name="IQ_ECO_METRIC_7810" hidden="1">"c7810"</definedName>
    <definedName name="IQ_ECO_METRIC_7812" hidden="1">"c7812"</definedName>
    <definedName name="IQ_ECO_METRIC_7813" hidden="1">"c7813"</definedName>
    <definedName name="IQ_ECO_METRIC_7814" hidden="1">"c7814"</definedName>
    <definedName name="IQ_ECO_METRIC_7815" hidden="1">"c7815"</definedName>
    <definedName name="IQ_ECO_METRIC_7816" hidden="1">"c7816"</definedName>
    <definedName name="IQ_ECO_METRIC_7817" hidden="1">"c7817"</definedName>
    <definedName name="IQ_ECO_METRIC_7818" hidden="1">"c7818"</definedName>
    <definedName name="IQ_ECO_METRIC_7819" hidden="1">"c7819"</definedName>
    <definedName name="IQ_ECO_METRIC_7820" hidden="1">"c7820"</definedName>
    <definedName name="IQ_ECO_METRIC_7821" hidden="1">"c7821"</definedName>
    <definedName name="IQ_ECO_METRIC_7822" hidden="1">"c7822"</definedName>
    <definedName name="IQ_ECO_METRIC_7823" hidden="1">"c7823"</definedName>
    <definedName name="IQ_ECO_METRIC_7824" hidden="1">"c7824"</definedName>
    <definedName name="IQ_ECO_METRIC_7825" hidden="1">"c7825"</definedName>
    <definedName name="IQ_ECO_METRIC_7826" hidden="1">"c7826"</definedName>
    <definedName name="IQ_ECO_METRIC_7827" hidden="1">"c7827"</definedName>
    <definedName name="IQ_ECO_METRIC_7828" hidden="1">"c7828"</definedName>
    <definedName name="IQ_ECO_METRIC_7829" hidden="1">"c7829"</definedName>
    <definedName name="IQ_ECO_METRIC_7830" hidden="1">"c7830"</definedName>
    <definedName name="IQ_ECO_METRIC_7831" hidden="1">"c7831"</definedName>
    <definedName name="IQ_ECO_METRIC_7832" hidden="1">"c7832"</definedName>
    <definedName name="IQ_ECO_METRIC_7833" hidden="1">"c7833"</definedName>
    <definedName name="IQ_ECO_METRIC_7834" hidden="1">"c7834"</definedName>
    <definedName name="IQ_ECO_METRIC_7835" hidden="1">"c7835"</definedName>
    <definedName name="IQ_ECO_METRIC_7836" hidden="1">"c7836"</definedName>
    <definedName name="IQ_ECO_METRIC_7837" hidden="1">"c7837"</definedName>
    <definedName name="IQ_ECO_METRIC_7838" hidden="1">"c7838"</definedName>
    <definedName name="IQ_ECO_METRIC_7839" hidden="1">"c7839"</definedName>
    <definedName name="IQ_ECO_METRIC_7840" hidden="1">"c7840"</definedName>
    <definedName name="IQ_ECO_METRIC_7842" hidden="1">"c7842"</definedName>
    <definedName name="IQ_ECO_METRIC_7843" hidden="1">"c7843"</definedName>
    <definedName name="IQ_ECO_METRIC_7844" hidden="1">"c7844"</definedName>
    <definedName name="IQ_ECO_METRIC_7845" hidden="1">"c7845"</definedName>
    <definedName name="IQ_ECO_METRIC_7846" hidden="1">"c7846"</definedName>
    <definedName name="IQ_ECO_METRIC_7847" hidden="1">"c7847"</definedName>
    <definedName name="IQ_ECO_METRIC_7848" hidden="1">"c7848"</definedName>
    <definedName name="IQ_ECO_METRIC_7849" hidden="1">"c7849"</definedName>
    <definedName name="IQ_ECO_METRIC_7850" hidden="1">"c7850"</definedName>
    <definedName name="IQ_ECO_METRIC_7851" hidden="1">"c7851"</definedName>
    <definedName name="IQ_ECO_METRIC_7852" hidden="1">"c7852"</definedName>
    <definedName name="IQ_ECO_METRIC_7853" hidden="1">"c7853"</definedName>
    <definedName name="IQ_ECO_METRIC_7854" hidden="1">"c7854"</definedName>
    <definedName name="IQ_ECO_METRIC_7855" hidden="1">"c7855"</definedName>
    <definedName name="IQ_ECO_METRIC_7856" hidden="1">"c7856"</definedName>
    <definedName name="IQ_ECO_METRIC_7857" hidden="1">"c7857"</definedName>
    <definedName name="IQ_ECO_METRIC_7858" hidden="1">"c7858"</definedName>
    <definedName name="IQ_ECO_METRIC_7859" hidden="1">"c7859"</definedName>
    <definedName name="IQ_ECO_METRIC_7860" hidden="1">"c7860"</definedName>
    <definedName name="IQ_ECO_METRIC_7861" hidden="1">"c7861"</definedName>
    <definedName name="IQ_ECO_METRIC_7862" hidden="1">"c7862"</definedName>
    <definedName name="IQ_ECO_METRIC_7863" hidden="1">"c7863"</definedName>
    <definedName name="IQ_ECO_METRIC_7864" hidden="1">"c7864"</definedName>
    <definedName name="IQ_ECO_METRIC_7865" hidden="1">"c7865"</definedName>
    <definedName name="IQ_ECO_METRIC_7866" hidden="1">"c7866"</definedName>
    <definedName name="IQ_ECO_METRIC_7867" hidden="1">"c7867"</definedName>
    <definedName name="IQ_ECO_METRIC_7868" hidden="1">"c7868"</definedName>
    <definedName name="IQ_ECO_METRIC_7868_UNUSED_UNUSED_UNUSED" hidden="1">"c7868"</definedName>
    <definedName name="IQ_ECO_METRIC_7869" hidden="1">"c7869"</definedName>
    <definedName name="IQ_ECO_METRIC_7870" hidden="1">"c7870"</definedName>
    <definedName name="IQ_ECO_METRIC_7871" hidden="1">"c7871"</definedName>
    <definedName name="IQ_ECO_METRIC_7872" hidden="1">"c7872"</definedName>
    <definedName name="IQ_ECO_METRIC_7874" hidden="1">"c7874"</definedName>
    <definedName name="IQ_ECO_METRIC_7875" hidden="1">"c7875"</definedName>
    <definedName name="IQ_ECO_METRIC_7876" hidden="1">"c7876"</definedName>
    <definedName name="IQ_ECO_METRIC_7877" hidden="1">"c7877"</definedName>
    <definedName name="IQ_ECO_METRIC_7878" hidden="1">"c7878"</definedName>
    <definedName name="IQ_ECO_METRIC_7880" hidden="1">"c7880"</definedName>
    <definedName name="IQ_ECO_METRIC_7881" hidden="1">"c7881"</definedName>
    <definedName name="IQ_ECO_METRIC_7882" hidden="1">"c7882"</definedName>
    <definedName name="IQ_ECO_METRIC_7883" hidden="1">"c7883"</definedName>
    <definedName name="IQ_ECO_METRIC_7884" hidden="1">"c7884"</definedName>
    <definedName name="IQ_ECO_METRIC_7885" hidden="1">"c7885"</definedName>
    <definedName name="IQ_ECO_METRIC_7886" hidden="1">"c7886"</definedName>
    <definedName name="IQ_ECO_METRIC_7887" hidden="1">"c7887"</definedName>
    <definedName name="IQ_ECO_METRIC_7888" hidden="1">"c7888"</definedName>
    <definedName name="IQ_ECO_METRIC_7889" hidden="1">"c7889"</definedName>
    <definedName name="IQ_ECO_METRIC_7890" hidden="1">"c7890"</definedName>
    <definedName name="IQ_ECO_METRIC_7891" hidden="1">"c7891"</definedName>
    <definedName name="IQ_ECO_METRIC_7892" hidden="1">"c7892"</definedName>
    <definedName name="IQ_ECO_METRIC_7893" hidden="1">"c7893"</definedName>
    <definedName name="IQ_ECO_METRIC_7895" hidden="1">"c7895"</definedName>
    <definedName name="IQ_ECO_METRIC_7896" hidden="1">"c7896"</definedName>
    <definedName name="IQ_ECO_METRIC_7897" hidden="1">"c7897"</definedName>
    <definedName name="IQ_ECO_METRIC_7898" hidden="1">"c7898"</definedName>
    <definedName name="IQ_ECO_METRIC_7899" hidden="1">"c7899"</definedName>
    <definedName name="IQ_ECO_METRIC_7900" hidden="1">"c7900"</definedName>
    <definedName name="IQ_ECO_METRIC_7901" hidden="1">"c7901"</definedName>
    <definedName name="IQ_ECO_METRIC_7903" hidden="1">"c7903"</definedName>
    <definedName name="IQ_ECO_METRIC_7904" hidden="1">"c7904"</definedName>
    <definedName name="IQ_ECO_METRIC_7905" hidden="1">"c7905"</definedName>
    <definedName name="IQ_ECO_METRIC_7906" hidden="1">"c7906"</definedName>
    <definedName name="IQ_ECO_METRIC_7907" hidden="1">"c7907"</definedName>
    <definedName name="IQ_ECO_METRIC_7908" hidden="1">"c7908"</definedName>
    <definedName name="IQ_ECO_METRIC_7909" hidden="1">"c7909"</definedName>
    <definedName name="IQ_ECO_METRIC_7910" hidden="1">"c7910"</definedName>
    <definedName name="IQ_ECO_METRIC_7911" hidden="1">"c7911"</definedName>
    <definedName name="IQ_ECO_METRIC_7912" hidden="1">"c7912"</definedName>
    <definedName name="IQ_ECO_METRIC_7913" hidden="1">"c7913"</definedName>
    <definedName name="IQ_ECO_METRIC_7914" hidden="1">"c7914"</definedName>
    <definedName name="IQ_ECO_METRIC_7915" hidden="1">"c7915"</definedName>
    <definedName name="IQ_ECO_METRIC_7916" hidden="1">"c7916"</definedName>
    <definedName name="IQ_ECO_METRIC_7917" hidden="1">"c7917"</definedName>
    <definedName name="IQ_ECO_METRIC_7918" hidden="1">"c7918"</definedName>
    <definedName name="IQ_ECO_METRIC_7919" hidden="1">"c7919"</definedName>
    <definedName name="IQ_ECO_METRIC_7920" hidden="1">"c7920"</definedName>
    <definedName name="IQ_ECO_METRIC_7921" hidden="1">"c7921"</definedName>
    <definedName name="IQ_ECO_METRIC_7922" hidden="1">"c7922"</definedName>
    <definedName name="IQ_ECO_METRIC_7923" hidden="1">"c7923"</definedName>
    <definedName name="IQ_ECO_METRIC_7925" hidden="1">"c7925"</definedName>
    <definedName name="IQ_ECO_METRIC_7925_UNUSED_UNUSED_UNUSED" hidden="1">"c7925"</definedName>
    <definedName name="IQ_ECO_METRIC_7927" hidden="1">"c7927"</definedName>
    <definedName name="IQ_ECO_METRIC_7928" hidden="1">"c7928"</definedName>
    <definedName name="IQ_ECO_METRIC_7929" hidden="1">"c7929"</definedName>
    <definedName name="IQ_ECO_METRIC_7930" hidden="1">"c7930"</definedName>
    <definedName name="IQ_ECO_METRIC_7931" hidden="1">"c7931"</definedName>
    <definedName name="IQ_ECO_METRIC_7932" hidden="1">"c7932"</definedName>
    <definedName name="IQ_ECO_METRIC_7933" hidden="1">"c7933"</definedName>
    <definedName name="IQ_ECO_METRIC_7934" hidden="1">"c7934"</definedName>
    <definedName name="IQ_ECO_METRIC_7935" hidden="1">"c7935"</definedName>
    <definedName name="IQ_ECO_METRIC_7936" hidden="1">"c7936"</definedName>
    <definedName name="IQ_ECO_METRIC_7937" hidden="1">"c7937"</definedName>
    <definedName name="IQ_ECO_METRIC_7939" hidden="1">"c7939"</definedName>
    <definedName name="IQ_ECO_METRIC_7939_UNUSED_UNUSED_UNUSED" hidden="1">"c7939"</definedName>
    <definedName name="IQ_ECO_METRIC_7940" hidden="1">"c7940"</definedName>
    <definedName name="IQ_ECO_METRIC_7941" hidden="1">"c7941"</definedName>
    <definedName name="IQ_ECO_METRIC_7942" hidden="1">"c7942"</definedName>
    <definedName name="IQ_ECO_METRIC_7943" hidden="1">"c7943"</definedName>
    <definedName name="IQ_ECO_METRIC_7944" hidden="1">"c7944"</definedName>
    <definedName name="IQ_ECO_METRIC_7945" hidden="1">"c7945"</definedName>
    <definedName name="IQ_ECO_METRIC_7946" hidden="1">"c7946"</definedName>
    <definedName name="IQ_ECO_METRIC_7947" hidden="1">"c7947"</definedName>
    <definedName name="IQ_ECO_METRIC_7948" hidden="1">"c7948"</definedName>
    <definedName name="IQ_ECO_METRIC_7949" hidden="1">"c7949"</definedName>
    <definedName name="IQ_ECO_METRIC_7950" hidden="1">"c7950"</definedName>
    <definedName name="IQ_ECO_METRIC_7951" hidden="1">"c7951"</definedName>
    <definedName name="IQ_ECO_METRIC_7952" hidden="1">"c7952"</definedName>
    <definedName name="IQ_ECO_METRIC_7953" hidden="1">"c7953"</definedName>
    <definedName name="IQ_ECO_METRIC_7954" hidden="1">"c7954"</definedName>
    <definedName name="IQ_ECO_METRIC_7955" hidden="1">"c7955"</definedName>
    <definedName name="IQ_ECO_METRIC_7956" hidden="1">"c7956"</definedName>
    <definedName name="IQ_ECO_METRIC_7957" hidden="1">"c7957"</definedName>
    <definedName name="IQ_ECO_METRIC_7958" hidden="1">"c7958"</definedName>
    <definedName name="IQ_ECO_METRIC_7959" hidden="1">"c7959"</definedName>
    <definedName name="IQ_ECO_METRIC_7960" hidden="1">"c7960"</definedName>
    <definedName name="IQ_ECO_METRIC_7961" hidden="1">"c7961"</definedName>
    <definedName name="IQ_ECO_METRIC_7962" hidden="1">"c7962"</definedName>
    <definedName name="IQ_ECO_METRIC_7963" hidden="1">"c7963"</definedName>
    <definedName name="IQ_ECO_METRIC_7964" hidden="1">"c7964"</definedName>
    <definedName name="IQ_ECO_METRIC_7965" hidden="1">"c7965"</definedName>
    <definedName name="IQ_ECO_METRIC_7966" hidden="1">"c7966"</definedName>
    <definedName name="IQ_ECO_METRIC_7967" hidden="1">"c7967"</definedName>
    <definedName name="IQ_ECO_METRIC_7968" hidden="1">"c7968"</definedName>
    <definedName name="IQ_ECO_METRIC_7969" hidden="1">"c7969"</definedName>
    <definedName name="IQ_ECO_METRIC_7970" hidden="1">"c7970"</definedName>
    <definedName name="IQ_ECO_METRIC_7971" hidden="1">"c7971"</definedName>
    <definedName name="IQ_ECO_METRIC_7972" hidden="1">"c7972"</definedName>
    <definedName name="IQ_ECO_METRIC_7973" hidden="1">"c7973"</definedName>
    <definedName name="IQ_ECO_METRIC_7974" hidden="1">"c7974"</definedName>
    <definedName name="IQ_ECO_METRIC_7975" hidden="1">"c7975"</definedName>
    <definedName name="IQ_ECO_METRIC_7976" hidden="1">"c7976"</definedName>
    <definedName name="IQ_ECO_METRIC_7977" hidden="1">"c7977"</definedName>
    <definedName name="IQ_ECO_METRIC_7978" hidden="1">"c7978"</definedName>
    <definedName name="IQ_ECO_METRIC_7979" hidden="1">"c7979"</definedName>
    <definedName name="IQ_ECO_METRIC_7980" hidden="1">"c7980"</definedName>
    <definedName name="IQ_ECO_METRIC_7981" hidden="1">"c7981"</definedName>
    <definedName name="IQ_ECO_METRIC_7982" hidden="1">"c7982"</definedName>
    <definedName name="IQ_ECO_METRIC_7983" hidden="1">"c7983"</definedName>
    <definedName name="IQ_ECO_METRIC_7984" hidden="1">"c7984"</definedName>
    <definedName name="IQ_ECO_METRIC_7985" hidden="1">"c7985"</definedName>
    <definedName name="IQ_ECO_METRIC_7986" hidden="1">"c7986"</definedName>
    <definedName name="IQ_ECO_METRIC_7987" hidden="1">"c7987"</definedName>
    <definedName name="IQ_ECO_METRIC_7988" hidden="1">"c7988"</definedName>
    <definedName name="IQ_ECO_METRIC_7989" hidden="1">"c7989"</definedName>
    <definedName name="IQ_ECO_METRIC_7990" hidden="1">"c7990"</definedName>
    <definedName name="IQ_ECO_METRIC_7991" hidden="1">"c7991"</definedName>
    <definedName name="IQ_ECO_METRIC_7992" hidden="1">"c7992"</definedName>
    <definedName name="IQ_ECO_METRIC_7993" hidden="1">"c7993"</definedName>
    <definedName name="IQ_ECO_METRIC_7994" hidden="1">"c7994"</definedName>
    <definedName name="IQ_ECO_METRIC_7995" hidden="1">"c7995"</definedName>
    <definedName name="IQ_ECO_METRIC_7996" hidden="1">"c7996"</definedName>
    <definedName name="IQ_ECO_METRIC_7996_UNUSED_UNUSED_UNUSED" hidden="1">"c7996"</definedName>
    <definedName name="IQ_ECO_METRIC_7997" hidden="1">"c7997"</definedName>
    <definedName name="IQ_ECO_METRIC_7997_UNUSED_UNUSED_UNUSED" hidden="1">"c7997"</definedName>
    <definedName name="IQ_ECO_METRIC_7999" hidden="1">"c7999"</definedName>
    <definedName name="IQ_ECO_METRIC_8000" hidden="1">"c8000"</definedName>
    <definedName name="IQ_ECO_METRIC_8001" hidden="1">"c8001"</definedName>
    <definedName name="IQ_ECO_METRIC_8002" hidden="1">"c8002"</definedName>
    <definedName name="IQ_ECO_METRIC_8003" hidden="1">"c8003"</definedName>
    <definedName name="IQ_ECO_METRIC_8004" hidden="1">"c8004"</definedName>
    <definedName name="IQ_ECO_METRIC_8005" hidden="1">"c8005"</definedName>
    <definedName name="IQ_ECO_METRIC_8006" hidden="1">"c8006"</definedName>
    <definedName name="IQ_ECO_METRIC_8007" hidden="1">"c8007"</definedName>
    <definedName name="IQ_ECO_METRIC_8008" hidden="1">"c8008"</definedName>
    <definedName name="IQ_ECO_METRIC_8009" hidden="1">"c8009"</definedName>
    <definedName name="IQ_ECO_METRIC_8010" hidden="1">"c8010"</definedName>
    <definedName name="IQ_ECO_METRIC_8011" hidden="1">"c8011"</definedName>
    <definedName name="IQ_ECO_METRIC_8012" hidden="1">"c8012"</definedName>
    <definedName name="IQ_ECO_METRIC_8013" hidden="1">"c8013"</definedName>
    <definedName name="IQ_ECO_METRIC_8014" hidden="1">"c8014"</definedName>
    <definedName name="IQ_ECO_METRIC_8015" hidden="1">"c8015"</definedName>
    <definedName name="IQ_ECO_METRIC_8016" hidden="1">"c8016"</definedName>
    <definedName name="IQ_ECO_METRIC_8017" hidden="1">"c8017"</definedName>
    <definedName name="IQ_ECO_METRIC_8018" hidden="1">"c8018"</definedName>
    <definedName name="IQ_ECO_METRIC_8019" hidden="1">"c8019"</definedName>
    <definedName name="IQ_ECO_METRIC_8020" hidden="1">"c8020"</definedName>
    <definedName name="IQ_ECO_METRIC_8021" hidden="1">"c8021"</definedName>
    <definedName name="IQ_ECO_METRIC_8022" hidden="1">"c8022"</definedName>
    <definedName name="IQ_ECO_METRIC_8023" hidden="1">"c8023"</definedName>
    <definedName name="IQ_ECO_METRIC_8024" hidden="1">"c8024"</definedName>
    <definedName name="IQ_ECO_METRIC_8025" hidden="1">"c8025"</definedName>
    <definedName name="IQ_ECO_METRIC_8026" hidden="1">"c8026"</definedName>
    <definedName name="IQ_ECO_METRIC_8028" hidden="1">"c8028"</definedName>
    <definedName name="IQ_ECO_METRIC_8029" hidden="1">"c8029"</definedName>
    <definedName name="IQ_ECO_METRIC_8030" hidden="1">"c8030"</definedName>
    <definedName name="IQ_ECO_METRIC_8032" hidden="1">"c8032"</definedName>
    <definedName name="IQ_ECO_METRIC_8033" hidden="1">"c8033"</definedName>
    <definedName name="IQ_ECO_METRIC_8034" hidden="1">"c8034"</definedName>
    <definedName name="IQ_ECO_METRIC_8035" hidden="1">"c8035"</definedName>
    <definedName name="IQ_ECO_METRIC_8036" hidden="1">"c8036"</definedName>
    <definedName name="IQ_ECO_METRIC_8037" hidden="1">"c8037"</definedName>
    <definedName name="IQ_ECO_METRIC_8038" hidden="1">"c8038"</definedName>
    <definedName name="IQ_ECO_METRIC_8039" hidden="1">"c8039"</definedName>
    <definedName name="IQ_ECO_METRIC_8040" hidden="1">"c8040"</definedName>
    <definedName name="IQ_ECO_METRIC_8041" hidden="1">"c8041"</definedName>
    <definedName name="IQ_ECO_METRIC_8042" hidden="1">"c8042"</definedName>
    <definedName name="IQ_ECO_METRIC_8043" hidden="1">"c8043"</definedName>
    <definedName name="IQ_ECO_METRIC_8044" hidden="1">"c8044"</definedName>
    <definedName name="IQ_ECO_METRIC_8045" hidden="1">"c8045"</definedName>
    <definedName name="IQ_ECO_METRIC_8046" hidden="1">"c8046"</definedName>
    <definedName name="IQ_ECO_METRIC_8047" hidden="1">"c8047"</definedName>
    <definedName name="IQ_ECO_METRIC_8048" hidden="1">"c8048"</definedName>
    <definedName name="IQ_ECO_METRIC_8049" hidden="1">"c8049"</definedName>
    <definedName name="IQ_ECO_METRIC_8050" hidden="1">"c8050"</definedName>
    <definedName name="IQ_ECO_METRIC_8051" hidden="1">"c8051"</definedName>
    <definedName name="IQ_ECO_METRIC_8052" hidden="1">"c8052"</definedName>
    <definedName name="IQ_ECO_METRIC_8053" hidden="1">"c8053"</definedName>
    <definedName name="IQ_ECO_METRIC_8054" hidden="1">"c8054"</definedName>
    <definedName name="IQ_ECO_METRIC_8055" hidden="1">"c8055"</definedName>
    <definedName name="IQ_ECO_METRIC_8056" hidden="1">"c8056"</definedName>
    <definedName name="IQ_ECO_METRIC_8057" hidden="1">"c8057"</definedName>
    <definedName name="IQ_ECO_METRIC_8058" hidden="1">"c8058"</definedName>
    <definedName name="IQ_ECO_METRIC_8059" hidden="1">"c8059"</definedName>
    <definedName name="IQ_ECO_METRIC_8060" hidden="1">"c8060"</definedName>
    <definedName name="IQ_ECO_METRIC_8062" hidden="1">"c8062"</definedName>
    <definedName name="IQ_ECO_METRIC_8063" hidden="1">"c8063"</definedName>
    <definedName name="IQ_ECO_METRIC_8064" hidden="1">"c8064"</definedName>
    <definedName name="IQ_ECO_METRIC_8065" hidden="1">"c8065"</definedName>
    <definedName name="IQ_ECO_METRIC_8066" hidden="1">"c8066"</definedName>
    <definedName name="IQ_ECO_METRIC_8067" hidden="1">"c8067"</definedName>
    <definedName name="IQ_ECO_METRIC_8068" hidden="1">"c8068"</definedName>
    <definedName name="IQ_ECO_METRIC_8069" hidden="1">"c8069"</definedName>
    <definedName name="IQ_ECO_METRIC_8070" hidden="1">"c8070"</definedName>
    <definedName name="IQ_ECO_METRIC_8071" hidden="1">"c8071"</definedName>
    <definedName name="IQ_ECO_METRIC_8072" hidden="1">"c8072"</definedName>
    <definedName name="IQ_ECO_METRIC_8073" hidden="1">"c8073"</definedName>
    <definedName name="IQ_ECO_METRIC_8074" hidden="1">"c8074"</definedName>
    <definedName name="IQ_ECO_METRIC_8075" hidden="1">"c8075"</definedName>
    <definedName name="IQ_ECO_METRIC_8076" hidden="1">"c8076"</definedName>
    <definedName name="IQ_ECO_METRIC_8077" hidden="1">"c8077"</definedName>
    <definedName name="IQ_ECO_METRIC_8078" hidden="1">"c8078"</definedName>
    <definedName name="IQ_ECO_METRIC_8079" hidden="1">"c8079"</definedName>
    <definedName name="IQ_ECO_METRIC_8080" hidden="1">"c8080"</definedName>
    <definedName name="IQ_ECO_METRIC_8081" hidden="1">"c8081"</definedName>
    <definedName name="IQ_ECO_METRIC_8082" hidden="1">"c8082"</definedName>
    <definedName name="IQ_ECO_METRIC_8083" hidden="1">"c8083"</definedName>
    <definedName name="IQ_ECO_METRIC_8084" hidden="1">"c8084"</definedName>
    <definedName name="IQ_ECO_METRIC_8085" hidden="1">"c8085"</definedName>
    <definedName name="IQ_ECO_METRIC_8086" hidden="1">"c8086"</definedName>
    <definedName name="IQ_ECO_METRIC_8087" hidden="1">"c8087"</definedName>
    <definedName name="IQ_ECO_METRIC_8088" hidden="1">"c8088"</definedName>
    <definedName name="IQ_ECO_METRIC_8088_UNUSED_UNUSED_UNUSED" hidden="1">"c8088"</definedName>
    <definedName name="IQ_ECO_METRIC_8089" hidden="1">"c8089"</definedName>
    <definedName name="IQ_ECO_METRIC_8090" hidden="1">"c8090"</definedName>
    <definedName name="IQ_ECO_METRIC_8091" hidden="1">"c8091"</definedName>
    <definedName name="IQ_ECO_METRIC_8092" hidden="1">"c8092"</definedName>
    <definedName name="IQ_ECO_METRIC_8094" hidden="1">"c8094"</definedName>
    <definedName name="IQ_ECO_METRIC_8095" hidden="1">"c8095"</definedName>
    <definedName name="IQ_ECO_METRIC_8096" hidden="1">"c8096"</definedName>
    <definedName name="IQ_ECO_METRIC_8097" hidden="1">"c8097"</definedName>
    <definedName name="IQ_ECO_METRIC_8098" hidden="1">"c8098"</definedName>
    <definedName name="IQ_ECO_METRIC_8100" hidden="1">"c8100"</definedName>
    <definedName name="IQ_ECO_METRIC_8101" hidden="1">"c8101"</definedName>
    <definedName name="IQ_ECO_METRIC_8102" hidden="1">"c8102"</definedName>
    <definedName name="IQ_ECO_METRIC_8103" hidden="1">"c8103"</definedName>
    <definedName name="IQ_ECO_METRIC_8104" hidden="1">"c8104"</definedName>
    <definedName name="IQ_ECO_METRIC_8105" hidden="1">"c8105"</definedName>
    <definedName name="IQ_ECO_METRIC_8106" hidden="1">"c8106"</definedName>
    <definedName name="IQ_ECO_METRIC_8107" hidden="1">"c8107"</definedName>
    <definedName name="IQ_ECO_METRIC_8108" hidden="1">"c8108"</definedName>
    <definedName name="IQ_ECO_METRIC_8109" hidden="1">"c8109"</definedName>
    <definedName name="IQ_ECO_METRIC_8110" hidden="1">"c8110"</definedName>
    <definedName name="IQ_ECO_METRIC_8111" hidden="1">"c8111"</definedName>
    <definedName name="IQ_ECO_METRIC_8112" hidden="1">"c8112"</definedName>
    <definedName name="IQ_ECO_METRIC_8113" hidden="1">"c8113"</definedName>
    <definedName name="IQ_ECO_METRIC_8115" hidden="1">"c8115"</definedName>
    <definedName name="IQ_ECO_METRIC_8116" hidden="1">"c8116"</definedName>
    <definedName name="IQ_ECO_METRIC_8117" hidden="1">"c8117"</definedName>
    <definedName name="IQ_ECO_METRIC_8118" hidden="1">"c8118"</definedName>
    <definedName name="IQ_ECO_METRIC_8119" hidden="1">"c8119"</definedName>
    <definedName name="IQ_ECO_METRIC_8120" hidden="1">"c8120"</definedName>
    <definedName name="IQ_ECO_METRIC_8121" hidden="1">"c8121"</definedName>
    <definedName name="IQ_ECO_METRIC_8123" hidden="1">"c8123"</definedName>
    <definedName name="IQ_ECO_METRIC_8124" hidden="1">"c8124"</definedName>
    <definedName name="IQ_ECO_METRIC_8125" hidden="1">"c8125"</definedName>
    <definedName name="IQ_ECO_METRIC_8126" hidden="1">"c8126"</definedName>
    <definedName name="IQ_ECO_METRIC_8127" hidden="1">"c8127"</definedName>
    <definedName name="IQ_ECO_METRIC_8128" hidden="1">"c8128"</definedName>
    <definedName name="IQ_ECO_METRIC_8129" hidden="1">"c8129"</definedName>
    <definedName name="IQ_ECO_METRIC_8130" hidden="1">"c8130"</definedName>
    <definedName name="IQ_ECO_METRIC_8131" hidden="1">"c8131"</definedName>
    <definedName name="IQ_ECO_METRIC_8132" hidden="1">"c8132"</definedName>
    <definedName name="IQ_ECO_METRIC_8133" hidden="1">"c8133"</definedName>
    <definedName name="IQ_ECO_METRIC_8134" hidden="1">"c8134"</definedName>
    <definedName name="IQ_ECO_METRIC_8135" hidden="1">"c8135"</definedName>
    <definedName name="IQ_ECO_METRIC_8136" hidden="1">"c8136"</definedName>
    <definedName name="IQ_ECO_METRIC_8137" hidden="1">"c8137"</definedName>
    <definedName name="IQ_ECO_METRIC_8138" hidden="1">"c8138"</definedName>
    <definedName name="IQ_ECO_METRIC_8139" hidden="1">"c8139"</definedName>
    <definedName name="IQ_ECO_METRIC_8140" hidden="1">"c8140"</definedName>
    <definedName name="IQ_ECO_METRIC_8141" hidden="1">"c8141"</definedName>
    <definedName name="IQ_ECO_METRIC_8142" hidden="1">"c8142"</definedName>
    <definedName name="IQ_ECO_METRIC_8143" hidden="1">"c8143"</definedName>
    <definedName name="IQ_ECO_METRIC_8145" hidden="1">"c8145"</definedName>
    <definedName name="IQ_ECO_METRIC_8145_UNUSED_UNUSED_UNUSED" hidden="1">"c8145"</definedName>
    <definedName name="IQ_ECO_METRIC_8147" hidden="1">"c8147"</definedName>
    <definedName name="IQ_ECO_METRIC_8148" hidden="1">"c8148"</definedName>
    <definedName name="IQ_ECO_METRIC_8149" hidden="1">"c8149"</definedName>
    <definedName name="IQ_ECO_METRIC_8150" hidden="1">"c8150"</definedName>
    <definedName name="IQ_ECO_METRIC_8152" hidden="1">"c8152"</definedName>
    <definedName name="IQ_ECO_METRIC_8153" hidden="1">"c8153"</definedName>
    <definedName name="IQ_ECO_METRIC_8154" hidden="1">"c8154"</definedName>
    <definedName name="IQ_ECO_METRIC_8155" hidden="1">"c8155"</definedName>
    <definedName name="IQ_ECO_METRIC_8156" hidden="1">"c8156"</definedName>
    <definedName name="IQ_ECO_METRIC_8157" hidden="1">"c8157"</definedName>
    <definedName name="IQ_ECO_METRIC_8159" hidden="1">"c8159"</definedName>
    <definedName name="IQ_ECO_METRIC_8159_UNUSED_UNUSED_UNUSED" hidden="1">"c8159"</definedName>
    <definedName name="IQ_ECO_METRIC_8160" hidden="1">"c8160"</definedName>
    <definedName name="IQ_ECO_METRIC_8161" hidden="1">"c8161"</definedName>
    <definedName name="IQ_ECO_METRIC_8162" hidden="1">"c8162"</definedName>
    <definedName name="IQ_ECO_METRIC_8163" hidden="1">"c8163"</definedName>
    <definedName name="IQ_ECO_METRIC_8164" hidden="1">"c8164"</definedName>
    <definedName name="IQ_ECO_METRIC_8165" hidden="1">"c8165"</definedName>
    <definedName name="IQ_ECO_METRIC_8166" hidden="1">"c8166"</definedName>
    <definedName name="IQ_ECO_METRIC_8167" hidden="1">"c8167"</definedName>
    <definedName name="IQ_ECO_METRIC_8168" hidden="1">"c8168"</definedName>
    <definedName name="IQ_ECO_METRIC_8169" hidden="1">"c8169"</definedName>
    <definedName name="IQ_ECO_METRIC_8170" hidden="1">"c8170"</definedName>
    <definedName name="IQ_ECO_METRIC_8171" hidden="1">"c8171"</definedName>
    <definedName name="IQ_ECO_METRIC_8172" hidden="1">"c8172"</definedName>
    <definedName name="IQ_ECO_METRIC_8173" hidden="1">"c8173"</definedName>
    <definedName name="IQ_ECO_METRIC_8174" hidden="1">"c8174"</definedName>
    <definedName name="IQ_ECO_METRIC_8175" hidden="1">"c8175"</definedName>
    <definedName name="IQ_ECO_METRIC_8176" hidden="1">"c8176"</definedName>
    <definedName name="IQ_ECO_METRIC_8177" hidden="1">"c8177"</definedName>
    <definedName name="IQ_ECO_METRIC_8178" hidden="1">"c8178"</definedName>
    <definedName name="IQ_ECO_METRIC_8179" hidden="1">"c8179"</definedName>
    <definedName name="IQ_ECO_METRIC_8180" hidden="1">"c8180"</definedName>
    <definedName name="IQ_ECO_METRIC_8181" hidden="1">"c8181"</definedName>
    <definedName name="IQ_ECO_METRIC_8182" hidden="1">"c8182"</definedName>
    <definedName name="IQ_ECO_METRIC_8183" hidden="1">"c8183"</definedName>
    <definedName name="IQ_ECO_METRIC_8184" hidden="1">"c8184"</definedName>
    <definedName name="IQ_ECO_METRIC_8185" hidden="1">"c8185"</definedName>
    <definedName name="IQ_ECO_METRIC_8186" hidden="1">"c8186"</definedName>
    <definedName name="IQ_ECO_METRIC_8187" hidden="1">"c8187"</definedName>
    <definedName name="IQ_ECO_METRIC_8188" hidden="1">"c8188"</definedName>
    <definedName name="IQ_ECO_METRIC_8189" hidden="1">"c8189"</definedName>
    <definedName name="IQ_ECO_METRIC_8190" hidden="1">"c8190"</definedName>
    <definedName name="IQ_ECO_METRIC_8191" hidden="1">"c8191"</definedName>
    <definedName name="IQ_ECO_METRIC_8192" hidden="1">"c8192"</definedName>
    <definedName name="IQ_ECO_METRIC_8193" hidden="1">"c8193"</definedName>
    <definedName name="IQ_ECO_METRIC_8194" hidden="1">"c8194"</definedName>
    <definedName name="IQ_ECO_METRIC_8195" hidden="1">"c8195"</definedName>
    <definedName name="IQ_ECO_METRIC_8196" hidden="1">"c8196"</definedName>
    <definedName name="IQ_ECO_METRIC_8197" hidden="1">"c8197"</definedName>
    <definedName name="IQ_ECO_METRIC_8198" hidden="1">"c8198"</definedName>
    <definedName name="IQ_ECO_METRIC_8199" hidden="1">"c8199"</definedName>
    <definedName name="IQ_ECO_METRIC_8200" hidden="1">"c8200"</definedName>
    <definedName name="IQ_ECO_METRIC_8201" hidden="1">"c8201"</definedName>
    <definedName name="IQ_ECO_METRIC_8202" hidden="1">"c8202"</definedName>
    <definedName name="IQ_ECO_METRIC_8203" hidden="1">"c8203"</definedName>
    <definedName name="IQ_ECO_METRIC_8204" hidden="1">"c8204"</definedName>
    <definedName name="IQ_ECO_METRIC_8205" hidden="1">"c8205"</definedName>
    <definedName name="IQ_ECO_METRIC_8206" hidden="1">"c8206"</definedName>
    <definedName name="IQ_ECO_METRIC_8207" hidden="1">"c8207"</definedName>
    <definedName name="IQ_ECO_METRIC_8208" hidden="1">"c8208"</definedName>
    <definedName name="IQ_ECO_METRIC_8209" hidden="1">"c8209"</definedName>
    <definedName name="IQ_ECO_METRIC_8210" hidden="1">"c8210"</definedName>
    <definedName name="IQ_ECO_METRIC_8211" hidden="1">"c8211"</definedName>
    <definedName name="IQ_ECO_METRIC_8212" hidden="1">"c8212"</definedName>
    <definedName name="IQ_ECO_METRIC_8213" hidden="1">"c8213"</definedName>
    <definedName name="IQ_ECO_METRIC_8214" hidden="1">"c8214"</definedName>
    <definedName name="IQ_ECO_METRIC_8215" hidden="1">"c8215"</definedName>
    <definedName name="IQ_ECO_METRIC_8216" hidden="1">"c8216"</definedName>
    <definedName name="IQ_ECO_METRIC_8216_UNUSED_UNUSED_UNUSED" hidden="1">"c8216"</definedName>
    <definedName name="IQ_ECO_METRIC_8217" hidden="1">"c8217"</definedName>
    <definedName name="IQ_ECO_METRIC_8217_UNUSED_UNUSED_UNUSED" hidden="1">"c8217"</definedName>
    <definedName name="IQ_ECO_METRIC_8219" hidden="1">"c8219"</definedName>
    <definedName name="IQ_ECO_METRIC_8221" hidden="1">"c8221"</definedName>
    <definedName name="IQ_ECO_METRIC_8222" hidden="1">"c8222"</definedName>
    <definedName name="IQ_ECO_METRIC_8223" hidden="1">"c8223"</definedName>
    <definedName name="IQ_ECO_METRIC_8224" hidden="1">"c8224"</definedName>
    <definedName name="IQ_ECO_METRIC_8225" hidden="1">"c8225"</definedName>
    <definedName name="IQ_ECO_METRIC_8226" hidden="1">"c8226"</definedName>
    <definedName name="IQ_ECO_METRIC_8227" hidden="1">"c8227"</definedName>
    <definedName name="IQ_ECO_METRIC_8228" hidden="1">"c8228"</definedName>
    <definedName name="IQ_ECO_METRIC_8229" hidden="1">"c8229"</definedName>
    <definedName name="IQ_ECO_METRIC_8230" hidden="1">"c8230"</definedName>
    <definedName name="IQ_ECO_METRIC_8231" hidden="1">"c8231"</definedName>
    <definedName name="IQ_ECO_METRIC_8232" hidden="1">"c8232"</definedName>
    <definedName name="IQ_ECO_METRIC_8233" hidden="1">"c8233"</definedName>
    <definedName name="IQ_ECO_METRIC_8234" hidden="1">"c8234"</definedName>
    <definedName name="IQ_ECO_METRIC_8235" hidden="1">"c8235"</definedName>
    <definedName name="IQ_ECO_METRIC_8236" hidden="1">"c8236"</definedName>
    <definedName name="IQ_ECO_METRIC_8237" hidden="1">"c8237"</definedName>
    <definedName name="IQ_ECO_METRIC_8238" hidden="1">"c8238"</definedName>
    <definedName name="IQ_ECO_METRIC_8239" hidden="1">"c8239"</definedName>
    <definedName name="IQ_ECO_METRIC_8240" hidden="1">"c8240"</definedName>
    <definedName name="IQ_ECO_METRIC_8241" hidden="1">"c8241"</definedName>
    <definedName name="IQ_ECO_METRIC_8242" hidden="1">"c8242"</definedName>
    <definedName name="IQ_ECO_METRIC_8243" hidden="1">"c8243"</definedName>
    <definedName name="IQ_ECO_METRIC_8244" hidden="1">"c8244"</definedName>
    <definedName name="IQ_ECO_METRIC_8245" hidden="1">"c8245"</definedName>
    <definedName name="IQ_ECO_METRIC_8246" hidden="1">"c8246"</definedName>
    <definedName name="IQ_ECO_METRIC_8248" hidden="1">"c8248"</definedName>
    <definedName name="IQ_ECO_METRIC_8249" hidden="1">"c8249"</definedName>
    <definedName name="IQ_ECO_METRIC_8250" hidden="1">"c8250"</definedName>
    <definedName name="IQ_ECO_METRIC_8252" hidden="1">"c8252"</definedName>
    <definedName name="IQ_ECO_METRIC_8253" hidden="1">"c8253"</definedName>
    <definedName name="IQ_ECO_METRIC_8254" hidden="1">"c8254"</definedName>
    <definedName name="IQ_ECO_METRIC_8255" hidden="1">"c8255"</definedName>
    <definedName name="IQ_ECO_METRIC_8256" hidden="1">"c8256"</definedName>
    <definedName name="IQ_ECO_METRIC_8257" hidden="1">"c8257"</definedName>
    <definedName name="IQ_ECO_METRIC_8258" hidden="1">"c8258"</definedName>
    <definedName name="IQ_ECO_METRIC_8259" hidden="1">"c8259"</definedName>
    <definedName name="IQ_ECO_METRIC_8260" hidden="1">"c8260"</definedName>
    <definedName name="IQ_ECO_METRIC_8261" hidden="1">"c8261"</definedName>
    <definedName name="IQ_ECO_METRIC_8262" hidden="1">"c8262"</definedName>
    <definedName name="IQ_ECO_METRIC_8263" hidden="1">"c8263"</definedName>
    <definedName name="IQ_ECO_METRIC_8264" hidden="1">"c8264"</definedName>
    <definedName name="IQ_ECO_METRIC_8265" hidden="1">"c8265"</definedName>
    <definedName name="IQ_ECO_METRIC_8266" hidden="1">"c8266"</definedName>
    <definedName name="IQ_ECO_METRIC_8267" hidden="1">"c8267"</definedName>
    <definedName name="IQ_ECO_METRIC_8268" hidden="1">"c8268"</definedName>
    <definedName name="IQ_ECO_METRIC_8269" hidden="1">"c8269"</definedName>
    <definedName name="IQ_ECO_METRIC_8270" hidden="1">"c8270"</definedName>
    <definedName name="IQ_ECO_METRIC_8271" hidden="1">"c8271"</definedName>
    <definedName name="IQ_ECO_METRIC_8272" hidden="1">"c8272"</definedName>
    <definedName name="IQ_ECO_METRIC_8273" hidden="1">"c8273"</definedName>
    <definedName name="IQ_ECO_METRIC_8274" hidden="1">"c8274"</definedName>
    <definedName name="IQ_ECO_METRIC_8275" hidden="1">"c8275"</definedName>
    <definedName name="IQ_ECO_METRIC_8276" hidden="1">"c8276"</definedName>
    <definedName name="IQ_ECO_METRIC_8277" hidden="1">"c8277"</definedName>
    <definedName name="IQ_ECO_METRIC_8278" hidden="1">"c8278"</definedName>
    <definedName name="IQ_ECO_METRIC_8279" hidden="1">"c8279"</definedName>
    <definedName name="IQ_ECO_METRIC_8280" hidden="1">"c8280"</definedName>
    <definedName name="IQ_ECO_METRIC_8282" hidden="1">"c8282"</definedName>
    <definedName name="IQ_ECO_METRIC_8283" hidden="1">"c8283"</definedName>
    <definedName name="IQ_ECO_METRIC_8284" hidden="1">"c8284"</definedName>
    <definedName name="IQ_ECO_METRIC_8285" hidden="1">"c8285"</definedName>
    <definedName name="IQ_ECO_METRIC_8286" hidden="1">"c8286"</definedName>
    <definedName name="IQ_ECO_METRIC_8287" hidden="1">"c8287"</definedName>
    <definedName name="IQ_ECO_METRIC_8288" hidden="1">"c8288"</definedName>
    <definedName name="IQ_ECO_METRIC_8289" hidden="1">"c8289"</definedName>
    <definedName name="IQ_ECO_METRIC_8290" hidden="1">"c8290"</definedName>
    <definedName name="IQ_ECO_METRIC_8291" hidden="1">"c8291"</definedName>
    <definedName name="IQ_ECO_METRIC_8292" hidden="1">"c8292"</definedName>
    <definedName name="IQ_ECO_METRIC_8293" hidden="1">"c8293"</definedName>
    <definedName name="IQ_ECO_METRIC_8294" hidden="1">"c8294"</definedName>
    <definedName name="IQ_ECO_METRIC_8295" hidden="1">"c8295"</definedName>
    <definedName name="IQ_ECO_METRIC_8296" hidden="1">"c8296"</definedName>
    <definedName name="IQ_ECO_METRIC_8297" hidden="1">"c8297"</definedName>
    <definedName name="IQ_ECO_METRIC_8298" hidden="1">"c8298"</definedName>
    <definedName name="IQ_ECO_METRIC_8299" hidden="1">"c8299"</definedName>
    <definedName name="IQ_ECO_METRIC_8300" hidden="1">"c8300"</definedName>
    <definedName name="IQ_ECO_METRIC_8301" hidden="1">"c8301"</definedName>
    <definedName name="IQ_ECO_METRIC_8302" hidden="1">"c8302"</definedName>
    <definedName name="IQ_ECO_METRIC_8303" hidden="1">"c8303"</definedName>
    <definedName name="IQ_ECO_METRIC_8304" hidden="1">"c8304"</definedName>
    <definedName name="IQ_ECO_METRIC_8305" hidden="1">"c8305"</definedName>
    <definedName name="IQ_ECO_METRIC_8306" hidden="1">"c8306"</definedName>
    <definedName name="IQ_ECO_METRIC_8307" hidden="1">"c8307"</definedName>
    <definedName name="IQ_ECO_METRIC_8308" hidden="1">"c8308"</definedName>
    <definedName name="IQ_ECO_METRIC_8308_UNUSED_UNUSED_UNUSED" hidden="1">"c8308"</definedName>
    <definedName name="IQ_ECO_METRIC_8309" hidden="1">"c8309"</definedName>
    <definedName name="IQ_ECO_METRIC_8310" hidden="1">"c8310"</definedName>
    <definedName name="IQ_ECO_METRIC_8311" hidden="1">"c8311"</definedName>
    <definedName name="IQ_ECO_METRIC_8312" hidden="1">"c8312"</definedName>
    <definedName name="IQ_ECO_METRIC_8314" hidden="1">"c8314"</definedName>
    <definedName name="IQ_ECO_METRIC_8315" hidden="1">"c8315"</definedName>
    <definedName name="IQ_ECO_METRIC_8316" hidden="1">"c8316"</definedName>
    <definedName name="IQ_ECO_METRIC_8317" hidden="1">"c8317"</definedName>
    <definedName name="IQ_ECO_METRIC_8318" hidden="1">"c8318"</definedName>
    <definedName name="IQ_ECO_METRIC_8320" hidden="1">"c8320"</definedName>
    <definedName name="IQ_ECO_METRIC_8321" hidden="1">"c8321"</definedName>
    <definedName name="IQ_ECO_METRIC_8322" hidden="1">"c8322"</definedName>
    <definedName name="IQ_ECO_METRIC_8323" hidden="1">"c8323"</definedName>
    <definedName name="IQ_ECO_METRIC_8324" hidden="1">"c8324"</definedName>
    <definedName name="IQ_ECO_METRIC_8325" hidden="1">"c8325"</definedName>
    <definedName name="IQ_ECO_METRIC_8326" hidden="1">"c8326"</definedName>
    <definedName name="IQ_ECO_METRIC_8327" hidden="1">"c8327"</definedName>
    <definedName name="IQ_ECO_METRIC_8328" hidden="1">"c8328"</definedName>
    <definedName name="IQ_ECO_METRIC_8329" hidden="1">"c8329"</definedName>
    <definedName name="IQ_ECO_METRIC_8330" hidden="1">"c8330"</definedName>
    <definedName name="IQ_ECO_METRIC_8331" hidden="1">"c8331"</definedName>
    <definedName name="IQ_ECO_METRIC_8332" hidden="1">"c8332"</definedName>
    <definedName name="IQ_ECO_METRIC_8333" hidden="1">"c8333"</definedName>
    <definedName name="IQ_ECO_METRIC_8335" hidden="1">"c8335"</definedName>
    <definedName name="IQ_ECO_METRIC_8336" hidden="1">"c8336"</definedName>
    <definedName name="IQ_ECO_METRIC_8337" hidden="1">"c8337"</definedName>
    <definedName name="IQ_ECO_METRIC_8338" hidden="1">"c8338"</definedName>
    <definedName name="IQ_ECO_METRIC_8339" hidden="1">"c8339"</definedName>
    <definedName name="IQ_ECO_METRIC_8340" hidden="1">"c8340"</definedName>
    <definedName name="IQ_ECO_METRIC_8341" hidden="1">"c8341"</definedName>
    <definedName name="IQ_ECO_METRIC_8343" hidden="1">"c8343"</definedName>
    <definedName name="IQ_ECO_METRIC_8344" hidden="1">"c8344"</definedName>
    <definedName name="IQ_ECO_METRIC_8345" hidden="1">"c8345"</definedName>
    <definedName name="IQ_ECO_METRIC_8346" hidden="1">"c8346"</definedName>
    <definedName name="IQ_ECO_METRIC_8347" hidden="1">"c8347"</definedName>
    <definedName name="IQ_ECO_METRIC_8348" hidden="1">"c8348"</definedName>
    <definedName name="IQ_ECO_METRIC_8349" hidden="1">"c8349"</definedName>
    <definedName name="IQ_ECO_METRIC_8350" hidden="1">"c8350"</definedName>
    <definedName name="IQ_ECO_METRIC_8352" hidden="1">"c8352"</definedName>
    <definedName name="IQ_ECO_METRIC_8353" hidden="1">"c8353"</definedName>
    <definedName name="IQ_ECO_METRIC_8354" hidden="1">"c8354"</definedName>
    <definedName name="IQ_ECO_METRIC_8355" hidden="1">"c8355"</definedName>
    <definedName name="IQ_ECO_METRIC_8356" hidden="1">"c8356"</definedName>
    <definedName name="IQ_ECO_METRIC_8357" hidden="1">"c8357"</definedName>
    <definedName name="IQ_ECO_METRIC_8358" hidden="1">"c8358"</definedName>
    <definedName name="IQ_ECO_METRIC_8359" hidden="1">"c8359"</definedName>
    <definedName name="IQ_ECO_METRIC_8360" hidden="1">"c8360"</definedName>
    <definedName name="IQ_ECO_METRIC_8361" hidden="1">"c8361"</definedName>
    <definedName name="IQ_ECO_METRIC_8362" hidden="1">"c8362"</definedName>
    <definedName name="IQ_ECO_METRIC_8363" hidden="1">"c8363"</definedName>
    <definedName name="IQ_ECO_METRIC_8367" hidden="1">"c8367"</definedName>
    <definedName name="IQ_ECO_METRIC_8368" hidden="1">"c8368"</definedName>
    <definedName name="IQ_ECO_METRIC_8369" hidden="1">"c8369"</definedName>
    <definedName name="IQ_ECO_METRIC_8370" hidden="1">"c8370"</definedName>
    <definedName name="IQ_ECO_METRIC_8371" hidden="1">"c8371"</definedName>
    <definedName name="IQ_ECO_METRIC_8372" hidden="1">"c8372"</definedName>
    <definedName name="IQ_ECO_METRIC_8373" hidden="1">"c8373"</definedName>
    <definedName name="IQ_ECO_METRIC_8374" hidden="1">"c8374"</definedName>
    <definedName name="IQ_ECO_METRIC_8375" hidden="1">"c8375"</definedName>
    <definedName name="IQ_ECO_METRIC_8376" hidden="1">"c8376"</definedName>
    <definedName name="IQ_ECO_METRIC_8377" hidden="1">"c8377"</definedName>
    <definedName name="IQ_ECO_METRIC_8380" hidden="1">"c8380"</definedName>
    <definedName name="IQ_ECO_METRIC_8381" hidden="1">"c8381"</definedName>
    <definedName name="IQ_ECO_METRIC_8382" hidden="1">"c8382"</definedName>
    <definedName name="IQ_ECO_METRIC_8383" hidden="1">"c8383"</definedName>
    <definedName name="IQ_ECO_METRIC_8384" hidden="1">"c8384"</definedName>
    <definedName name="IQ_ECO_METRIC_8385" hidden="1">"c8385"</definedName>
    <definedName name="IQ_ECO_METRIC_8387" hidden="1">"c8387"</definedName>
    <definedName name="IQ_ECO_METRIC_8388" hidden="1">"c8388"</definedName>
    <definedName name="IQ_ECO_METRIC_8389" hidden="1">"c8389"</definedName>
    <definedName name="IQ_ECO_METRIC_8390" hidden="1">"c8390"</definedName>
    <definedName name="IQ_ECO_METRIC_8391" hidden="1">"c8391"</definedName>
    <definedName name="IQ_ECO_METRIC_8392" hidden="1">"c8392"</definedName>
    <definedName name="IQ_ECO_METRIC_8393" hidden="1">"c8393"</definedName>
    <definedName name="IQ_ECO_METRIC_8394" hidden="1">"c8394"</definedName>
    <definedName name="IQ_ECO_METRIC_8395" hidden="1">"c8395"</definedName>
    <definedName name="IQ_ECO_METRIC_8396" hidden="1">"c8396"</definedName>
    <definedName name="IQ_ECO_METRIC_8397" hidden="1">"c8397"</definedName>
    <definedName name="IQ_ECO_METRIC_8398" hidden="1">"c8398"</definedName>
    <definedName name="IQ_ECO_METRIC_8399" hidden="1">"c8399"</definedName>
    <definedName name="IQ_ECO_METRIC_8400" hidden="1">"c8400"</definedName>
    <definedName name="IQ_ECO_METRIC_8401" hidden="1">"c8401"</definedName>
    <definedName name="IQ_ECO_METRIC_8402" hidden="1">"c8402"</definedName>
    <definedName name="IQ_ECO_METRIC_8403" hidden="1">"c8403"</definedName>
    <definedName name="IQ_ECO_METRIC_8404" hidden="1">"c8404"</definedName>
    <definedName name="IQ_ECO_METRIC_8405" hidden="1">"c8405"</definedName>
    <definedName name="IQ_ECO_METRIC_8406" hidden="1">"c8406"</definedName>
    <definedName name="IQ_ECO_METRIC_8407" hidden="1">"c8407"</definedName>
    <definedName name="IQ_ECO_METRIC_8408" hidden="1">"c8408"</definedName>
    <definedName name="IQ_ECO_METRIC_8409" hidden="1">"c8409"</definedName>
    <definedName name="IQ_ECO_METRIC_8410" hidden="1">"c8410"</definedName>
    <definedName name="IQ_ECO_METRIC_8411" hidden="1">"c8411"</definedName>
    <definedName name="IQ_ECO_METRIC_8412" hidden="1">"c8412"</definedName>
    <definedName name="IQ_ECO_METRIC_8413" hidden="1">"c8413"</definedName>
    <definedName name="IQ_ECO_METRIC_8414" hidden="1">"c8414"</definedName>
    <definedName name="IQ_ECO_METRIC_8415" hidden="1">"c8415"</definedName>
    <definedName name="IQ_ECO_METRIC_8416" hidden="1">"c8416"</definedName>
    <definedName name="IQ_ECO_METRIC_8417" hidden="1">"c8417"</definedName>
    <definedName name="IQ_ECO_METRIC_8418" hidden="1">"c8418"</definedName>
    <definedName name="IQ_ECO_METRIC_8419" hidden="1">"c8419"</definedName>
    <definedName name="IQ_ECO_METRIC_8420" hidden="1">"c8420"</definedName>
    <definedName name="IQ_ECO_METRIC_8421" hidden="1">"c8421"</definedName>
    <definedName name="IQ_ECO_METRIC_8422" hidden="1">"c8422"</definedName>
    <definedName name="IQ_ECO_METRIC_8423" hidden="1">"c8423"</definedName>
    <definedName name="IQ_ECO_METRIC_8424" hidden="1">"c8424"</definedName>
    <definedName name="IQ_ECO_METRIC_8425" hidden="1">"c8425"</definedName>
    <definedName name="IQ_ECO_METRIC_8426" hidden="1">"c8426"</definedName>
    <definedName name="IQ_ECO_METRIC_8427" hidden="1">"c8427"</definedName>
    <definedName name="IQ_ECO_METRIC_8428" hidden="1">"c8428"</definedName>
    <definedName name="IQ_ECO_METRIC_8429" hidden="1">"c8429"</definedName>
    <definedName name="IQ_ECO_METRIC_8430" hidden="1">"c8430"</definedName>
    <definedName name="IQ_ECO_METRIC_8431" hidden="1">"c8431"</definedName>
    <definedName name="IQ_ECO_METRIC_8432" hidden="1">"c8432"</definedName>
    <definedName name="IQ_ECO_METRIC_8433" hidden="1">"c8433"</definedName>
    <definedName name="IQ_ECO_METRIC_8434" hidden="1">"c8434"</definedName>
    <definedName name="IQ_ECO_METRIC_8435" hidden="1">"c8435"</definedName>
    <definedName name="IQ_ECO_METRIC_8436" hidden="1">"c8436"</definedName>
    <definedName name="IQ_ECO_METRIC_8436_UNUSED_UNUSED_UNUSED" hidden="1">"c8436"</definedName>
    <definedName name="IQ_ECO_METRIC_8437" hidden="1">"c8437"</definedName>
    <definedName name="IQ_ECO_METRIC_8437_UNUSED_UNUSED_UNUSED" hidden="1">"c8437"</definedName>
    <definedName name="IQ_ECO_METRIC_8440" hidden="1">"c8440"</definedName>
    <definedName name="IQ_ECO_METRIC_8441" hidden="1">"c8441"</definedName>
    <definedName name="IQ_ECO_METRIC_8442" hidden="1">"c8442"</definedName>
    <definedName name="IQ_ECO_METRIC_8443" hidden="1">"c8443"</definedName>
    <definedName name="IQ_ECO_METRIC_8444" hidden="1">"c8444"</definedName>
    <definedName name="IQ_ECO_METRIC_8445" hidden="1">"c8445"</definedName>
    <definedName name="IQ_ECO_METRIC_8446" hidden="1">"c8446"</definedName>
    <definedName name="IQ_ECO_METRIC_8447" hidden="1">"c8447"</definedName>
    <definedName name="IQ_ECO_METRIC_8448" hidden="1">"c8448"</definedName>
    <definedName name="IQ_ECO_METRIC_8450" hidden="1">"c8450"</definedName>
    <definedName name="IQ_ECO_METRIC_8451" hidden="1">"c8451"</definedName>
    <definedName name="IQ_ECO_METRIC_8452" hidden="1">"c8452"</definedName>
    <definedName name="IQ_ECO_METRIC_8453" hidden="1">"c8453"</definedName>
    <definedName name="IQ_ECO_METRIC_8454" hidden="1">"c8454"</definedName>
    <definedName name="IQ_ECO_METRIC_8455" hidden="1">"c8455"</definedName>
    <definedName name="IQ_ECO_METRIC_8456" hidden="1">"c8456"</definedName>
    <definedName name="IQ_ECO_METRIC_8457" hidden="1">"c8457"</definedName>
    <definedName name="IQ_ECO_METRIC_8458" hidden="1">"c8458"</definedName>
    <definedName name="IQ_ECO_METRIC_8459" hidden="1">"c8459"</definedName>
    <definedName name="IQ_ECO_METRIC_8460" hidden="1">"c8460"</definedName>
    <definedName name="IQ_ECO_METRIC_8461" hidden="1">"c8461"</definedName>
    <definedName name="IQ_ECO_METRIC_8462" hidden="1">"c8462"</definedName>
    <definedName name="IQ_ECO_METRIC_8463" hidden="1">"c8463"</definedName>
    <definedName name="IQ_ECO_METRIC_8464" hidden="1">"c8464"</definedName>
    <definedName name="IQ_ECO_METRIC_8465" hidden="1">"c8465"</definedName>
    <definedName name="IQ_ECO_METRIC_8466" hidden="1">"c8466"</definedName>
    <definedName name="IQ_ECO_METRIC_8468" hidden="1">"c8468"</definedName>
    <definedName name="IQ_ECO_METRIC_8469" hidden="1">"c8469"</definedName>
    <definedName name="IQ_ECO_METRIC_8470" hidden="1">"c8470"</definedName>
    <definedName name="IQ_ECO_METRIC_8472" hidden="1">"c8472"</definedName>
    <definedName name="IQ_ECO_METRIC_8473" hidden="1">"c8473"</definedName>
    <definedName name="IQ_ECO_METRIC_8474" hidden="1">"c8474"</definedName>
    <definedName name="IQ_ECO_METRIC_8476" hidden="1">"c8476"</definedName>
    <definedName name="IQ_ECO_METRIC_8477" hidden="1">"c8477"</definedName>
    <definedName name="IQ_ECO_METRIC_8478" hidden="1">"c8478"</definedName>
    <definedName name="IQ_ECO_METRIC_8479" hidden="1">"c8479"</definedName>
    <definedName name="IQ_ECO_METRIC_8480" hidden="1">"c8480"</definedName>
    <definedName name="IQ_ECO_METRIC_8481" hidden="1">"c8481"</definedName>
    <definedName name="IQ_ECO_METRIC_8482" hidden="1">"c8482"</definedName>
    <definedName name="IQ_ECO_METRIC_8483" hidden="1">"c8483"</definedName>
    <definedName name="IQ_ECO_METRIC_8484" hidden="1">"c8484"</definedName>
    <definedName name="IQ_ECO_METRIC_8485" hidden="1">"c8485"</definedName>
    <definedName name="IQ_ECO_METRIC_8486" hidden="1">"c8486"</definedName>
    <definedName name="IQ_ECO_METRIC_8487" hidden="1">"c8487"</definedName>
    <definedName name="IQ_ECO_METRIC_8488" hidden="1">"c8488"</definedName>
    <definedName name="IQ_ECO_METRIC_8489" hidden="1">"c8489"</definedName>
    <definedName name="IQ_ECO_METRIC_8490" hidden="1">"c8490"</definedName>
    <definedName name="IQ_ECO_METRIC_8491" hidden="1">"c8491"</definedName>
    <definedName name="IQ_ECO_METRIC_8492" hidden="1">"c8492"</definedName>
    <definedName name="IQ_ECO_METRIC_8493" hidden="1">"c8493"</definedName>
    <definedName name="IQ_ECO_METRIC_8494" hidden="1">"c8494"</definedName>
    <definedName name="IQ_ECO_METRIC_8495" hidden="1">"c8495"</definedName>
    <definedName name="IQ_ECO_METRIC_8496" hidden="1">"c8496"</definedName>
    <definedName name="IQ_ECO_METRIC_8497" hidden="1">"c8497"</definedName>
    <definedName name="IQ_ECO_METRIC_8498" hidden="1">"c8498"</definedName>
    <definedName name="IQ_ECO_METRIC_8499" hidden="1">"c8499"</definedName>
    <definedName name="IQ_ECO_METRIC_8500" hidden="1">"c8500"</definedName>
    <definedName name="IQ_ECO_METRIC_8502" hidden="1">"c8502"</definedName>
    <definedName name="IQ_ECO_METRIC_8503" hidden="1">"c8503"</definedName>
    <definedName name="IQ_ECO_METRIC_8504" hidden="1">"c8504"</definedName>
    <definedName name="IQ_ECO_METRIC_8505" hidden="1">"c8505"</definedName>
    <definedName name="IQ_ECO_METRIC_8506" hidden="1">"c8506"</definedName>
    <definedName name="IQ_ECO_METRIC_8507" hidden="1">"c8507"</definedName>
    <definedName name="IQ_ECO_METRIC_8508" hidden="1">"c8508"</definedName>
    <definedName name="IQ_ECO_METRIC_8509" hidden="1">"c8509"</definedName>
    <definedName name="IQ_ECO_METRIC_8510" hidden="1">"c8510"</definedName>
    <definedName name="IQ_ECO_METRIC_8511" hidden="1">"c8511"</definedName>
    <definedName name="IQ_ECO_METRIC_8512" hidden="1">"c8512"</definedName>
    <definedName name="IQ_ECO_METRIC_8513" hidden="1">"c8513"</definedName>
    <definedName name="IQ_ECO_METRIC_8514" hidden="1">"c8514"</definedName>
    <definedName name="IQ_ECO_METRIC_8515" hidden="1">"c8515"</definedName>
    <definedName name="IQ_ECO_METRIC_8516" hidden="1">"c8516"</definedName>
    <definedName name="IQ_ECO_METRIC_8517" hidden="1">"c8517"</definedName>
    <definedName name="IQ_ECO_METRIC_8518" hidden="1">"c8518"</definedName>
    <definedName name="IQ_ECO_METRIC_8519" hidden="1">"c8519"</definedName>
    <definedName name="IQ_ECO_METRIC_8520" hidden="1">"c8520"</definedName>
    <definedName name="IQ_ECO_METRIC_8521" hidden="1">"c8521"</definedName>
    <definedName name="IQ_ECO_METRIC_8522" hidden="1">"c8522"</definedName>
    <definedName name="IQ_ECO_METRIC_8523" hidden="1">"c8523"</definedName>
    <definedName name="IQ_ECO_METRIC_8524" hidden="1">"c8524"</definedName>
    <definedName name="IQ_ECO_METRIC_8525" hidden="1">"c8525"</definedName>
    <definedName name="IQ_ECO_METRIC_8526" hidden="1">"c8526"</definedName>
    <definedName name="IQ_ECO_METRIC_8527" hidden="1">"c8527"</definedName>
    <definedName name="IQ_ECO_METRIC_8528" hidden="1">"c8528"</definedName>
    <definedName name="IQ_ECO_METRIC_8528_UNUSED_UNUSED_UNUSED" hidden="1">"c8528"</definedName>
    <definedName name="IQ_ECO_METRIC_8529" hidden="1">"c8529"</definedName>
    <definedName name="IQ_ECO_METRIC_8530" hidden="1">"c8530"</definedName>
    <definedName name="IQ_ECO_METRIC_8531" hidden="1">"c8531"</definedName>
    <definedName name="IQ_ECO_METRIC_8532" hidden="1">"c8532"</definedName>
    <definedName name="IQ_ECO_METRIC_8534" hidden="1">"c8534"</definedName>
    <definedName name="IQ_ECO_METRIC_8535" hidden="1">"c8535"</definedName>
    <definedName name="IQ_ECO_METRIC_8536" hidden="1">"c8536"</definedName>
    <definedName name="IQ_ECO_METRIC_8537" hidden="1">"c8537"</definedName>
    <definedName name="IQ_ECO_METRIC_8538" hidden="1">"c8538"</definedName>
    <definedName name="IQ_ECO_METRIC_8540" hidden="1">"c8540"</definedName>
    <definedName name="IQ_ECO_METRIC_8541" hidden="1">"c8541"</definedName>
    <definedName name="IQ_ECO_METRIC_8543" hidden="1">"c8543"</definedName>
    <definedName name="IQ_ECO_METRIC_8544" hidden="1">"c8544"</definedName>
    <definedName name="IQ_ECO_METRIC_8545" hidden="1">"c8545"</definedName>
    <definedName name="IQ_ECO_METRIC_8546" hidden="1">"c8546"</definedName>
    <definedName name="IQ_ECO_METRIC_8547" hidden="1">"c8547"</definedName>
    <definedName name="IQ_ECO_METRIC_8548" hidden="1">"c8548"</definedName>
    <definedName name="IQ_ECO_METRIC_8549" hidden="1">"c8549"</definedName>
    <definedName name="IQ_ECO_METRIC_8550" hidden="1">"c8550"</definedName>
    <definedName name="IQ_ECO_METRIC_8555" hidden="1">"c8555"</definedName>
    <definedName name="IQ_ECO_METRIC_8556" hidden="1">"c8556"</definedName>
    <definedName name="IQ_ECO_METRIC_8557" hidden="1">"c8557"</definedName>
    <definedName name="IQ_ECO_METRIC_8558" hidden="1">"c8558"</definedName>
    <definedName name="IQ_ECO_METRIC_8559" hidden="1">"c8559"</definedName>
    <definedName name="IQ_ECO_METRIC_8560" hidden="1">"c8560"</definedName>
    <definedName name="IQ_ECO_METRIC_8561" hidden="1">"c8561"</definedName>
    <definedName name="IQ_ECO_METRIC_8565" hidden="1">"c8565"</definedName>
    <definedName name="IQ_ECO_METRIC_8567" hidden="1">"c8567"</definedName>
    <definedName name="IQ_ECO_METRIC_8568" hidden="1">"c8568"</definedName>
    <definedName name="IQ_ECO_METRIC_8569" hidden="1">"c8569"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MPLOYEES" hidden="1">"c392"</definedName>
    <definedName name="IQ_ENTERPRISE_VALUE" hidden="1">"c84"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_REUT" hidden="1">"c5460"</definedName>
    <definedName name="IQ_EPS_EST" hidden="1">"c399"</definedName>
    <definedName name="IQ_EPS_EST_BOTTOM_UP_REUT" hidden="1">"c5497"</definedName>
    <definedName name="IQ_EPS_GW_ACT_OR_EST_REUT" hidden="1">"c5469"</definedName>
    <definedName name="IQ_EPS_GW_EST_BOTTOM_UP_REUT" hidden="1">"c5499"</definedName>
    <definedName name="IQ_EPS_HIGH_EST" hidden="1">"c400"</definedName>
    <definedName name="IQ_EPS_LOW_EST" hidden="1">"c401"</definedName>
    <definedName name="IQ_EPS_NORM" hidden="1">"c1902"</definedName>
    <definedName name="IQ_EPS_NORM_EST_BOTTOM_UP_REUT" hidden="1">"c5498"</definedName>
    <definedName name="IQ_EPS_NUM_EST" hidden="1">"c402"</definedName>
    <definedName name="IQ_EPS_REPORT_ACT_OR_EST_REUT" hidden="1">"c5470"</definedName>
    <definedName name="IQ_EPS_REPORTED_EST_BOTTOM_UP_REUT" hidden="1">"c5500"</definedName>
    <definedName name="IQ_EPS_STDDEV_EST" hidden="1">"c403"</definedName>
    <definedName name="IQ_EQUITY_AFFIL" hidden="1">"c552"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"c739"</definedName>
    <definedName name="IQ_ESOP_DEBT" hidden="1">"c1597"</definedName>
    <definedName name="IQ_EST_ACT_BV_SHARE_REUT" hidden="1">"c5445"</definedName>
    <definedName name="IQ_EST_ACT_CAPEX_REUT" hidden="1">"c3975"</definedName>
    <definedName name="IQ_EST_ACT_CFPS_REUT" hidden="1">"c3850"</definedName>
    <definedName name="IQ_EST_ACT_DPS_REUT" hidden="1">"c3857"</definedName>
    <definedName name="IQ_EST_ACT_EBIT_REUT" hidden="1">"c5339"</definedName>
    <definedName name="IQ_EST_ACT_EBITDA_REUT" hidden="1">"c3836"</definedName>
    <definedName name="IQ_EST_ACT_EPS" hidden="1">"c1648"</definedName>
    <definedName name="IQ_EST_ACT_EPS_REUT" hidden="1">"c5457"</definedName>
    <definedName name="IQ_EST_ACT_FFO_REUT" hidden="1">"c3843"</definedName>
    <definedName name="IQ_EST_ACT_FFO_SHARE_SHARE_THOM" hidden="1">"c4005"</definedName>
    <definedName name="IQ_EST_ACT_NAV_SHARE_REUT" hidden="1">"c5616"</definedName>
    <definedName name="IQ_EST_ACT_NET_DEBT_REUT" hidden="1">"c5446"</definedName>
    <definedName name="IQ_EST_ACT_NI_GW_REUT" hidden="1">"c5381"</definedName>
    <definedName name="IQ_EST_ACT_NI_REPORTED_REUT" hidden="1">"c5388"</definedName>
    <definedName name="IQ_EST_ACT_NI_REUT" hidden="1">"c5374"</definedName>
    <definedName name="IQ_EST_ACT_OPER_INC_REUT" hidden="1">"c5346"</definedName>
    <definedName name="IQ_EST_ACT_PRETAX_GW_INC_REUT" hidden="1">"c5360"</definedName>
    <definedName name="IQ_EST_ACT_PRETAX_INC_REUT" hidden="1">"c5353"</definedName>
    <definedName name="IQ_EST_ACT_PRETAX_REPORT_INC_REUT" hidden="1">"c5367"</definedName>
    <definedName name="IQ_EST_ACT_RETURN_ASSETS_REUT" hidden="1">"c3996"</definedName>
    <definedName name="IQ_EST_ACT_RETURN_EQUITY_REUT" hidden="1">"c3989"</definedName>
    <definedName name="IQ_EST_ACT_REV_REUT" hidden="1">"c3835"</definedName>
    <definedName name="IQ_EST_CAPEX_GROWTH_1YR_REUT" hidden="1">"c5447"</definedName>
    <definedName name="IQ_EST_CAPEX_GROWTH_2YR_REUT" hidden="1">"c5448"</definedName>
    <definedName name="IQ_EST_CAPEX_GROWTH_Q_1YR_REUT" hidden="1">"c5449"</definedName>
    <definedName name="IQ_EST_CAPEX_SEQ_GROWTH_Q_REUT" hidden="1">"c5450"</definedName>
    <definedName name="IQ_EST_CFPS_DIFF_REUT" hidden="1">"c3892"</definedName>
    <definedName name="IQ_EST_CFPS_GROWTH_1YR_REUT" hidden="1">"c3878"</definedName>
    <definedName name="IQ_EST_CFPS_GROWTH_2YR_REUT" hidden="1">"c3879"</definedName>
    <definedName name="IQ_EST_CFPS_GROWTH_Q_1YR_REUT" hidden="1">"c3880"</definedName>
    <definedName name="IQ_EST_CFPS_SEQ_GROWTH_Q_REUT" hidden="1">"c3881"</definedName>
    <definedName name="IQ_EST_CFPS_SURPRISE_PERCENT_REUT" hidden="1">"c3893"</definedName>
    <definedName name="IQ_EST_CURRENCY" hidden="1">"c2140"</definedName>
    <definedName name="IQ_EST_DATE" hidden="1">"c1634"</definedName>
    <definedName name="IQ_EST_DPS_DIFF_REUT" hidden="1">"c3894"</definedName>
    <definedName name="IQ_EST_DPS_GROWTH_1YR_REUT" hidden="1">"c3882"</definedName>
    <definedName name="IQ_EST_DPS_GROWTH_2YR_REUT" hidden="1">"c3883"</definedName>
    <definedName name="IQ_EST_DPS_GROWTH_Q_1YR_REUT" hidden="1">"c3884"</definedName>
    <definedName name="IQ_EST_DPS_SEQ_GROWTH_Q_REUT" hidden="1">"c3885"</definedName>
    <definedName name="IQ_EST_DPS_SURPRISE_PERCENT_REUT" hidden="1">"c3895"</definedName>
    <definedName name="IQ_EST_EBIT_DIFF_REUT" hidden="1">"c5413"</definedName>
    <definedName name="IQ_EST_EBIT_SURPRISE_PERCENT_REUT" hidden="1">"c5414"</definedName>
    <definedName name="IQ_EST_EBITDA_DIFF_REUT" hidden="1">"c3888"</definedName>
    <definedName name="IQ_EST_EBITDA_GROWTH_1YR_REUT" hidden="1">"c3864"</definedName>
    <definedName name="IQ_EST_EBITDA_GROWTH_2YR_REUT" hidden="1">"c3865"</definedName>
    <definedName name="IQ_EST_EBITDA_GROWTH_Q_1YR_REUT" hidden="1">"c3866"</definedName>
    <definedName name="IQ_EST_EBITDA_SEQ_GROWTH_Q_REUT" hidden="1">"c3867"</definedName>
    <definedName name="IQ_EST_EBITDA_SURPRISE_PERCENT_REUT" hidden="1">"c3889"</definedName>
    <definedName name="IQ_EST_EPS_DIFF_REUT" hidden="1">"c5458"</definedName>
    <definedName name="IQ_EST_EPS_GROWTH_1YR" hidden="1">"c1636"</definedName>
    <definedName name="IQ_EST_EPS_GROWTH_2YR_REUT" hidden="1">"c3858"</definedName>
    <definedName name="IQ_EST_EPS_GROWTH_5YR" hidden="1">"c1655"</definedName>
    <definedName name="IQ_EST_EPS_GROWTH_5YR_BOTTOM_UP_REUT" hidden="1">"c5495"</definedName>
    <definedName name="IQ_EST_EPS_GROWTH_5YR_HIGH" hidden="1">"c1657"</definedName>
    <definedName name="IQ_EST_EPS_GROWTH_5YR_HIGH_REUT" hidden="1">"c5322"</definedName>
    <definedName name="IQ_EST_EPS_GROWTH_5YR_LOW" hidden="1">"c1658"</definedName>
    <definedName name="IQ_EST_EPS_GROWTH_5YR_LOW_REUT" hidden="1">"c5323"</definedName>
    <definedName name="IQ_EST_EPS_GROWTH_5YR_MEDIAN" hidden="1">"c1656"</definedName>
    <definedName name="IQ_EST_EPS_GROWTH_5YR_MEDIAN_REUT" hidden="1">"c5321"</definedName>
    <definedName name="IQ_EST_EPS_GROWTH_5YR_NUM" hidden="1">"c1659"</definedName>
    <definedName name="IQ_EST_EPS_GROWTH_5YR_NUM_REUT" hidden="1">"c5324"</definedName>
    <definedName name="IQ_EST_EPS_GROWTH_5YR_STDDEV" hidden="1">"c1660"</definedName>
    <definedName name="IQ_EST_EPS_GROWTH_5YR_STDDEV_REUT" hidden="1">"c5325"</definedName>
    <definedName name="IQ_EST_EPS_GROWTH_Q_1YR" hidden="1">"c1641"</definedName>
    <definedName name="IQ_EST_EPS_SEQ_GROWTH_Q_REUT" hidden="1">"c3859"</definedName>
    <definedName name="IQ_EST_EPS_SURPRISE_PERCENT_REUT" hidden="1">"c5459"</definedName>
    <definedName name="IQ_EST_FFO_DIFF_REUT" hidden="1">"c3890"</definedName>
    <definedName name="IQ_EST_FFO_GROWTH_1YR_REUT" hidden="1">"c3874"</definedName>
    <definedName name="IQ_EST_FFO_GROWTH_2YR_REUT" hidden="1">"c3875"</definedName>
    <definedName name="IQ_EST_FFO_GROWTH_Q_1YR_REUT" hidden="1">"c3876"</definedName>
    <definedName name="IQ_EST_FFO_SEQ_GROWTH_Q_REUT" hidden="1">"c3877"</definedName>
    <definedName name="IQ_EST_FFO_SHARE_SHARE_DIFF_THOM" hidden="1">"c5186"</definedName>
    <definedName name="IQ_EST_FFO_SHARE_SHARE_SURPRISE_PERCENT_THOM" hidden="1">"c5187"</definedName>
    <definedName name="IQ_EST_FFO_SURPRISE_PERCENT_REUT" hidden="1">"c3891"</definedName>
    <definedName name="IQ_EST_FOOTNOTE_REUT" hidden="1">"c5478"</definedName>
    <definedName name="IQ_EST_NI_DIFF_REUT" hidden="1">"c5423"</definedName>
    <definedName name="IQ_EST_NI_GW_DIFF_REUT" hidden="1">"c5425"</definedName>
    <definedName name="IQ_EST_NI_GW_SURPRISE_PERCENT_REUT" hidden="1">"c5426"</definedName>
    <definedName name="IQ_EST_NI_REPORT_DIFF_REUT" hidden="1">"c5427"</definedName>
    <definedName name="IQ_EST_NI_REPORT_SURPRISE_PERCENT_REUT" hidden="1">"c5428"</definedName>
    <definedName name="IQ_EST_NI_SURPRISE_PERCENT_REUT" hidden="1">"c5424"</definedName>
    <definedName name="IQ_EST_NUM_BUY_CIQ" hidden="1">"c3700"</definedName>
    <definedName name="IQ_EST_NUM_BUY_THOM" hidden="1">"c5165"</definedName>
    <definedName name="IQ_EST_NUM_HIGH_REC_REUT" hidden="1">"c3870"</definedName>
    <definedName name="IQ_EST_NUM_HIGHEST_REC_REUT" hidden="1">"c3869"</definedName>
    <definedName name="IQ_EST_NUM_HOLD_CIQ" hidden="1">"c3702"</definedName>
    <definedName name="IQ_EST_NUM_HOLD_THOM" hidden="1">"c5167"</definedName>
    <definedName name="IQ_EST_NUM_LOW_REC_REUT" hidden="1">"c3872"</definedName>
    <definedName name="IQ_EST_NUM_LOWEST_REC_REUT" hidden="1">"c3873"</definedName>
    <definedName name="IQ_EST_NUM_NEUTRAL_REC_REUT" hidden="1">"c3871"</definedName>
    <definedName name="IQ_EST_NUM_NO_OPINION_REUT" hidden="1">"c3868"</definedName>
    <definedName name="IQ_EST_NUM_OUTPERFORM_CIQ" hidden="1">"c3701"</definedName>
    <definedName name="IQ_EST_NUM_OUTPERFORM_THOM" hidden="1">"c5166"</definedName>
    <definedName name="IQ_EST_NUM_SELL_CIQ" hidden="1">"c3704"</definedName>
    <definedName name="IQ_EST_NUM_SELL_THOM" hidden="1">"c5169"</definedName>
    <definedName name="IQ_EST_NUM_UNDERPERFORM_CIQ" hidden="1">"c3703"</definedName>
    <definedName name="IQ_EST_NUM_UNDERPERFORM_THOM" hidden="1">"c5168"</definedName>
    <definedName name="IQ_EST_OPER_INC_DIFF_REUT" hidden="1">"c5415"</definedName>
    <definedName name="IQ_EST_OPER_INC_SURPRISE_PERCENT_REUT" hidden="1">"c5416"</definedName>
    <definedName name="IQ_EST_PRE_TAX_DIFF_REUT" hidden="1">"c5417"</definedName>
    <definedName name="IQ_EST_PRE_TAX_GW_DIFF_REUT" hidden="1">"c5419"</definedName>
    <definedName name="IQ_EST_PRE_TAX_GW_SURPRISE_PERCENT_REUT" hidden="1">"c5420"</definedName>
    <definedName name="IQ_EST_PRE_TAX_REPORT_DIFF_REUT" hidden="1">"c5421"</definedName>
    <definedName name="IQ_EST_PRE_TAX_REPORT_SURPRISE_PERCENT_REUT" hidden="1">"c5422"</definedName>
    <definedName name="IQ_EST_PRE_TAX_SURPRISE_PERCENT_REUT" hidden="1">"c5418"</definedName>
    <definedName name="IQ_EST_REV_DIFF_REUT" hidden="1">"c3886"</definedName>
    <definedName name="IQ_EST_REV_GROWTH_1YR_REUT" hidden="1">"c3860"</definedName>
    <definedName name="IQ_EST_REV_GROWTH_2YR_REUT" hidden="1">"c3861"</definedName>
    <definedName name="IQ_EST_REV_GROWTH_Q_1YR_REUT" hidden="1">"c3862"</definedName>
    <definedName name="IQ_EST_REV_SEQ_GROWTH_Q_REUT" hidden="1">"c3863"</definedName>
    <definedName name="IQ_EST_REV_SURPRISE_PERCENT_REUT" hidden="1">"c3887"</definedName>
    <definedName name="IQ_ESTIMATED_ASSESSABLE_DEPOSITS_FDIC" hidden="1">"c6490"</definedName>
    <definedName name="IQ_ESTIMATED_INSURED_DEPOSITS_FDIC" hidden="1">"c6491"</definedName>
    <definedName name="IQ_EV_OVER_EMPLOYEE" hidden="1">"c1225"</definedName>
    <definedName name="IQ_EV_OVER_LTM_EBIT" hidden="1">"c1221"</definedName>
    <definedName name="IQ_EV_OVER_LTM_EBITDA" hidden="1">"c1223"</definedName>
    <definedName name="IQ_EV_OVER_LTM_REVENUE" hidden="1">"c1227"</definedName>
    <definedName name="IQ_EVAL_DATE" hidden="1">"c2180"</definedName>
    <definedName name="IQ_EXCHANGE" hidden="1">"c405"</definedName>
    <definedName name="IQ_EXERCISE_PRICE" hidden="1">"c406"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 hidden="1">"019800700"</definedName>
    <definedName name="IQ_EXPLORE_DRILL" hidden="1">"c409"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"c413"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FUNDS_PURCHASED_FDIC" hidden="1">"c6343"</definedName>
    <definedName name="IQ_FED_FUNDS_SOLD_FDIC" hidden="1">"c6307"</definedName>
    <definedName name="IQ_FFO" hidden="1">"c1574"</definedName>
    <definedName name="IQ_FFO_EST_REUT" hidden="1">"c3837"</definedName>
    <definedName name="IQ_FFO_HIGH_EST_REUT" hidden="1">"c3839"</definedName>
    <definedName name="IQ_FFO_LOW_EST_REUT" hidden="1">"c3840"</definedName>
    <definedName name="IQ_FFO_MEDIAN_EST_REUT" hidden="1">"c3838"</definedName>
    <definedName name="IQ_FFO_NUM_EST_REUT" hidden="1">"c3841"</definedName>
    <definedName name="IQ_FFO_SHARE_SHARE_EST_DET_EST_CURRENCY_THOM" hidden="1">"c12487"</definedName>
    <definedName name="IQ_FFO_SHARE_SHARE_EST_DET_EST_DATE_THOM" hidden="1">"c12238"</definedName>
    <definedName name="IQ_FFO_SHARE_SHARE_EST_DET_EST_INCL_THOM" hidden="1">"c12370"</definedName>
    <definedName name="IQ_FFO_SHARE_SHARE_EST_DET_EST_ORIGIN" hidden="1">"c12722"</definedName>
    <definedName name="IQ_FFO_SHARE_SHARE_EST_DET_EST_ORIGIN_THOM" hidden="1">"c12608"</definedName>
    <definedName name="IQ_FFO_SHARE_SHARE_EST_DET_EST_THOM" hidden="1">"c12088"</definedName>
    <definedName name="IQ_FFO_SHARE_SHARE_EST_THOM" hidden="1">"c3999"</definedName>
    <definedName name="IQ_FFO_SHARE_SHARE_HIGH_EST_THOM" hidden="1">"c4001"</definedName>
    <definedName name="IQ_FFO_SHARE_SHARE_LOW_EST_THOM" hidden="1">"c4002"</definedName>
    <definedName name="IQ_FFO_SHARE_SHARE_MEDIAN_EST_THOM" hidden="1">"c4000"</definedName>
    <definedName name="IQ_FFO_SHARE_SHARE_NUM_EST_THOM" hidden="1">"c4003"</definedName>
    <definedName name="IQ_FFO_SHARE_SHARE_STDDEV_EST_THOM" hidden="1">"c4004"</definedName>
    <definedName name="IQ_FFO_STDDEV_EST_REUT" hidden="1">"c3842"</definedName>
    <definedName name="IQ_FH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"c893"</definedName>
    <definedName name="IQ_FINANCING_CASH_SUPPL" hidden="1">"c899"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"c451"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 hidden="1">"c6517"</definedName>
    <definedName name="IQ_FX_CONTRACTS_SPOT_FDIC" hidden="1">"c6356"</definedName>
    <definedName name="IQ_FY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"c452"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"c530"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"c192"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"c511"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ELD_MATURITY_FDIC" hidden="1">"c6408"</definedName>
    <definedName name="IQ_HG_REV_OTHER_HOTEL_MOTEL" hidden="1">"c8731"</definedName>
    <definedName name="IQ_HG_REV_TOTAL_CASINO_GAMING" hidden="1">"c8723"</definedName>
    <definedName name="IQ_HG_REV_TOTAL_HOTEL_MOTEL" hidden="1">"c8732"</definedName>
    <definedName name="IQ_HIGHPRICE" hidden="1">"c545"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OWNERS_WRITTEN" hidden="1">"c546"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AIR_OIL" hidden="1">"c547"</definedName>
    <definedName name="IQ_IMPAIRMENT_GW" hidden="1">"c548"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NC_AFTER_TAX" hidden="1">"c1598"</definedName>
    <definedName name="IQ_INC_AVAIL_EXCL" hidden="1">"c789"</definedName>
    <definedName name="IQ_INC_AVAIL_INCL" hidden="1">"c791"</definedName>
    <definedName name="IQ_INC_BEFORE_TAX" hidden="1">"c386"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"c907"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EXP" hidden="1">"c618"</definedName>
    <definedName name="IQ_INTEREST_EXP_NET" hidden="1">"c1450"</definedName>
    <definedName name="IQ_INTEREST_EXP_NON" hidden="1">"c618"</definedName>
    <definedName name="IQ_INTEREST_EXP_SUPPL" hidden="1">"c1460"</definedName>
    <definedName name="IQ_INTEREST_INC" hidden="1">"c769"</definedName>
    <definedName name="IQ_INTEREST_INC_NON" hidden="1">"c619"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"c751"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PARENT" hidden="1">"c2144"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E_INSURANCE_ASSETS_FDIC" hidden="1">"c6372"</definedName>
    <definedName name="IQ_LIFOR" hidden="1">"c655"</definedName>
    <definedName name="IQ_LISTING_CURRENCY" hidden="1">"c2127"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"c656"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"c674"</definedName>
    <definedName name="IQ_LONG_TERM_DEBT_OVER_TOTAL_CAP" hidden="1">"c677"</definedName>
    <definedName name="IQ_LONG_TERM_GROWTH" hidden="1">"c671"</definedName>
    <definedName name="IQ_LONG_TERM_INV" hidden="1">"c697"</definedName>
    <definedName name="IQ_LOSS_ALLOWANCE_LOANS_FDIC" hidden="1">"c6739"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>2000</definedName>
    <definedName name="IQ_LTM_REVENUE_OVER_EMPLOYEES" hidden="1">"c1304"</definedName>
    <definedName name="IQ_LTMMONTH" hidden="1">120000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C_GA_MARGIN" hidden="1">"c9930"</definedName>
    <definedName name="IQ_MC_GA_OPERATING_REV" hidden="1">"c9929"</definedName>
    <definedName name="IQ_MC_MEDICAL_EXPENSE_RATIO" hidden="1">"c9927"</definedName>
    <definedName name="IQ_MC_SGA_MARGIN" hidden="1">"c9932"</definedName>
    <definedName name="IQ_MC_SGA_OPERATING_REV" hidden="1">"c9931"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EY_MARKET_DEPOSIT_ACCOUNTS_FDIC" hidden="1">"c6553"</definedName>
    <definedName name="IQ_MONTH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43526.7168287037</definedName>
    <definedName name="IQ_NAV_ACT_OR_EST" hidden="1">"c2225"</definedName>
    <definedName name="IQ_NAV_SHARE_ACT_OR_EST_REUT" hidden="1">"c5623"</definedName>
    <definedName name="IQ_NAV_SHARE_EST_REUT" hidden="1">"c5617"</definedName>
    <definedName name="IQ_NAV_SHARE_HIGH_EST_REUT" hidden="1">"c5620"</definedName>
    <definedName name="IQ_NAV_SHARE_LOW_EST_REUT" hidden="1">"c5621"</definedName>
    <definedName name="IQ_NAV_SHARE_MEDIAN_EST_REUT" hidden="1">"c5618"</definedName>
    <definedName name="IQ_NAV_SHARE_NUM_EST_REUT" hidden="1">"c5622"</definedName>
    <definedName name="IQ_NAV_SHARE_STDDEV_EST_REUT" hidden="1">"c5619"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DEBT" hidden="1">"c1584"</definedName>
    <definedName name="IQ_NET_DEBT_ACT_OR_EST_REUT" hidden="1">"c5473"</definedName>
    <definedName name="IQ_NET_DEBT_EBITDA" hidden="1">"c750"</definedName>
    <definedName name="IQ_NET_DEBT_EST_REUT" hidden="1">"c3976"</definedName>
    <definedName name="IQ_NET_DEBT_HIGH_EST_REUT" hidden="1">"c3978"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DEBT_LOW_EST_REUT" hidden="1">"c3979"</definedName>
    <definedName name="IQ_NET_DEBT_MEDIAN_EST_REUT" hidden="1">"c3977"</definedName>
    <definedName name="IQ_NET_DEBT_NUM_EST_REUT" hidden="1">"c3980"</definedName>
    <definedName name="IQ_NET_DEBT_STDDEV_EST_REUT" hidden="1">"c3981"</definedName>
    <definedName name="IQ_NET_INC" hidden="1">"c781"</definedName>
    <definedName name="IQ_NET_INC_BEFORE" hidden="1">"c344"</definedName>
    <definedName name="IQ_NET_INC_CF" hidden="1">"c793"</definedName>
    <definedName name="IQ_NET_INC_MARGIN" hidden="1">"c794"</definedName>
    <definedName name="IQ_NET_INCOME_FDIC" hidden="1">"c6587"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NK_FDIC" hidden="1">"c6570"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"c764"</definedName>
    <definedName name="IQ_NET_INTEREST_INC_AFTER_LL" hidden="1">"c1604"</definedName>
    <definedName name="IQ_NET_INTEREST_MARGIN_FDIC" hidden="1">"c6726"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_REUT" hidden="1">"c5468"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_REUT" hidden="1">"c5368"</definedName>
    <definedName name="IQ_NI_GW_EST_REUT" hidden="1">"c5375"</definedName>
    <definedName name="IQ_NI_GW_HIGH_EST_REUT" hidden="1">"c5377"</definedName>
    <definedName name="IQ_NI_GW_LOW_EST_REUT" hidden="1">"c5378"</definedName>
    <definedName name="IQ_NI_GW_MEDIAN_EST_REUT" hidden="1">"c5376"</definedName>
    <definedName name="IQ_NI_GW_NUM_EST_REUT" hidden="1">"c5379"</definedName>
    <definedName name="IQ_NI_GW_STDDEV_EST_REUT" hidden="1">"c5380"</definedName>
    <definedName name="IQ_NI_HIGH_EST_REUT" hidden="1">"c5370"</definedName>
    <definedName name="IQ_NI_LOW_EST_REUT" hidden="1">"c5371"</definedName>
    <definedName name="IQ_NI_MARGIN" hidden="1">"c794"</definedName>
    <definedName name="IQ_NI_MEDIAN_EST_REUT" hidden="1">"c5369"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_REUT" hidden="1">"c5372"</definedName>
    <definedName name="IQ_NI_REPORTED_EST_REUT" hidden="1">"c5382"</definedName>
    <definedName name="IQ_NI_REPORTED_HIGH_EST_REUT" hidden="1">"c5384"</definedName>
    <definedName name="IQ_NI_REPORTED_LOW_EST_REUT" hidden="1">"c5385"</definedName>
    <definedName name="IQ_NI_REPORTED_MEDIAN_EST_REUT" hidden="1">"c5383"</definedName>
    <definedName name="IQ_NI_REPORTED_NUM_EST_REUT" hidden="1">"c5386"</definedName>
    <definedName name="IQ_NI_REPORTED_STDDEV_EST_REUT" hidden="1">"c5387"</definedName>
    <definedName name="IQ_NI_SFAS" hidden="1">"c795"</definedName>
    <definedName name="IQ_NI_STDDEV_EST_REUT" hidden="1">"c5373"</definedName>
    <definedName name="IQ_NON_ACCRUAL_LOANS" hidden="1">"c796"</definedName>
    <definedName name="IQ_NON_CASH" hidden="1">"c797"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EXP_FDIC" hidden="1">"c6579"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_INC_FDIC" hidden="1">"c6575"</definedName>
    <definedName name="IQ_NON_INTEREST_EXP" hidden="1">"c801"</definedName>
    <definedName name="IQ_NON_INTEREST_INC" hidden="1">"c802"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TRANSACTION_ACCOUNTS_FDIC" hidden="1">"c6552"</definedName>
    <definedName name="IQ_NONUTIL_REV" hidden="1">"c2089"</definedName>
    <definedName name="IQ_NORM_EPS_ACT_OR_EST_REUT" hidden="1">"c5472"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"c1176"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ACT_OR_EST_REUT" hidden="1">"c5466"</definedName>
    <definedName name="IQ_OPER_INC_BR" hidden="1">"c850"</definedName>
    <definedName name="IQ_OPER_INC_EST_REUT" hidden="1">"c5340"</definedName>
    <definedName name="IQ_OPER_INC_FIN" hidden="1">"c851"</definedName>
    <definedName name="IQ_OPER_INC_HIGH_EST_REUT" hidden="1">"c5342"</definedName>
    <definedName name="IQ_OPER_INC_INS" hidden="1">"c852"</definedName>
    <definedName name="IQ_OPER_INC_LOW_EST_REUT" hidden="1">"c5343"</definedName>
    <definedName name="IQ_OPER_INC_MARGIN" hidden="1">"c362"</definedName>
    <definedName name="IQ_OPER_INC_MEDIAN_EST_REUT" hidden="1">"c5341"</definedName>
    <definedName name="IQ_OPER_INC_NUM_EST_REUT" hidden="1">"c5344"</definedName>
    <definedName name="IQ_OPER_INC_REIT" hidden="1">"c853"</definedName>
    <definedName name="IQ_OPER_INC_STDDEV_EST_REUT" hidden="1">"c5345"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MORT_BR" hidden="1">"c5566"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"c868"</definedName>
    <definedName name="IQ_OTHER_CURRENT_LIAB" hidden="1">"c877"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"c916"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"c946"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"c959"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"c1010"</definedName>
    <definedName name="IQ_OTHER_SAVINGS_DEPOSITS_FDIC" hidden="1">"c6554"</definedName>
    <definedName name="IQ_OTHER_TRANSACTIONS_FDIC" hidden="1">"c6504"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"c1022"</definedName>
    <definedName name="IQ_OUTSTANDING_FILING_DATE" hidden="1">"c1023"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"c8"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CENT_CHANGE_EST_5YR_GROWTH_RATE_12MONTHS_REUT" hidden="1">"c3959"</definedName>
    <definedName name="IQ_PERCENT_CHANGE_EST_5YR_GROWTH_RATE_18MONTHS_REUT" hidden="1">"c3960"</definedName>
    <definedName name="IQ_PERCENT_CHANGE_EST_5YR_GROWTH_RATE_3MONTHS_REUT" hidden="1">"c3956"</definedName>
    <definedName name="IQ_PERCENT_CHANGE_EST_5YR_GROWTH_RATE_6MONTHS_REUT" hidden="1">"c3957"</definedName>
    <definedName name="IQ_PERCENT_CHANGE_EST_5YR_GROWTH_RATE_9MONTHS_REUT" hidden="1">"c3958"</definedName>
    <definedName name="IQ_PERCENT_CHANGE_EST_5YR_GROWTH_RATE_DAY_REUT" hidden="1">"c3954"</definedName>
    <definedName name="IQ_PERCENT_CHANGE_EST_5YR_GROWTH_RATE_MONTH_REUT" hidden="1">"c3955"</definedName>
    <definedName name="IQ_PERCENT_CHANGE_EST_5YR_GROWTH_RATE_WEEK_REUT" hidden="1">"c5435"</definedName>
    <definedName name="IQ_PERCENT_CHANGE_EST_CFPS_12MONTHS_REUT" hidden="1">"c3924"</definedName>
    <definedName name="IQ_PERCENT_CHANGE_EST_CFPS_18MONTHS_REUT" hidden="1">"c3925"</definedName>
    <definedName name="IQ_PERCENT_CHANGE_EST_CFPS_3MONTHS_REUT" hidden="1">"c3921"</definedName>
    <definedName name="IQ_PERCENT_CHANGE_EST_CFPS_6MONTHS_REUT" hidden="1">"c3922"</definedName>
    <definedName name="IQ_PERCENT_CHANGE_EST_CFPS_9MONTHS_REUT" hidden="1">"c3923"</definedName>
    <definedName name="IQ_PERCENT_CHANGE_EST_CFPS_DAY_REUT" hidden="1">"c3919"</definedName>
    <definedName name="IQ_PERCENT_CHANGE_EST_CFPS_MONTH_REUT" hidden="1">"c3920"</definedName>
    <definedName name="IQ_PERCENT_CHANGE_EST_CFPS_WEEK_REUT" hidden="1">"c3962"</definedName>
    <definedName name="IQ_PERCENT_CHANGE_EST_DPS_12MONTHS_REUT" hidden="1">"c3931"</definedName>
    <definedName name="IQ_PERCENT_CHANGE_EST_DPS_18MONTHS_REUT" hidden="1">"c3932"</definedName>
    <definedName name="IQ_PERCENT_CHANGE_EST_DPS_3MONTHS_REUT" hidden="1">"c3928"</definedName>
    <definedName name="IQ_PERCENT_CHANGE_EST_DPS_6MONTHS_REUT" hidden="1">"c3929"</definedName>
    <definedName name="IQ_PERCENT_CHANGE_EST_DPS_9MONTHS_REUT" hidden="1">"c3930"</definedName>
    <definedName name="IQ_PERCENT_CHANGE_EST_DPS_DAY_REUT" hidden="1">"c3926"</definedName>
    <definedName name="IQ_PERCENT_CHANGE_EST_DPS_MONTH_REUT" hidden="1">"c3927"</definedName>
    <definedName name="IQ_PERCENT_CHANGE_EST_DPS_WEEK_REUT" hidden="1">"c3963"</definedName>
    <definedName name="IQ_PERCENT_CHANGE_EST_EBITDA_12MONTHS_REUT" hidden="1">"c3917"</definedName>
    <definedName name="IQ_PERCENT_CHANGE_EST_EBITDA_18MONTHS_REUT" hidden="1">"c3918"</definedName>
    <definedName name="IQ_PERCENT_CHANGE_EST_EBITDA_3MONTHS_REUT" hidden="1">"c3914"</definedName>
    <definedName name="IQ_PERCENT_CHANGE_EST_EBITDA_6MONTHS_REUT" hidden="1">"c3915"</definedName>
    <definedName name="IQ_PERCENT_CHANGE_EST_EBITDA_9MONTHS_REUT" hidden="1">"c3916"</definedName>
    <definedName name="IQ_PERCENT_CHANGE_EST_EBITDA_DAY_REUT" hidden="1">"c3912"</definedName>
    <definedName name="IQ_PERCENT_CHANGE_EST_EBITDA_MONTH_REUT" hidden="1">"c3913"</definedName>
    <definedName name="IQ_PERCENT_CHANGE_EST_EBITDA_WEEK_REUT" hidden="1">"c3961"</definedName>
    <definedName name="IQ_PERCENT_CHANGE_EST_EPS_12MONTHS_REUT" hidden="1">"c3902"</definedName>
    <definedName name="IQ_PERCENT_CHANGE_EST_EPS_18MONTHS_REUT" hidden="1">"c3903"</definedName>
    <definedName name="IQ_PERCENT_CHANGE_EST_EPS_3MONTHS_REUT" hidden="1">"c3899"</definedName>
    <definedName name="IQ_PERCENT_CHANGE_EST_EPS_6MONTHS_REUT" hidden="1">"c3900"</definedName>
    <definedName name="IQ_PERCENT_CHANGE_EST_EPS_9MONTHS_REUT" hidden="1">"c3901"</definedName>
    <definedName name="IQ_PERCENT_CHANGE_EST_EPS_DAY_REUT" hidden="1">"c3896"</definedName>
    <definedName name="IQ_PERCENT_CHANGE_EST_EPS_MONTH_REUT" hidden="1">"c3898"</definedName>
    <definedName name="IQ_PERCENT_CHANGE_EST_EPS_WEEK_REUT" hidden="1">"c3897"</definedName>
    <definedName name="IQ_PERCENT_CHANGE_EST_FFO_12MONTHS" hidden="1">"c1828"</definedName>
    <definedName name="IQ_PERCENT_CHANGE_EST_FFO_12MONTHS_REUT" hidden="1">"c3938"</definedName>
    <definedName name="IQ_PERCENT_CHANGE_EST_FFO_18MONTHS" hidden="1">"c1829"</definedName>
    <definedName name="IQ_PERCENT_CHANGE_EST_FFO_18MONTHS_REUT" hidden="1">"c3939"</definedName>
    <definedName name="IQ_PERCENT_CHANGE_EST_FFO_3MONTHS" hidden="1">"c1825"</definedName>
    <definedName name="IQ_PERCENT_CHANGE_EST_FFO_3MONTHS_REUT" hidden="1">"c3935"</definedName>
    <definedName name="IQ_PERCENT_CHANGE_EST_FFO_6MONTHS" hidden="1">"c1826"</definedName>
    <definedName name="IQ_PERCENT_CHANGE_EST_FFO_6MONTHS_REUT" hidden="1">"c3936"</definedName>
    <definedName name="IQ_PERCENT_CHANGE_EST_FFO_9MONTHS" hidden="1">"c1827"</definedName>
    <definedName name="IQ_PERCENT_CHANGE_EST_FFO_9MONTHS_REUT" hidden="1">"c3937"</definedName>
    <definedName name="IQ_PERCENT_CHANGE_EST_FFO_DAY" hidden="1">"c1822"</definedName>
    <definedName name="IQ_PERCENT_CHANGE_EST_FFO_DAY_REUT" hidden="1">"c3933"</definedName>
    <definedName name="IQ_PERCENT_CHANGE_EST_FFO_MONTH" hidden="1">"c1824"</definedName>
    <definedName name="IQ_PERCENT_CHANGE_EST_FFO_MONTH_REUT" hidden="1">"c3934"</definedName>
    <definedName name="IQ_PERCENT_CHANGE_EST_FFO_SHARE_SHARE_12MONTHS_THOM" hidden="1">"c5248"</definedName>
    <definedName name="IQ_PERCENT_CHANGE_EST_FFO_SHARE_SHARE_18MONTHS_THOM" hidden="1">"c5249"</definedName>
    <definedName name="IQ_PERCENT_CHANGE_EST_FFO_SHARE_SHARE_3MONTHS_THOM" hidden="1">"c5245"</definedName>
    <definedName name="IQ_PERCENT_CHANGE_EST_FFO_SHARE_SHARE_6MONTHS_THOM" hidden="1">"c5246"</definedName>
    <definedName name="IQ_PERCENT_CHANGE_EST_FFO_SHARE_SHARE_9MONTHS_THOM" hidden="1">"c5247"</definedName>
    <definedName name="IQ_PERCENT_CHANGE_EST_FFO_SHARE_SHARE_DAY_THOM" hidden="1">"c5243"</definedName>
    <definedName name="IQ_PERCENT_CHANGE_EST_FFO_SHARE_SHARE_MONTH_THOM" hidden="1">"c5244"</definedName>
    <definedName name="IQ_PERCENT_CHANGE_EST_FFO_SHARE_SHARE_WEEK_THOM" hidden="1">"c5274"</definedName>
    <definedName name="IQ_PERCENT_CHANGE_EST_FFO_WEEK" hidden="1">"c1823"</definedName>
    <definedName name="IQ_PERCENT_CHANGE_EST_FFO_WEEK_REUT" hidden="1">"c3964"</definedName>
    <definedName name="IQ_PERCENT_CHANGE_EST_PRICE_TARGET_12MONTHS_REUT" hidden="1">"c3952"</definedName>
    <definedName name="IQ_PERCENT_CHANGE_EST_PRICE_TARGET_18MONTHS_REUT" hidden="1">"c3953"</definedName>
    <definedName name="IQ_PERCENT_CHANGE_EST_PRICE_TARGET_3MONTHS_REUT" hidden="1">"c3949"</definedName>
    <definedName name="IQ_PERCENT_CHANGE_EST_PRICE_TARGET_6MONTHS_REUT" hidden="1">"c3950"</definedName>
    <definedName name="IQ_PERCENT_CHANGE_EST_PRICE_TARGET_9MONTHS_REUT" hidden="1">"c3951"</definedName>
    <definedName name="IQ_PERCENT_CHANGE_EST_PRICE_TARGET_DAY_REUT" hidden="1">"c3947"</definedName>
    <definedName name="IQ_PERCENT_CHANGE_EST_PRICE_TARGET_MONTH_REUT" hidden="1">"c3948"</definedName>
    <definedName name="IQ_PERCENT_CHANGE_EST_PRICE_TARGET_WEEK_REUT" hidden="1">"c3967"</definedName>
    <definedName name="IQ_PERCENT_CHANGE_EST_RECO_12MONTHS_REUT" hidden="1">"c3945"</definedName>
    <definedName name="IQ_PERCENT_CHANGE_EST_RECO_18MONTHS_REUT" hidden="1">"c3946"</definedName>
    <definedName name="IQ_PERCENT_CHANGE_EST_RECO_3MONTHS_REUT" hidden="1">"c3942"</definedName>
    <definedName name="IQ_PERCENT_CHANGE_EST_RECO_6MONTHS_REUT" hidden="1">"c3943"</definedName>
    <definedName name="IQ_PERCENT_CHANGE_EST_RECO_9MONTHS_REUT" hidden="1">"c3944"</definedName>
    <definedName name="IQ_PERCENT_CHANGE_EST_RECO_DAY_REUT" hidden="1">"c3940"</definedName>
    <definedName name="IQ_PERCENT_CHANGE_EST_RECO_MONTH_REUT" hidden="1">"c3941"</definedName>
    <definedName name="IQ_PERCENT_CHANGE_EST_RECO_WEEK_REUT" hidden="1">"c3966"</definedName>
    <definedName name="IQ_PERCENT_CHANGE_EST_REV_12MONTHS_REUT" hidden="1">"c3910"</definedName>
    <definedName name="IQ_PERCENT_CHANGE_EST_REV_18MONTHS_REUT" hidden="1">"c3911"</definedName>
    <definedName name="IQ_PERCENT_CHANGE_EST_REV_3MONTHS_REUT" hidden="1">"c3907"</definedName>
    <definedName name="IQ_PERCENT_CHANGE_EST_REV_6MONTHS_REUT" hidden="1">"c3908"</definedName>
    <definedName name="IQ_PERCENT_CHANGE_EST_REV_9MONTHS_REUT" hidden="1">"c3909"</definedName>
    <definedName name="IQ_PERCENT_CHANGE_EST_REV_DAY_REUT" hidden="1">"c3904"</definedName>
    <definedName name="IQ_PERCENT_CHANGE_EST_REV_MONTH_REUT" hidden="1">"c3906"</definedName>
    <definedName name="IQ_PERCENT_CHANGE_EST_REV_WEEK_REUT" hidden="1">"c3905"</definedName>
    <definedName name="IQ_PERCENT_INSURED_FDIC" hidden="1">"c6374"</definedName>
    <definedName name="IQ_PERIODDATE" hidden="1">"c1034"</definedName>
    <definedName name="IQ_PERIODDATE_BS" hidden="1">"c1032"</definedName>
    <definedName name="IQ_PERIODDATE_CF" hidden="1">"c1033"</definedName>
    <definedName name="IQ_PERIODDATE_FDIC" hidden="1">"c13646"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EDGED_SECURITIES_FDIC" hidden="1">"c6401"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_REUT" hidden="1">"c3968"</definedName>
    <definedName name="IQ_PRE_OPEN_COST" hidden="1">"c1040"</definedName>
    <definedName name="IQ_PRE_TAX_ACT_OR_EST_REUT" hidden="1">"c5467"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"c1052"</definedName>
    <definedName name="IQ_PREF_TOT" hidden="1">"c1044"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"c1068"</definedName>
    <definedName name="IQ_PREPAID_SUBS" hidden="1">"c2117"</definedName>
    <definedName name="IQ_PRETAX_GW_INC_EST_REUT" hidden="1">"c5354"</definedName>
    <definedName name="IQ_PRETAX_GW_INC_HIGH_EST_REUT" hidden="1">"c5356"</definedName>
    <definedName name="IQ_PRETAX_GW_INC_LOW_EST_REUT" hidden="1">"c5357"</definedName>
    <definedName name="IQ_PRETAX_GW_INC_MEDIAN_EST_REUT" hidden="1">"c5355"</definedName>
    <definedName name="IQ_PRETAX_GW_INC_NUM_EST_REUT" hidden="1">"c5358"</definedName>
    <definedName name="IQ_PRETAX_GW_INC_STDDEV_EST_REUT" hidden="1">"c5359"</definedName>
    <definedName name="IQ_PRETAX_INC_EST_REUT" hidden="1">"c5347"</definedName>
    <definedName name="IQ_PRETAX_INC_HIGH_EST_REUT" hidden="1">"c5349"</definedName>
    <definedName name="IQ_PRETAX_INC_LOW_EST_REUT" hidden="1">"c5350"</definedName>
    <definedName name="IQ_PRETAX_INC_MEDIAN_EST_REUT" hidden="1">"c5348"</definedName>
    <definedName name="IQ_PRETAX_INC_NUM_EST_REUT" hidden="1">"c5351"</definedName>
    <definedName name="IQ_PRETAX_INC_STDDEV_EST_REUT" hidden="1">"c5352"</definedName>
    <definedName name="IQ_PRETAX_REPORT_INC_EST_REUT" hidden="1">"c5361"</definedName>
    <definedName name="IQ_PRETAX_REPORT_INC_HIGH_EST_REUT" hidden="1">"c5363"</definedName>
    <definedName name="IQ_PRETAX_REPORT_INC_LOW_EST_REUT" hidden="1">"c5364"</definedName>
    <definedName name="IQ_PRETAX_REPORT_INC_MEDIAN_EST_REUT" hidden="1">"c5362"</definedName>
    <definedName name="IQ_PRETAX_REPORT_INC_NUM_EST_REUT" hidden="1">"c5365"</definedName>
    <definedName name="IQ_PRETAX_REPORT_INC_STDDEV_EST_REUT" hidden="1">"c5366"</definedName>
    <definedName name="IQ_PRETAX_RETURN_ASSETS_FDIC" hidden="1">"c6731"</definedName>
    <definedName name="IQ_PRICE_CFPS_FWD_REUT" hidden="1">"c4053"</definedName>
    <definedName name="IQ_PRICE_OVER_BVPS" hidden="1">"c1026"</definedName>
    <definedName name="IQ_PRICE_OVER_LTM_EPS" hidden="1">"c1029"</definedName>
    <definedName name="IQ_PRICE_TARGET_BOTTOM_UP_REUT" hidden="1">"c5494"</definedName>
    <definedName name="IQ_PRICEDATE" hidden="1">"c1069"</definedName>
    <definedName name="IQ_PRICING_DATE" hidden="1">"c1613"</definedName>
    <definedName name="IQ_PRIMARY_EPS_TYPE_REUT" hidden="1">"c5481"</definedName>
    <definedName name="IQ_PRIMARY_EPS_TYPE_THOM" hidden="1">"c5297"</definedName>
    <definedName name="IQ_PRIMARY_INDUSTRY" hidden="1">"c1070"</definedName>
    <definedName name="IQ_PRINCIPAL_AMT" hidden="1">"c2157"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"c795"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"c518"</definedName>
    <definedName name="IQ_PROPERTY_MGMT_FEE" hidden="1">"c1074"</definedName>
    <definedName name="IQ_PROPERTY_NET" hidden="1">"c829"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DEEM_PREF_STOCK" hidden="1">"c1059"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EARCH_DEV" hidden="1">"c1090"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DEPOSITS_FDIC" hidden="1">"c6488"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"c1092"</definedName>
    <definedName name="IQ_RETAINED_EARNINGS_AVERAGE_EQUITY_FDIC" hidden="1">"c6733"</definedName>
    <definedName name="IQ_RETURN_ASSETS" hidden="1">"c1113"</definedName>
    <definedName name="IQ_RETURN_ASSETS_ACT_OR_EST_REUT" hidden="1">"c5475"</definedName>
    <definedName name="IQ_RETURN_ASSETS_BANK" hidden="1">"c1114"</definedName>
    <definedName name="IQ_RETURN_ASSETS_BROK" hidden="1">"c1115"</definedName>
    <definedName name="IQ_RETURN_ASSETS_EST_REUT" hidden="1">"c3990"</definedName>
    <definedName name="IQ_RETURN_ASSETS_FDIC" hidden="1">"c6730"</definedName>
    <definedName name="IQ_RETURN_ASSETS_FS" hidden="1">"c1116"</definedName>
    <definedName name="IQ_RETURN_ASSETS_HIGH_EST_REUT" hidden="1">"c3992"</definedName>
    <definedName name="IQ_RETURN_ASSETS_LOW_EST_REUT" hidden="1">"c3993"</definedName>
    <definedName name="IQ_RETURN_ASSETS_MEDIAN_EST_REUT" hidden="1">"c3991"</definedName>
    <definedName name="IQ_RETURN_ASSETS_NUM_EST_REUT" hidden="1">"c3994"</definedName>
    <definedName name="IQ_RETURN_ASSETS_STDDEV_EST_REUT" hidden="1">"c3995"</definedName>
    <definedName name="IQ_RETURN_CAPITAL" hidden="1">"c1117"</definedName>
    <definedName name="IQ_RETURN_EQUITY" hidden="1">"c1118"</definedName>
    <definedName name="IQ_RETURN_EQUITY_ACT_OR_EST_REUT" hidden="1">"c5476"</definedName>
    <definedName name="IQ_RETURN_EQUITY_BANK" hidden="1">"c1119"</definedName>
    <definedName name="IQ_RETURN_EQUITY_BROK" hidden="1">"c1120"</definedName>
    <definedName name="IQ_RETURN_EQUITY_EST_REUT" hidden="1">"c3983"</definedName>
    <definedName name="IQ_RETURN_EQUITY_FDIC" hidden="1">"c6732"</definedName>
    <definedName name="IQ_RETURN_EQUITY_FS" hidden="1">"c1121"</definedName>
    <definedName name="IQ_RETURN_EQUITY_HIGH_EST_REUT" hidden="1">"c3985"</definedName>
    <definedName name="IQ_RETURN_EQUITY_LOW_EST_REUT" hidden="1">"c3986"</definedName>
    <definedName name="IQ_RETURN_EQUITY_MEDIAN_EST_REUT" hidden="1">"c3984"</definedName>
    <definedName name="IQ_RETURN_EQUITY_NUM_EST_REUT" hidden="1">"c3987"</definedName>
    <definedName name="IQ_RETURN_EQUITY_STDDEV_EST_REUT" hidden="1">"c3988"</definedName>
    <definedName name="IQ_RETURN_INVESTMENT" hidden="1">"c1117"</definedName>
    <definedName name="IQ_REV" hidden="1">"c1122"</definedName>
    <definedName name="IQ_REV_BEFORE_LL" hidden="1">"c1123"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"c1122"</definedName>
    <definedName name="IQ_REVENUE_ACT_OR_EST_REUT" hidden="1">"c5461"</definedName>
    <definedName name="IQ_REVENUE_EST_BOTTOM_UP_REUT" hidden="1">"c5496"</definedName>
    <definedName name="IQ_REVISION_DATE_" hidden="1">38671.5933796296</definedName>
    <definedName name="IQ_REVOLVING_SECURED_1_–4_NON_ACCRUAL_FFIEC" hidden="1">"c15565"</definedName>
    <definedName name="IQ_RISK_WEIGHTED_ASSETS_FDIC" hidden="1">"c6370"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MI_BACKLOG_UNITS" hidden="1">"c10005"</definedName>
    <definedName name="IQ_SEMI_BOOKINGS_AVG_PRICE" hidden="1">"c10002"</definedName>
    <definedName name="IQ_SEMI_BOOKINGS_UNITS" hidden="1">"c10001"</definedName>
    <definedName name="IQ_SEMI_BOOKINGS_VALUE" hidden="1">"c10003"</definedName>
    <definedName name="IQ_SEMI_BOOKINGS_VALUE_CHANGE" hidden="1">"c10004"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"c1197"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ISSUE_LC_ACTION" hidden="1">"c2644"</definedName>
    <definedName name="IQ_SP_ISSUE_LC_DATE" hidden="1">"c2643"</definedName>
    <definedName name="IQ_SP_ISSUE_LC_LT" hidden="1">"c2645"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CF" hidden="1">"c1203"</definedName>
    <definedName name="IQ_STOCK_BASED_COGS_FIN" hidden="1">"c2998"</definedName>
    <definedName name="IQ_STOCK_BASED_COGS_UTIL" hidden="1">"c2997"</definedName>
    <definedName name="IQ_STRIKE_PRICE_ISSUED" hidden="1">"c1645"</definedName>
    <definedName name="IQ_STRIKE_PRICE_OS" hidden="1">"c1646"</definedName>
    <definedName name="IQ_STW" hidden="1">"c2166"</definedName>
    <definedName name="IQ_SUB_DEBT_FDIC" hidden="1">"c6346"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_FWD_REUT" hidden="1">"c4054"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FDIC" hidden="1">"c6369"</definedName>
    <definedName name="IQ_TIER_ONE_RATIO" hidden="1">"c1229"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SSETS_FDIC" hidden="1">"c6339"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"c1266"</definedName>
    <definedName name="IQ_TOTAL_CASH_FINAN" hidden="1">"c119"</definedName>
    <definedName name="IQ_TOTAL_CASH_INVEST" hidden="1">"c121"</definedName>
    <definedName name="IQ_TOTAL_CASH_OPER" hidden="1">"c122"</definedName>
    <definedName name="IQ_TOTAL_CHARGE_OFFS_FDIC" hidden="1">"c6603"</definedName>
    <definedName name="IQ_TOTAL_CHURN" hidden="1">"c2122"</definedName>
    <definedName name="IQ_TOTAL_CL" hidden="1">"c1245"</definedName>
    <definedName name="IQ_TOTAL_COMMON" hidden="1">"c1022"</definedName>
    <definedName name="IQ_TOTAL_COMMON_EQUITY" hidden="1">"c1246"</definedName>
    <definedName name="IQ_TOTAL_CURRENT_ASSETS" hidden="1">"c1243"</definedName>
    <definedName name="IQ_TOTAL_CURRENT_LIAB" hidden="1">"c1245"</definedName>
    <definedName name="IQ_TOTAL_DEBT" hidden="1">"c1247"</definedName>
    <definedName name="IQ_TOTAL_DEBT_CAPITAL" hidden="1">"c1248"</definedName>
    <definedName name="IQ_TOTAL_DEBT_DUE" hidden="1">"c2509"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"c1249"</definedName>
    <definedName name="IQ_TOTAL_DEBT_OVER_TOTAL_BV" hidden="1">"c1250"</definedName>
    <definedName name="IQ_TOTAL_DEBT_OVER_TOTAL_CAP" hidden="1">"c1248"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"c1522"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"c591"</definedName>
    <definedName name="IQ_TOTAL_INVENTORY" hidden="1">"c622"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"c1279"</definedName>
    <definedName name="IQ_TOTAL_LIAB_TOTAL_ASSETS" hidden="1">"c1283"</definedName>
    <definedName name="IQ_TOTAL_LIABILITIES_FDIC" hidden="1">"c6348"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COVERIES_FDIC" hidden="1">"c6622"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"c1294"</definedName>
    <definedName name="IQ_TOTAL_RISK_BASED_CAPITAL_RATIO_FDIC" hidden="1">"c6747"</definedName>
    <definedName name="IQ_TOTAL_SECURITIES_FDIC" hidden="1">"c6306"</definedName>
    <definedName name="IQ_TOTAL_SPECIAL" hidden="1">"c1618"</definedName>
    <definedName name="IQ_TOTAL_ST_BORROW" hidden="1">"c1177"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OTAL_UNUSUAL" hidden="1">"c1508"</definedName>
    <definedName name="IQ_TOTAL_UNUSUAL_BR" hidden="1">"c5517"</definedName>
    <definedName name="IQ_TR_BUY_ADVISORS" hidden="1">"c2387"</definedName>
    <definedName name="IQ_TR_SELL_ADVISORS" hidden="1">"c2388"</definedName>
    <definedName name="IQ_TR_SUBDEBT" hidden="1">"c2370"</definedName>
    <definedName name="IQ_TR_TARGET_ADVISORS" hidden="1">"c2386"</definedName>
    <definedName name="IQ_TRADE_AR" hidden="1">"c40"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"c1311"</definedName>
    <definedName name="IQ_TREASURY_STOCK_TRANSACTIONS_FDIC" hidden="1">"c6501"</definedName>
    <definedName name="IQ_TRUST_INC" hidden="1">"c1319"</definedName>
    <definedName name="IQ_TRUST_PREF" hidden="1">"c1320"</definedName>
    <definedName name="IQ_TWELVE_MONTHS_FIXED_AND_FLOATING_FDIC" hidden="1">"c6420"</definedName>
    <definedName name="IQ_TWELVE_MONTHS_MORTGAGE_PASS_THROUGHS_FDIC" hidden="1">"c6412"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DIVIDED_PROFITS_FDIC" hidden="1">"c6352"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CA" hidden="1">"c2930"</definedName>
    <definedName name="IQ_US_GAAP_CL" hidden="1">"c2932"</definedName>
    <definedName name="IQ_US_GAAP_COST_REV" hidden="1">"c2965"</definedName>
    <definedName name="IQ_US_GAAP_DO" hidden="1">"c2973"</definedName>
    <definedName name="IQ_US_GAAP_EXTRA_ACC_ITEMS" hidden="1">"c2972"</definedName>
    <definedName name="IQ_US_GAAP_INC_TAX" hidden="1">"c2975"</definedName>
    <definedName name="IQ_US_GAAP_INTEREST_EXP" hidden="1">"c2971"</definedName>
    <definedName name="IQ_US_GAAP_LIAB_LT" hidden="1">"c2933"</definedName>
    <definedName name="IQ_US_GAAP_MINORITY_INTEREST_IS" hidden="1">"c2974"</definedName>
    <definedName name="IQ_US_GAAP_NCA" hidden="1">"c2931"</definedName>
    <definedName name="IQ_US_GAAP_NI_AVAIL_EXCL" hidden="1">"c2977"</definedName>
    <definedName name="IQ_US_GAAP_OTHER_NON_OPER" hidden="1">"c2969"</definedName>
    <definedName name="IQ_US_GAAP_OTHER_OPER" hidden="1">"c2968"</definedName>
    <definedName name="IQ_US_GAAP_RD" hidden="1">"c2967"</definedName>
    <definedName name="IQ_US_GAAP_SGA" hidden="1">"c2966"</definedName>
    <definedName name="IQ_US_GAAP_TOTAL_REV" hidden="1">"c2964"</definedName>
    <definedName name="IQ_US_GAAP_TOTAL_UNUSUAL" hidden="1">"c2970"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EEK">50000</definedName>
    <definedName name="IQ_WEIGHTED_AVG_PRICE" hidden="1">"c1334"</definedName>
    <definedName name="IQ_WIP_INV" hidden="1">"c1335"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"c2203"</definedName>
    <definedName name="IQ_YEARHIGH" hidden="1">"c1337"</definedName>
    <definedName name="IQ_YEARLOW" hidden="1">"c1338"</definedName>
    <definedName name="IQ_YTD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RA2" hidden="1">"$A$3:$A$1306"</definedName>
    <definedName name="IQRA3" hidden="1">"$A$4:$A$1307"</definedName>
    <definedName name="IQRB2" hidden="1">"$B$3:$B$1306"</definedName>
    <definedName name="IQRC2" hidden="1">"$C$3:$C$1306"</definedName>
    <definedName name="iv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jb" hidden="1">{"summary1",#N/A,TRUE,"Comps";"summary2",#N/A,TRUE,"Comps";"summary3",#N/A,TRUE,"Comps"}</definedName>
    <definedName name="jen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k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JMBM" hidden="1">{#N/A,#N/A,TRUE,"RESUMEN ECON.";#N/A,#N/A,TRUE,"Costos de R.H.";#N/A,#N/A,TRUE,"COSTO HW";#N/A,#N/A,TRUE,"CUADROS";#N/A,#N/A,TRUE,"SCADA´s";#N/A,#N/A,TRUE,"PRECIOS EQUIPOS"}</definedName>
    <definedName name="JMBMI" hidden="1">{#N/A,#N/A,TRUE,"RESUMEN ECON.";#N/A,#N/A,TRUE,"Costos de R.H.";#N/A,#N/A,TRUE,"COSTO HW";#N/A,#N/A,TRUE,"CUADROS";#N/A,#N/A,TRUE,"SCADA´s";#N/A,#N/A,TRUE,"PRECIOS EQUIPOS"}</definedName>
    <definedName name="JUAN" hidden="1">{#N/A,#N/A,FALSE,"RESUMEN ECON.";#N/A,#N/A,FALSE,"Costos de R.H.";#N/A,#N/A,FALSE,"COSTO HW";#N/A,#N/A,FALSE,"CUADROS";#N/A,#N/A,FALSE,"SCADA´s";#N/A,#N/A,FALSE,"PRECIOS EQUIPOS"}</definedName>
    <definedName name="JUMABA" hidden="1">{#N/A,#N/A,TRUE,"RESUMEN ECON.";#N/A,#N/A,TRUE,"Costos de R.H.";#N/A,#N/A,TRUE,"COSTO HW";#N/A,#N/A,TRUE,"CUADROS";#N/A,#N/A,TRUE,"SCADA´s";#N/A,#N/A,TRUE,"PRECIOS EQUIPOS"}</definedName>
    <definedName name="Kfw" hidden="1">{"coversht",#N/A,TRUE,"TOC";"assmp1",#N/A,TRUE,"ASS";"assmp2",#N/A,TRUE,"ASS";"cashfl1",#N/A,TRUE,"CF";"return1",#N/A,TRUE,"Return";"return2",#N/A,TRUE,"Return";"EIncome",#N/A,TRUE,"EINC";"rev1",#N/A,TRUE,"Rev";"rev2",#N/A,TRUE,"Rev";"exp1",#N/A,TRUE,"Exp";"exp2",#N/A,TRUE,"Exp";"exp3",#N/A,TRUE,"Exp";"exp4",#N/A,TRUE,"Exp";"MaintRes",#N/A,TRUE,"MRES";"drwdn1",#N/A,TRUE,"Drwdn";"drwdn2",#N/A,TRUE,"Drwdn";"drwdn3",#N/A,TRUE,"Drwdn";"debt1",#N/A,TRUE,"Fin";"debt2",#N/A,TRUE,"Fin";"tax1",#N/A,TRUE,"TAXES";"tax2",#N/A,TRUE,"TAXES";"Deprec",#N/A,TRUE,"DEPR";"Balsht1",#N/A,TRUE,"BS_IS";"Balsht2",#N/A,TRUE,"BS_IS";"Ref1",#N/A,TRUE,"REF1";"Ref2",#N/A,TRUE,"REF2";"Ref3",#N/A,TRUE,"REF3";"Ref4",#N/A,TRUE,"REF4"}</definedName>
    <definedName name="KGKHJ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kj" hidden="1">{"CASHFLOW",#N/A,FALSE,"Northpointe"}</definedName>
    <definedName name="kk" hidden="1">{#N/A,#N/A,FALSE,"Output";#N/A,#N/A,FALSE,"Cover Sheet";#N/A,#N/A,FALSE,"Current Mkt. Projections"}</definedName>
    <definedName name="l" hidden="1">{"'Sheet1'!$A$5:$G$42"}</definedName>
    <definedName name="lbo" hidden="1">{#N/A,#N/A,FALSE,"Summary";#N/A,#N/A,FALSE,"Projections";#N/A,#N/A,FALSE,"Mkt Mults";#N/A,#N/A,FALSE,"DCF";#N/A,#N/A,FALSE,"Accr Dil";#N/A,#N/A,FALSE,"PIC LBO";#N/A,#N/A,FALSE,"MULT10_4";#N/A,#N/A,FALSE,"CBI LBO"}</definedName>
    <definedName name="LBOCreditConsol" hidden="1">{"FCB_ALL",#N/A,FALSE,"FCB"}</definedName>
    <definedName name="ll" hidden="1">{"Summary",#N/A,FALSE,"Details (2)"}</definedName>
    <definedName name="LLCP" hidden="1">{"PAGE1",#N/A,FALSE,"BID (3)";"PAGE2",#N/A,FALSE,"BID (3)"}</definedName>
    <definedName name="lll" hidden="1">{"SUM",#N/A,FALSE,"Details (2)"}</definedName>
    <definedName name="lllll" hidden="1">{"Summary",#N/A,FALSE,"Details (2)"}</definedName>
    <definedName name="lllllllll" hidden="1">{"SUM",#N/A,FALSE,"Details (2)"}</definedName>
    <definedName name="lllllllllllllllllll" hidden="1">{"Summary",#N/A,FALSE,"Details (2)"}</definedName>
    <definedName name="Local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" hidden="1">{#N/A,#N/A,FALSE,"DCF Summary";#N/A,#N/A,FALSE,"Casema";#N/A,#N/A,FALSE,"Casema NoTel";#N/A,#N/A,FALSE,"UK";#N/A,#N/A,FALSE,"RCF";#N/A,#N/A,FALSE,"Intercable CZ";#N/A,#N/A,FALSE,"Interkabel P"}</definedName>
    <definedName name="MGHM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hj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kting_adv" hidden="1">{#N/A,#N/A,FALSE,"ASSUMPTIONS";#N/A,#N/A,FALSE,"Valuation Summary";"page1",#N/A,FALSE,"PRESENTATION";"page2",#N/A,FALSE,"PRESENTATION";#N/A,#N/A,FALSE,"ORIGINAL_ROLLBACK"}</definedName>
    <definedName name="mkting_adver" hidden="1">{#N/A,#N/A,FALSE,"ASSUMPTIONS";#N/A,#N/A,FALSE,"Valuation Summary";"page1",#N/A,FALSE,"PRESENTATION";"page2",#N/A,FALSE,"PRESENTATION";#N/A,#N/A,FALSE,"ORIGINAL_ROLLBACK"}</definedName>
    <definedName name="mmmmm" hidden="1">{#N/A,#N/A,FALSE,"Cover";#N/A,#N/A,FALSE,"LUMI";#N/A,#N/A,FALSE,"COMD";#N/A,#N/A,FALSE,"Valuation";#N/A,#N/A,FALSE,"Assumptions";#N/A,#N/A,FALSE,"Pooling";#N/A,#N/A,FALSE,"BalanceSheet"}</definedName>
    <definedName name="mo" hidden="1">{"fis.dbo.r1_datasum"}</definedName>
    <definedName name="model" hidden="1">{#N/A,#N/A,FALSE,"Rev Grwth";#N/A,#N/A,FALSE,"Op Inc Grwth";#N/A,#N/A,FALSE,"Net Grwth";#N/A,#N/A,FALSE,"EPS Growth"}</definedName>
    <definedName name="n" hidden="1">{"fis.dbo.r1_datasum"}</definedName>
    <definedName name="Name4" hidden="1">{"Input Sheet",#N/A,FALSE,"Input";"New Co",#N/A,FALSE,"NEWCO";"Acq Cash Flow",#N/A,FALSE,"Acq. CF";"Target Cash Flow",#N/A,FALSE,"Tgt. CF";"Operational Merger",#N/A,FALSE,"OP Merger";"Acq Balance Sheet",#N/A,FALSE,"Acq. BS";"Target Balance Sheet",#N/A,FALSE,"Tgt. BS";"BOE Comp",#N/A,FALSE,"BOEComp"}</definedName>
    <definedName name="naveeds" hidden="1">{"CSheet",#N/A,FALSE,"C";"SmCap",#N/A,FALSE,"VAL1";"GulfCoast",#N/A,FALSE,"VAL1";"nav",#N/A,FALSE,"NAV";"Summary",#N/A,FALSE,"NAV"}</definedName>
    <definedName name="ncas" hidden="1">{"FCB_ALL",#N/A,FALSE,"FCB";"GREY_ALL",#N/A,FALSE,"GREY"}</definedName>
    <definedName name="new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ICHOLE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nn" hidden="1">{#N/A,#N/A,FALSE,"Sheet1";#N/A,#N/A,FALSE,"Sheet2";#N/A,#N/A,FALSE,"Sheet3";#N/A,#N/A,FALSE,"Sheet4";#N/A,#N/A,FALSE,"Sheet5";#N/A,#N/A,FALSE,"Sheet6"}</definedName>
    <definedName name="no_1" hidden="1">{"'Sheet1'!$A$5:$G$42"}</definedName>
    <definedName name="NOBL" hidden="1">{"AQUIRORDCF",#N/A,FALSE,"Merger consequences";"Acquirorassns",#N/A,FALSE,"Merger consequences"}</definedName>
    <definedName name="normal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nothegsd" hidden="1">{"Summary",#N/A,FALSE,"Details (2)"}</definedName>
    <definedName name="oiwea" hidden="1">{"FCB_ALL",#N/A,FALSE,"FCB";"GREY_ALL",#N/A,FALSE,"GREY"}</definedName>
    <definedName name="old" hidden="1">{"AQUIRORDCF",#N/A,FALSE,"Merger consequences";"Acquirorassns",#N/A,FALSE,"Merger consequences"}</definedName>
    <definedName name="OP" hidden="1">{"Summary",#N/A,FALSE,"Details (2)"}</definedName>
    <definedName name="opendbs" hidden="1">{"fis.dbo.r1_datasum"}</definedName>
    <definedName name="opendbs1" hidden="1">{"fis.dbo.r1_datasum"}</definedName>
    <definedName name="OPER" hidden="1">{"SUM",#N/A,FALSE,"Details (2)"}</definedName>
    <definedName name="OperatorServicesFi" hidden="1">{"SUM",#N/A,FALSE,"Details (2)"}</definedName>
    <definedName name="ouhio" hidden="1">{"Summary",#N/A,FALSE,"Details (2)"}</definedName>
    <definedName name="Outlook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PassWord" hidden="1">"clean1"</definedName>
    <definedName name="PassWord2" hidden="1">"DELETE"</definedName>
    <definedName name="PB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PDM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PeterTEST" hidden="1">{#N/A,#N/A,TRUE,"Acq-Ass";#N/A,#N/A,TRUE,"Acq-IS";#N/A,#N/A,TRUE,"Acq-BS";#N/A,#N/A,TRUE,"Acq-CF"}</definedName>
    <definedName name="Pitchbook" hidden="1">{#N/A,#N/A,TRUE,"Sheet16"}</definedName>
    <definedName name="pj" hidden="1">{#N/A,#N/A,FALSE,"Sheet1";#N/A,#N/A,FALSE,"Sheet2";#N/A,#N/A,FALSE,"Sheet3";#N/A,#N/A,FALSE,"Sheet4";#N/A,#N/A,FALSE,"Sheet5";#N/A,#N/A,FALSE,"Sheet6"}</definedName>
    <definedName name="PL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plan2" hidden="1">{"'Sheet1'!$A$5:$G$42"}</definedName>
    <definedName name="Plastics" hidden="1">{"Curr Month",#N/A,FALSE,"Months";"All Months",#N/A,FALSE,"Months";"YTD",#N/A,FALSE,"Months";"01 Months",#N/A,FALSE,"01";"03 Months",#N/A,FALSE,"Months";"05 Months",#N/A,FALSE,"Months";"06 Months",#N/A,FALSE,"Months";"08 Months",#N/A,FALSE,"Months";"09 Months",#N/A,FALSE,"Months";"10 Months",#N/A,FALSE,"Months";"11 Months",#N/A,FALSE,"Months";"12 Months",#N/A,FALSE,"Months";"13 Months",#N/A,FALSE,"Months";"14 Months",#N/A,FALSE,"Months";"15 Months",#N/A,FALSE,"Months";"23 Months",#N/A,FALSE,"Months";"24 Months",#N/A,FALSE,"Months";"25 Months",#N/A,FALSE,"Months";"43 Months",#N/A,FALSE,"Months";"45 Months",#N/A,FALSE,"Months";"50 Months",#N/A,FALSE,"Months"}</definedName>
    <definedName name="pp" hidden="1">{"Summary",#N/A,FALSE,"Details (2)"}</definedName>
    <definedName name="ppp" hidden="1">{#N/A,#N/A,FALSE,"FAB VENDORS";"BUD SUM",#N/A,FALSE,"BUD SUM WO TEX"}</definedName>
    <definedName name="pppp" hidden="1">{"Summary",#N/A,FALSE,"Details (2)"}</definedName>
    <definedName name="pppp2" hidden="1">{"Summary",#N/A,FALSE,"Details (2)"}</definedName>
    <definedName name="ppppp" hidden="1">{"SUM",#N/A,FALSE,"Details (2)"}</definedName>
    <definedName name="pppppp" hidden="1">{"Summary",#N/A,FALSE,"Details (2)"}</definedName>
    <definedName name="ppppppp" hidden="1">{"SUM",#N/A,FALSE,"Details (2)"}</definedName>
    <definedName name="pppppppp" hidden="1">{"Summary",#N/A,FALSE,"Details (2)"}</definedName>
    <definedName name="ppppppppp" hidden="1">{"SUM",#N/A,FALSE,"Details (2)"}</definedName>
    <definedName name="pppppppppp" hidden="1">{"Summary",#N/A,FALSE,"Details (2)"}</definedName>
    <definedName name="ppppppppppp" hidden="1">{"SUM",#N/A,FALSE,"Details (2)"}</definedName>
    <definedName name="pppppppppppp" hidden="1">{"Summary",#N/A,FALSE,"Details (2)"}</definedName>
    <definedName name="ppppppppppppp" hidden="1">{"SUM",#N/A,FALSE,"Details (2)"}</definedName>
    <definedName name="ppppppppppppppp" hidden="1">{"Summary",#N/A,FALSE,"Details (2)"}</definedName>
    <definedName name="pppppppppppppppp" hidden="1">{"SUM",#N/A,FALSE,"Details (2)"}</definedName>
    <definedName name="ppppppppppppppppp" hidden="1">{"Summary",#N/A,FALSE,"Details (2)"}</definedName>
    <definedName name="ppppppppppppppppppppppppppp" hidden="1">{"FCB_ALL",#N/A,FALSE,"FCB"}</definedName>
    <definedName name="prd" hidden="1">{"Netbacks",#N/A,FALSE,"Netbacks"}</definedName>
    <definedName name="prd." hidden="1">{"IS Years",#N/A,FALSE,"Income Statement";"IS Q96",#N/A,FALSE,"Income Statement";"IS Q97",#N/A,FALSE,"Income Statement";"Corporate",#N/A,FALSE,"Corporate Profile";"Netbacks",#N/A,FALSE,"Netbacks"}</definedName>
    <definedName name="prgrp" hidden="1">{"cap_structure",#N/A,FALSE,"Graph-Mkt Cap";"price",#N/A,FALSE,"Graph-Price";"ebit",#N/A,FALSE,"Graph-EBITDA";"ebitda",#N/A,FALSE,"Graph-EBITDA"}</definedName>
    <definedName name="PriceRange" hidden="1">OFFSET(#REF!,5,0,COUNTA(#REF!)-COUNTA(#REF!),1)</definedName>
    <definedName name="print4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tg" hidden="1">{#N/A,#N/A,TRUE,"RESUMEN ECON.";#N/A,#N/A,TRUE,"Costos de R.H.";#N/A,#N/A,TRUE,"COSTO HW";#N/A,#N/A,TRUE,"CUADROS";#N/A,#N/A,TRUE,"SCADA´s";#N/A,#N/A,TRUE,"PRECIOS EQUIPOS"}</definedName>
    <definedName name="PUB_FileID" hidden="1">"L10003649.xls"</definedName>
    <definedName name="PUB_UserID" hidden="1">"MAYERX"</definedName>
    <definedName name="q" hidden="1">{"CSheet",#N/A,FALSE,"C";"SmCap",#N/A,FALSE,"VAL1";"GulfCoast",#N/A,FALSE,"VAL1";"nav",#N/A,FALSE,"NAV";"Summary",#N/A,FALSE,"NAV"}</definedName>
    <definedName name="Q1Variances" hidden="1">{#N/A,#N/A,FALSE,"Revised Plan description";#N/A,#N/A,FALSE,"Mth Sum";#N/A,#N/A,FALSE,"YTD Sum";#N/A,#N/A,FALSE,"Mth Rev Sum";#N/A,#N/A,FALSE,"YTD Rev Sum";#N/A,#N/A,FALSE,"Direct Margin";#N/A,#N/A,FALSE,"Data MarginvsPlan";#N/A,#N/A,FALSE,"Local MarginvsPlan";#N/A,#N/A,FALSE,"Internet MarginvsPlan";#N/A,#N/A,FALSE,"LD Margin vs Plan ";#N/A,#N/A,FALSE,"Data Margin YTDvsPlan";#N/A,#N/A,FALSE,"Local Margin YTDvsPlan";#N/A,#N/A,FALSE,"Internet Margin YTDvsPlan";#N/A,#N/A,FALSE,"LD Margin YTD vs Plan";#N/A,#N/A,FALSE,"SC vs Pr Month ";#N/A,#N/A,FALSE,"SVC Detail Mth vs Pr Mth";#N/A,#N/A,FALSE,"Ind vs Pr Month ";#N/A,#N/A,FALSE,"SGA (Elem) vs Pr Month";#N/A,#N/A,FALSE,"SGA (BU) vs Pr Mth";#N/A,#N/A,FALSE,"SC vs Plan";#N/A,#N/A,FALSE,"SVC Detail Mth vsPlan ";#N/A,#N/A,FALSE,"Ind vs Plan";#N/A,#N/A,FALSE,"SGA (Elem) vs Plan";#N/A,#N/A,FALSE,"SGA (BU) vs Plan";#N/A,#N/A,FALSE,"SC vs YTD 00";#N/A,#N/A,FALSE,"SGA (Elem) vs YTD 00";#N/A,#N/A,FALSE,"SGA (BU) YTD vs YTD 00";#N/A,#N/A,FALSE,"SC vs YTD Plan ";#N/A,#N/A,FALSE,"SVC YTD Detail Mth vsPlan ";#N/A,#N/A,FALSE,"SGA (Elem) vs YTD Plan";#N/A,#N/A,FALSE,"SGA (BU) YTD vs Plan";#N/A,#N/A,FALSE,"CapExp";#N/A,#N/A,FALSE,"EBITDA";#N/A,#N/A,FALSE,"Mth trends";#N/A,#N/A,FALSE,"Inc. Statement";#N/A,#N/A,FALSE,"Balance Sheet";#N/A,#N/A,FALSE,"Cash Flow"}</definedName>
    <definedName name="qg" hidden="1">{#N/A,#N/A,FALSE,"RESUMEN ECON.";#N/A,#N/A,FALSE,"Costos de R.H.";#N/A,#N/A,FALSE,"COSTO HW";#N/A,#N/A,FALSE,"CUADROS";#N/A,#N/A,FALSE,"SCADA´s";#N/A,#N/A,FALSE,"PRECIOS EQUIPOS"}</definedName>
    <definedName name="qq" hidden="1">{#N/A,#N/A,FALSE,"March Details"}</definedName>
    <definedName name="qqqqqqqq" hidden="1">{"Report",#N/A,FALSE,"March Details"}</definedName>
    <definedName name="qre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Qtroperations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quarter" hidden="1">{#N/A,#N/A,FALSE,"Sheet8";#N/A,#N/A,FALSE,"Sheet7"}</definedName>
    <definedName name="qwert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radg" hidden="1">{"FCB_ALL",#N/A,FALSE,"FCB";"GREY_ALL",#N/A,FALSE,"GREY"}</definedName>
    <definedName name="redo" hidden="1">{#N/A,#N/A,FALSE,"ACQ_GRAPHS";#N/A,#N/A,FALSE,"T_1 GRAPHS";#N/A,#N/A,FALSE,"T_2 GRAPHS";#N/A,#N/A,FALSE,"COMB_GRAPHS"}</definedName>
    <definedName name="reewrew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gnew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w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wty4et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yt4y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tail" hidden="1">{"'Sheet1'!$A$5:$G$42"}</definedName>
    <definedName name="rft" hidden="1">{#N/A,#N/A,TRUE,"RESUMEN ECON.";#N/A,#N/A,TRUE,"Costos de R.H.";#N/A,#N/A,TRUE,"COSTO HW";#N/A,#N/A,TRUE,"CUADROS";#N/A,#N/A,TRUE,"SCADA´s";#N/A,#N/A,TRUE,"PRECIOS EQUIPOS"}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FALSE</definedName>
    <definedName name="RPA" hidden="1">{#N/A,#N/A,FALSE,"Cashflow Analysis";#N/A,#N/A,FALSE,"Sensitivity Analysis";#N/A,#N/A,FALSE,"PV";#N/A,#N/A,FALSE,"Pro Forma"}</definedName>
    <definedName name="RPA.2" hidden="1">{#N/A,#N/A,FALSE,"Cashflow Analysis";#N/A,#N/A,FALSE,"Sensitivity Analysis";#N/A,#N/A,FALSE,"PV";#N/A,#N/A,FALSE,"Pro Forma"}</definedName>
    <definedName name="rrrrr" hidden="1">{"'Edit'!$A$1:$V$2277"}</definedName>
    <definedName name="rrrrrr" hidden="1">{"'Edit'!$A$1:$V$2277"}</definedName>
    <definedName name="rse" hidden="1">{"FCB_ALL",#N/A,FALSE,"FCB"}</definedName>
    <definedName name="rt" hidden="1">{"inputs raw data",#N/A,TRUE,"INPUT"}</definedName>
    <definedName name="rtu" hidden="1">{#N/A,#N/A,TRUE,"RESUMEN ECON.";#N/A,#N/A,TRUE,"Costos de R.H.";#N/A,#N/A,TRUE,"COSTO HW";#N/A,#N/A,TRUE,"CUADROS";#N/A,#N/A,TRUE,"SCADA´s";#N/A,#N/A,TRUE,"PRECIOS EQUIPOS"}</definedName>
    <definedName name="sa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sadfsdfsdfsaf" hidden="1">{"wpocash",#N/A,FALSE,"WPOALLT";"wpoinc",#N/A,FALSE,"WPOALLT";"wpobroad",#N/A,FALSE,"WPOALLT";"wpocable",#N/A,FALSE,"WPOALLT";"wpoexcl",#N/A,FALSE,"WPOALLT";"wponwsweek",#N/A,FALSE,"WPOALLT";"wpopost",#N/A,FALSE,"WPOALLT"}</definedName>
    <definedName name="sagf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APBEXhrIndnt" hidden="1">"Wide"</definedName>
    <definedName name="SAPsysID" hidden="1">"708C5W7SBKP804JT78WJ0JNKI"</definedName>
    <definedName name="SAPwbID" hidden="1">"ARS"</definedName>
    <definedName name="sasdfkj" hidden="1">{"FCB_ALL",#N/A,FALSE,"FCB"}</definedName>
    <definedName name="sdafe" hidden="1">{"FCB_ALL",#N/A,FALSE,"FCB";"GREY_ALL",#N/A,FALSE,"GREY"}</definedName>
    <definedName name="sdaflkej" hidden="1">{"FCB_ALL",#N/A,FALSE,"FCB";"GREY_ALL",#N/A,FALSE,"GREY"}</definedName>
    <definedName name="sdafsdafsaf" hidden="1">{"wpocash",#N/A,FALSE,"WPOALLT";"wpoinc",#N/A,FALSE,"WPOALLT";"wpobroad",#N/A,FALSE,"WPOALLT";"wpocable",#N/A,FALSE,"WPOALLT";"wpoexcl",#N/A,FALSE,"WPOALLT";"wponwsweek",#N/A,FALSE,"WPOALLT";"wpopost",#N/A,FALSE,"WPOALLT"}</definedName>
    <definedName name="sdas" hidden="1">{"Total",#N/A,FALSE,"Six Fields";"PDP",#N/A,FALSE,"Six Fields";"PNP",#N/A,FALSE,"Six Fields";"PUD",#N/A,FALSE,"Six Fields";"Prob",#N/A,FALSE,"Six Fields"}</definedName>
    <definedName name="sdasd" hidden="1">{"FCB_ALL",#N/A,FALSE,"FCB";"GREY_ALL",#N/A,FALSE,"GREY"}</definedName>
    <definedName name="sdf" hidden="1">{#N/A,#N/A,FALSE,"FAB VENDORS";"BUD SUM",#N/A,FALSE,"BUD SUM WO TEX"}</definedName>
    <definedName name="sdfasr" hidden="1">{"FCB_ALL",#N/A,FALSE,"FCB"}</definedName>
    <definedName name="sdfdsf" hidden="1">{"FCB_ALL",#N/A,FALSE,"FCB";"GREY_ALL",#N/A,FALSE,"GREY"}</definedName>
    <definedName name="sdfg" hidden="1">{"summary",#N/A,FALSE,"3 yr average";"comps",#N/A,FALSE,"3 yr average"}</definedName>
    <definedName name="sdfga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h" hidden="1">{"FCB_ALL",#N/A,FALSE,"FCB"}</definedName>
    <definedName name="sdfsdfsdfsafsdf" hidden="1">{"FCB_ALL",#N/A,FALSE,"FCB"}</definedName>
    <definedName name="sdhr" hidden="1">{"FCB_ALL",#N/A,FALSE,"FCB";"GREY_ALL",#N/A,FALSE,"GREY"}</definedName>
    <definedName name="sdsds" hidden="1">{"PR1","pr1",TRUE,"Sch PR-1"}</definedName>
    <definedName name="sdz" hidden="1">{"FCB_ALL",#N/A,FALSE,"FCB"}</definedName>
    <definedName name="secondaries" hidden="1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sfdgsar" hidden="1">{"FCB_ALL",#N/A,FALSE,"FCB";"GREY_ALL",#N/A,FALSE,"GREY"}</definedName>
    <definedName name="sfj" hidden="1">{"PR1","pr1",TRUE,"Sch PR-1"}</definedName>
    <definedName name="shg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shit" hidden="1">{#N/A,"Base",FALSE,"Dividend";#N/A,"Conservative",FALSE,"Dividend";#N/A,"Downside",FALSE,"Dividend"}</definedName>
    <definedName name="Simple" hidden="1">{#N/A,#N/A,FALSE,"RESUMEN ECON.";#N/A,#N/A,FALSE,"Costos de R.H.";#N/A,#N/A,FALSE,"COSTO HW";#N/A,#N/A,FALSE,"CUADROS";#N/A,#N/A,FALSE,"SCADA´s";#N/A,#N/A,FALSE,"PRECIOS EQUIPOS"}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T" hidden="1">{"SUM",#N/A,FALSE,"Details (2)"}</definedName>
    <definedName name="SPM" hidden="1">{#N/A,#N/A,FALSE,"Cashflow Analysis";#N/A,#N/A,FALSE,"Sensitivity Analysis";#N/A,#N/A,FALSE,"PV";#N/A,#N/A,FALSE,"Pro Forma"}</definedName>
    <definedName name="SPM.2" hidden="1">{#N/A,#N/A,FALSE,"Cashflow Analysis";#N/A,#N/A,FALSE,"Sensitivity Analysis";#N/A,#N/A,FALSE,"PV";#N/A,#N/A,FALSE,"Pro Forma"}</definedName>
    <definedName name="sql_statement" hidden="1">"select distinct acct_cat,sum(cyr),sum(lyr),sum(cbd),mult_x000D_
from r1_datasum_x000D_
group by acct_cat_x000D_
_x000D_
"</definedName>
    <definedName name="ss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sssssss" hidden="1">{"PR1","pr1",TRUE,"Sch PR-1"}</definedName>
    <definedName name="stands" hidden="1">{"FCB_ALL",#N/A,FALSE,"FCB";"GREY_ALL",#N/A,FALSE,"GREY"}</definedName>
    <definedName name="stands1" hidden="1">{"FCB_ALL",#N/A,FALSE,"FCB";"GREY_ALL",#N/A,FALSE,"GREY"}</definedName>
    <definedName name="stud1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V_ENCPT_LOGON_PWD" hidden="1">"078104085088070118116120102"</definedName>
    <definedName name="SV_ENCPT_LOGON_USER" hidden="1">"095094088070084104115102112100101110"</definedName>
    <definedName name="switch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t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t2_1" hidden="1">{"'Sheet1'!$A$5:$G$42"}</definedName>
    <definedName name="temp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1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temp2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tempq2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3" hidden="1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tempq4" hidden="1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tempq5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tempq6" hidden="1">{#N/A,#N/A,TRUE,"FD IV Portfolio Summary ";#N/A,#N/A,TRUE,"Western";#N/A,#N/A,TRUE,"Kranson";#N/A,#N/A,TRUE,"ARC";#N/A,#N/A,TRUE,"Precise";#N/A,#N/A,TRUE,"WNA"}</definedName>
    <definedName name="tempq7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8" hidden="1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tetas" hidden="1">{#N/A,#N/A,FALSE,"RESUMEN ECON.";#N/A,#N/A,FALSE,"Costos de R.H.";#N/A,#N/A,FALSE,"COSTO HW";#N/A,#N/A,FALSE,"CUADROS";#N/A,#N/A,FALSE,"SCADA´s";#N/A,#N/A,FALSE,"PRECIOS EQUIPOS"}</definedName>
    <definedName name="Titan" hidden="1">{"kricash",#N/A,FALSE,"INC";"kriinc",#N/A,FALSE,"INC";"krimiami",#N/A,FALSE,"INC";"kriother",#N/A,FALSE,"INC";"kripapers",#N/A,FALSE,"INC"}</definedName>
    <definedName name="tl" hidden="1">{#N/A,#N/A,FALSE,"FAB VENDORS";"BUD SUM",#N/A,FALSE,"BUD SUM WO TEX"}</definedName>
    <definedName name="TM1REBUILDOPTION">1</definedName>
    <definedName name="trevor" hidden="1">{#N/A,#N/A,FALSE,"FAB VENDORS";"BUD SUM",#N/A,FALSE,"BUD SUM WO TEX"}</definedName>
    <definedName name="Trust2" hidden="1">{#N/A,#N/A,FALSE,"Summary";#N/A,#N/A,FALSE,"Financials";#N/A,#N/A,FALSE,"Returns";#N/A,#N/A,FALSE,"Open";#N/A,#N/A,FALSE,"Assumptions"}</definedName>
    <definedName name="tt" hidden="1">{"Summary",#N/A,FALSE,"Details (2)"}</definedName>
    <definedName name="ttt" hidden="1">{"SUM",#N/A,FALSE,"Details (2)"}</definedName>
    <definedName name="tttt" hidden="1">{"Summary",#N/A,FALSE,"Details (2)"}</definedName>
    <definedName name="TU" hidden="1">{#N/A,#N/A,FALSE,"CNS_ADJ";"Balance Consolidado",#N/A,FALSE,"BCEC_CNS";#N/A,#N/A,FALSE,"USGAAP_ADJ"}</definedName>
    <definedName name="Tulsa" hidden="1">{#N/A,#N/A,FALSE,"Report Data";#N/A,#N/A,FALSE,"COMP POOL";#N/A,#N/A,FALSE,"COMP POOL NB95";#N/A,#N/A,FALSE,"COMP POOL NB94"}</definedName>
    <definedName name="tyler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tyler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u" hidden="1">{"CSheet",#N/A,FALSE,"C";"SmCap",#N/A,FALSE,"VAL1";"GulfCoast",#N/A,FALSE,"VAL1";"nav",#N/A,FALSE,"NAV";"Summary",#N/A,FALSE,"NAV"}</definedName>
    <definedName name="United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uyfkf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UYR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Valuation" hidden="1">{#N/A,#N/A,FALSE,"Output";#N/A,#N/A,FALSE,"Cover Sheet";#N/A,#N/A,FALSE,"Current Mkt. Projections"}</definedName>
    <definedName name="value" hidden="1">OFFSET(#REF!,5,0,COUNTA(#REF!)-COUNTA(#REF!),1)</definedName>
    <definedName name="Value.2" hidden="1">{#N/A,#N/A,FALSE,"Cashflow Analysis";#N/A,#N/A,FALSE,"Sensitivity Analysis";#N/A,#N/A,FALSE,"PV";#N/A,#N/A,FALSE,"Pro Forma"}</definedName>
    <definedName name="value1" hidden="1">{#N/A,#N/A,FALSE,"Cashflow Analysis";#N/A,#N/A,FALSE,"Sensitivity Analysis";#N/A,#N/A,FALSE,"PV";#N/A,#N/A,FALSE,"Pro Forma"}</definedName>
    <definedName name="value1.2" hidden="1">{#N/A,#N/A,FALSE,"Cashflow Analysis";#N/A,#N/A,FALSE,"Sensitivity Analysis";#N/A,#N/A,FALSE,"PV";#N/A,#N/A,FALSE,"Pro Forma"}</definedName>
    <definedName name="varianc" hidden="1">{#N/A,#N/A,TRUE,"Mth Sum";#N/A,#N/A,TRUE,"YTD Sum";#N/A,#N/A,TRUE,"Mth Rev Sum";#N/A,#N/A,TRUE,"YTD Rev Sum";#N/A,#N/A,TRUE,"SC vs Pr Month (Revised)";#N/A,#N/A,TRUE,"SVC Detail Mth vs Pr Mth (Rev)";#N/A,#N/A,TRUE,"SGA (Elem) vs Pr Month";#N/A,#N/A,TRUE,"SGA (BU) vs Pr Mth";#N/A,#N/A,TRUE,"SC vs Plan (Revised)";#N/A,#N/A,TRUE,"SVC Detail Mth vsPlan (Rev)";#N/A,#N/A,TRUE,"SGA (Elem) vs Plan";#N/A,#N/A,TRUE,"SGA (BU) vs Plan(Rev)";#N/A,#N/A,TRUE,"SC vs YTD 00 (Revised)";#N/A,#N/A,TRUE,"SGA (Elem) vs YTD 00";#N/A,#N/A,TRUE,"SGA (BU) YTD vs YTD 00";#N/A,#N/A,TRUE,"SC vs YTD Plan (Revised)";#N/A,#N/A,TRUE,"SVC YTD Detail Mth vsPlan (Rev)";#N/A,#N/A,TRUE,"SGA (Elem) vs YTD Plan";#N/A,#N/A,TRUE,"SGA (BU) YTD vs Plan(Rev)";#N/A,#N/A,TRUE,"CapExp";#N/A,#N/A,TRUE,"EBITDA(Flash)";#N/A,#N/A,TRUE,"NetInc(Flash)";#N/A,#N/A,TRUE,"Gross Margin(Flash)";#N/A,#N/A,TRUE,"Mth trends(Flash)";#N/A,#N/A,TRUE,"HeadcountP01";#N/A,#N/A,TRUE,"Headcount P00";#N/A,#N/A,TRUE,"Inc. Statement";#N/A,#N/A,TRUE,"Balance Sheet";#N/A,#N/A,TRUE,"Cash Flow"}</definedName>
    <definedName name="Veneco" hidden="1">{"one",#N/A,TRUE,"Alaska";"two",#N/A,TRUE,"Alaska";"three",#N/A,TRUE,"Alaska";"four",#N/A,TRUE,"Alaska"}</definedName>
    <definedName name="viajes" hidden="1">{#N/A,#N/A,TRUE,"RESUMEN ECON.";#N/A,#N/A,TRUE,"Costos de R.H.";#N/A,#N/A,TRUE,"COSTO HW";#N/A,#N/A,TRUE,"CUADROS";#N/A,#N/A,TRUE,"SCADA´s";#N/A,#N/A,TRUE,"PRECIOS EQUIPOS"}</definedName>
    <definedName name="viajes2" hidden="1">{#N/A,#N/A,TRUE,"RESUMEN ECON.";#N/A,#N/A,TRUE,"Costos de R.H.";#N/A,#N/A,TRUE,"COSTO HW";#N/A,#N/A,TRUE,"CUADROS";#N/A,#N/A,TRUE,"SCADA´s";#N/A,#N/A,TRUE,"PRECIOS EQUIPOS"}</definedName>
    <definedName name="vnbs" hidden="1">{"FCB_ALL",#N/A,FALSE,"FCB"}</definedName>
    <definedName name="vsr" hidden="1">{"FCB_ALL",#N/A,FALSE,"FCB"}</definedName>
    <definedName name="vvvv" hidden="1">{#N/A,#N/A,FALSE,"Cashflow Analysis";#N/A,#N/A,FALSE,"Sensitivity Analysis";#N/A,#N/A,FALSE,"PV";#N/A,#N/A,FALSE,"Pro Forma"}</definedName>
    <definedName name="VVVV.2" hidden="1">{#N/A,#N/A,FALSE,"Cashflow Analysis";#N/A,#N/A,FALSE,"Sensitivity Analysis";#N/A,#N/A,FALSE,"PV";#N/A,#N/A,FALSE,"Pro Forma"}</definedName>
    <definedName name="wafe" hidden="1">{"summary1",#N/A,TRUE,"Comps";"summary2",#N/A,TRUE,"Comps";"summary3",#N/A,TRUE,"Comps"}</definedName>
    <definedName name="wc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c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EA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af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aff" hidden="1">{#N/A,#N/A,FALSE,"Assum";#N/A,#N/A,FALSE,"IS";#N/A,#N/A,FALSE,"Op-BS";#N/A,#N/A,FALSE,"BSCF";#N/A,#N/A,FALSE,"Brad_IS";#N/A,#N/A,FALSE,"Brad_BSCF";#N/A,#N/A,FALSE,"Nick_IS";#N/A,#N/A,FALSE,"Nick_BSCF";#N/A,#N/A,FALSE,"Mobile_IS";#N/A,#N/A,FALSE,"Mobile_BSCF";#N/A,#N/A,FALSE,"Syn+Elim";#N/A,#N/A,FALSE,"Ratings"}</definedName>
    <definedName name="wekwn" hidden="1">{"'Edit'!$A$1:$V$2277"}</definedName>
    <definedName name="welw" hidden="1">{"'Edit'!$A$1:$V$2277"}</definedName>
    <definedName name="WEQQE" hidden="1">{"summary1",#N/A,TRUE,"Comps";"summary2",#N/A,TRUE,"Comps";"summary3",#N/A,TRUE,"Comps"}</definedName>
    <definedName name="were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g" hidden="1">{"ReportTop",#N/A,FALSE,"report top"}</definedName>
    <definedName name="WHO" hidden="1">{#N/A,#N/A,FALSE,"SUMMARY";#N/A,#N/A,FALSE,"DETAIL";#N/A,#N/A,FALSE,"VARIANCE"}</definedName>
    <definedName name="wholesaleforecast" hidden="1">{"SUM",#N/A,FALSE,"Details (2)"}</definedName>
    <definedName name="WQ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r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_1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d.2_.pagers.3" hidden="1">{"Cover",#N/A,FALSE,"Cover";"Summary",#N/A,FALSE,"Summarpage"}</definedName>
    <definedName name="wrd.2._.pagers.3" hidden="1">{"Cover",#N/A,FALSE,"Cover";"Summary",#N/A,FALSE,"Summarpage"}</definedName>
    <definedName name="w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" hidden="1">{"FCB_ALL",#N/A,FALSE,"FCB"}</definedName>
    <definedName name="wrn_eva" hidden="1">{"EVA",#N/A,FALSE,"EVA";"WACC",#N/A,FALSE,"WACC"}</definedName>
    <definedName name="wrn_summary_95_95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_summary_95_952_1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12_30._.Adv._.Book." hidden="1">{#N/A,#N/A,TRUE,"Fd II Bullets";#N/A,#N/A,TRUE,"Fd II Cap. Position ";#N/A,#N/A,TRUE,"FD II Portfolio Summary";#N/A,#N/A,TRUE,"Fund II BV";#N/A,#N/A,TRUE,"Fund II FV";#N/A,#N/A,TRUE,"JRI";#N/A,#N/A,TRUE,"Weasler";#N/A,#N/A,TRUE,"NDS ";#N/A,#N/A,TRUE,"J Chain";#N/A,#N/A,TRUE,"Stronghaven";#N/A,#N/A,TRUE,"Connor";#N/A,#N/A,TRUE,"DSI";#N/A,#N/A,TRUE,"HWC";#N/A,#N/A,TRUE,"Temple";#N/A,#N/A,TRUE,"F3 Bullets";#N/A,#N/A,TRUE,"Fd III Cap. Position ";#N/A,#N/A,TRUE,"FD III Port Summ";#N/A,#N/A,TRUE,"Fund III BV";#N/A,#N/A,TRUE,"Fund III MV";#N/A,#N/A,TRUE,"Beacon";#N/A,#N/A,TRUE,"CII";#N/A,#N/A,TRUE,"MCA";#N/A,#N/A,TRUE,"Elm";#N/A,#N/A,TRUE,"Tharco";#N/A,#N/A,TRUE,"Dee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";#N/A,#N/A,TRUE,"Fund IV BV";#N/A,#N/A,TRUE,"Western";#N/A,#N/A,TRUE,"Kranson"}</definedName>
    <definedName name="wrn.123100._.Port._.Review." hidden="1">{#N/A,#N/A,TRUE,"Port Summary II";#N/A,#N/A,TRUE,"II BV IRR";#N/A,#N/A,TRUE,"II FV IRR";#N/A,#N/A,TRUE,"JRI";#N/A,#N/A,TRUE,"Weasler";#N/A,#N/A,TRUE,"Stronghaven";#N/A,#N/A,TRUE,"Connor";#N/A,#N/A,TRUE,"HWC";#N/A,#N/A,TRUE,"Temple";#N/A,#N/A,TRUE,"Port Summary III";#N/A,#N/A,TRUE,"III BV IRR";#N/A,#N/A,TRUE,"III MV IRR";#N/A,#N/A,TRUE,"Beacon";#N/A,#N/A,TRUE,"CII";#N/A,#N/A,TRUE,"MCA";#N/A,#N/A,TRUE,"Elm";#N/A,#N/A,TRUE,"Elm Memo";#N/A,#N/A,TRUE,"Tharco";#N/A,#N/A,TRUE,"Dee H";#N/A,#N/A,TRUE,"DH Memo";#N/A,#N/A,TRUE,"Hunt Valve";#N/A,#N/A,TRUE,"KBA";#N/A,#N/A,TRUE,"Glassmaster";#N/A,#N/A,TRUE,"MLS";#N/A,#N/A,TRUE,"CBSA";#N/A,#N/A,TRUE,"ACE";#N/A,#N/A,TRUE,"United Central";#N/A,#N/A,TRUE,"Jakel";#N/A,#N/A,TRUE,"Lake City ";#N/A,#N/A,TRUE,"LCI Memo";#N/A,#N/A,TRUE,"Port Summary IV";#N/A,#N/A,TRUE,"IV BV IRR";#N/A,#N/A,TRUE,"Western";#N/A,#N/A,TRUE,"Kranson";#N/A,#N/A,TRUE,"ARC";#N/A,#N/A,TRUE,"Precise";#N/A,#N/A,TRUE,"WNA"}</definedName>
    <definedName name="wrn.2._.pagers." hidden="1">{"Cover",#N/A,FALSE,"Cover";"Summary",#N/A,FALSE,"Summarpage"}</definedName>
    <definedName name="wrn.2._.pagers.2" hidden="1">{"Cover",#N/A,FALSE,"Cover";"Summary",#N/A,FALSE,"Summarpage"}</definedName>
    <definedName name="wrn.2._.pagers.3" hidden="1">{"Cover",#N/A,FALSE,"Cover";"Summary",#N/A,FALSE,"Summarpage"}</definedName>
    <definedName name="wrn.2._.pagers.4" hidden="1">{"Cover",#N/A,FALSE,"Cover";"Summary",#N/A,FALSE,"Summarpage"}</definedName>
    <definedName name="wrn.2._.pagers.5" hidden="1">{"Cover",#N/A,FALSE,"Cover";"Summary",#N/A,FALSE,"Summarpage"}</definedName>
    <definedName name="wrn.2._.pagers.6" hidden="1">{"Cover",#N/A,FALSE,"Cover";"Summary",#N/A,FALSE,"Summarpage"}</definedName>
    <definedName name="wrn.2._.pagers.8" hidden="1">{"Cover",#N/A,FALSE,"Cover";"Summary",#N/A,FALSE,"Summarpage"}</definedName>
    <definedName name="wrn.2._pagers.4" hidden="1">{"Cover",#N/A,FALSE,"Cover";"Summary",#N/A,FALSE,"Summarpage"}</definedName>
    <definedName name="wrn.3.00._.Adv.._.Board." hidden="1">{#N/A,#N/A,TRUE,"Fd II Inv. act.";#N/A,#N/A,TRUE,"Fd II Cap. Position ";#N/A,#N/A,TRUE,"FD II Portfolio Summary";#N/A,#N/A,TRUE,"BV Valuation";#N/A,#N/A,TRUE,"FV Valuation";#N/A,#N/A,TRUE,"JRI";#N/A,#N/A,TRUE,"Weasler";#N/A,#N/A,TRUE,"NDS ";#N/A,#N/A,TRUE,"Stronghaven";#N/A,#N/A,TRUE,"Connor";#N/A,#N/A,TRUE,"DSI";#N/A,#N/A,TRUE,"HWC";#N/A,#N/A,TRUE,"Temple";#N/A,#N/A,TRUE,"Fd III Inv. act.";#N/A,#N/A,TRUE,"Fd III Cap. Position ";#N/A,#N/A,TRUE,"FD III Port Summ";#N/A,#N/A,TRUE,"FD III BV";#N/A,#N/A,TRUE,"FD III MV";#N/A,#N/A,TRUE,"Beacon";#N/A,#N/A,TRUE,"CII";#N/A,#N/A,TRUE,"MCA";#N/A,#N/A,TRUE,"Elm";#N/A,#N/A,TRUE,"Tharco";#N/A,#N/A,TRUE,"Dee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Inv. act.";#N/A,#N/A,TRUE,"Fd IV Cap. Position  ";#N/A,#N/A,TRUE,"FD IV Portfolio Summary ";#N/A,#N/A,TRUE,"FD IV BV";#N/A,#N/A,TRUE,"Western";#N/A,#N/A,TRUE,"Kranson"}</definedName>
    <definedName name="wrn.3cases." hidden="1">{#N/A,"Base",FALSE,"Dividend";#N/A,"Conservative",FALSE,"Dividend";#N/A,"Downside",FALSE,"Dividend"}</definedName>
    <definedName name="wrn.5._.Year._.Plan." hidden="1">{"Consolidated assumptions 1",#N/A,FALSE,"CONSO";"Consolidated assumptions 2",#N/A,FALSE,"CONSO";"Consolidated assumptions 3",#N/A,FALSE,"CONSO";"Consolidated earnings",#N/A,FALSE,"CONSO";"Consolidated Cash Flow",#N/A,FALSE,"CONSO";"Consolidated Balance Sheet",#N/A,FALSE,"CONSO";"Consolidated Cap-Ex",#N/A,FALSE,"CONSO";"Paper Donnacona summary assumptions",#N/A,FALSE,"PAPER DONNACONA";"Paper Donnacona earnings",#N/A,FALSE,"PAPER DONNACONA";"Paper Donnacona Cash Flow",#N/A,FALSE,"PAPER DONNACONA";"Paper Donnacona Balance Sheet",#N/A,FALSE,"PAPER DONNACONA";"Paper Donnacona Cap-ex",#N/A,FALSE,"PAPER DONNACONA";"Paper Dolbeau summary assumptions",#N/A,FALSE,"PAPER DOLBEAU";"Paper Dolbeau earnings",#N/A,FALSE,"PAPER DOLBEAU";"Paper Dolbeau Cash Flow",#N/A,FALSE,"PAPER DOLBEAU";"Paper Dolbeau Balance Sheet",#N/A,FALSE,"PAPER DOLBEAU";"Paper Dolbeau Cap-ex",#N/A,FALSE,"PAPER DOLBEAU";"Lumber assumptions 1",#N/A,FALSE,"LUMBER";"Lumber assumptions 2",#N/A,FALSE,"LUMBER";"Lumber earnings",#N/A,FALSE,"LUMBER";"Lumber Cash Flow",#N/A,FALSE,"LUMBER";"Lumber Balance Sheet",#N/A,FALSE,"LUMBER";"Lumber Cap-ex",#N/A,FALSE,"LUMBER";"Coosa assumptions 1",#N/A,FALSE,"COOSA";"Coosa assumptions 2",#N/A,FALSE,"COOSA";"Coosa earnings",#N/A,FALSE,"COOSA";"Coosa Cash Flow",#N/A,FALSE,"COOSA";"Coosa Balance Sheet",#N/A,FALSE,"COOSA";"Coosa Cap-ex",#N/A,FALSE,"COOSA";"Head Office assumptions",#N/A,FALSE,"H.OFFICE";"Head Office earnings",#N/A,FALSE,"H.OFFICE";"Head Office Cash Flow",#N/A,FALSE,"H.OFFICE";"Head Office Balance Sheet",#N/A,FALSE,"H.OFFICE";"Head Office Cap-ex",#N/A,FALSE,"H.OFFICE";"Tax 1",#N/A,FALSE,"impôt";"Tax 2",#N/A,FALSE,"impôt"}</definedName>
    <definedName name="wrn.9_30._.Adv._.Board." hidden="1">{#N/A,#N/A,TRUE,"Fd II Bullets";#N/A,#N/A,TRUE,"Fd II Cap. Position ";#N/A,#N/A,TRUE,"FD II Portfolio Summary";#N/A,#N/A,TRUE,"BV Valuation ";#N/A,#N/A,TRUE,"FV Valuation";#N/A,#N/A,TRUE,"Valuation Change II";#N/A,#N/A,TRUE,"Costumes";#N/A,#N/A,TRUE,"DSI";#N/A,#N/A,TRUE,"Temple";#N/A,#N/A,TRUE,"Temple Value";#N/A,#N/A,TRUE,"JRI";#N/A,#N/A,TRUE,"Weasler";#N/A,#N/A,TRUE,"NDS ";#N/A,#N/A,TRUE,"J Chain";#N/A,#N/A,TRUE,"Stronghaven";#N/A,#N/A,TRUE,"Connor";#N/A,#N/A,TRUE,"HWC";#N/A,#N/A,TRUE,"F3 Bullets";#N/A,#N/A,TRUE,"Fd III Cap. Position  ";#N/A,#N/A,TRUE,"FD III Port Summ";#N/A,#N/A,TRUE,"BV Valuation";#N/A,#N/A,TRUE,"MV Valuation";#N/A,#N/A,TRUE,"Valuation Change III";#N/A,#N/A,TRUE,"Beacon";#N/A,#N/A,TRUE,"Beacon Value";#N/A,#N/A,TRUE,"Tharco";#N/A,#N/A,TRUE,"Tharco Value";#N/A,#N/A,TRUE,"Dee H";#N/A,#N/A,TRUE,"Dee H Value";#N/A,#N/A,TRUE,"Globe";#N/A,#N/A,TRUE,"Globe Value";#N/A,#N/A,TRUE,"CII";#N/A,#N/A,TRUE,"MCA";#N/A,#N/A,TRUE,"Elm";#N/A,#N/A,TRUE,"Hunt Valve";#N/A,#N/A,TRUE,"Hund 2";#N/A,#N/A,TRUE,"KBA";#N/A,#N/A,TRUE,"Glassmaster";#N/A,#N/A,TRUE,"May";#N/A,#N/A,TRUE,"CBSA";#N/A,#N/A,TRUE,"ACE";#N/A,#N/A,TRUE,"United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";#N/A,#N/A,TRUE,"BV Valuation IV ";#N/A,#N/A,TRUE,"Western"}</definedName>
    <definedName name="wrn.9_30._.LP._.Meeting." hidden="1">{#N/A,#N/A,TRUE,"Fund II Graph";#N/A,#N/A,TRUE,"Fd II Cap. Position ";#N/A,#N/A,TRUE,"Fd II Inv. act.";#N/A,#N/A,TRUE,"FD II Portfolio Summary";#N/A,#N/A,TRUE,"BV Valuation II";#N/A,#N/A,TRUE,"FV Valuation II";#N/A,#N/A,TRUE,"Fund II Per.";#N/A,#N/A,TRUE,"Valuation Change II";#N/A,#N/A,TRUE,"JRI";#N/A,#N/A,TRUE,"Weasler";#N/A,#N/A,TRUE,"Return Analysis";#N/A,#N/A,TRUE,"NDS Return";#N/A,#N/A,TRUE,"NDS";#N/A,#N/A,TRUE,"Stronghaven";#N/A,#N/A,TRUE,"Connor";#N/A,#N/A,TRUE,"HWC";#N/A,#N/A,TRUE,"Temple";#N/A,#N/A,TRUE,"Fund III Graph";#N/A,#N/A,TRUE,"Fd III Cap. Position ";#N/A,#N/A,TRUE,"Add-ons";#N/A,#N/A,TRUE,"Fd III Inv. act.";#N/A,#N/A,TRUE,"FD III Port Summ";#N/A,#N/A,TRUE,"BV Valuation III";#N/A,#N/A,TRUE,"MV Valuation III";#N/A,#N/A,TRUE,"Fund III Per.";#N/A,#N/A,TRUE,"Valuation Change III";#N/A,#N/A,TRUE,"Beacon";#N/A,#N/A,TRUE,"CII";#N/A,#N/A,TRUE,"MCA";#N/A,#N/A,TRUE,"Elm";#N/A,#N/A,TRUE,"Tharco";#N/A,#N/A,TRUE,"Tharco Write-up";#N/A,#N/A,TRUE,"Dee H";#N/A,#N/A,TRUE,"Dee H. Memo";#N/A,#N/A,TRUE,"Globe";#N/A,#N/A,TRUE,"Hunt Valve";#N/A,#N/A,TRUE,"KBA";#N/A,#N/A,TRUE,"Glassmaster";#N/A,#N/A,TRUE,"MLS";#N/A,#N/A,TRUE,"CBSA";#N/A,#N/A,TRUE,"ACE";#N/A,#N/A,TRUE,"United Central";#N/A,#N/A,TRUE,"Jakel";#N/A,#N/A,TRUE,"Lake City ";#N/A,#N/A,TRUE,"LCF Com.";#N/A,#N/A,TRUE,"Fund IV Graph";#N/A,#N/A,TRUE,"Fd IV Cap. Position  ";#N/A,#N/A,TRUE,"Fd IV Inv. act.";#N/A,#N/A,TRUE,"FD IV Portfolio Summary ";#N/A,#N/A,TRUE,"BV Valuation";#N/A,#N/A,TRUE,"Fund IV Per.";#N/A,#N/A,TRUE,"Western";#N/A,#N/A,TRUE,"Kranson";#N/A,#N/A,TRUE,"ARC";#N/A,#N/A,TRUE,"Precise";#N/A,#N/A,TRUE,"WNA"}</definedName>
    <definedName name="wrn.A_VALUATION." hidden="1">{#N/A,#N/A,FALSE,"A_D";#N/A,#N/A,FALSE,"WACC";#N/A,#N/A,FALSE,"DCF";#N/A,#N/A,FALSE,"A";#N/A,#N/A,FALSE,"LBO";#N/A,#N/A,FALSE,"C";#N/A,#N/A,FALSE,"impd";#N/A,#N/A,FALSE,"comps"}</definedName>
    <definedName name="wrn.abc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ccounts." hidden="1">{"turnover",#N/A,FALSE;"profits",#N/A,FALSE;"cash",#N/A,FALSE}</definedName>
    <definedName name="wrn.Accr_Dil." hidden="1">{#N/A,#N/A,FALSE,"Debt Accr";#N/A,#N/A,FALSE,"Stock Accr";#N/A,#N/A,FALSE,"Debt Stock Accr"}</definedName>
    <definedName name="wrn.Accretion." hidden="1">{"Accretion",#N/A,FALSE,"Assum"}</definedName>
    <definedName name="wrn.ACI." hidden="1">{"ACI IS",#N/A,FALSE,"ACI - IS";"ACI BS",#N/A,FALSE,"ACI - BS";"ACI Detail IS",#N/A,FALSE,"ACI - Detail IS";"ACI Detail IS Supplemental Info",#N/A,FALSE,"ACI - Detail IS";"ACI Monthly 1999",#N/A,FALSE,"ACI Monthly";"ACI Monthly 1998",#N/A,FALSE,"ACI Monthly";"ACI Monthly 1997",#N/A,FALSE,"ACI Monthly"}</definedName>
    <definedName name="wrn.AcqState." hidden="1">{#N/A,#N/A,TRUE,"Acq-Ass";#N/A,#N/A,TRUE,"Acq-IS";#N/A,#N/A,TRUE,"Acq-BS";#N/A,#N/A,TRUE,"Acq-CF"}</definedName>
    <definedName name="wrn.AcqState1" hidden="1">{#N/A,#N/A,TRUE,"Acq-Ass";#N/A,#N/A,TRUE,"Acq-IS";#N/A,#N/A,TRUE,"Acq-BS";#N/A,#N/A,TRUE,"Acq-CF"}</definedName>
    <definedName name="wrn.Acquiror.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sition_matrix." hidden="1">{"Acq_matrix",#N/A,FALSE,"Acquisition Matrix"}</definedName>
    <definedName name="wrn.AcqVal." hidden="1">{#N/A,#N/A,FALSE,"Acq-Val";#N/A,#N/A,FALSE,"Acq-Mult Val"}</definedName>
    <definedName name="wrn.adj95." hidden="1">{"adj95mult",#N/A,FALSE,"COMPCO";"adj95est",#N/A,FALSE,"COMPCO"}</definedName>
    <definedName name="wrn.adj95a" hidden="1">{"adj95mult",#N/A,FALSE,"COMPCO";"adj95est",#N/A,FALSE,"COMPCO"}</definedName>
    <definedName name="wrn.AGING._.ALL." hidden="1">{#N/A,#N/A,FALSE,"CURR-AG";#N/A,#N/A,FALSE,"BDS-AG";#N/A,#N/A,FALSE,"GOLD-AG";#N/A,#N/A,FALSE,"EXOT-AG";#N/A,#N/A,FALSE,"EQTY-AG";#N/A,#N/A,FALSE,"EMG RP-AG";#N/A,#N/A,FALSE,"$REPO-AG";#N/A,#N/A,FALSE,"PFD EQTY-AG";#N/A,#N/A,FALSE,"EMG BDS-AG";#N/A,#N/A,FALSE,"LATIN$-AG";#N/A,#N/A,FALSE,"DERIV-AG";#N/A,#N/A,FALSE,"EAST$-AG";#N/A,#N/A,FALSE,"NON-MEX-AG";#N/A,#N/A,FALSE,"ELECT-AG"}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ging._.and._.Trend._.Analysis._1_1" hidden="1">{#N/A,#N/A,FALSE,"Aging Summary";#N/A,#N/A,FALSE,"Ratio Analysis";#N/A,#N/A,FALSE,"Test 120 Day Accts";#N/A,#N/A,FALSE,"Tickmarks"}</definedName>
    <definedName name="wrn.Aging._.and._.Trend._.Analysis._1_2" hidden="1">{#N/A,#N/A,FALSE,"Aging Summary";#N/A,#N/A,FALSE,"Ratio Analysis";#N/A,#N/A,FALSE,"Test 120 Day Accts";#N/A,#N/A,FALSE,"Tickmarks"}</definedName>
    <definedName name="wrn.Aging._.and._.Trend._.Analysis._1_3" hidden="1">{#N/A,#N/A,FALSE,"Aging Summary";#N/A,#N/A,FALSE,"Ratio Analysis";#N/A,#N/A,FALSE,"Test 120 Day Accts";#N/A,#N/A,FALSE,"Tickmarks"}</definedName>
    <definedName name="wrn.Aging._.and._.Trend._.Analysis._1_4" hidden="1">{#N/A,#N/A,FALSE,"Aging Summary";#N/A,#N/A,FALSE,"Ratio Analysis";#N/A,#N/A,FALSE,"Test 120 Day Accts";#N/A,#N/A,FALSE,"Tickmarks"}</definedName>
    <definedName name="wrn.Aging._.and._.Trend._.Analysis._2" hidden="1">{#N/A,#N/A,FALSE,"Aging Summary";#N/A,#N/A,FALSE,"Ratio Analysis";#N/A,#N/A,FALSE,"Test 120 Day Accts";#N/A,#N/A,FALSE,"Tickmarks"}</definedName>
    <definedName name="wrn.Aging._.and._.Trend._.Analysis._3" hidden="1">{#N/A,#N/A,FALSE,"Aging Summary";#N/A,#N/A,FALSE,"Ratio Analysis";#N/A,#N/A,FALSE,"Test 120 Day Accts";#N/A,#N/A,FALSE,"Tickmarks"}</definedName>
    <definedName name="wrn.Aging._.and._.Trend._.Analysis._4" hidden="1">{#N/A,#N/A,FALSE,"Aging Summary";#N/A,#N/A,FALSE,"Ratio Analysis";#N/A,#N/A,FALSE,"Test 120 Day Accts";#N/A,#N/A,FALSE,"Tickmarks"}</definedName>
    <definedName name="wrn.Aging._.and._.Trend._.Analysis._5" hidden="1">{#N/A,#N/A,FALSE,"Aging Summary";#N/A,#N/A,FALSE,"Ratio Analysis";#N/A,#N/A,FALSE,"Test 120 Day Accts";#N/A,#N/A,FALSE,"Tickmarks"}</definedName>
    <definedName name="wrn.Alex." hidden="1">{#N/A,#N/A,FALSE,"TradeSumm";#N/A,#N/A,FALSE,"StatsSumm"}</definedName>
    <definedName name="wrn.all_1" hidden="1">{#N/A,#N/A,FALSE,"total telco cost ";#N/A,#N/A,FALSE,"# min per month EEA";#N/A,#N/A,FALSE,"# min per month LSA";#N/A,#N/A,FALSE,"# min per month 800";#N/A,#N/A,FALSE,"# min per month WATS";#N/A,#N/A,FALSE,"# min per month X-BORDER";#N/A,#N/A,FALSE,"# min per month Intl";#N/A,#N/A,FALSE,"mthly revenue";#N/A,#N/A,FALSE,"total telco cost as % of rev";#N/A,#N/A,FALSE,"res per bus revenue min split";#N/A,#N/A,FALSE,"# DALS";#N/A,#N/A,FALSE,"% of total min by axs type";#N/A,#N/A,FALSE,"telco cost per rev minute";#N/A,#N/A,FALSE,"rev per rev minute";#N/A,#N/A,FALSE,"contribution per minute"}</definedName>
    <definedName name="wrn.All_Models." hidden="1">{#N/A,#N/A,FALSE,"Summary";#N/A,#N/A,FALSE,"Projections";#N/A,#N/A,FALSE,"Mkt Mults";#N/A,#N/A,FALSE,"DCF";#N/A,#N/A,FALSE,"Accr Dil";#N/A,#N/A,FALSE,"PIC LBO";#N/A,#N/A,FALSE,"MULT10_4";#N/A,#N/A,FALSE,"CBI LBO"}</definedName>
    <definedName name="wrn.All_Sheets.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.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wrn.All._.Financials." hidden="1">{#N/A,#N/A,TRUE,"Assumptions";#N/A,#N/A,TRUE,"Op Projection";#N/A,#N/A,TRUE,"Capital";#N/A,#N/A,TRUE,"Income";#N/A,#N/A,TRUE,"Balance";#N/A,#N/A,TRUE,"Sources&amp;Uses"}</definedName>
    <definedName name="wrn.all._.graphs." hidden="1">{#N/A,#N/A,FALSE,"total telco cost ";#N/A,#N/A,FALSE,"# min per month EEA";#N/A,#N/A,FALSE,"# min per month LSA";#N/A,#N/A,FALSE,"# min per month 800";#N/A,#N/A,FALSE,"# min per month WATS";#N/A,#N/A,FALSE,"# min per month X-BORDER";#N/A,#N/A,FALSE,"# min per month Intl";#N/A,#N/A,FALSE,"mthly revenue";#N/A,#N/A,FALSE,"total telco cost as % of rev";#N/A,#N/A,FALSE,"res per bus revenue min split";#N/A,#N/A,FALSE,"# DALS";#N/A,#N/A,FALSE,"% of total min by axs type";#N/A,#N/A,FALSE,"telco cost per rev minute";#N/A,#N/A,FALSE,"rev per rev minute";#N/A,#N/A,FALSE,"contribution per minute"}</definedName>
    <definedName name="wrn.all._.gulp._.sheets.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input.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Sheets." hidden="1">{#N/A,#N/A,FALSE,"6405";#N/A,#N/A,FALSE,"6406";#N/A,#N/A,FALSE,"6409";#N/A,#N/A,FALSE,"6425";#N/A,#N/A,FALSE,"6426";#N/A,#N/A,FALSE,"6427";#N/A,#N/A,FALSE,"6440";#N/A,#N/A,FALSE,"6441";#N/A,#N/A,FALSE,"6442";#N/A,#N/A,FALSE,"6443"}</definedName>
    <definedName name="wrn.All._.Stock_10_12_14." hidden="1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wrn.All._.Views.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1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1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2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3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4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2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3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4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5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views.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views.1a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4" hidden="1">{#N/A,#N/A,FALSE,"ASSUMPTIONS";#N/A,#N/A,FALSE,"Valuation Summary";"page1",#N/A,FALSE,"PRESENTATION";"page2",#N/A,FALSE,"PRESENTATION";#N/A,#N/A,FALSE,"ORIGINAL_ROLLBACK"}</definedName>
    <definedName name="wrn.ALL5" hidden="1">{#N/A,#N/A,FALSE,"ASSUMPTIONS";#N/A,#N/A,FALSE,"Valuation Summary";"page1",#N/A,FALSE,"PRESENTATION";"page2",#N/A,FALSE,"PRESENTATION";#N/A,#N/A,FALSE,"ORIGINAL_ROLLBACK"}</definedName>
    <definedName name="wrn.ALL6" hidden="1">{#N/A,#N/A,FALSE,"ASSUMPTIONS";#N/A,#N/A,FALSE,"Valuation Summary";"page1",#N/A,FALSE,"PRESENTATION";"page2",#N/A,FALSE,"PRESENTATION";#N/A,#N/A,FALSE,"ORIGINAL_ROLLBACK"}</definedName>
    <definedName name="wrn.ALL8" hidden="1">{#N/A,#N/A,FALSE,"ASSUMPTIONS";#N/A,#N/A,FALSE,"Valuation Summary";"page1",#N/A,FALSE,"PRESENTATION";"page2",#N/A,FALSE,"PRESENTATION";#N/A,#N/A,FALSE,"ORIGINAL_ROLLBACK"}</definedName>
    <definedName name="wrn.ALLbutPREMIUM.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Models." hidden="1">{#N/A,#N/A,FALSE,"AD_Purchase";#N/A,#N/A,FALSE,"Credit";#N/A,#N/A,FALSE,"PF Acquisition";#N/A,#N/A,FALSE,"PF Offering"}</definedName>
    <definedName name="wrn.Anteilig._.alle._.Perioden." hidden="1">{"Alle Perioden",#N/A,FALSE,"Erf";"Alle Perioden",#N/A,FALSE,"Ang";"Alle Perioden",#N/A,FALSE,"BV";"Alle Perioden",#N/A,FALSE,"BE";"Alle Perioden",#N/A,FALSE,"Re";"Alle Perioden",#N/A,FALSE,"Vol"}</definedName>
    <definedName name="wrn.Anteilig._.erste._.elf._.Perioden." hidden="1">{"Erste elf Perioden",#N/A,FALSE,"Erf";"Erste elf Perioden",#N/A,FALSE,"Ang";"Erste elf Perioden",#N/A,FALSE,"BV";"Erste elf Perioden",#N/A,FALSE,"BE";"Erste elf Perioden",#N/A,FALSE,"Vol";"Erste elf Perioden",#N/A,FALSE,"Re"}</definedName>
    <definedName name="wrn.AQUIROR._.DCF." hidden="1">{"AQUIRORDCF",#N/A,FALSE,"Merger consequences";"Acquirorassns",#N/A,FALSE,"Merger consequences"}</definedName>
    <definedName name="wrn.AR._.PACKAGE." hidden="1">{#N/A,#N/A,FALSE,"BR-Gross";#N/A,#N/A,FALSE,"AGING COMP";#N/A,#N/A,FALSE,"BR-Net";#N/A,#N/A,FALSE,"RECSUB";#N/A,#N/A,FALSE,"BILL94";#N/A,#N/A,FALSE,"L.D.S. Rep 1"}</definedName>
    <definedName name="wrn.Asia._.Total._.Variance." hidden="1">{#N/A,#N/A,FALSE,"Asia"}</definedName>
    <definedName name="wrn.Assumptions." hidden="1">{"Assumptions",#N/A,FALSE,"Assum"}</definedName>
    <definedName name="wrn.Auto._.Comp." hidden="1">{#N/A,#N/A,FALSE,"Sheet1"}</definedName>
    <definedName name="wrn.Backup." hidden="1">{#N/A,#N/A,FALSE,"Balance";#N/A,#N/A,FALSE,"TDFX";#N/A,#N/A,FALSE,"TDDDF";#N/A,#N/A,FALSE,"ADI";#N/A,#N/A,FALSE,"CUBE";#N/A,#N/A,FALSE,"DIMD";#N/A,#N/A,FALSE,"ZRAN";#N/A,#N/A,FALSE,"GNMC"}</definedName>
    <definedName name="wrn.Balance._.Sheets." hidden="1">{#N/A,#N/A,FALSE,"Bal sht";"Qtrly Bal Sht",#N/A,FALSE,"Bal sht - QTR"}</definedName>
    <definedName name="wrn.Barranca." hidden="1">{#N/A,#N/A,FALSE,"Barranca"}</definedName>
    <definedName name="wrn.Basic." hidden="1">{#N/A,#N/A,FALSE,"Cover";#N/A,#N/A,FALSE,"Assumptions";#N/A,#N/A,FALSE,"Acquirer";#N/A,#N/A,FALSE,"Target";#N/A,#N/A,FALSE,"Income Statement";#N/A,#N/A,FALSE,"Summary Tables"}</definedName>
    <definedName name="wrn.basics." hidden="1">{#N/A,#N/A,FALSE,"TSUM";#N/A,#N/A,FALSE,"shares";#N/A,#N/A,FALSE,"earnout";#N/A,#N/A,FALSE,"Heaty";#N/A,#N/A,FALSE,"self-tend";#N/A,#N/A,FALSE,"self-sum"}</definedName>
    <definedName name="wrn.BD._.FINAL." hidden="1">{#N/A,#N/A,FALSE,"Cover";#N/A,#N/A,FALSE,"Index";#N/A,#N/A,FALSE,"HL";#N/A,#N/A,FALSE,"BS ACCTS";#N/A,#N/A,FALSE,"Table";#N/A,#N/A,FALSE,"Summ";#N/A,#N/A,FALSE,"ComAn-finished";#N/A,#N/A,FALSE,"SmbAn-FINISHED";#N/A,#N/A,FALSE,"RebAn";#N/A,#N/A,FALSE,"ComR";#N/A,#N/A,FALSE,"SmbR-FINISHED";#N/A,#N/A,FALSE,"RebR-FINISHED";#N/A,#N/A,FALSE,"RC";#N/A,#N/A,FALSE,"NetR";#N/A,#N/A,FALSE,"Non-Trade";#N/A,#N/A,FALSE,"Notes Receivables";#N/A,#N/A,FALSE,"ComP-diteck-FINISHED";#N/A,#N/A,FALSE,"SmbP-finished";#N/A,#N/A,FALSE,"RebP-DITECK-FINISHED";#N/A,#N/A,FALSE,"NetP";#N/A,#N/A,FALSE,"AllcompanyG";#N/A,#N/A,FALSE,"AR 91+&gt;100K"}</definedName>
    <definedName name="wrn.BD._.Preliminary." hidden="1">{#N/A,#N/A,FALSE,"Cover";#N/A,#N/A,FALSE,"Index";#N/A,#N/A,FALSE,"HL";#N/A,#N/A,FALSE,"Table";#N/A,#N/A,FALSE,"Summ";#N/A,#N/A,FALSE,"ComR";#N/A,#N/A,FALSE,"SmbR-FINISHED";#N/A,#N/A,FALSE,"RebR-FINISHED";#N/A,#N/A,FALSE,"Specific Provision";#N/A,#N/A,FALSE,"NetR";#N/A,#N/A,FALSE,"Non-Trade";#N/A,#N/A,FALSE,"ComP-diteck-FINISHED";#N/A,#N/A,FALSE,"SmbP-finished";#N/A,#N/A,FALSE,"RebP-DITECK-FINISHED";#N/A,#N/A,FALSE,"NetP";#N/A,#N/A,FALSE,"AllcompanyG";#N/A,#N/A,FALSE,"AR 91+&gt;100K"}</definedName>
    <definedName name="wrn.BID." hidden="1">{"PAGE1",#N/A,FALSE,"BID (3)";"PAGE2",#N/A,FALSE,"BID (3)"}</definedName>
    <definedName name="wrn.BUDGET.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wrn.Budget._.Analysis." hidden="1">{#N/A,#N/A,FALSE,"Mill 5"}</definedName>
    <definedName name="wrn.bullshit1." hidden="1">{#N/A,#N/A,FALSE,"Sheet1";#N/A,#N/A,FALSE,"Summary";#N/A,#N/A,FALSE,"proj1";#N/A,#N/A,FALSE,"proj2"}</definedName>
    <definedName name="wrn.CAG." hidden="1">{#N/A,#N/A,FALSE,"CAG"}</definedName>
    <definedName name="wrn.CANWEST._.GLOBAL." hidden="1">{"BS",#N/A,FALSE;"RE",#N/A,FALSE;"IS",#N/A,FALSE;"CASH",#N/A,FALSE}</definedName>
    <definedName name="wrn.Cap._.Budget9_27." hidden="1">{"Overview",#N/A,TRUE,"Overview";"New Gen",#N/A,TRUE,"New Gen";"cap-ex",#N/A,TRUE,"Consol cap-ex";"cap-ex",#N/A,TRUE,"APC cap-ex";"cap-ex",#N/A,TRUE,"GPC cap-ex";"cap-ex",#N/A,TRUE,"GUL cap-ex";"cap-ex",#N/A,TRUE,"MPC cap-ex";"cap-ex",#N/A,TRUE,"SAV cap-ex";"cap-ex",#N/A,TRUE,"SEGCO cap-ex";"cap-ex",#N/A,TRUE,"SWE cap-ex"}</definedName>
    <definedName name="wrn.Carterco." hidden="1">{#N/A,#N/A,FALSE,"Carterco"}</definedName>
    <definedName name="wrn.CEA._.Budget._.months._.sterling.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wrn.CEA._.Budget._.years._.sterling.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wrn.CEA._.Budget._.years._.USD.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wrn.CEA._.Group._.budget._.months._.USD.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rn.CEGH._.Budget._.months._.sterling." hidden="1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name="wrn.CEGH._.Budget._.months._.USD.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wrn.CEGH._.Budget._.years._.sterling.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wrn.CEGh._.Budget._.years._.USD." hidden="1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name="wrn.CEGH._.sub._.group._.months._.sterling." hidden="1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name="wrn.CEGH._.sub._.group._.months._.USD." hidden="1">{"CEGH sub group months USD",#N/A,TRUE,"Profit and Loss";"CEGH sub group months USD",#N/A,TRUE,"Firm capex";"CEGH sub group months USD",#N/A,TRUE,"Cashflow";"CEGH sub group months USD",#N/A,TRUE,"Balance Sheet"}</definedName>
    <definedName name="wrn.CEGH._.sub._.group._.years._.sterling." hidden="1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name="wrn.CEGH._.sub._.group._.years._.USD." hidden="1">{"CEGH sub-group years USD",#N/A,TRUE,"Profit and Loss";"CEGH sub-group years USD",#N/A,TRUE,"Firm capex";"CEGH sub-group years USD",#N/A,TRUE,"Cashflow";"CEGH sub-group years USD",#N/A,TRUE,"Balance Sheet"}</definedName>
    <definedName name="wrn.CEI._.Budget._.months._.sterling." hidden="1">{"CEI Budget months only sterling",#N/A,TRUE,"Profit and Loss";"CEI Budget months only sterling",#N/A,TRUE,"Firm capex";"CEI Budget months only sterling",#N/A,TRUE,"Gross profit analysis";"CEI Budget months only sterling",#N/A,TRUE,"Cashflow";"CEI Budget months only sterling",#N/A,TRUE,"Balance Sheet"}</definedName>
    <definedName name="wrn.CEI._.Budget._.months._.USD." hidden="1">{"CEI budget months USD",#N/A,TRUE,"Profit and Loss";"CEI budget months USD",#N/A,TRUE,"Firm capex";"CEI budget months USD",#N/A,TRUE,"Gross profit analysis";"CEI budget months USD",#N/A,TRUE,"Cashflow";"CEI budget months USD",#N/A,TRUE,"Balance Sheet"}</definedName>
    <definedName name="wrn.CEI._.Budget._.years._.sterling.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wrn.CEI._.Budget._.years._.USD." hidden="1">{"CEI Budget years USD",#N/A,TRUE,"Profit and Loss";"CEI Budget years USD",#N/A,TRUE,"Firm capex";"CEI Budget years USD",#N/A,TRUE,"Gross profit analysis";"CEI Budget years USD",#N/A,TRUE,"Cashflow";"CEI Budget years USD",#N/A,TRUE,"Balance Sheet"}</definedName>
    <definedName name="wrn.Chart._.Printouts.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lient." hidden="1">{"multiple",#N/A,FALSE,"client";"margins",#N/A,FALSE,"client";"data",#N/A,FALSE,"client"}</definedName>
    <definedName name="wrn.Client3." hidden="1">{"data",#N/A,FALSE,"client (3)";"margins",#N/A,FALSE,"client (3)";"multiple",#N/A,FALSE,"client (3)"}</definedName>
    <definedName name="wrn.client4." hidden="1">{"multiple",#N/A,FALSE,"client (4)";"margins",#N/A,FALSE,"client (4)";"data",#N/A,FALSE,"client (4)"}</definedName>
    <definedName name="WRN.CM" hidden="1">{#N/A,#N/A,FALSE,"FAB VENDORS";"BUD SUM",#N/A,FALSE,"BUD SUM WO TEX"}</definedName>
    <definedName name="WRN.CM1" hidden="1">{#N/A,#N/A,FALSE,"FAB VENDORS";"BUD SUM",#N/A,FALSE,"BUD SUM WO TEX"}</definedName>
    <definedName name="wrn.Combination.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ED." hidden="1">{#N/A,#N/A,FALSE,"INPUTS";#N/A,#N/A,FALSE,"PROFORMA BSHEET";#N/A,#N/A,FALSE,"COMBINED";#N/A,#N/A,FALSE,"HIGH YIELD";#N/A,#N/A,FALSE,"COMB_GRAPHS"}</definedName>
    <definedName name="wrn.ComboResults.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State." hidden="1">{#N/A,#N/A,FALSE,"Combo-Ass ";#N/A,#N/A,FALSE,"Combo-IS";#N/A,#N/A,FALSE,"Combo-BS";#N/A,#N/A,FALSE,"Combo-CF"}</definedName>
    <definedName name="wrn.Comp._.and._.Prices." hidden="1">{#N/A,#N/A,FALSE,"comp";#N/A,#N/A,FALSE,"Alpha";#N/A,#N/A,FALSE,"Hi";#N/A,#N/A,FALSE,"Lo";#N/A,#N/A,FALSE,"Mkt. Cap";#N/A,#N/A,FALSE,"Categ."}</definedName>
    <definedName name="wrn.Comparisons." hidden="1">{#N/A,#N/A,FALSE," IS Comparison";#N/A,#N/A,FALSE,"BS Comparison";#N/A,#N/A,FALSE," SCF Comparison"}</definedName>
    <definedName name="wrn.compco." hidden="1">{"page1",#N/A,FALSE,"BHCOMPC5";"page2",#N/A,FALSE,"BHCOMPC5";"page3",#N/A,FALSE,"BHCOMPC5";"page4",#N/A,FALSE,"BHCOMPC5"}</definedName>
    <definedName name="wrn.compco2" hidden="1">{"mult96",#N/A,FALSE,"PETCOMP";"est96",#N/A,FALSE,"PETCOMP";"mult95",#N/A,FALSE,"PETCOMP";"est95",#N/A,FALSE,"PETCOMP";"multltm",#N/A,FALSE,"PETCOMP";"resultltm",#N/A,FALSE,"PETCOMP"}</definedName>
    <definedName name="wrn.compco3" hidden="1">{"mult96",#N/A,FALSE,"PETCOMP";"est96",#N/A,FALSE,"PETCOMP";"mult95",#N/A,FALSE,"PETCOMP";"est95",#N/A,FALSE,"PETCOMP";"multltm",#N/A,FALSE,"PETCOMP";"resultltm",#N/A,FALSE,"PETCOMP"}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.Model." hidden="1">{#N/A,#N/A,FALSE,"Assumptions";#N/A,#N/A,FALSE,"AcqShares";#N/A,#N/A,FALSE,"TgtShares";#N/A,#N/A,FALSE,"Acq IS";#N/A,#N/A,FALSE,"Tgt IS";#N/A,#N/A,FALSE,"PFIS";#N/A,#N/A,FALSE,"MergerAnalysis";#N/A,#N/A,FALSE,"Contribution";#N/A,#N/A,FALSE,"SumStat"}</definedName>
    <definedName name="wrn.Complete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6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7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9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6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7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8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9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s." hidden="1">{#N/A,#N/A,FALSE,"Comps"}</definedName>
    <definedName name="wrn.comps._1" hidden="1">{#N/A,#N/A,FALSE,"Comp"}</definedName>
    <definedName name="wrn.comps._1_1" hidden="1">{#N/A,#N/A,FALSE,"Comp"}</definedName>
    <definedName name="wrn.comps._1_2" hidden="1">{#N/A,#N/A,FALSE,"Comp"}</definedName>
    <definedName name="wrn.comps._1_3" hidden="1">{#N/A,#N/A,FALSE,"Comp"}</definedName>
    <definedName name="wrn.comps._1_4" hidden="1">{#N/A,#N/A,FALSE,"Comp"}</definedName>
    <definedName name="wrn.comps._2" hidden="1">{#N/A,#N/A,FALSE,"Comp"}</definedName>
    <definedName name="wrn.comps._3" hidden="1">{#N/A,#N/A,FALSE,"Comp"}</definedName>
    <definedName name="wrn.comps._4" hidden="1">{#N/A,#N/A,FALSE,"Comp"}</definedName>
    <definedName name="wrn.comps._5" hidden="1">{#N/A,#N/A,FALSE,"Comp"}</definedName>
    <definedName name="wrn.comps.whatisthis" hidden="1">{#N/A,#N/A,FALSE,"Comp"}</definedName>
    <definedName name="wrn.comps.whatisthis_1" hidden="1">{#N/A,#N/A,FALSE,"Comp"}</definedName>
    <definedName name="wrn.comps.whatisthis_1_1" hidden="1">{#N/A,#N/A,FALSE,"Comp"}</definedName>
    <definedName name="wrn.comps.whatisthis_1_2" hidden="1">{#N/A,#N/A,FALSE,"Comp"}</definedName>
    <definedName name="wrn.comps.whatisthis_1_3" hidden="1">{#N/A,#N/A,FALSE,"Comp"}</definedName>
    <definedName name="wrn.comps.whatisthis_1_4" hidden="1">{#N/A,#N/A,FALSE,"Comp"}</definedName>
    <definedName name="wrn.comps.whatisthis_2" hidden="1">{#N/A,#N/A,FALSE,"Comp"}</definedName>
    <definedName name="wrn.comps.whatisthis_3" hidden="1">{#N/A,#N/A,FALSE,"Comp"}</definedName>
    <definedName name="wrn.comps.whatisthis_4" hidden="1">{#N/A,#N/A,FALSE,"Comp"}</definedName>
    <definedName name="wrn.comps.whatisthis_5" hidden="1">{#N/A,#N/A,FALSE,"Comp"}</definedName>
    <definedName name="wrn.CONSOLIDACIÓN." hidden="1">{#N/A,#N/A,FALSE,"CNS_ADJ";"Balance Consolidado",#N/A,FALSE,"BCEC_CNS";#N/A,#N/A,FALSE,"USGAAP_ADJ"}</definedName>
    <definedName name="wrn.Consolidating." hidden="1">{"Consolidated IS",#N/A,FALSE,"Consolidated IS";"Consolidated Detail IS",#N/A,FALSE,"Consolidated Detail IS";"Consolidated Detail Supplemental Info",#N/A,FALSE,"Consolidated Detail IS";"Consolidated CF",#N/A,FALSE,"Consolidated CF";"Consolidated BS",#N/A,FALSE,"Consolidated BS";"Consolidating 1999 Detail IS",#N/A,FALSE,"1999 Detail IS";"Consolidated 1999 Supplemental Info",#N/A,FALSE,"1999 Detail IS";"Consolidating 1998 Detail IS",#N/A,FALSE,"1998 Detail IS";"Consolidating 1998 Supplemental Info",#N/A,FALSE,"1998 Detail IS";"Consolidating 1997 Detail IS",#N/A,FALSE,"1997 Detail IS";"Consolidated 1997 Supplemental Info",#N/A,FALSE,"1997 Detail IS"}</definedName>
    <definedName name="wrn.Corp.._.Div.._.Reports." hidden="1">{#N/A,#N/A,FALSE,"HQ";#N/A,#N/A,FALSE,"Admin";#N/A,#N/A,FALSE,"Pres";#N/A,#N/A,FALSE,"Travel";#N/A,#N/A,FALSE,"HR";#N/A,#N/A,FALSE,"Accounting";#N/A,#N/A,FALSE,"IS";#N/A,#N/A,FALSE,"Telephones";#N/A,#N/A,FALSE,"Imaging";#N/A,#N/A,FALSE,"Facilities";#N/A,#N/A,FALSE,"HQ marketing"}</definedName>
    <definedName name="wrn.CORPO." hidden="1">{#N/A,#N/A,FALSE,"DIV.CORPO"}</definedName>
    <definedName name="wrn.Corporate." hidden="1">{"Corporate",#N/A,FALSE,"Corporate Profile"}</definedName>
    <definedName name="wrn.cotop." hidden="1">{"ReportTop",#N/A,FALSE,"report top"}</definedName>
    <definedName name="wrn.cotop2." hidden="1">{"ReportTop",#N/A,FALSE,"report top"}</definedName>
    <definedName name="wrn.CPB." hidden="1">{#N/A,#N/A,FALSE,"CPB"}</definedName>
    <definedName name="wrn.Credit._.Summary." hidden="1">{#N/A,#N/A,FALSE,"Credit Summary"}</definedName>
    <definedName name="wrn.CW." hidden="1">{#N/A,#N/A,FALSE,"FAB VENDORS";"BUD SUM",#N/A,FALSE,"BUD SUM WO TEX"}</definedName>
    <definedName name="wrn.DAILY._.SALES." hidden="1">{"New York",#N/A,FALSE,"NY";"London Et Al",#N/A,FALSE,"NY";"Cash Balance",#N/A,FALSE,"NY"}</definedName>
    <definedName name="wrn.DATA." hidden="1">{#N/A,#N/A,FALSE,"WTI";#N/A,#N/A,FALSE,"Cdn Oil";#N/A,#N/A,FALSE,"Cdn Gas";#N/A,#N/A,FALSE,"CDN Gas Exports";#N/A,#N/A,FALSE,"CDN Gas Prod";#N/A,#N/A,FALSE,"CDN Gas Wells";#N/A,#N/A,FALSE,"US Gas";#N/A,#N/A,FALSE,"US Gas Prod";#N/A,#N/A,FALSE,"US Gas Wells";#N/A,#N/A,FALSE,"US Work Gas";#N/A,#N/A,FALSE,"US Rig Count";#N/A,#N/A,FALSE,"US Gas End-Use";#N/A,#N/A,FALSE,"Chem"}</definedName>
    <definedName name="wrn.DataVPN.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n.DataVPN1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n.DCF_Terminal_Value_qchm." hidden="1">{"qchm_dcf",#N/A,FALSE,"QCHMDCF2";"qchm_terminal",#N/A,FALSE,"QCHMDCF2"}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DCF._.Valuation." hidden="1">{"value box",#N/A,TRUE,"DPL Inc. Fin Statements";"unlevered free cash flows",#N/A,TRUE,"DPL Inc. Fin Statements"}</definedName>
    <definedName name="wrn.dcf._1" hidden="1">{"mgmt forecast",#N/A,FALSE,"Mgmt Forecast";"dcf table",#N/A,FALSE,"Mgmt Forecast";"sensitivity",#N/A,FALSE,"Mgmt Forecast";"table inputs",#N/A,FALSE,"Mgmt Forecast";"calculations",#N/A,FALSE,"Mgmt Forecast"}</definedName>
    <definedName name="wrn.dcf._1_1" hidden="1">{"mgmt forecast",#N/A,FALSE,"Mgmt Forecast";"dcf table",#N/A,FALSE,"Mgmt Forecast";"sensitivity",#N/A,FALSE,"Mgmt Forecast";"table inputs",#N/A,FALSE,"Mgmt Forecast";"calculations",#N/A,FALSE,"Mgmt Forecast"}</definedName>
    <definedName name="wrn.dcf._1_2" hidden="1">{"mgmt forecast",#N/A,FALSE,"Mgmt Forecast";"dcf table",#N/A,FALSE,"Mgmt Forecast";"sensitivity",#N/A,FALSE,"Mgmt Forecast";"table inputs",#N/A,FALSE,"Mgmt Forecast";"calculations",#N/A,FALSE,"Mgmt Forecast"}</definedName>
    <definedName name="wrn.dcf._1_3" hidden="1">{"mgmt forecast",#N/A,FALSE,"Mgmt Forecast";"dcf table",#N/A,FALSE,"Mgmt Forecast";"sensitivity",#N/A,FALSE,"Mgmt Forecast";"table inputs",#N/A,FALSE,"Mgmt Forecast";"calculations",#N/A,FALSE,"Mgmt Forecast"}</definedName>
    <definedName name="wrn.dcf._1_4" hidden="1">{"mgmt forecast",#N/A,FALSE,"Mgmt Forecast";"dcf table",#N/A,FALSE,"Mgmt Forecast";"sensitivity",#N/A,FALSE,"Mgmt Forecast";"table inputs",#N/A,FALSE,"Mgmt Forecast";"calculations",#N/A,FALSE,"Mgmt Forecast"}</definedName>
    <definedName name="wrn.dcf._2" hidden="1">{"mgmt forecast",#N/A,FALSE,"Mgmt Forecast";"dcf table",#N/A,FALSE,"Mgmt Forecast";"sensitivity",#N/A,FALSE,"Mgmt Forecast";"table inputs",#N/A,FALSE,"Mgmt Forecast";"calculations",#N/A,FALSE,"Mgmt Forecast"}</definedName>
    <definedName name="wrn.dcf._3" hidden="1">{"mgmt forecast",#N/A,FALSE,"Mgmt Forecast";"dcf table",#N/A,FALSE,"Mgmt Forecast";"sensitivity",#N/A,FALSE,"Mgmt Forecast";"table inputs",#N/A,FALSE,"Mgmt Forecast";"calculations",#N/A,FALSE,"Mgmt Forecast"}</definedName>
    <definedName name="wrn.dcf._4" hidden="1">{"mgmt forecast",#N/A,FALSE,"Mgmt Forecast";"dcf table",#N/A,FALSE,"Mgmt Forecast";"sensitivity",#N/A,FALSE,"Mgmt Forecast";"table inputs",#N/A,FALSE,"Mgmt Forecast";"calculations",#N/A,FALSE,"Mgmt Forecast"}</definedName>
    <definedName name="wrn.dcf._5" hidden="1">{"mgmt forecast",#N/A,FALSE,"Mgmt Forecast";"dcf table",#N/A,FALSE,"Mgmt Forecast";"sensitivity",#N/A,FALSE,"Mgmt Forecast";"table inputs",#N/A,FALSE,"Mgmt Forecast";"calculations",#N/A,FALSE,"Mgmt Forecast"}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tail." hidden="1">{"Build1",#N/A,FALSE,"Buildup";"Build2",#N/A,FALSE,"Buildup";"Build3",#N/A,FALSE,"Buildup"}</definedName>
    <definedName name="wrn.Detail._.Income._.Statement." hidden="1">{"Facility Detail",#N/A,FALSE,"P&amp;L Detail"}</definedName>
    <definedName name="wrn.devdeal." hidden="1">{"top",#N/A,TRUE,"Detail";"next",#N/A,TRUE,"Detail";"then",#N/A,TRUE,"Detail";"and",#N/A,TRUE,"Detail";"inaddition",#N/A,TRUE,"Detail";"finally",#N/A,TRUE,"Detail"}</definedName>
    <definedName name="wrn.djall." hidden="1">{"djcash",#N/A,FALSE,"DJann";"djinc",#N/A,FALSE,"DJann";"djtaxes",#N/A,FALSE,"DJann";"djbuspub",#N/A,FALSE,"DJann";"djwall",#N/A,FALSE,"DJann";"djcompprs",#N/A,FALSE,"DJann";"djteler",#N/A,FALSE,"DJann"}</definedName>
    <definedName name="wrn.DTPLAN." hidden="1">{"DTCONSOASSUMPTIONS1",#N/A,FALSE,"CONSO";"DTCONSOASSUMPTIONS2",#N/A,FALSE,"CONSO";"DTCONSOASSUMPTIONS3",#N/A,FALSE,"CONSO";"DTCONSOINCOME",#N/A,FALSE,"CONSO";"DTCOOSAEBITDA",#N/A,FALSE,"COOSA";"DTCONSOCASHFLOW",#N/A,FALSE,"CONSO";"DTCONSOBALANCESHEET",#N/A,FALSE,"CONSO";"DTCONSOCAPEX1",#N/A,FALSE,"CONSO";"DTCONSOCAPEX2",#N/A,FALSE,"CONSO";"DTCONSOCAPEX3",#N/A,FALSE,"CONSO";"DTDONNAASSUMPTIONS1",#N/A,FALSE,"PAPER DONNACONA";"DTDONNAASSUMPTIONS2",#N/A,FALSE,"PAPER DONNACONA";"DTDONNAASSUMPTIONS3",#N/A,FALSE,"PAPER DONNACONA";"DTDONNAINCOME",#N/A,FALSE,"PAPER DONNACONA";"DTDONNACASHFLOW",#N/A,FALSE,"PAPER DONNACONA";"DTDONNABALANCESHEET",#N/A,FALSE,"PAPER DONNACONA";"DTDONNACAPEX",#N/A,FALSE,"PAPER DONNACONA";"DTDOLBEAUASSUMPTIONS1",#N/A,FALSE,"PAPER DOLBEAU";"DTDOLBEAUASSUMPTIONS2",#N/A,FALSE,"PAPER DOLBEAU";"DTDOLBEAUASSUMPTIONS3",#N/A,FALSE,"PAPER DOLBEAU";"DTDOLBEAUINCOME",#N/A,FALSE,"PAPER DOLBEAU";"DTDOLBEAUCASHFLOW",#N/A,FALSE,"PAPER DOLBEAU";"DTDOLBEAUBALANCESHEET",#N/A,FALSE,"PAPER DOLBEAU";"DTDOLBEAUCAPEX",#N/A,FALSE,"PAPER DOLBEAU";"DTLUMBERASSUMPTIONS1",#N/A,FALSE,"LUMBER";"DTLUMBERASSUMPTIONS2",#N/A,FALSE,"LUMBER";"DTLUMBERASSUMPTIONS3",#N/A,FALSE,"LUMBER";"DTLUMBERINCOME",#N/A,FALSE,"LUMBER";"DTLUMBERCASHFLOW",#N/A,FALSE,"LUMBER";"DTLUMBERBALANCESHEET",#N/A,FALSE,"LUMBER";"DTLUMBERCAPEX",#N/A,FALSE,"LUMBER";"DTCOOSAASSUMPTIONS1",#N/A,FALSE,"COOSA";"DTCOOSAASSUMPTION2",#N/A,FALSE,"COOSA";"DTCOOSAASSUMPTIONS3",#N/A,FALSE,"COOSA";"DTCOOSAINCOME",#N/A,FALSE,"COOSA";"DTCOOSACASHFLOW",#N/A,FALSE,"COOSA";"DTCOOSABALANCESHEET",#N/A,FALSE,"COOSA";"DTCOOSACAPEX",#N/A,FALSE,"COOSA";"DTELIMINATIONINCOME",#N/A,FALSE,"ELIMINATION";"DTELIMINATIONCASHFLOW",#N/A,FALSE,"ELIMINATION";"DTELIMINATIONBALANCESHEET",#N/A,FALSE,"ELIMINATION";"DTHEADOFFICEASSUMPTIONS",#N/A,FALSE,"H.OFFICE";"DTHEADOFFICEINCOME",#N/A,FALSE,"H.OFFICE";"DTHEADOFFICECASHFLOW",#N/A,FALSE,"H.OFFICE";"DTHEADOFFICEBALANCESHEET",#N/A,FALSE,"H.OFFICE";"DTHEADOFFICECAPEX",#N/A,FALSE,"H.OFFICE";"DTSEGMENTED",#N/A,FALSE,"SEGMENTED INFO";"DTTAX1",#N/A,FALSE,"impôt";"DTTAX2",#N/A,FALSE,"impôt"}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conomic._.Value._.Added._.Analysis." hidden="1">{"EVA",#N/A,FALSE,"EVA";"WACC",#N/A,FALSE,"WACC"}</definedName>
    <definedName name="wrn.ecpall." hidden="1">{"ecpcash",#N/A,FALSE,"ECPann";"ecpinc",#N/A,FALSE,"ECPann";"ecpindia",#N/A,FALSE,"ECPann";"ecpmun",#N/A,FALSE,"ECPann";"ecpphoenix",#N/A,FALSE,"ECPann";"ecpothe",#N/A,FALSE,"ECPann";"ecpbalsht",#N/A,FALSE,"ECPann"}</definedName>
    <definedName name="wrn.EE4._.Budget._.months._.sterling." hidden="1">{"EE4 Budget months only sterling",#N/A,TRUE,"Profit and Loss";"EE4 Budget months only sterling",#N/A,TRUE,"Firm capex";"EE4 Budget months only sterling",#N/A,TRUE,"Cashflow";"EE4 Budget months only sterling",#N/A,TRUE,"Balance Sheet"}</definedName>
    <definedName name="wrn.EE4._.Budget._.months._.USD." hidden="1">{"EE4 Budget months only in USD",#N/A,TRUE,"Profit and Loss";"EE4 Budget months only in USD",#N/A,TRUE,"Firm capex";"EE4 Budget months only in USD",#N/A,TRUE,"Cashflow";"EE4 Budget months only in USD",#N/A,TRUE,"Balance Sheet"}</definedName>
    <definedName name="wrn.EE4._.budget._.years._.sterling." hidden="1">{"EE4 Budget years sterling",#N/A,TRUE,"Profit and Loss";"EE4 Budget years sterling",#N/A,TRUE,"Firm capex";"EE4 Budget years sterling",#N/A,TRUE,"Cashflow";"EE4 Budget years sterling",#N/A,TRUE,"Balance Sheet"}</definedName>
    <definedName name="wrn.EE4._.Budget._.years._.USD." hidden="1">{"EE4 Budget years USD",#N/A,TRUE,"Profit and Loss";"EE4 Budget years USD",#N/A,TRUE,"Firm capex";"EE4 Budget years USD",#N/A,TRUE,"Cashflow";"EE4 Budget years USD",#N/A,TRUE,"Balance Sheet"}</definedName>
    <definedName name="wrn.EF._.Complet." hidden="1">{#N/A,#N/A,TRUE,"1";#N/A,#N/A,TRUE,"1.2";#N/A,#N/A,TRUE,"2";#N/A,#N/A,TRUE,"4";#N/A,#N/A,TRUE,"11";#N/A,#N/A,TRUE,"11.9";#N/A,#N/A,TRUE,"A";#N/A,#N/A,TRUE,"B";#N/A,#N/A,TRUE,"C"}</definedName>
    <definedName name="wrn.Einhundert._.Prozent._.alle._.Perioden." hidden="1">{"Alle Perioden",#N/A,FALSE,"Erf";"Alle Perioden",#N/A,FALSE,"BV100";"Alle Perioden",#N/A,FALSE,"BE100";"Alle Perioden",#N/A,FALSE,"Re100";"Alle Perioden",#N/A,FALSE,"Vol100"}</definedName>
    <definedName name="wrn.Einhundert._.Prozent._.erste._.elf._.Perioden." hidden="1">{"Erste elf Perioden",#N/A,FALSE,"Erf";"Erste elf Perioden",#N/A,FALSE,"BV100";"Erste elf Perioden",#N/A,FALSE,"BE100";"Erste elf Perioden",#N/A,FALSE,"Re100";"Erste elf Perioden",#N/A,FALSE,"Vol100"}</definedName>
    <definedName name="wrn.Enitre._.Model." hidden="1">{"Input Sheet",#N/A,FALSE,"Input";"New Co",#N/A,FALSE,"NEWCO";"Acq Cash Flow",#N/A,FALSE,"Acq. CF";"Target Cash Flow",#N/A,FALSE,"Tgt. CF";"Operational Merger",#N/A,FALSE,"OP Merger";"Acq Balance Sheet",#N/A,FALSE,"Acq. BS";"Target Balance Sheet",#N/A,FALSE,"Tgt. BS";"BOE Comp",#N/A,FALSE,"BOEComp"}</definedName>
    <definedName name="wrn.ETATS." hidden="1">{"TABLE",#N/A,TRUE,"Feuil1";"CONSO",#N/A,TRUE,"Feuil1";"STHUB1",#N/A,TRUE,"Feuil1";"STHUB2",#N/A,TRUE,"Feuil1";"PROSERV",#N/A,TRUE,"Feuil1";"GROUPE",#N/A,TRUE,"Feuil1";"BERTHELET",#N/A,TRUE,"Feuil1";"MEILLEURES",#N/A,TRUE,"Feuil1";"TRICORP",#N/A,TRUE,"Feuil1"}</definedName>
    <definedName name="wrn.Everything.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Facility._.Profit._.and._.Loss." hidden="1">{"Domestic Prisons - Prior to 1998 - 1",#N/A,FALSE,"Domestic Prisons";"Domestic Prisons - Prior to 1998 - 2",#N/A,FALSE,"Domestic Prisons";"Domestic Prisons - 1998",#N/A,FALSE,"Domestic Prisons";"Domestic Prisons - 1999",#N/A,FALSE,"Domestic Prisons";"Domestic Prisons - 2000",#N/A,FALSE,"Domestic Prisons";"Domestic Prisons - 2001",#N/A,FALSE,"Domestic Prisons"}</definedName>
    <definedName name="wrn.fc" hidden="1">{"FCB_ALL",#N/A,FALSE,"FCB"}</definedName>
    <definedName name="wrn.fc12" hidden="1">{"FCB_ALL",#N/A,FALSE,"FCB"}</definedName>
    <definedName name="wrn.fcb" hidden="1">{"FCB_ALL",#N/A,FALSE,"FCB"}</definedName>
    <definedName name="wrn.FCB." hidden="1">{"FCB_ALL",#N/A,FALSE,"FCB"}</definedName>
    <definedName name="wrn.fcb._dcf" hidden="1">{"FCB_ALL",#N/A,FALSE,"FCB"}</definedName>
    <definedName name="wrn.fcb.1" hidden="1">{"FCB_ALL",#N/A,FALSE,"FCB"}</definedName>
    <definedName name="wrn.fcb.9" hidden="1">{"FCB_ALL",#N/A,FALSE,"FCB"}</definedName>
    <definedName name="wrn.fcb1" hidden="1">{"FCB_ALL",#N/A,FALSE,"FCB"}</definedName>
    <definedName name="wrn.fcb10" hidden="1">{"FCB_ALL",#N/A,FALSE,"FCB"}</definedName>
    <definedName name="wrn.fcb11" hidden="1">{"FCB_ALL",#N/A,FALSE,"FCB"}</definedName>
    <definedName name="wrn.fcb2" hidden="1">{"FCB_ALL",#N/A,FALSE,"FCB"}</definedName>
    <definedName name="wrn.fcb2_dcf" hidden="1">{"FCB_ALL",#N/A,FALSE,"FCB"}</definedName>
    <definedName name="wrn.fcb3" hidden="1">{"FCB_ALL",#N/A,FALSE,"FCB"}</definedName>
    <definedName name="wrn.fcb4" hidden="1">{"FCB_ALL",#N/A,FALSE,"FCB"}</definedName>
    <definedName name="wrn.fcb5" hidden="1">{"FCB_ALL",#N/A,FALSE,"FCB"}</definedName>
    <definedName name="wrn.fcb6" hidden="1">{"FCB_ALL",#N/A,FALSE,"FCB"}</definedName>
    <definedName name="wrn.fcb7" hidden="1">{"FCB_ALL",#N/A,FALSE,"FCB"}</definedName>
    <definedName name="wrn.fcb8" hidden="1">{"FCB_ALL",#N/A,FALSE,"FCB"}</definedName>
    <definedName name="wrn.fcb9" hidden="1">{"FCB_ALL",#N/A,FALSE,"FCB"}</definedName>
    <definedName name="wrn.FDII6_01PortReview." hidden="1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FdIII6_30_01PortRev.." hidden="1">{#N/A,#N/A,TRUE,"Beacon";#N/A,#N/A,TRUE,"CII";#N/A,#N/A,TRUE,"MCA";#N/A,#N/A,TRUE,"Elm";#N/A,#N/A,TRUE,"Tharco";#N/A,#N/A,TRUE,"Dee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"}</definedName>
    <definedName name="wrn.Filter." hidden="1">{#N/A,#N/A,FALSE,"Assump2";#N/A,#N/A,FALSE,"Income2";#N/A,#N/A,FALSE,"Balance2";#N/A,#N/A,FALSE,"DCF Filter";#N/A,#N/A,FALSE,"Trans Assump2";#N/A,#N/A,FALSE,"Combined Income2";#N/A,#N/A,FALSE,"Combined Balance2"}</definedName>
    <definedName name="wrn.Financial_Package." hidden="1">{#N/A,#N/A,FALSE,"Cover";#N/A,#N/A,FALSE,"TOC";#N/A,#N/A,FALSE,"IS";#N/A,#N/A,FALSE,"Mo. IS";#N/A,#N/A,FALSE,"Cont By Div";#N/A,#N/A,FALSE,"BS";#N/A,#N/A,FALSE,"CF";#N/A,#N/A,FALSE,"Inventory"}</definedName>
    <definedName name="wrn.financial._.package." hidden="1">{#N/A,#N/A,FALSE,"BALANCE SHEET";#N/A,#N/A,FALSE,"IS";#N/A,#N/A,FALSE,"ISCOMPAR";#N/A,#N/A,FALSE,"ADD RETMAR";#N/A,#N/A,FALSE,"VARIOUS COMP";#N/A,#N/A,FALSE,"RATIOS";#N/A,#N/A,FALSE,"GRAPHS"}</definedName>
    <definedName name="wrn.finmodel." hidden="1">{#N/A,#N/A,FALSE,"Fin Model"}</definedName>
    <definedName name="wrn.finmodel._1" hidden="1">{#N/A,#N/A,FALSE,"Fin Model"}</definedName>
    <definedName name="wrn.finmodel._1_1" hidden="1">{#N/A,#N/A,FALSE,"Fin Model"}</definedName>
    <definedName name="wrn.finmodel._1_2" hidden="1">{#N/A,#N/A,FALSE,"Fin Model"}</definedName>
    <definedName name="wrn.finmodel._1_3" hidden="1">{#N/A,#N/A,FALSE,"Fin Model"}</definedName>
    <definedName name="wrn.finmodel._1_4" hidden="1">{#N/A,#N/A,FALSE,"Fin Model"}</definedName>
    <definedName name="wrn.finmodel._2" hidden="1">{#N/A,#N/A,FALSE,"Fin Model"}</definedName>
    <definedName name="wrn.finmodel._3" hidden="1">{#N/A,#N/A,FALSE,"Fin Model"}</definedName>
    <definedName name="wrn.finmodel._4" hidden="1">{#N/A,#N/A,FALSE,"Fin Model"}</definedName>
    <definedName name="wrn.finmodel._5" hidden="1">{#N/A,#N/A,FALSE,"Fin Model"}</definedName>
    <definedName name="wrn.first2." hidden="1">{#N/A,#N/A,FALSE,"sum-don";#N/A,#N/A,FALSE,"inc-don"}</definedName>
    <definedName name="wrn.first3." hidden="1">{#N/A,#N/A,FALSE,"Summary";#N/A,#N/A,FALSE,"proj1";#N/A,#N/A,FALSE,"proj2"}</definedName>
    <definedName name="wrn.first4." hidden="1">{#N/A,#N/A,FALSE,"Summary";#N/A,#N/A,FALSE,"proj1";#N/A,#N/A,FALSE,"proj2";#N/A,#N/A,FALSE,"DCF"}</definedName>
    <definedName name="wrn.fleck." hidden="1">{"first",#N/A,FALSE,"FLEXPAC2";"second",#N/A,FALSE,"FLEXPAC2"}</definedName>
    <definedName name="wrn.fleckcompac." hidden="1">{"one",#N/A,FALSE,"FLEXPAC2";"two",#N/A,FALSE,"FLEXPAC2";"three",#N/A,FALSE,"FLEXPAC2"}</definedName>
    <definedName name="wrn.FS_2005." hidden="1">{"BS-Yearly",#N/A,TRUE,"BS-Year";"BS-Monthly-2005",#N/A,TRUE,"BS"}</definedName>
    <definedName name="wrn.Full_Template.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wrn.Full._.Budget." hidden="1">{#N/A,#N/A,FALSE,"IS-Month";#N/A,#N/A,FALSE,"IS-Qtr";#N/A,#N/A,FALSE,"Bal";#N/A,#N/A,FALSE,"Flow";#N/A,#N/A,FALSE,"Volumes";#N/A,#N/A,FALSE,"LOE";#N/A,#N/A,FALSE,"Revenues";#N/A,#N/A,FALSE,"OpMar";#N/A,#N/A,FALSE,"DD&amp;A";#N/A,#N/A,FALSE,"Oil $";#N/A,#N/A,FALSE,"Gas $";#N/A,#N/A,FALSE,"Swaps";#N/A,#N/A,FALSE,"CAPEX";#N/A,#N/A,FALSE,"G&amp;A";#N/A,#N/A,FALSE,"Debt";#N/A,#N/A,FALSE,"Interest"}</definedName>
    <definedName name="wrn.Full._.Model." hidden="1">{#N/A,#N/A,TRUE,"Summary";#N/A,#N/A,TRUE,"Operating";#N/A,#N/A,TRUE,"Shares";#N/A,#N/A,TRUE,"Earnings";#N/A,#N/A,TRUE,"Cash Flow";#N/A,#N/A,TRUE,"Bal";#N/A,#N/A,TRUE,"Taxes";#N/A,#N/A,TRUE,"Reserves";#N/A,#N/A,TRUE,"Debt";#N/A,#N/A,TRUE,"Netback";#N/A,#N/A,TRUE,"NAV";#N/A,#N/A,TRUE,"Quarters";#N/A,#N/A,TRUE,"ROE"}</definedName>
    <definedName name="wrn.Full._.Package." hidden="1">{#N/A,#N/A,FALSE,"COVER";#N/A,#N/A,FALSE,"INDEX";#N/A,#N/A,FALSE,"P1000 P&amp;L";#N/A,#N/A,FALSE,"B1000 Balance Sheet";#N/A,#N/A,FALSE,"P1100 Turnover";#N/A,#N/A,FALSE,"P1200 Exceptional";#N/A,#N/A,FALSE,"P1300 Interest";#N/A,#N/A,FALSE,"P1400 Dividends";#N/A,#N/A,FALSE,"P1500 Other P&amp;L Details";#N/A,#N/A,FALSE,"P1600 Profit Reconciliation";#N/A,#N/A,FALSE,"B1100 Tangible Assets";#N/A,#N/A,FALSE,"B1110 Plant and Equipment";#N/A,#N/A,FALSE,"B1120 FA Disps &amp; Historic Cost";#N/A,#N/A,FALSE,"B1200 Investment in Subs";#N/A,#N/A,FALSE,"B1210 Provision in Subs";#N/A,#N/A,FALSE,"B1300 Asso, Other Invs &amp; G'will";#N/A,#N/A,FALSE,"B1400 Stocks";#N/A,#N/A,FALSE,"B1500 Debtors";#N/A,#N/A,FALSE,"B1600 Current Asset Investments";#N/A,#N/A,FALSE,"B1700 Cash, Bank, Loans";#N/A,#N/A,FALSE,"B1800 Creditors &lt; 1 Year";#N/A,#N/A,FALSE,"B1900 Creditors &gt; 1 Year";#N/A,#N/A,FALSE,"B2000 Leasing and Provisions";#N/A,#N/A,FALSE,"B2100 Intra Group";#N/A,#N/A,FALSE,"B2200 Assoc, Cap Com, Conting";#N/A,#N/A,FALSE,"B3000 Share Capital &amp; Reserves";#N/A,#N/A,FALSE,"T1000 Taxation";#N/A,#N/A,FALSE,"D1000 Derivatives etc";#N/A,#N/A,FALSE,"R1000 Related Party"}</definedName>
    <definedName name="wrn.Full._.Print._.Out.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1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2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3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4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2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3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4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5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Report." hidden="1">{"Assumptions",#N/A,FALSE,"Sheet1";"Main Report",#N/A,FALSE,"Sheet1";"Results",#N/A,FALSE,"Sheet1";"Advances",#N/A,FALSE,"Sheet1"}</definedName>
    <definedName name="wrn.Fund._.II." hidden="1">{#N/A,#N/A,TRUE,"Fd II Bullets";#N/A,#N/A,TRUE,"FD II Portfolio Summary";#N/A,#N/A,TRUE,"BV Valuation";#N/A,#N/A,TRUE,"FV Valuation";#N/A,#N/A,TRUE,"Fd II Cap. Position ";#N/A,#N/A,TRUE,"JRI";#N/A,#N/A,TRUE,"Weasler";#N/A,#N/A,TRUE,"Weasler val";#N/A,#N/A,TRUE,"NDS ";#N/A,#N/A,TRUE,"J Chain";#N/A,#N/A,TRUE,"J Chain Val";#N/A,#N/A,TRUE,"Monona";#N/A,#N/A,TRUE,"Monona Val";#N/A,#N/A,TRUE,"Stronghaven";#N/A,#N/A,TRUE,"Connor";#N/A,#N/A,TRUE,"DSI";#N/A,#N/A,TRUE,"DSI Val";#N/A,#N/A,TRUE,"HWC";#N/A,#N/A,TRUE,"Temple";#N/A,#N/A,TRUE,"Temple Val"}</definedName>
    <definedName name="wrn.Fund._.II._.Adv._.Mtg..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wrn.Fund._.II._.Adv.._.Brd._.June._.2000." hidden="1">{#N/A,#N/A,TRUE,"FD II Portfolio Summary";#N/A,#N/A,TRUE,"JRI";#N/A,#N/A,TRUE,"NDS";#N/A,#N/A,TRUE,"Weasler";#N/A,#N/A,TRUE,"Stronghaven";#N/A,#N/A,TRUE,"Connor";#N/A,#N/A,TRUE,"Docu";#N/A,#N/A,TRUE,"HWC";#N/A,#N/A,TRUE,"Temple"}</definedName>
    <definedName name="wrn.Fund._.II._.Mtg..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Fund._.III." hidden="1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wrn.Fund._.III._.Adv._.Mtg..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wrn.Fund._.III._.Adv.._.Brd.._.June._.2000." hidden="1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wrn.Fund._.IV._.Adv.._.Brd.._.June._.2000." hidden="1">{#N/A,#N/A,TRUE,"FD IV Portfolio Summary ";#N/A,#N/A,TRUE,"Western";#N/A,#N/A,TRUE,"Kranson";#N/A,#N/A,TRUE,"ARC";#N/A,#N/A,TRUE,"Precise";#N/A,#N/A,TRUE,"WNA"}</definedName>
    <definedName name="wrn.FUNDING._.ANALYSIS._.PRINT." hidden="1">{"0TOC",#N/A,TRUE,"Sheet2";"1 2 3","A Scenario 1",TRUE,"STAND ALONE";"1 2 3","A SCenario 2",TRUE,"STAND ALONE";"1 2 3","A Scenario 3",TRUE,"STAND ALONE";"4","A Scenario 4",TRUE,"STAND ALONE";"5","A Scenario 5",TRUE,"EDWARD SCENARIOS";"6","A Scenario 6",TRUE,"EDWARD SCENARIOS";"7","A Scenario 7",TRUE,"SAM SCENARIOS";"8","A Scenario 8",TRUE,"SAM SCENARIOS";"9 - Nutmeg",#N/A,TRUE,"NUTMEG";"10 - LA",#N/A,TRUE,"LATAM CASH";"11 - Stream nds",#N/A,TRUE,"STREAM - NDS"}</definedName>
    <definedName name="wrn.Funnel._.Report." hidden="1">{#N/A,#N/A,FALSE,"funnel";#N/A,#N/A,FALSE,"AE Summary";#N/A,#N/A,FALSE,"Product Summary"}</definedName>
    <definedName name="wrn.FY97SBP." hidden="1">{#N/A,#N/A,FALSE,"FY97";#N/A,#N/A,FALSE,"FY98";#N/A,#N/A,FALSE,"FY99";#N/A,#N/A,FALSE,"FY00";#N/A,#N/A,FALSE,"FY01"}</definedName>
    <definedName name="wrn.GCIall." hidden="1">{"gcicash",#N/A,FALSE,"GCIINC";"gciinc",#N/A,FALSE,"GCIINC";"gciexclusa",#N/A,FALSE,"GCIINC";"usatdy",#N/A,FALSE,"GCIINC"}</definedName>
    <definedName name="wrn.Gesamtausdruck._.alle._.Perioden." hidden="1">{"Alle Perioden",#N/A,FALSE,"Erf";"Alle Perioden",#N/A,FALSE,"Ang";"Alle Perioden",#N/A,FALSE,"BV";"Alle Perioden",#N/A,FALSE,"BE";"Alle Perioden",#N/A,FALSE,"Re";"Alle Perioden",#N/A,FALSE,"Vol";"Alle Perioden",#N/A,FALSE,"BV100";"Alle Perioden",#N/A,FALSE,"BE100";"Alle Perioden",#N/A,FALSE,"Re100";"Alle Perioden",#N/A,FALSE,"Vol100"}</definedName>
    <definedName name="wrn.Gesamtausdruck._.erste._.elf._.Perioden." hidden="1">{"Erste elf Perioden",#N/A,FALSE,"Erf";"Erste elf Perioden",#N/A,FALSE,"Ang";"Erste elf Perioden",#N/A,FALSE,"BV";"Erste elf Perioden",#N/A,FALSE,"BE";"Erste elf Perioden",#N/A,FALSE,"Re";"Erste elf Perioden",#N/A,FALSE,"Vol";"Erste elf Perioden",#N/A,FALSE,"BV100";"Erste elf Perioden",#N/A,FALSE,"BE100";"Erste elf Perioden",#N/A,FALSE,"Re100";"Erste elf Perioden",#N/A,FALSE,"Vol100"}</definedName>
    <definedName name="wrn.GIS." hidden="1">{#N/A,#N/A,FALSE,"GIS"}</definedName>
    <definedName name="wrn.graph." hidden="1">{"graph",#N/A,FALSE,"RIGCOUNT";"graph",#N/A,FALSE,"ON_OFFSHORE";"graph",#N/A,FALSE,"crewcnt";"graph",#N/A,FALSE,"OILvGAS";"graph",#N/A,FALSE,"OFF_RIGCOUNT";"graph",#N/A,FALSE,"indep perf";"graph",#N/A,FALSE,"oil serv perf"}</definedName>
    <definedName name="wrn.GRAPHS." hidden="1">{#N/A,#N/A,FALSE,"ACQ_GRAPHS";#N/A,#N/A,FALSE,"T_1 GRAPHS";#N/A,#N/A,FALSE,"T_2 GRAPHS";#N/A,#N/A,FALSE,"COMB_GRAPHS"}</definedName>
    <definedName name="wrn.Group._.budget._.months._.only.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wrn.Group._.budget._.years._.only." hidden="1">{"Group Budget years only",#N/A,TRUE,"Profit and Loss";"Group Budget years only",#N/A,TRUE,"Firm capex";"Group Budget years only",#N/A,TRUE,"Gross profit analysis";"Group Budget years only",#N/A,TRUE,"Cashflow";"Group Budget years only",#N/A,TRUE,"Balance Sheet"}</definedName>
    <definedName name="wrn.Growth." hidden="1">{#N/A,#N/A,FALSE,"Rev Grwth";#N/A,#N/A,FALSE,"Op Inc Grwth";#N/A,#N/A,FALSE,"Net Grwth";#N/A,#N/A,FALSE,"EPS Growth"}</definedName>
    <definedName name="wrn.HANDOUT.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wrn.HEAT." hidden="1">{#N/A,#N/A,FALSE,"Heat";#N/A,#N/A,FALSE,"DCF";#N/A,#N/A,FALSE,"LBO";#N/A,#N/A,FALSE,"A";#N/A,#N/A,FALSE,"C";#N/A,#N/A,FALSE,"impd";#N/A,#N/A,FALSE,"Accr-Dilu"}</definedName>
    <definedName name="wrn.historical." hidden="1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is";"historical_workcap",#N/A,FALSE,"historical is";"historical_ratios_1",#N/A,FALSE,"historical is";"historical_ratios_2",#N/A,FALSE,"historical is";"historical_ratios_3",#N/A,FALSE,"historical is"}</definedName>
    <definedName name="wrn.historical._.rev._.backup." hidden="1">{"rev_history_revenueDetail",#N/A,FALSE,"historical rev us";"rev_history_minutesDetail",#N/A,FALSE,"historical rev us"}</definedName>
    <definedName name="wrn.HNZ." hidden="1">{#N/A,#N/A,FALSE,"HNZ"}</definedName>
    <definedName name="wrn.HSSH._.budget._.months._.NLG." hidden="1">{"HSSH Group budget months only in NLG",#N/A,TRUE,"Profit and Loss";"HSSH Group budget months only in NLG",#N/A,TRUE,"Firm capex";"HSSH Group budget months only in NLG",#N/A,TRUE,"Gross profit analysis";"HSSH Group budget months only in NLG",#N/A,TRUE,"Cashflow";"HSSH Group budget months only in NLG",#N/A,TRUE,"Balance Sheet"}</definedName>
    <definedName name="wrn.HSSH._.Budget._.months._.sterling." hidden="1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name="wrn.HSSH._.budget._.years._.NLG." hidden="1">{"HSSH Budget years NLG",#N/A,TRUE,"Profit and Loss";"HSSH Budget years NLG",#N/A,TRUE,"Firm capex";"HSSH Budget years NLG",#N/A,TRUE,"Gross profit analysis";"HSSH Budget years NLG",#N/A,TRUE,"Cashflow";"HSSH Budget years NLG",#N/A,TRUE,"Balance Sheet"}</definedName>
    <definedName name="wrn.HSSH._.Budget._.years._.sterling.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wrn.Hydraulic.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2.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II._.PortRev33102." hidden="1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III." hidden="1">{"CASHFLOW",#N/A,FALSE,"Northpointe"}</definedName>
    <definedName name="wrn.III1." hidden="1">{"CASHFLOW",#N/A,FALSE,"Northpointe"}</definedName>
    <definedName name="wrn.Ilijan._.Print." hidden="1">{#N/A,#N/A,TRUE,"CoverLetter";#N/A,#N/A,TRUE,"Scope";#N/A,#N/A,TRUE,"Table of Contents";#N/A,#N/A,TRUE,"Summary";#N/A,#N/A,TRUE,"Assumptions";#N/A,#N/A,TRUE,"OrgChart";#N/A,#N/A,TRUE,"Schedule";#N/A,#N/A,TRUE,"Mob";#N/A,#N/A,TRUE,"Spares";#N/A,#N/A,TRUE,"MobStaff";#N/A,#N/A,TRUE,"Training";#N/A,#N/A,TRUE,"MobBackup";#N/A,#N/A,TRUE,"ComOps";#N/A,#N/A,TRUE,"Staff_Yrs1,3";#N/A,#N/A,TRUE,"Staff_Yrs4,5";#N/A,#N/A,TRUE,"Staff_Yrs6+";#N/A,#N/A,TRUE,"ExpatBenefits";#N/A,#N/A,TRUE,"ContractStaff";#N/A,#N/A,TRUE,"CommOpnsBackup";#N/A,#N/A,TRUE,"MR";#N/A,#N/A,TRUE,"CTG L&amp;E";#N/A,#N/A,TRUE,"STG L&amp;E";#N/A,#N/A,TRUE,"Rotation";#N/A,#N/A,TRUE,"AvailModl";#N/A,#N/A,TRUE,"Data";#N/A,#N/A,TRUE,"Comparisons";#N/A,#N/A,TRUE,"ScopeSplit"}</definedName>
    <definedName name="wrn.imp_sommaire." hidden="1">{"imp_Sommaire",#N/A,FALSE,"REV IMMOBILIER"}</definedName>
    <definedName name="wrn.imp_Tous." hidden="1">{"imp_0196",#N/A,FALSE,"0019";"imp_0000",#N/A,FALSE,"0000";"imp_0214",#N/A,FALSE,"0214";"imp_0143",#N/A,FALSE,"0143";"imp_0144",#N/A,FALSE,"0144";"imp_0154",#N/A,FALSE,"0154";"imp_0155",#N/A,FALSE,"0155";"imp_0161",#N/A,FALSE,"0161";"imp_0205",#N/A,FALSE,"0205";"imp_0196",#N/A,FALSE,"0196"}</definedName>
    <definedName name="wrn.Income._.Statement." hidden="1">{"% Growth",#N/A,FALSE,"Income Statement";"% of GDAR",#N/A,FALSE,"Income Statement"}</definedName>
    <definedName name="wrn.Income._.Statement._1" hidden="1">{"% Growth",#N/A,FALSE,"Income Statement";"% of GDAR",#N/A,FALSE,"Income Statement"}</definedName>
    <definedName name="wrn.Income._.Statement._1_1" hidden="1">{"% Growth",#N/A,FALSE,"Income Statement";"% of GDAR",#N/A,FALSE,"Income Statement"}</definedName>
    <definedName name="wrn.Income._.Statement._1_2" hidden="1">{"% Growth",#N/A,FALSE,"Income Statement";"% of GDAR",#N/A,FALSE,"Income Statement"}</definedName>
    <definedName name="wrn.Income._.Statement._1_3" hidden="1">{"% Growth",#N/A,FALSE,"Income Statement";"% of GDAR",#N/A,FALSE,"Income Statement"}</definedName>
    <definedName name="wrn.Income._.Statement._1_4" hidden="1">{"% Growth",#N/A,FALSE,"Income Statement";"% of GDAR",#N/A,FALSE,"Income Statement"}</definedName>
    <definedName name="wrn.Income._.Statement._2" hidden="1">{"% Growth",#N/A,FALSE,"Income Statement";"% of GDAR",#N/A,FALSE,"Income Statement"}</definedName>
    <definedName name="wrn.Income._.Statement._3" hidden="1">{"% Growth",#N/A,FALSE,"Income Statement";"% of GDAR",#N/A,FALSE,"Income Statement"}</definedName>
    <definedName name="wrn.Income._.Statement._4" hidden="1">{"% Growth",#N/A,FALSE,"Income Statement";"% of GDAR",#N/A,FALSE,"Income Statement"}</definedName>
    <definedName name="wrn.Income._.Statement._5" hidden="1">{"% Growth",#N/A,FALSE,"Income Statement";"% of GDAR",#N/A,FALSE,"Income Statement"}</definedName>
    <definedName name="wrn.Income._.Statements." hidden="1">{"Income Statement",#N/A,FALSE,"P&amp;L - $";"Quarterly Income Statement",#N/A,FALSE,"P&amp;L Detail"}</definedName>
    <definedName name="wrn.Individual._.Statements." hidden="1">{"barlup",#N/A,FALSE,"evabnk97";"gillespey",#N/A,FALSE,"evabnk97";"koon",#N/A,FALSE,"evabnk97";"schreur",#N/A,FALSE,"evabnk97";"stone",#N/A,FALSE,"evabnk97";"wichmann",#N/A,FALSE,"evabnk97";"wright",#N/A,FALSE,"evabnk97"}</definedName>
    <definedName name="wrn.info." hidden="1">{#N/A,#N/A,FALSE,"INFORMATIQUE"}</definedName>
    <definedName name="wrn.input._.and._.output.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Print._.Area." hidden="1">{#N/A,#N/A,FALSE,"inputs";#N/A,#N/A,FALSE,"inputs"}</definedName>
    <definedName name="wrn.Instructor._.Tips.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PO." hidden="1">{#N/A,#N/A,FALSE,"Summary";#N/A,#N/A,FALSE,"Jan'97";#N/A,#N/A,FALSE,"Feb'97";#N/A,#N/A,FALSE,"Mar'97";#N/A,#N/A,FALSE,"Apr'97";#N/A,#N/A,FALSE,"May'97";#N/A,#N/A,FALSE,"Jun'97";#N/A,#N/A,FALSE,"Jul'97";#N/A,#N/A,FALSE,"Aug'97";#N/A,#N/A,FALSE,"Sept'97";#N/A,#N/A,FALSE,"Oct'97";#N/A,#N/A,FALSE,"Nov'97";#N/A,#N/A,FALSE,"Dec'97";#N/A,#N/A,FALSE,"Pending"}</definedName>
    <definedName name="wrn.IPO._.Analysis." hidden="1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wrn.IPO._.Valuation." hidden="1">{"assumptions",#N/A,FALSE,"Scenario 1";"valuation",#N/A,FALSE,"Scenario 1"}</definedName>
    <definedName name="wrn.ipovalue." hidden="1">{#N/A,#N/A,FALSE,"puboff";#N/A,#N/A,FALSE,"valuation";#N/A,#N/A,FALSE,"finanalsis";#N/A,#N/A,FALSE,"split";#N/A,#N/A,FALSE,"ownership"}</definedName>
    <definedName name="wrn.IS_BS_SCF." hidden="1">{#N/A,#N/A,FALSE,"Income Statement";#N/A,#N/A,FALSE,"Balance Sheet";#N/A,#N/A,FALSE,"Cash Flow"}</definedName>
    <definedName name="wrn.IS._.Q96." hidden="1">{"IS Q96",#N/A,FALSE,"Income Statement"}</definedName>
    <definedName name="wrn.IS._.Q97." hidden="1">{"IS Q97",#N/A,FALSE,"Income Statement"}</definedName>
    <definedName name="wrn.IS._.Years." hidden="1">{"IS Years",#N/A,FALSE,"Income Statement"}</definedName>
    <definedName name="wrn.ISCG._.model." hidden="1">{#N/A,#N/A,FALSE,"Second";#N/A,#N/A,FALSE,"ownership";#N/A,#N/A,FALSE,"Valuation";#N/A,#N/A,FALSE,"Eqiv";#N/A,#N/A,FALSE,"Mults";#N/A,#N/A,FALSE,"ISCG Graphics"}</definedName>
    <definedName name="wrn.IV." hidden="1">{"CASHFLOW",#N/A,FALSE,"Northpointe"}</definedName>
    <definedName name="wrn.JODM._.Graphs.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uly._.Final." hidden="1">{#N/A,#N/A,TRUE,"Mth Sum";#N/A,#N/A,TRUE,"YTD Sum";#N/A,#N/A,TRUE,"Mth Rev Sum";#N/A,#N/A,TRUE,"YTD Rev Sum";#N/A,#N/A,TRUE,"SC vs Pr Month (Revised)";#N/A,#N/A,TRUE,"SVC Detail Mth vs Pr Mth (Rev)";#N/A,#N/A,TRUE,"SGA (Elem) vs Pr Month";#N/A,#N/A,TRUE,"SGA (BU) vs Pr Mth";#N/A,#N/A,TRUE,"SC vs Plan (Revised)";#N/A,#N/A,TRUE,"SVC Detail Mth vsPlan (Rev)";#N/A,#N/A,TRUE,"SGA (Elem) vs Plan";#N/A,#N/A,TRUE,"SGA (BU) vs Plan(Rev)";#N/A,#N/A,TRUE,"SC vs YTD 00 (Revised)";#N/A,#N/A,TRUE,"SGA (Elem) vs YTD 00";#N/A,#N/A,TRUE,"SGA (BU) YTD vs YTD 00";#N/A,#N/A,TRUE,"SC vs YTD Plan (Revised)";#N/A,#N/A,TRUE,"SVC YTD Detail Mth vsPlan (Rev)";#N/A,#N/A,TRUE,"SGA (Elem) vs YTD Plan";#N/A,#N/A,TRUE,"SGA (BU) YTD vs Plan(Rev)";#N/A,#N/A,TRUE,"CapExp";#N/A,#N/A,TRUE,"EBITDA(Flash)";#N/A,#N/A,TRUE,"NetInc(Flash)";#N/A,#N/A,TRUE,"Gross Margin(Flash)";#N/A,#N/A,TRUE,"Mth trends(Flash)";#N/A,#N/A,TRUE,"HeadcountP01";#N/A,#N/A,TRUE,"Headcount P00";#N/A,#N/A,TRUE,"Inc. Statement";#N/A,#N/A,TRUE,"Balance Sheet";#N/A,#N/A,TRUE,"Cash Flow"}</definedName>
    <definedName name="wrn.July._.Presentation." hidden="1">{#N/A,#N/A,FALSE,"Revised Plan description";#N/A,#N/A,FALSE,"Mth Sum";#N/A,#N/A,FALSE,"YTD Sum";#N/A,#N/A,FALSE,"Mth Rev Sum";#N/A,#N/A,FALSE,"YTD Rev Sum";#N/A,#N/A,FALSE,"Direct Margin";#N/A,#N/A,FALSE,"Data MarginvsPlan";#N/A,#N/A,FALSE,"Local MarginvsPlan";#N/A,#N/A,FALSE,"Internet MarginvsPlan";#N/A,#N/A,FALSE,"LD Margin vs Plan ";#N/A,#N/A,FALSE,"Data Margin YTDvsPlan";#N/A,#N/A,FALSE,"Local Margin YTDvsPlan";#N/A,#N/A,FALSE,"Internet Margin YTDvsPlan";#N/A,#N/A,FALSE,"LD Margin YTD vs Plan";#N/A,#N/A,FALSE,"SC vs Pr Month ";#N/A,#N/A,FALSE,"SVC Detail Mth vs Pr Mth";#N/A,#N/A,FALSE,"Ind vs Pr Month ";#N/A,#N/A,FALSE,"SGA (Elem) vs Pr Month";#N/A,#N/A,FALSE,"SGA (BU) vs Pr Mth";#N/A,#N/A,FALSE,"SC vs Plan";#N/A,#N/A,FALSE,"SVC Detail Mth vsPlan ";#N/A,#N/A,FALSE,"Ind vs Plan";#N/A,#N/A,FALSE,"SGA (Elem) vs Plan";#N/A,#N/A,FALSE,"SGA (BU) vs Plan";#N/A,#N/A,FALSE,"SC vs YTD 00";#N/A,#N/A,FALSE,"SGA (Elem) vs YTD 00";#N/A,#N/A,FALSE,"SGA (BU) YTD vs YTD 00";#N/A,#N/A,FALSE,"SC vs YTD Plan ";#N/A,#N/A,FALSE,"SVC YTD Detail Mth vsPlan ";#N/A,#N/A,FALSE,"SGA (Elem) vs YTD Plan";#N/A,#N/A,FALSE,"SGA (BU) YTD vs Plan";#N/A,#N/A,FALSE,"CapExp";#N/A,#N/A,FALSE,"EBITDA";#N/A,#N/A,FALSE,"Mth trends";#N/A,#N/A,FALSE,"Inc. Statement";#N/A,#N/A,FALSE,"Balance Sheet";#N/A,#N/A,FALSE,"Cash Flow"}</definedName>
    <definedName name="wrn.Just._.Sorts." hidden="1">{#N/A,#N/A,FALSE,"Hi";#N/A,#N/A,FALSE,"Lo";#N/A,#N/A,FALSE,"Mkt. Cap";#N/A,#N/A,FALSE,"Alpha"}</definedName>
    <definedName name="wrn.K." hidden="1">{#N/A,#N/A,FALSE,"K"}</definedName>
    <definedName name="wrn.K3._.Annual." hidden="1">{"K3Cash",#N/A,FALSE,"Ann";"K3Income",#N/A,FALSE,"Ann";"K3Educ",#N/A,FALSE,"Ann";"K3media",#N/A,FALSE,"Ann";"K3Info",#N/A,FALSE,"Ann";"K3Valuation",#N/A,FALSE,"Ann"}</definedName>
    <definedName name="wrn.K3._.Quarterly." hidden="1">{"K3 first",#N/A,FALSE,"Qtr.";"K3 second",#N/A,FALSE,"Qtr.";"K3 Third",#N/A,FALSE,"Qtr.";"K3 Fourth",#N/A,FALSE,"Qtr.";"K3 Full",#N/A,FALSE,"Qtr."}</definedName>
    <definedName name="wrn.kriall." hidden="1">{"kricash",#N/A,FALSE,"INC";"kriinc",#N/A,FALSE,"INC";"krimiami",#N/A,FALSE,"INC";"kriother",#N/A,FALSE,"INC";"kripapers",#N/A,FALSE,"INC"}</definedName>
    <definedName name="wrn.LBO._.Summary." hidden="1">{"LBO Summary",#N/A,FALSE,"Summary"}</definedName>
    <definedName name="wrn.Level._.4." hidden="1">{"Income (All hidden)",#N/A,FALSE,"Income";"EPS (All Hidden)",#N/A,FALSE,"EPS";"Cash Flow (All Hidden)",#N/A,FALSE,"CashFlow";"Quarterly (Last, Current and Next)",#N/A,FALSE,"Quarterly";"Inventory",#N/A,FALSE,"Inventory";"Other Section",#N/A,FALSE,"Detail Qtrly";"Dividend (All Hidden)",#N/A,FALSE,"Dividend";"ROE (All Hidden)",#N/A,FALSE,"Return On Equity";"FinRatio",#N/A,FALSE,"Financials &amp; Ratios"}</definedName>
    <definedName name="wrn.LM._.Gear." hidden="1">{"LM Gear IS",#N/A,FALSE,"LM Gear - IS";"LM Gear BS",#N/A,FALSE,"LM Gear BS";"LM Gear Detail IS",#N/A,FALSE,"LM Gear - Detail IS";"LM Gear Detail IS Supplemental Info",#N/A,FALSE,"LM Gear - Detail IS";"LM Gear Monthly 1999",#N/A,FALSE,"LM Gear Monthly";"LM Gear Monthly 1998",#N/A,FALSE,"LM Gear Monthly";"LM Gear Monthly 1997",#N/A,FALSE,"LM Gear Monthly"}</definedName>
    <definedName name="wrn.LP._.Committee._.Book.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LP._.Committee._.June._.13.._.2000." hidden="1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wrn.LUXCOS." hidden="1">{"LUX_ASSET",#N/A,FALSE,"CII-Q494.XLS";"LUX_LIAB",#N/A,FALSE,"CII-Q494.XLS";"LUX_INC",#N/A,FALSE,"CII-Q494.XLS";"LUXje",#N/A,FALSE,"CII-Q494.XLS"}</definedName>
    <definedName name="wrn.Main._.Fields.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e." hidden="1">{"Assumptions",#N/A,TRUE,"Assumptions";"Income",#N/A,TRUE,"Income";"Balance",#N/A,TRUE,"Balance"}</definedName>
    <definedName name="wrn.Maine2.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nagement._.Control._.Report.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wrn.Margins." hidden="1">{#N/A,#N/A,FALSE,"Margins - GrossR&amp;D";#N/A,#N/A,FALSE,"Margins - sg&amp;a";#N/A,#N/A,FALSE,"Margins - Oper-net"}</definedName>
    <definedName name="wrn.MCCRK." hidden="1">{#N/A,#N/A,FALSE,"MCCRK"}</definedName>
    <definedName name="wrn.merge." hidden="1">{#N/A,#N/A,FALSE,"IPO";#N/A,#N/A,FALSE,"DCF";#N/A,#N/A,FALSE,"LBO";#N/A,#N/A,FALSE,"MULT_VAL";#N/A,#N/A,FALSE,"Status Quo";#N/A,#N/A,FALSE,"Recap"}</definedName>
    <definedName name="wrn.Merger." hidden="1">{"title",#N/A,FALSE,"Title sheet";"Summary",#N/A,FALSE,"Summary";"Financing sheet",#N/A,FALSE,"MODEL";"Ownership",#N/A,FALSE,"MODEL";"Discrepancy",#N/A,FALSE,"MODEL";"Balance",#N/A,FALSE,"Balance_Sheets";"Cash flow",#N/A,FALSE,"MODEL";"Earnings",#N/A,FALSE,"MODEL";"Value per boe",#N/A,FALSE,"MODEL";"efficiency",#N/A,FALSE,"MODEL";"nav",#N/A,FALSE,"MODEL";"share price",#N/A,FALSE,"MODEL";"operations",#N/A,FALSE,"MODEL"}</definedName>
    <definedName name="wrn.merger._.analysis.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I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II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V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hpall." hidden="1">{"mhpcash",#N/A,FALSE,"MHPNEWX";"mhpinc",#N/A,FALSE,"MHPNEWX";"mhptax",#N/A,FALSE,"MHPNEWX";"mhpbroad",#N/A,FALSE,"MHPNEWX";"mhpeduc",#N/A,FALSE,"MHPNEWX";"mhpfin",#N/A,FALSE,"MHPNEWX";"mhpinfo",#N/A,FALSE,"MHPNEWX"}</definedName>
    <definedName name="wrn.MILLARES." hidden="1">{#N/A,#N/A,TRUE,"RESUMEN ECON.";#N/A,#N/A,TRUE,"Costos de R.H.";#N/A,#N/A,TRUE,"COSTO HW";#N/A,#N/A,TRUE,"CUADROS";#N/A,#N/A,TRUE,"SCADA´s";#N/A,#N/A,TRUE,"PRECIOS EQUIPOS"}</definedName>
    <definedName name="wrn.Model." hidden="1">{#N/A,#N/A,FALSE,"Cover";#N/A,#N/A,FALSE,"LUMI";#N/A,#N/A,FALSE,"COMD";#N/A,#N/A,FALSE,"Valuation";#N/A,#N/A,FALSE,"Assumptions";#N/A,#N/A,FALSE,"Pooling";#N/A,#N/A,FALSE,"BalanceSheet"}</definedName>
    <definedName name="wrn.Model._.Level._.3." hidden="1">{"Income (All hidden)",#N/A,FALSE,"Income";"EPS (All Hidden)",#N/A,FALSE,"EPS";"EPS (All Hidden)",#N/A,FALSE,"CashFlow";"Quarterly (Last, Current and Next)",#N/A,FALSE,"Quarterly"}</definedName>
    <definedName name="wrn.MONTH_END." hidden="1">{#N/A,#N/A,FALSE,"SUMMARY";#N/A,#N/A,FALSE,"DETAIL";#N/A,#N/A,FALSE,"VARIANCE"}</definedName>
    <definedName name="wrn.Month._.End._.Print._.Out." hidden="1">{"Yen Denominated",#N/A,FALSE,"A-R Aging (JPY)";"Dollar Denominated",#N/A,FALSE,"A-R Aging (JPY)";"Yen Denominated",#N/A,FALSE,"A-R Control (JPY)";"Dollar Denominated",#N/A,FALSE,"A-R Control (JPY)";#N/A,#N/A,FALSE,"A-R Aging (USD)";#N/A,#N/A,FALSE,"A-R Control (USD)";"Aussie Denominated",#N/A,FALSE,"A-R Aging (AUD)";"Dollar Denominated",#N/A,FALSE,"A-R Aging (AUD)";"Aussie Denominated",#N/A,FALSE,"A-R Control (AUD)";"Dollar Denominated",#N/A,FALSE,"A-R Control (AUD)";#N/A,#N/A,FALSE,"A-R Aging Recon.";#N/A,#N/A,FALSE,"A-R Control Recon.";#N/A,#N/A,FALSE,"Cash App (JPY- NAB)";#N/A,#N/A,FALSE,"Cash App (JPY-Citi)";#N/A,#N/A,FALSE,"Cash App (USD)";#N/A,#N/A,FALSE,"Cash App (AUD)";#N/A,#N/A,FALSE,"Cash Disb (AUD)";#N/A,#N/A,FALSE,"Cash Disb (JPY-NAB)";#N/A,#N/A,FALSE,"Cash Disb (JPY-Citi)";#N/A,#N/A,FALSE,"Cash Disb (USD)";#N/A,#N/A,FALSE,"Cash Receipts (AUD)";#N/A,#N/A,FALSE,"Cash Receipts (JPY-NAB)";#N/A,#N/A,FALSE,"Cash Receipts (JPY-Citi)";#N/A,#N/A,FALSE,"Cash Receipts (USD)";#N/A,#N/A,FALSE,"Bank Rec (AUD)";#N/A,#N/A,FALSE,"Bank Rec (JPY-NAB)";#N/A,#N/A,FALSE,"Bank Rec (JPY-Citi)";#N/A,#N/A,FALSE,"Bank Rec (USD)";#N/A,#N/A,FALSE,"Petty Cash (AUD)";#N/A,#N/A,FALSE,"Petty Cash (JPY)";#N/A,#N/A,FALSE,"Head &amp; Ticket Counts";#N/A,#N/A,FALSE,"Payroll"}</definedName>
    <definedName name="wrn.MONTHLY._.INVENTORY._.SCHEDULE." hidden="1">{#N/A,#N/A,FALSE,"Sheet1";#N/A,#N/A,FALSE,"Sheet2";#N/A,#N/A,FALSE,"Sheet3";#N/A,#N/A,FALSE,"Sheet4";#N/A,#N/A,FALSE,"Sheet5";#N/A,#N/A,FALSE,"Sheet6"}</definedName>
    <definedName name="wrn.Months." hidden="1">{"Curr Month",#N/A,FALSE,"Curr Mo";"All Months",#N/A,FALSE,"Curr Mo";"YTD",#N/A,FALSE,"Curr Mo";"1001",#N/A,FALSE,"Curr Mo";"1002",#N/A,FALSE,"Curr Mo";"4012",#N/A,FALSE,"Curr Mo";"4017",#N/A,FALSE,"Curr Mo";"1050",#N/A,FALSE,"Curr Mo";"1009",#N/A,FALSE,"Curr Mo";"4079",#N/A,FALSE,"Curr Mo";"4077",#N/A,FALSE,"Curr Mo";"1005",#N/A,FALSE,"Curr Mo";"1008",#N/A,FALSE,"Curr Mo";"1011",#N/A,FALSE,"Curr Mo";"1006",#N/A,FALSE,"Curr Mo";"1024",#N/A,FALSE,"Curr Mo";"1003",#N/A,FALSE,"Curr Mo";"1025",#N/A,FALSE,"Curr Mo";"4013",#N/A,FALSE,"Curr Mo";"1091",#N/A,FALSE,"Curr Mo";"1010",#N/A,FALSE,"Curr Mo";"1023",#N/A,FALSE,"Curr Mo";"4014",#N/A,FALSE,"Curr Mo";"1043",#N/A,FALSE,"Curr Mo";"1014",#N/A,FALSE,"Curr Mo";"1015",#N/A,FALSE,"Curr Mo";"1012",#N/A,FALSE,"Curr Mo";"1061",#N/A,FALSE,"Curr Mo";"1045",#N/A,FALSE,"Curr Mo";"4058",#N/A,FALSE,"Curr Mo";"1033",#N/A,FALSE,"Curr Mo";"1103",#N/A,FALSE,"Curr Mo";"4007",#N/A,FALSE,"Curr Mo";"4021",#N/A,FALSE,"Curr Mo";"4026",#N/A,FALSE,"Curr Mo";"4022",#N/A,FALSE,"Curr Mo";"4050",#N/A,FALSE,"Curr Mo";"4032",#N/A,FALSE,"Curr Mo";"4089",#N/A,FALSE,"Curr Mo";"1042",#N/A,FALSE,"Curr Mo";"1048",#N/A,FALSE,"Curr Mo";"4049",#N/A,FALSE,"Curr Mo"}</definedName>
    <definedName name="wrn.MRA." hidden="1">{"MRA IS",#N/A,FALSE,"MRA - IS";"MRA BS",#N/A,FALSE,"MRA - BS";"MRA Detail IS",#N/A,FALSE,"MRA - Detail IS";"MRA Detail IS Supplemental Info",#N/A,FALSE,"MRA - Detail IS";"MRA Monthly 1999",#N/A,FALSE,"MRA Monthly";"MRA Monthly IS 1998",#N/A,FALSE,"MRA Monthly";"MRA Monthly IS 1997",#N/A,FALSE,"MRA Monthly"}</definedName>
    <definedName name="wrn.Munsell.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NA." hidden="1">{#N/A,#N/A,FALSE,"NA"}</definedName>
    <definedName name="wrn.Neds." hidden="1">{"page1",#N/A,TRUE,"PRICING";"page2",#N/A,TRUE,"PRICING"}</definedName>
    <definedName name="wrn.Netbacks." hidden="1">{"Netbacks",#N/A,FALSE,"Netbacks"}</definedName>
    <definedName name="wrn.new." hidden="1">{"new1",#N/A,FALSE,"FLEXPAC2";"new2",#N/A,FALSE,"FLEXPAC2"}</definedName>
    <definedName name="wrn.newest." hidden="1">{#N/A,#N/A,TRUE,"TS";#N/A,#N/A,TRUE,"Combo";#N/A,#N/A,TRUE,"FAIR";#N/A,#N/A,TRUE,"RBC";#N/A,#N/A,TRUE,"xxxx"}</definedName>
    <definedName name="wrn.nuevahoja." hidden="1">{#N/A,#N/A,FALSE,"CNS_ADJ";"Balance Consolidado",#N/A,FALSE,"BCEC_CNS";#N/A,#N/A,FALSE,"USGAAP_ADJ"}</definedName>
    <definedName name="wrn.nytaann." hidden="1">{"nytacash",#N/A,FALSE,"GLOBEINC";"nytainc",#N/A,FALSE,"GLOBEINC";"nytanyt",#N/A,FALSE,"GLOBEINC";"nytareg",#N/A,FALSE,"GLOBEINC";"nytaglobe",#N/A,FALSE,"GLOBEINC";"nytapprttl",#N/A,FALSE,"GLOBEINC"}</definedName>
    <definedName name="wrn.OPSUMM." hidden="1">{#N/A,#N/A,FALSE,"BAGOSLEA"}</definedName>
    <definedName name="wrn.Output." hidden="1">{#N/A,#N/A,FALSE,"Assumptions";#N/A,#N/A,FALSE,"IS";#N/A,#N/A,FALSE,"BS";#N/A,#N/A,FALSE,"CF"}</definedName>
    <definedName name="wrn.packer._.1.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ge57to67.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1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2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3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4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2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3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4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5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s._.28._.to._.50.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1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2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3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4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2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3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4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5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51._.to._.66.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1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2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3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4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2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3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4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5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88._.to._.end.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1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2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3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4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2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3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4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5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enn._.PSC._.part._.1.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1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2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3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4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2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3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4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5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2.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1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2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3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4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2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3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4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5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hase._.in." hidden="1">{"Phase in summary",#N/A,FALSE,"P&amp;L Phased"}</definedName>
    <definedName name="wrn.PL._.Detail." hidden="1">{#N/A,#N/A,FALSE,"P&amp;L Detail";#N/A,#N/A,FALSE,"P&amp;L Detail";#N/A,#N/A,FALSE,"P&amp;L Detail"}</definedName>
    <definedName name="wrn.PLC._.Co.._.budget._.months." hidden="1">{"PLC Company Budget months only",#N/A,TRUE,"Profit and Loss";"PLC Company Budget months only",#N/A,TRUE,"Firm capex";"PLC Company Budget months only",#N/A,TRUE,"Gross profit analysis";"PLC Company Budget months only",#N/A,TRUE,"Cashflow";"PLC Company Budget months only",#N/A,TRUE,"Balance Sheet"}</definedName>
    <definedName name="wrn.PLC._.Company._.budget._.years.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wrn.PLX.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RES_OUT." hidden="1">{"page1",#N/A,FALSE,"PRESENTATION";"page2",#N/A,FALSE,"PRESENTATION";#N/A,#N/A,FALSE,"Valuation Summary"}</definedName>
    <definedName name="wrn.PRES_OUT2" hidden="1">{"page1",#N/A,FALSE,"PRESENTATION";"page2",#N/A,FALSE,"PRESENTATION";#N/A,#N/A,FALSE,"Valuation Summary"}</definedName>
    <definedName name="wrn.Pres_OUT3" hidden="1">{"page1",#N/A,FALSE,"PRESENTATION";"page2",#N/A,FALSE,"PRESENTATION";#N/A,#N/A,FALSE,"Valuation Summary"}</definedName>
    <definedName name="wrn.PRES_OUT4" hidden="1">{"page1",#N/A,FALSE,"PRESENTATION";"page2",#N/A,FALSE,"PRESENTATION";#N/A,#N/A,FALSE,"Valuation Summary"}</definedName>
    <definedName name="wrn.PRES_OUT5" hidden="1">{"page1",#N/A,FALSE,"PRESENTATION";"page2",#N/A,FALSE,"PRESENTATION";#N/A,#N/A,FALSE,"Valuation Summary"}</definedName>
    <definedName name="wrn.PRES_OUT6" hidden="1">{"page1",#N/A,FALSE,"PRESENTATION";"page2",#N/A,FALSE,"PRESENTATION";#N/A,#N/A,FALSE,"Valuation Summary"}</definedName>
    <definedName name="wrn.PRES_OUT8" hidden="1">{"page1",#N/A,FALSE,"PRESENTATION";"page2",#N/A,FALSE,"PRESENTATION";#N/A,#N/A,FALSE,"Valuation Summary"}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." hidden="1">{"one",#N/A,TRUE,"Alaska";"two",#N/A,TRUE,"Alaska";"three",#N/A,TRUE,"Alaska";"four",#N/A,TRUE,"Alaska"}</definedName>
    <definedName name="wrn.Print._.All." hidden="1">{"IS Years",#N/A,FALSE,"Income Statement";"IS Q96",#N/A,FALSE,"Income Statement";"IS Q97",#N/A,FALSE,"Income Statement";"Corporate",#N/A,FALSE,"Corporate Profile";"Netbacks",#N/A,FALSE,"Netbacks"}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Worksheets.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hidden="1">{"inputs raw data",#N/A,TRUE,"INPUT"}</definedName>
    <definedName name="wrn.print._.raw._data._.entry2." hidden="1">{"inputs raw data",#N/A,TRUE,"INPUT"}</definedName>
    <definedName name="wrn.print._.standalone." hidden="1">{"standalone1",#N/A,FALSE,"DCFBase";"standalone2",#N/A,FALSE,"DCFBase"}</definedName>
    <definedName name="wrn.print._.summary._.sheets." hidden="1">{"summary1",#N/A,TRUE,"Comps";"summary2",#N/A,TRUE,"Comps";"summary3",#N/A,TRUE,"Comps"}</definedName>
    <definedName name="wrn.print._.summary._.sheets.2" hidden="1">{"summary1",#N/A,TRUE,"Comps";"summary2",#N/A,TRUE,"Comps";"summary3",#N/A,TRUE,"Comps"}</definedName>
    <definedName name="wrn.Print2.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3.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ac." hidden="1">{#N/A,#N/A,FALSE,"Op-BS";#N/A,#N/A,FALSE,"Assum";#N/A,#N/A,FALSE,"IS";#N/A,#N/A,FALSE,"Syn+Elim";#N/A,#N/A,FALSE,"BSCF";#N/A,#N/A,FALSE,"Blue_IS";#N/A,#N/A,FALSE,"Blue_BSCF";#N/A,#N/A,FALSE,"Ratings"}</definedName>
    <definedName name="wrn.PrintAll." hidden="1">{"PA1",#N/A,FALSE,"BORDMW";"pa2",#N/A,FALSE,"BORDMW";"PA3",#N/A,FALSE,"BORDMW";"PA4",#N/A,FALSE,"BORDMW"}</definedName>
    <definedName name="wrn.printqtr." hidden="1">{"nytasecond",#N/A,FALSE,"NYTQTRS";"nytafirst",#N/A,FALSE,"NYTQTRS";"nytathird",#N/A,FALSE,"NYTQTRS";"nytafourth",#N/A,FALSE,"NYTQTRS";"nytafull",#N/A,FALSE,"NYTQTRS"}</definedName>
    <definedName name="wrn.PROD._.PLAN._.OPTION._.4." hidden="1">{"TOP 4",#N/A,FALSE,"MVR_SUM OPTION 4 BY MO";"TOP 3A",#N/A,FALSE,"MVR_SUM OPTION 3A BY MO";"TOP OPT 4 VS 3A",#N/A,FALSE,"MVR_SUM OPTION 4 VS 3A BY MO";#N/A,#N/A,FALSE,"MVR_SUM OPTION 4 SUM";#N/A,#N/A,FALSE,"PROD PLAN 4";#N/A,#N/A,FALSE,"PROD PLAN 3A";#N/A,#N/A,FALSE,"PROD UNITS 4 VS 3A";#N/A,#N/A,FALSE,"DLV 4 VS 3A";#N/A,#N/A,FALSE,"SPD 4 VS 3A";#N/A,#N/A,FALSE,"ABS 4 VS 3A"}</definedName>
    <definedName name="wrn.Proforma." hidden="1">{"coversht",#N/A,TRUE,"TOC";"assmp1",#N/A,TRUE,"ASS";"assmp2",#N/A,TRUE,"ASS";"cashfl1",#N/A,TRUE,"CF";"return1",#N/A,TRUE,"Return";"return2",#N/A,TRUE,"Return";"EIncome",#N/A,TRUE,"EINC";"rev1",#N/A,TRUE,"Rev";"rev2",#N/A,TRUE,"Rev";"exp1",#N/A,TRUE,"Exp";"exp2",#N/A,TRUE,"Exp";"exp3",#N/A,TRUE,"Exp";"exp4",#N/A,TRUE,"Exp";"MaintRes",#N/A,TRUE,"MRES";"drwdn1",#N/A,TRUE,"Drwdn";"drwdn2",#N/A,TRUE,"Drwdn";"drwdn3",#N/A,TRUE,"Drwdn";"debt1",#N/A,TRUE,"Fin";"debt2",#N/A,TRUE,"Fin";"tax1",#N/A,TRUE,"TAXES";"tax2",#N/A,TRUE,"TAXES";"Deprec",#N/A,TRUE,"DEPR";"Balsht1",#N/A,TRUE,"BS_IS";"Balsht2",#N/A,TRUE,"BS_IS";"Ref1",#N/A,TRUE,"REF1";"Ref2",#N/A,TRUE,"REF2";"Ref3",#N/A,TRUE,"REF3";"Ref4",#N/A,TRUE,"REF4"}</definedName>
    <definedName name="wrn.Pulp." hidden="1">{"Pulp Production",#N/A,FALSE,"Pulp";"Pulp Earnings",#N/A,FALSE,"Pulp"}</definedName>
    <definedName name="wrn.Pulp.2" hidden="1">{"Pulp Production",#N/A,FALSE,"Pulp";"Pulp Earnings",#N/A,FALSE,"Pulp"}</definedName>
    <definedName name="wrn.Pulp.3" hidden="1">{"Pulp Production",#N/A,FALSE,"Pulp";"Pulp Earnings",#N/A,FALSE,"Pulp"}</definedName>
    <definedName name="wrn.Pulp.3.2" hidden="1">{"Pulp Production",#N/A,FALSE,"Pulp";"Pulp Earnings",#N/A,FALSE,"Pulp"}</definedName>
    <definedName name="wrn.Pulp.3.4" hidden="1">{"Pulp Production",#N/A,FALSE,"Pulp";"Pulp Earnings",#N/A,FALSE,"Pulp"}</definedName>
    <definedName name="wrn.Pulp.3.6" hidden="1">{"Pulp Production",#N/A,FALSE,"Pulp";"Pulp Earnings",#N/A,FALSE,"Pulp"}</definedName>
    <definedName name="wrn.Pulp.4" hidden="1">{"Pulp Production",#N/A,FALSE,"Pulp";"Pulp Earnings",#N/A,FALSE,"Pulp"}</definedName>
    <definedName name="wrn.Pulp.5" hidden="1">{"Pulp Production",#N/A,FALSE,"Pulp";"Pulp Earnings",#N/A,FALSE,"Pulp"}</definedName>
    <definedName name="wrn.Pulp.6" hidden="1">{"Pulp Production",#N/A,FALSE,"Pulp";"Pulp Earnings",#N/A,FALSE,"Pulp"}</definedName>
    <definedName name="wrn.Pulp.7" hidden="1">{"Pulp Production",#N/A,FALSE,"Pulp";"Pulp Earnings",#N/A,FALSE,"Pulp"}</definedName>
    <definedName name="wrn.Pulp.8" hidden="1">{"Pulp Production",#N/A,FALSE,"Pulp";"Pulp Earnings",#N/A,FALSE,"Pulp"}</definedName>
    <definedName name="wrn.Pulp.9" hidden="1">{"Pulp Production",#N/A,FALSE,"Pulp";"Pulp Earnings",#N/A,FALSE,"Pulp"}</definedName>
    <definedName name="wrn.Pump." hidden="1">{#N/A,#N/A,FALSE,"Assump";#N/A,#N/A,FALSE,"Income";#N/A,#N/A,FALSE,"Balance";#N/A,#N/A,FALSE,"DCF Pump";#N/A,#N/A,FALSE,"Trans Assump";#N/A,#N/A,FALSE,"Combined Income";#N/A,#N/A,FALSE,"Combined Balance"}</definedName>
    <definedName name="wrn.Quarterly._.Income._.Statement." hidden="1">{"Quarterly Income Statement",#N/A,FALSE,"P&amp;L Detail"}</definedName>
    <definedName name="wrn.Quarters." hidden="1">{"All Qtrs",#N/A,FALSE,"Curr Mo";"1001Q",#N/A,FALSE,"Curr Mo";"1002Q",#N/A,FALSE,"Curr Mo";"4012Q",#N/A,FALSE,"Curr Mo";"4017Q",#N/A,FALSE,"Curr Mo";"1050Q",#N/A,FALSE,"Curr Mo";"1009Q",#N/A,FALSE,"Curr Mo";"4079Q",#N/A,FALSE,"Curr Mo";"4077Q",#N/A,FALSE,"Curr Mo";"1005Q",#N/A,FALSE,"Curr Mo";"1008Q",#N/A,FALSE,"Curr Mo";"1011Q",#N/A,FALSE,"Curr Mo";"1006Q",#N/A,FALSE,"Curr Mo";"1024Q",#N/A,FALSE,"Curr Mo";"1003Q",#N/A,FALSE,"Curr Mo";"1025q",#N/A,FALSE,"Curr Mo";"4013Q",#N/A,FALSE,"Curr Mo";"1091Q",#N/A,FALSE,"Curr Mo";"1010Q",#N/A,FALSE,"Curr Mo";"1023Q",#N/A,FALSE,"Curr Mo";"4014Q",#N/A,FALSE,"Curr Mo";"1043Q",#N/A,FALSE,"Curr Mo";"1014Q",#N/A,FALSE,"Curr Mo";"1015Q",#N/A,FALSE,"Curr Mo";"1012Q",#N/A,FALSE,"Curr Mo";"1061Q",#N/A,FALSE,"Curr Mo";"1045Q",#N/A,FALSE,"Curr Mo";"4058Q",#N/A,FALSE,"Curr Mo";"1033Q",#N/A,FALSE,"Curr Mo";"1103Q",#N/A,FALSE,"Curr Mo";"4007Q",#N/A,FALSE,"Curr Mo";"4021Q",#N/A,FALSE,"Curr Mo";"4026Q",#N/A,FALSE,"Curr Mo";"4022Q",#N/A,FALSE,"Curr Mo";"4050Q",#N/A,FALSE,"Curr Mo";"4032Q",#N/A,FALSE,"Curr Mo";"4089Q",#N/A,FALSE,"Curr Mo";"1042Q",#N/A,FALSE,"Curr Mo";"1048Q",#N/A,FALSE,"Curr Mo";"4049Q",#N/A,FALSE,"Curr Mo"}</definedName>
    <definedName name="wrn.RANKED._.REC._.LLC." hidden="1">{#N/A,#N/A,FALSE,"BONDS";#N/A,#N/A,FALSE,"NON-LATIN";#N/A,#N/A,FALSE,"HY BONDS";#N/A,#N/A,FALSE,"LA-ASIAN";#N/A,#N/A,FALSE,"EMG REPO";#N/A,#N/A,FALSE,"TREASURY REPO";#N/A,#N/A,FALSE,"EMG BONDS";#N/A,#N/A,FALSE,"CREDIT DERIV";#N/A,#N/A,FALSE,"CORP DERIV"}</definedName>
    <definedName name="wrn.RANKED._.REV._.GRP._.LLC." hidden="1">{#N/A,#N/A,FALSE,"CURRENCY";#N/A,#N/A,FALSE,"BONDS";#N/A,#N/A,FALSE,"GOLD";#N/A,#N/A,FALSE,"EXOTICS";#N/A,#N/A,FALSE,"NON-LATIN";#N/A,#N/A,FALSE,"HY BONDS";#N/A,#N/A,FALSE,"LA-ASIAN";#N/A,#N/A,FALSE,"EMG REPO";#N/A,#N/A,FALSE,"TREASURY REPO";#N/A,#N/A,FALSE,"EMG BONDS";#N/A,#N/A,FALSE,"EM OPTIONS";#N/A,#N/A,FALSE,"CREDIT DERIV";#N/A,#N/A,FALSE,"CORP DERIV";#N/A,#N/A,FALSE,"NON-MEX SPOT";#N/A,#N/A,FALSE,"ELECTRICITY";#N/A,#N/A,FALSE,"FE ASIA SPOT";#N/A,#N/A,FALSE,"MEX  FWD NDF"}</definedName>
    <definedName name="wrn.Rapport." hidden="1">{#N/A,#N/A,FALSE,"SHEET1";#N/A,#N/A,FALSE,"SHEET2";#N/A,#N/A,FALSE,"SHEET3";#N/A,#N/A,FALSE,"SHEET4"}</definedName>
    <definedName name="wrn.RELEVANTSHEETS." hidden="1">{#N/A,#N/A,FALSE,"AD_Purch";#N/A,#N/A,FALSE,"Projections";#N/A,#N/A,FALSE,"DCF";#N/A,#N/A,FALSE,"Mkt Val"}</definedName>
    <definedName name="wrn.Relvals." hidden="1">{"weekly",#N/A,FALSE,"HLTH_BND";"weekly",#N/A,FALSE,"PAP_BOND";#N/A,#N/A,FALSE,"RET_BND";"weekly",#N/A,FALSE,"CHM_BND";#N/A,#N/A,FALSE,"MOVIES";#N/A,#N/A,FALSE,"CABLE";#N/A,#N/A,FALSE,"BDCSTRV"}</definedName>
    <definedName name="wrn.Report_PR_1." hidden="1">{"PR1","pr1",TRUE,"Sch PR-1"}</definedName>
    <definedName name="wrn.Report." hidden="1">{"Report",#N/A,FALSE,"March Details"}</definedName>
    <definedName name="wrn.Report._.2." hidden="1">{#N/A,#N/A,TRUE,"Pivots-Employee";#N/A,"Scenerio2",TRUE,"Assumptions Summary"}</definedName>
    <definedName name="wrn.Report._.Summary." hidden="1">{#N/A,#N/A,FALSE,"March Details"}</definedName>
    <definedName name="wrn.Report1." hidden="1">{#N/A,#N/A,TRUE,"Pivots-Employee";#N/A,"Scenario1",TRUE,"Assumptions Summary"}</definedName>
    <definedName name="wrn.REPORTING._.PACKAGE.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wrn.reports." hidden="1">{"summary",#N/A,FALSE,"3 yr average";"comps",#N/A,FALSE,"3 yr average"}</definedName>
    <definedName name="wrn.RESERVE._.SCHEDULE." hidden="1">{#N/A,#N/A,FALSE,"Sheet8";#N/A,#N/A,FALSE,"Sheet7"}</definedName>
    <definedName name="wrn.Results." hidden="1">{#N/A,#N/A,FALSE,"PR report 1";#N/A,#N/A,FALSE,"PR report 2";#N/A,#N/A,FALSE,"PR report 3";#N/A,#N/A,FALSE,"HBE Rev";#N/A,#N/A,FALSE,"PR report 4";#N/A,#N/A,FALSE,"Wiggin Rev";#N/A,#N/A,FALSE,"NH Rev"}</definedName>
    <definedName name="wrn.revenue._.historical.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rn.Revised._.Cap._.Budget." hidden="1">{#N/A,#N/A,TRUE,"Overview";#N/A,#N/A,TRUE,"New Gen"}</definedName>
    <definedName name="wrn.Revised._.Capital._.Budget." hidden="1">{#N/A,#N/A,TRUE,"Overview";#N/A,#N/A,TRUE,"New Gen";#N/A,#N/A,TRUE,"Consol cap-ex";#N/A,#N/A,TRUE,"APC cap-ex";#N/A,#N/A,TRUE,"GPC cap-ex";#N/A,#N/A,TRUE,"GUL cap-ex";#N/A,#N/A,TRUE,"MPC cap-ex";#N/A,#N/A,TRUE,"SAV cap-ex";#N/A,#N/A,TRUE,"SEGCO cap-ex";#N/A,#N/A,TRUE,"SWE cap-ex"}</definedName>
    <definedName name="wrn.Ricobayo._.I." hidden="1">{#N/A,#N/A,FALSE,"RESUMEN ECON.";#N/A,#N/A,FALSE,"Costos de R.H.";#N/A,#N/A,FALSE,"COSTO HW";#N/A,#N/A,FALSE,"CUADROS";#N/A,#N/A,FALSE,"SCADA´s";#N/A,#N/A,FALSE,"PRECIOS EQUIPOS"}</definedName>
    <definedName name="wrn.Riverwood_comp_model.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wrn.Roll._.Up._.Fields." hidden="1">{"Total",#N/A,FALSE,"Six Fields";"PDP",#N/A,FALSE,"Six Fields";"PNP",#N/A,FALSE,"Six Fields";"PUD",#N/A,FALSE,"Six Fields";"Prob",#N/A,FALSE,"Six Fields"}</definedName>
    <definedName name="wrn.sales." hidden="1">{"sales",#N/A,FALSE,"Sales";"sales existing",#N/A,FALSE,"Sales";"sales rd1",#N/A,FALSE,"Sales";"sales rd2",#N/A,FALSE,"Sales"}</definedName>
    <definedName name="wrn.San._.Pedro." hidden="1">{#N/A,#N/A,FALSE,"San Pedro"}</definedName>
    <definedName name="wrn.SB_PRES." hidden="1">{#N/A,#N/A,TRUE,"Sheet16"}</definedName>
    <definedName name="wrn.SBEI.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canning._.Div.._.Reports." hidden="1">{#N/A,#N/A,FALSE,"Scanning";#N/A,#N/A,FALSE,"Printing";#N/A,#N/A,FALSE,"Manufacturing";#N/A,#N/A,FALSE,"Shipping";#N/A,#N/A,FALSE,"Quality";#N/A,#N/A,FALSE,"Purchasing";#N/A,#N/A,FALSE,"Eng";#N/A,#N/A,FALSE,"Scan_sales";#N/A,#N/A,FALSE,"Scan_admin";#N/A,#N/A,FALSE,"Domestic";#N/A,#N/A,FALSE,"Education";#N/A,#N/A,FALSE,"Commercial";#N/A,#N/A,FALSE,"Scan_support";#N/A,#N/A,FALSE,"Scan_marketing";#N/A,#N/A,FALSE,"Inter"}</definedName>
    <definedName name="wrn.Scantron._.Tustin._.Reports." hidden="1">{#N/A,#N/A,FALSE,"Scantron";#N/A,#N/A,FALSE,"COS";#N/A,#N/A,FALSE,"Development";#N/A,#N/A,FALSE,"Selling";#N/A,#N/A,FALSE,"G&amp;A"}</definedName>
    <definedName name="wrn.Sensitivity." hidden="1">{"sen cf",#N/A,FALSE,"MODEL";"sen earn",#N/A,FALSE,"MODEL";"sen debt",#N/A,FALSE,"MODEL";"sen nav",#N/A,FALSE,"MODEL"}</definedName>
    <definedName name="wrn.Service._.Group._.Reports." hidden="1">{#N/A,#N/A,FALSE,"SSG_total";#N/A,#N/A,FALSE,"SSG_field_service";#N/A,#N/A,FALSE,"SSG_inside_operations";#N/A,#N/A,FALSE,"SSG_selling";#N/A,#N/A,FALSE,"SSG_G&amp;A"}</definedName>
    <definedName name="wrn.Set." hidden="1">{#N/A,#N/A,FALSE,"High";#N/A,#N/A,FALSE,"Low";#N/A,#N/A,FALSE,"MarketCap";#N/A,#N/A,FALSE,"Alpha"}</definedName>
    <definedName name="wrn.Short._.Form._.Print._.Out.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1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2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3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4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2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3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4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5" hidden="1">{#N/A,#N/A,FALSE,"General Assumptions";#N/A,#N/A,FALSE,"Accounts";#N/A,#N/A,FALSE,"OperatingAssumptions";#N/A,#N/A,FALSE,"Cashflow";#N/A,#N/A,FALSE,"Debt";#N/A,#N/A,FALSE,"Ops Summary";#N/A,#N/A,FALSE,"Summary"}</definedName>
    <definedName name="wrn.Side._.by._.Side." hidden="1">{"Side 99",#N/A,FALSE,"S&amp;U Side by Side"}</definedName>
    <definedName name="wrn.SKSCS1." hidden="1">{#N/A,#N/A,FALSE,"Antony Financials";#N/A,#N/A,FALSE,"Cowboy Financials";#N/A,#N/A,FALSE,"Combined";#N/A,#N/A,FALSE,"Valuematrix";#N/A,#N/A,FALSE,"DCFAntony";#N/A,#N/A,FALSE,"DCFCowboy";#N/A,#N/A,FALSE,"DCFCombined"}</definedName>
    <definedName name="wrn.Sommaire." hidden="1">{#N/A,#N/A,TRUE,"Summary";#N/A,#N/A,TRUE,"NARRATIF";#N/A,#N/A,TRUE,"SALES";#N/A,#N/A,TRUE,"NOPAT";#N/A,#N/A,TRUE,"CASH";#N/A,#N/A,TRUE,"UA";#N/A,#N/A,TRUE,"spares"}</definedName>
    <definedName name="wrn.sspall.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tand_alone_both" hidden="1">{"FCB_ALL",#N/A,FALSE,"FCB";"GREY_ALL",#N/A,FALSE,"GREY"}</definedName>
    <definedName name="wrn.STAND_ALONE_BOTH." hidden="1">{"FCB_ALL",#N/A,FALSE,"FCB";"GREY_ALL",#N/A,FALSE,"GREY"}</definedName>
    <definedName name="wrn.Stand_alone_both._dcf" hidden="1">{"FCB_ALL",#N/A,FALSE,"FCB";"GREY_ALL",#N/A,FALSE,"GREY"}</definedName>
    <definedName name="wrn.stand_alone_both.1" hidden="1">{"FCB_ALL",#N/A,FALSE,"FCB";"GREY_ALL",#N/A,FALSE,"GREY"}</definedName>
    <definedName name="wrn.stand_alone_both1" hidden="1">{"FCB_ALL",#N/A,FALSE,"FCB";"GREY_ALL",#N/A,FALSE,"GREY"}</definedName>
    <definedName name="wrn.stand_alone_both9" hidden="1">{"FCB_ALL",#N/A,FALSE,"FCB";"GREY_ALL",#N/A,FALSE,"GREY"}</definedName>
    <definedName name="wrn.standaloneboth1" hidden="1">{"FCB_ALL",#N/A,FALSE,"FCB";"GREY_ALL",#N/A,FALSE,"GREY"}</definedName>
    <definedName name="wrn.Standard._.Reports.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tements." hidden="1">{#N/A,#N/A,FALSE,"CostOfService";#N/A,#N/A,FALSE,"BalanceSheet";#N/A,#N/A,FALSE,"IncomeStmt";#N/A,#N/A,FALSE,"CashFlow";#N/A,#N/A,FALSE,"RateBase"}</definedName>
    <definedName name="wrn.statemetns1." hidden="1">{#N/A,#N/A,FALSE,"CostOfService";#N/A,#N/A,FALSE,"BalanceSheet";#N/A,#N/A,FALSE,"IncomeStmt";#N/A,#N/A,FALSE,"CashFlow";#N/A,#N/A,FALSE,"RateBase"}</definedName>
    <definedName name="wrn.Statistics." hidden="1">{"Std Poor",#N/A,FALSE,"S&amp;P";"Sum Stats",#N/A,FALSE,"Stats"}</definedName>
    <definedName name="wrn.Structure." hidden="1">{#N/A,#N/A,FALSE,"Structure";#N/A,#N/A,FALSE,"Proj-Cal";#N/A,#N/A,FALSE,"Market"}</definedName>
    <definedName name="wrn.SUM." hidden="1">{"SUM",#N/A,FALSE,"Details (2)"}</definedName>
    <definedName name="wrn.sumarry_96_98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89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5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.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1.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6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8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8w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9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7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71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8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8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15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4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7_1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8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x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8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." hidden="1">{"Sum1",#N/A,FALSE,"Reserve Report";"Sum2",#N/A,FALSE,"Reserve Report";"Sum3",#N/A,FALSE,"Reserve Report";"Sum4",#N/A,FALSE,"Reserve Report"}</definedName>
    <definedName name="wrn.Summary._.of._.Details2." hidden="1">{"Summary",#N/A,FALSE,"Details (2)"}</definedName>
    <definedName name="wrn.Summary._1" hidden="1">{"Summary",#N/A,FALSE,"Summary"}</definedName>
    <definedName name="wrn.Summary._1_1" hidden="1">{"Summary",#N/A,FALSE,"Summary"}</definedName>
    <definedName name="wrn.Summary._1_2" hidden="1">{"Summary",#N/A,FALSE,"Summary"}</definedName>
    <definedName name="wrn.Summary._1_3" hidden="1">{"Summary",#N/A,FALSE,"Summary"}</definedName>
    <definedName name="wrn.Summary._1_4" hidden="1">{"Summary",#N/A,FALSE,"Summary"}</definedName>
    <definedName name="wrn.Summary._2" hidden="1">{"Summary",#N/A,FALSE,"Summary"}</definedName>
    <definedName name="wrn.Summary._3" hidden="1">{"Summary",#N/A,FALSE,"Summary"}</definedName>
    <definedName name="wrn.Summary._4" hidden="1">{"Summary",#N/A,FALSE,"Summary"}</definedName>
    <definedName name="wrn.Summary._5" hidden="1">{"Summary",#N/A,FALSE,"Summary"}</definedName>
    <definedName name="wrn.SummaryPgs." hidden="1">{#N/A,#N/A,FALSE,"CreditStat";#N/A,#N/A,FALSE,"SPbrkup";#N/A,#N/A,FALSE,"MerSPsyn";#N/A,#N/A,FALSE,"MerSPwKCsyn";#N/A,#N/A,FALSE,"MerSPwKCsyn (2)";#N/A,#N/A,FALSE,"CreditStat (2)"}</definedName>
    <definedName name="wrn.Supplemental_Reports." hidden="1">{#N/A,#N/A,FALSE,"Report Data";#N/A,#N/A,FALSE,"COMP POOL";#N/A,#N/A,FALSE,"COMP POOL NB95";#N/A,#N/A,FALSE,"COMP POOL NB94"}</definedName>
    <definedName name="wrn.Survey._.Div.._.Reports." hidden="1">{#N/A,#N/A,FALSE,"Survey";#N/A,#N/A,FALSE,"Tech_COS";#N/A,#N/A,FALSE,"Tech_Consult";#N/A,#N/A,FALSE,"Tech_dev";#N/A,#N/A,FALSE,"Tech_sales";#N/A,#N/A,FALSE,"Tech_channel";#N/A,#N/A,FALSE,"Tech_marketing";#N/A,#N/A,FALSE,"Tech_admin"}</definedName>
    <definedName name="wrn.Target.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.DCF." hidden="1">{"targetdcf",#N/A,FALSE,"Merger consequences";"TARGETASSU",#N/A,FALSE,"Merger consequences";"TERMINAL VALUE",#N/A,FALSE,"Merger consequences"}</definedName>
    <definedName name="wrn.TargetLBO.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State." hidden="1">{#N/A,#N/A,FALSE,"Tar-Ass";#N/A,#N/A,FALSE,"Tar-IS";#N/A,#N/A,FALSE,"Tar-BS";#N/A,#N/A,FALSE,"Tar-Adg BS";#N/A,#N/A,FALSE,"Tar-CF"}</definedName>
    <definedName name="wrn.TargetVal." hidden="1">{#N/A,#N/A,TRUE,"Val - sum";#N/A,#N/A,TRUE,"Val - Sum1";#N/A,#N/A,TRUE,"Val - sum2";#N/A,#N/A,TRUE,"Val - Sum3";#N/A,#N/A,TRUE,"Tar-DCF";#N/A,#N/A,TRUE,"Tar-Val LBO";#N/A,#N/A,TRUE,"Tar-Mult Val"}</definedName>
    <definedName name="wrn.test." hidden="1">{#N/A,#N/A,TRUE,"Sheet5 (4)";#N/A,#N/A,TRUE,"Sheet10 (2)";#N/A,#N/A,TRUE,"Sheet16 (2)"}</definedName>
    <definedName name="wrn.Test._1" hidden="1">{#N/A,#N/A,FALSE,"P&amp;L";#N/A,#N/A,FALSE,"BS"}</definedName>
    <definedName name="wrn.Test._1_1" hidden="1">{#N/A,#N/A,FALSE,"P&amp;L";#N/A,#N/A,FALSE,"BS"}</definedName>
    <definedName name="wrn.Test._1_2" hidden="1">{#N/A,#N/A,FALSE,"P&amp;L";#N/A,#N/A,FALSE,"BS"}</definedName>
    <definedName name="wrn.Test._1_3" hidden="1">{#N/A,#N/A,FALSE,"P&amp;L";#N/A,#N/A,FALSE,"BS"}</definedName>
    <definedName name="wrn.Test._1_4" hidden="1">{#N/A,#N/A,FALSE,"P&amp;L";#N/A,#N/A,FALSE,"BS"}</definedName>
    <definedName name="wrn.Test._2" hidden="1">{#N/A,#N/A,FALSE,"P&amp;L";#N/A,#N/A,FALSE,"BS"}</definedName>
    <definedName name="wrn.Test._3" hidden="1">{#N/A,#N/A,FALSE,"P&amp;L";#N/A,#N/A,FALSE,"BS"}</definedName>
    <definedName name="wrn.Test._4" hidden="1">{#N/A,#N/A,FALSE,"P&amp;L";#N/A,#N/A,FALSE,"BS"}</definedName>
    <definedName name="wrn.Test._5" hidden="1">{#N/A,#N/A,FALSE,"P&amp;L";#N/A,#N/A,FALSE,"BS"}</definedName>
    <definedName name="wrn.TheWholeEnchilada." hidden="1">{"CSheet",#N/A,FALSE,"C";"SmCap",#N/A,FALSE,"VAL1";"GulfCoast",#N/A,FALSE,"VAL1";"nav",#N/A,FALSE,"NAV";"Summary",#N/A,FALSE,"NAV"}</definedName>
    <definedName name="wrn.TMCALL." hidden="1">{"tmccash",#N/A,FALSE,"INCX";"tmcinc",#N/A,FALSE,"INCX";"tmcpretx",#N/A,FALSE,"INCX";"tmcadrev",#N/A,FALSE,"INCX";"tmcbooks",#N/A,FALSE,"INCX"}</definedName>
    <definedName name="wrn.TOOL.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tal.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.Proved." hidden="1">{"Total",#N/A,FALSE,"Total Proved";"PDP",#N/A,FALSE,"Total Proved";"PNP",#N/A,FALSE,"Total Proved";"PUD",#N/A,FALSE,"Total Proved"}</definedName>
    <definedName name="wrn.Total._.Proved._.plus._.Probable.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Scantron." hidden="1">{#N/A,#N/A,FALSE,"Total by function - wo";#N/A,#N/A,FALSE,"Total by function";#N/A,#N/A,FALSE,"Total";#N/A,#N/A,FALSE,"Scantron";#N/A,#N/A,FALSE,"SSG_total"}</definedName>
    <definedName name="wrn.Tout._.Sauf._.BG.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rading._.Summary." hidden="1">{#N/A,#N/A,FALSE,"Trading Summary"}</definedName>
    <definedName name="wrn.TransPrcd_123." hidden="1">{#N/A,#N/A,TRUE,"TransPrcd 1";#N/A,#N/A,TRUE,"TransPrcd 2";#N/A,#N/A,TRUE,"TransPrcd 3"}</definedName>
    <definedName name="wrn.trball." hidden="1">{"trbcash",#N/A,FALSE,"INCPF";"trbinc",#N/A,FALSE,"INCPF";"trbchic",#N/A,FALSE,"INCPF";"trbadrev",#N/A,FALSE,"INCPF";"trbstns",#N/A,FALSE,"INCPF";"trbtvstns",#N/A,FALSE,"INCPF"}</definedName>
    <definedName name="wrn.tsp." hidden="1">{#N/A,#N/A,FALSE,"Summary";#N/A,#N/A,FALSE,"Financials";#N/A,#N/A,FALSE,"Returns";#N/A,#N/A,FALSE,"Open";#N/A,#N/A,FALSE,"Assumptions"}</definedName>
    <definedName name="wrn.Tweety." hidden="1">{#N/A,#N/A,FALSE,"A&amp;E";#N/A,#N/A,FALSE,"HighTop";#N/A,#N/A,FALSE,"JG";#N/A,#N/A,FALSE,"RI";#N/A,#N/A,FALSE,"woHT";#N/A,#N/A,FALSE,"woHT&amp;JG"}</definedName>
    <definedName name="wrn.Typhoon." hidden="1">{"Agg Output",#N/A,FALSE,"Operational Drivers Output";"NW Output",#N/A,FALSE,"Operational Drivers Output";"South Output",#N/A,FALSE,"Operational Drivers Output";"Central Output",#N/A,FALSE,"Operational Drivers Output"}</definedName>
    <definedName name="wrn.VALUATION." hidden="1">{#N/A,#N/A,FALSE,"Valuation Assumptions";#N/A,#N/A,FALSE,"Summary";#N/A,#N/A,FALSE,"DCF";#N/A,#N/A,FALSE,"Valuation";#N/A,#N/A,FALSE,"WACC";#N/A,#N/A,FALSE,"UBVH";#N/A,#N/A,FALSE,"Free Cash Flow"}</definedName>
    <definedName name="wrn.Value." hidden="1">{#N/A,#N/A,FALSE,"Cashflow Analysis";#N/A,#N/A,FALSE,"Sensitivity Analysis";#N/A,#N/A,FALSE,"PV";#N/A,#N/A,FALSE,"Pro Forma"}</definedName>
    <definedName name="wrn.Value.2" hidden="1">{#N/A,#N/A,FALSE,"Cashflow Analysis";#N/A,#N/A,FALSE,"Sensitivity Analysis";#N/A,#N/A,FALSE,"PV";#N/A,#N/A,FALSE,"Pro Forma"}</definedName>
    <definedName name="wrn.Wacc." hidden="1">{"Area1",#N/A,FALSE,"OREWACC";"Area2",#N/A,FALSE,"OREWACC"}</definedName>
    <definedName name="wrn.Web._.Portfolio._.Companies._.June._.2000.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wrn.wicor." hidden="1">{#N/A,#N/A,FALSE,"FACTSHEETS";#N/A,#N/A,FALSE,"pump";#N/A,#N/A,FALSE,"filter"}</definedName>
    <definedName name="wrn.wpoall." hidden="1">{"wpocash",#N/A,FALSE,"WPOALLT";"wpoinc",#N/A,FALSE,"WPOALLT";"wpoexcl",#N/A,FALSE,"WPOALLT";"wpocable",#N/A,FALSE,"WPOALLT";"wpobroad",#N/A,FALSE,"WPOALLT";"wpopost",#N/A,FALSE,"WPOALLT";"wponwsweek",#N/A,FALSE,"WPOALLT"}</definedName>
    <definedName name="wrn.WWY." hidden="1">{#N/A,#N/A,FALSE,"WWY"}</definedName>
    <definedName name="wrn.מאזן_בוחן_כללי." hidden="1">{#N/A,#N/A,FALSE,"מאזן בוחן";"כל_מאזן_בוחן",#N/A,FALSE,"מאזן בוחן"}</definedName>
    <definedName name="wrn.סעיפי_מאזן_בוחן.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wrn1.Statements." hidden="1">{#N/A,#N/A,FALSE,"CostOfService";#N/A,#N/A,FALSE,"BalanceSheet";#N/A,#N/A,FALSE,"IncomeStmt";#N/A,#N/A,FALSE,"CashFlow";#N/A,#N/A,FALSE,"RateBase"}</definedName>
    <definedName name="wrn2.All." hidden="1">{#N/A,#N/A,FALSE,"Structure";#N/A,#N/A,FALSE,"Shares";#N/A,#N/A,FALSE,"Market";#N/A,#N/A,FALSE,"Proj-Cal";#N/A,#N/A,FALSE,"Margins - GrossR&amp;D";#N/A,#N/A,FALSE,"Margins - sg&amp;a";#N/A,#N/A,FALSE,"Margins - Oper-net";#N/A,#N/A,FALSE,"Rev Grwth";#N/A,#N/A,FALSE,"Op Inc Grwth";#N/A,#N/A,FALSE,"Net Grwth";#N/A,#N/A,FALSE,"EPS Growth";#N/A,#N/A,FALSE,"Balance";#N/A,#N/A,FALSE,"TDFX";#N/A,#N/A,FALSE,"CUBE";#N/A,#N/A,FALSE,"TDDDF";#N/A,#N/A,FALSE,"DIMD";#N/A,#N/A,FALSE,"ELNT";#N/A,#N/A,FALSE,"ZRAN";#N/A,#N/A,FALSE,"FDJA";#N/A,#N/A,FALSE,"GNMC"}</definedName>
    <definedName name="wrnc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c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rep" hidden="1">{"summary",#N/A,FALSE,"3 yr average";"comps",#N/A,FALSE,"3 yr average"}</definedName>
    <definedName name="wrr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t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te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vu.cash.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profits.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6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turnover.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w" hidden="1">{#N/A,#N/A,TRUE,"RESUMEN ECON.";#N/A,#N/A,TRUE,"Costos de R.H.";#N/A,#N/A,TRUE,"COSTO HW";#N/A,#N/A,TRUE,"CUADROS";#N/A,#N/A,TRUE,"SCADA´s";#N/A,#N/A,TRUE,"PRECIOS EQUIPOS"}</definedName>
    <definedName name="wwewrt" hidden="1">{#N/A,#N/A,FALSE,"RESUMEN ECON.";#N/A,#N/A,FALSE,"Costos de R.H.";#N/A,#N/A,FALSE,"COSTO HW";#N/A,#N/A,FALSE,"CUADROS";#N/A,#N/A,FALSE,"SCADA´s";#N/A,#N/A,FALSE,"PRECIOS EQUIPOS"}</definedName>
    <definedName name="www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ww.nuevahoja." hidden="1">{#N/A,#N/A,FALSE,"CNS_ADJ";"Balance Consolidado",#N/A,FALSE,"BCEC_CNS";#N/A,#N/A,FALSE,"USGAAP_ADJ"}</definedName>
    <definedName name="x" hidden="1">{#N/A,#N/A,FALSE,"FY97";#N/A,#N/A,FALSE,"FY98";#N/A,#N/A,FALSE,"FY99";#N/A,#N/A,FALSE,"FY00";#N/A,#N/A,FALSE,"FY01"}</definedName>
    <definedName name="xvc" hidden="1">{"FCB_ALL",#N/A,FALSE,"FCB"}</definedName>
    <definedName name="xx" hidden="1">{#N/A,#N/A,FALSE,"Sheet1";#N/A,#N/A,FALSE,"Sheet2";#N/A,#N/A,FALSE,"Sheet3";#N/A,#N/A,FALSE,"Sheet4";#N/A,#N/A,FALSE,"Sheet5";#N/A,#N/A,FALSE,"Sheet6"}</definedName>
    <definedName name="xxd" hidden="1">{#N/A,#N/A,FALSE,"Cashflow Analysis";#N/A,#N/A,FALSE,"Sensitivity Analysis";#N/A,#N/A,FALSE,"PV";#N/A,#N/A,FALSE,"Pro Forma"}</definedName>
    <definedName name="xxd.2" hidden="1">{#N/A,#N/A,FALSE,"Cashflow Analysis";#N/A,#N/A,FALSE,"Sensitivity Analysis";#N/A,#N/A,FALSE,"PV";#N/A,#N/A,FALSE,"Pro Forma"}</definedName>
    <definedName name="Z_36FD64AC_A8C7_11D2_BA96_C0180FD4674E_.wvu.PrintArea" hidden="1">#REF!,#REF!</definedName>
    <definedName name="Z_702CE201_67EF_11D2_8E81_00104BCAECA1_.wvu.PrintTitles" hidden="1">#REF!,#REF!</definedName>
    <definedName name="Z_7AA0BF31_4111_4E23_9D0D_CB55CEA6966E_.wvu.PrintArea" hidden="1">#REF!,#REF!</definedName>
    <definedName name="Z_ADCF894C_DAFA_4BD3_BD21_89E33EBA8162_.wvu.PrintArea" hidden="1">#REF!,#REF!</definedName>
    <definedName name="Z_C229C740_74EF_11D3_8C05_00105AA43A7F_.wvu.PrintTitles" hidden="1">#REF!,#REF!</definedName>
    <definedName name="Z_C5D78028_30FA_4544_95A0_7A6B3E790E9F_.wvu.PrintArea" hidden="1">#REF!,#REF!</definedName>
    <definedName name="Z_FCE1EA20_50AC_4599_9AE4_39031AF9A32C_.wvu.PrintArea" hidden="1">#REF!,#REF!</definedName>
    <definedName name="_xlnm.Print_Area" localSheetId="1">'Control | Setup'!$A$1:$I$60</definedName>
    <definedName name="_xlnm.Print_Area" localSheetId="3">'Template | Index'!$A$1:$K$85</definedName>
    <definedName name="_xlnm.Print_Area" localSheetId="4">'Data | TB'!$A$1:$AS$220</definedName>
    <definedName name="_xlnm.Print_Area" localSheetId="11">'Combined | IS'!$A$1:$AS$32</definedName>
    <definedName name="_xlnm.Print_Area" localSheetId="12">'Combined | BS'!$A$1:$AS$32</definedName>
    <definedName name="_xlnm.Print_Area" localSheetId="13">'Combined | CF'!$A$1:$AS$32</definedName>
    <definedName name="_xlnm.Print_Area" localSheetId="14">'Entity 1 | IS'!$A$1:$AS$32</definedName>
    <definedName name="_xlnm.Print_Area" localSheetId="15">'Entity 1 | BS'!$A$1:$AS$32</definedName>
    <definedName name="_xlnm.Print_Area" localSheetId="16">'Entity 1 | CF'!$A$1:$AS$32</definedName>
    <definedName name="_xlnm.Print_Area" localSheetId="18">'QofE | Summary'!$A$1:$J$22</definedName>
    <definedName name="_xlnm.Print_Area" localSheetId="19">'QofE | Detail'!$A$1:$AS$32</definedName>
    <definedName name="_xlnm.Print_Area" localSheetId="21">'NWC | Summary'!$A$1:$L$18</definedName>
    <definedName name="_xlnm.Print_Area" localSheetId="22">'NWC | Detail'!$A$1:$AS$32</definedName>
    <definedName name="_xlnm.Print_Area" localSheetId="24">'Stratified | BS'!$A$1:$AS$32</definedName>
    <definedName name="_xlnm.Print_Area" localSheetId="25">'Net_debt'!$A$1:$J$35</definedName>
  </definedNames>
  <calcPr calcId="191028" fullCalcOnLoad="1"/>
</workbook>
</file>

<file path=xl/styles.xml><?xml version="1.0" encoding="utf-8"?>
<styleSheet xmlns="http://schemas.openxmlformats.org/spreadsheetml/2006/main">
  <numFmts count="40">
    <numFmt numFmtId="164" formatCode="_ * #,##0_ ;_*\ \(#,##0\);_ * &quot;-&quot;_ ;_ @_ "/>
    <numFmt numFmtId="165" formatCode="#,##0.0%_);\(#,##0.0\)%;\-_);@"/>
    <numFmt numFmtId="166" formatCode="#,##0_);\(#,##0\);&quot;-&quot;_);@"/>
    <numFmt numFmtId="167" formatCode="#,##0.0%_);\(#,##0.0%\);&quot;-&quot;_);@"/>
    <numFmt numFmtId="168" formatCode="_(* #,##0_);_(* \(#,##0\);_(* &quot;-&quot;??_);_(@_)"/>
    <numFmt numFmtId="169" formatCode="#,##0_);\(#,##0\);\-_);@"/>
    <numFmt numFmtId="170" formatCode="* _(#,##0_);* \(#,##0\);* _(&quot;-&quot;_)"/>
    <numFmt numFmtId="171" formatCode="[$-409]d\-mmm\-yy;@"/>
    <numFmt numFmtId="172" formatCode="_(* #,##0_);_(* \(#,##0\);_(* &quot; - &quot;_);_(@_)"/>
    <numFmt numFmtId="173" formatCode="&quot;$&quot;#,##0_);[Red]\(&quot;$&quot;#,##0\)"/>
    <numFmt numFmtId="174" formatCode="_(* #,##0.0_);_(* \(#,##0.0\);_(* &quot;-&quot;?_);_(@_)"/>
    <numFmt numFmtId="175" formatCode="_(* #,##0.0_);_(* \(#,##0.0\);_(* &quot;-&quot;_);_(@_)"/>
    <numFmt numFmtId="176" formatCode="[$-409]dd\-mmm\-yy;@"/>
    <numFmt numFmtId="177" formatCode="[$-409]mmm\-yy;@"/>
    <numFmt numFmtId="178" formatCode="_ * #,##0_ ;_ * \(#,##0\)_ ;_ * &quot;-&quot;_ ;_ @_ "/>
    <numFmt numFmtId="179" formatCode="#,##0_);\(#,##0\);&quot; - &quot;_)"/>
    <numFmt numFmtId="180" formatCode="_(&quot;$&quot;* #,##0.00_);_(&quot;$&quot;* \(#,##0.00\);_(&quot;$&quot;* &quot;-&quot;??_);_(@_)"/>
    <numFmt numFmtId="181" formatCode="#,##0.0%_);\(#,##0.0\)%;\-_);@_)"/>
    <numFmt numFmtId="182" formatCode="#,###;\(#,###\);\-"/>
    <numFmt numFmtId="183" formatCode="#,##0.000_);\(#,##0.000\);&quot;-&quot;_);@"/>
    <numFmt numFmtId="184" formatCode="_(* #,##0.00000_);_(* \(#,##0.00000\);_(* &quot;-&quot;_);_(@_)"/>
    <numFmt numFmtId="185" formatCode="#,##0.00000_);\(#,##0.00000\);&quot;-&quot;_);@"/>
    <numFmt numFmtId="186" formatCode="#,##0.0000_);\(#,##0.0000\);&quot;-&quot;_);@"/>
    <numFmt numFmtId="187" formatCode="#,##0.00_);\(#,##0.00\);&quot;-&quot;_);@"/>
    <numFmt numFmtId="188" formatCode="#,##0%_);\(#,##0\)%;\-_);@_)"/>
    <numFmt numFmtId="189" formatCode="0.0%"/>
    <numFmt numFmtId="190" formatCode="_ * #,##0.00_ ;_*\ \(#,##0.00\);_ * &quot;-&quot;_ ;_ @_ "/>
    <numFmt numFmtId="191" formatCode="0.0"/>
    <numFmt numFmtId="192" formatCode="_(* #,##0.00_);_(* \(#,##0.00\);_(* &quot;-&quot;_);_(@_)"/>
    <numFmt numFmtId="193" formatCode="0.0000"/>
    <numFmt numFmtId="194" formatCode="0.000"/>
    <numFmt numFmtId="195" formatCode="#,##0.00%_);\(#,##0.00%\);&quot;-&quot;_);@"/>
    <numFmt numFmtId="196" formatCode="0.00000"/>
    <numFmt numFmtId="197" formatCode="_ * #,##0.0000_ ;_*\ \(#,##0.0000\);_ * &quot;-&quot;_ ;_ @_ "/>
    <numFmt numFmtId="198" formatCode="* _(#,##0_);* \(#,##0\);* _(&quot;&quot;\-&quot;&quot;_)"/>
    <numFmt numFmtId="199" formatCode="#,##0.0%_);\(#,##0.0%\);&quot; - &quot;_);@"/>
    <numFmt numFmtId="200" formatCode="mmmm\ yyyy"/>
    <numFmt numFmtId="201" formatCode="yyyy-mm-dd"/>
    <numFmt numFmtId="202" formatCode="_ * #,##0_ ;_* \(#,##0\);_ * &quot;-&quot;_ ;_ @_ "/>
    <numFmt numFmtId="203" formatCode="_-* #,##0.00_-;\-* #,##0.00_-;_-* &quot;-&quot;??_-;_-@_-"/>
  </numFmts>
  <fonts count="218">
    <font>
      <name val="Calibri"/>
      <family val="2"/>
      <color theme="1"/>
      <sz val="11"/>
      <scheme val="minor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Calibri"/>
      <family val="2"/>
      <color theme="1"/>
      <sz val="11"/>
      <scheme val="minor"/>
    </font>
    <font>
      <name val="Arial"/>
      <family val="2"/>
      <b val="1"/>
      <color theme="0"/>
      <sz val="8"/>
    </font>
    <font>
      <name val="Arial"/>
      <family val="2"/>
      <b val="1"/>
      <color theme="1"/>
      <sz val="8"/>
    </font>
    <font>
      <name val="Arial"/>
      <family val="2"/>
      <color theme="0"/>
      <sz val="8"/>
    </font>
    <font>
      <name val="Arial"/>
      <family val="2"/>
      <i val="1"/>
      <color theme="1"/>
      <sz val="8"/>
    </font>
    <font>
      <name val="KPMG Bold"/>
      <family val="2"/>
      <color rgb="FF00338D"/>
      <sz val="18"/>
    </font>
    <font>
      <name val="Arial"/>
      <family val="2"/>
      <i val="1"/>
      <color rgb="FF000000"/>
      <sz val="9"/>
    </font>
    <font>
      <name val="Arial"/>
      <family val="2"/>
      <color rgb="FF000000"/>
      <sz val="7"/>
    </font>
    <font>
      <name val="Arial"/>
      <family val="2"/>
      <b val="1"/>
      <color rgb="FFC00000"/>
      <sz val="8"/>
    </font>
    <font>
      <name val="Arial"/>
      <family val="2"/>
      <color rgb="FF000000"/>
      <sz val="8"/>
    </font>
    <font>
      <name val="Arial"/>
      <family val="2"/>
      <b val="1"/>
      <color rgb="FFFFFFFF"/>
      <sz val="8"/>
    </font>
    <font>
      <name val="Arial"/>
      <family val="2"/>
      <b val="1"/>
      <color rgb="FF000000"/>
      <sz val="8"/>
    </font>
    <font>
      <name val="Arial"/>
      <family val="2"/>
      <b val="1"/>
      <i val="1"/>
      <color rgb="FFFFFFFF"/>
      <sz val="8"/>
    </font>
    <font>
      <name val="Arial"/>
      <family val="2"/>
      <i val="1"/>
      <color rgb="FF000000"/>
      <sz val="8"/>
    </font>
    <font>
      <name val="Arial"/>
      <family val="2"/>
      <b val="1"/>
      <i val="1"/>
      <color rgb="FF000000"/>
      <sz val="8"/>
    </font>
    <font>
      <name val="Arial"/>
      <family val="2"/>
      <i val="1"/>
      <color indexed="8"/>
      <sz val="8"/>
    </font>
    <font>
      <name val="Univers for KPMG"/>
      <family val="2"/>
      <color theme="1"/>
      <sz val="8"/>
    </font>
    <font>
      <name val="Arial"/>
      <family val="2"/>
      <i val="1"/>
      <sz val="8"/>
    </font>
    <font>
      <name val="Arial"/>
      <family val="2"/>
      <sz val="8"/>
    </font>
    <font>
      <name val="Arial"/>
      <family val="2"/>
      <color rgb="FFFF0000"/>
      <sz val="8"/>
      <u val="single"/>
    </font>
    <font>
      <name val="Arial"/>
      <family val="2"/>
      <b val="1"/>
      <color rgb="FF0070C0"/>
      <sz val="8"/>
    </font>
    <font>
      <name val="Arial"/>
      <family val="2"/>
      <b val="1"/>
      <sz val="8"/>
    </font>
    <font>
      <name val="Arial"/>
      <family val="2"/>
      <b val="1"/>
      <color rgb="FF00338D"/>
      <sz val="8"/>
    </font>
    <font>
      <name val="Arial"/>
      <family val="2"/>
      <color rgb="FF0070C0"/>
      <sz val="8"/>
    </font>
    <font>
      <name val="Arial"/>
      <family val="2"/>
      <i val="1"/>
      <color rgb="FF0070C0"/>
      <sz val="8"/>
    </font>
    <font>
      <name val="Arial"/>
      <family val="2"/>
      <sz val="10"/>
    </font>
    <font>
      <name val="Arial"/>
      <family val="2"/>
      <b val="1"/>
      <i val="1"/>
      <color rgb="FF0070C0"/>
      <sz val="8"/>
    </font>
    <font>
      <name val="Arial"/>
      <family val="2"/>
      <i val="1"/>
      <sz val="9"/>
    </font>
    <font>
      <name val="Arial"/>
      <family val="2"/>
      <sz val="7"/>
    </font>
    <font>
      <name val="Tahoma"/>
      <family val="2"/>
      <color rgb="FF000000"/>
      <sz val="8"/>
    </font>
    <font>
      <name val="Univers for KPMG"/>
      <family val="2"/>
      <b val="1"/>
      <color rgb="FFFFFFFF"/>
      <sz val="8"/>
    </font>
    <font>
      <name val="Arial"/>
      <family val="2"/>
      <b val="1"/>
      <i val="1"/>
      <color theme="1"/>
      <sz val="8"/>
    </font>
    <font>
      <name val="Calibri"/>
      <family val="2"/>
      <i val="1"/>
      <color theme="1"/>
      <sz val="11"/>
      <scheme val="minor"/>
    </font>
    <font>
      <name val="Arial"/>
      <family val="2"/>
      <color rgb="FFFF0000"/>
      <sz val="8"/>
    </font>
    <font>
      <name val="Arial"/>
      <family val="2"/>
      <b val="1"/>
      <color rgb="FFFF0000"/>
      <sz val="8"/>
    </font>
    <font>
      <name val="Arial"/>
      <family val="2"/>
      <color theme="10"/>
      <sz val="8"/>
      <u val="single"/>
    </font>
    <font>
      <name val="Arial"/>
      <family val="2"/>
      <color indexed="8"/>
      <sz val="8"/>
    </font>
    <font>
      <name val="Microsoft Sans Serif"/>
      <family val="2"/>
      <color rgb="FF000000"/>
      <sz val="8.25"/>
    </font>
    <font>
      <name val="Arial"/>
      <family val="2"/>
      <color theme="1"/>
      <sz val="8"/>
      <u val="single"/>
    </font>
    <font>
      <name val="KPMG Bold"/>
      <family val="2"/>
      <color theme="1"/>
      <sz val="11"/>
    </font>
    <font>
      <name val="KPMG Bold"/>
      <family val="2"/>
      <color theme="0"/>
      <sz val="60"/>
    </font>
    <font>
      <name val="KPMG Bold"/>
      <family val="2"/>
      <b val="1"/>
      <color rgb="FFC00000"/>
      <sz val="11"/>
    </font>
    <font>
      <name val="KPMG Bold"/>
      <family val="2"/>
      <b val="1"/>
      <color rgb="FFFFFFFF"/>
      <sz val="11"/>
    </font>
    <font>
      <name val="KPMG Bold"/>
      <family val="2"/>
      <b val="1"/>
      <color theme="0"/>
      <sz val="11"/>
    </font>
    <font>
      <name val="KPMG Bold"/>
      <family val="2"/>
      <b val="1"/>
      <color rgb="FFFFFFFF"/>
      <sz val="8"/>
    </font>
    <font>
      <name val="KPMG Bold"/>
      <family val="2"/>
      <color rgb="FF0091DA"/>
      <sz val="11"/>
    </font>
    <font>
      <name val="KPMG Extralight"/>
      <family val="2"/>
      <color rgb="FFFFFFFF"/>
      <sz val="22"/>
    </font>
    <font>
      <name val="Arial"/>
      <family val="2"/>
      <color rgb="FF000000"/>
      <sz val="8"/>
      <vertAlign val="superscript"/>
    </font>
    <font>
      <name val="Arial"/>
      <family val="2"/>
      <color rgb="FF000000"/>
      <sz val="8"/>
      <u val="single"/>
    </font>
    <font>
      <name val="Arial"/>
      <family val="2"/>
      <sz val="8"/>
      <u val="single"/>
    </font>
    <font>
      <name val="Calibri"/>
      <family val="2"/>
      <color rgb="FF00338D"/>
      <sz val="8"/>
      <scheme val="minor"/>
    </font>
    <font>
      <name val="Segoe UI"/>
      <family val="2"/>
      <sz val="9"/>
    </font>
    <font>
      <name val="Arial"/>
      <family val="2"/>
      <b val="1"/>
      <color rgb="FFFFFFFF"/>
      <sz val="9"/>
    </font>
    <font>
      <name val="Arial"/>
      <family val="2"/>
      <b val="1"/>
      <color rgb="FF00338D"/>
      <sz val="9"/>
    </font>
    <font>
      <name val="Arial"/>
      <family val="2"/>
      <i val="1"/>
      <color rgb="FFFF0000"/>
      <sz val="8"/>
    </font>
    <font>
      <name val="Arial"/>
      <family val="2"/>
      <b val="1"/>
      <i val="1"/>
      <sz val="8"/>
    </font>
    <font>
      <name val="Calibri"/>
      <family val="2"/>
      <color theme="0"/>
      <sz val="11"/>
      <scheme val="minor"/>
    </font>
    <font>
      <name val="Arial"/>
      <family val="2"/>
      <color rgb="FF00338D"/>
      <sz val="8"/>
    </font>
    <font>
      <name val="Univers for KPMG"/>
      <family val="2"/>
      <b val="1"/>
      <color rgb="FFFFFFFF"/>
      <sz val="8"/>
    </font>
    <font>
      <name val="Arial"/>
      <family val="2"/>
      <i val="1"/>
      <color theme="1"/>
      <sz val="8"/>
      <u val="single"/>
    </font>
    <font>
      <name val="Segoe UI"/>
      <family val="2"/>
      <i val="1"/>
      <sz val="9"/>
    </font>
    <font>
      <name val="Arial"/>
      <family val="2"/>
      <sz val="9"/>
    </font>
    <font>
      <name val="Arial"/>
      <family val="2"/>
      <i val="1"/>
      <color rgb="FF000000"/>
      <sz val="8"/>
    </font>
    <font>
      <name val="Segoe UI"/>
      <family val="2"/>
      <i val="1"/>
      <sz val="9"/>
    </font>
    <font>
      <name val="Arial"/>
      <family val="2"/>
      <i val="1"/>
      <sz val="8"/>
    </font>
    <font>
      <name val="Arial"/>
      <family val="2"/>
      <i val="1"/>
      <color rgb="FF0070C0"/>
      <sz val="8"/>
    </font>
    <font>
      <name val="Univers for KPMG"/>
      <family val="2"/>
      <b val="1"/>
      <color rgb="FFFFFFFF"/>
      <sz val="8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Arial"/>
      <family val="2"/>
      <b val="1"/>
      <color rgb="FF0070C0"/>
      <sz val="8"/>
    </font>
    <font>
      <name val="Arial"/>
      <family val="2"/>
      <sz val="8"/>
    </font>
    <font>
      <name val="Arial"/>
      <family val="2"/>
      <b val="1"/>
      <color theme="0"/>
      <sz val="8"/>
    </font>
    <font>
      <name val="Arial"/>
      <family val="2"/>
      <color rgb="FF000000"/>
      <sz val="8"/>
    </font>
    <font>
      <name val="Arial"/>
      <family val="2"/>
      <i val="1"/>
      <color rgb="FFFF0000"/>
      <sz val="8"/>
    </font>
    <font>
      <name val="Arial"/>
      <family val="2"/>
      <b val="1"/>
      <color rgb="FFFFFFFF"/>
      <sz val="8"/>
    </font>
    <font>
      <name val="Arial"/>
      <family val="2"/>
      <i val="1"/>
      <color theme="1"/>
      <sz val="8"/>
      <u val="single"/>
    </font>
    <font>
      <name val="Arial"/>
      <family val="2"/>
      <b val="1"/>
      <i val="1"/>
      <color theme="0"/>
      <sz val="8"/>
    </font>
    <font>
      <name val="Arial"/>
      <family val="2"/>
      <b val="1"/>
      <color theme="0"/>
      <sz val="8"/>
    </font>
    <font>
      <name val="Arial"/>
      <family val="2"/>
      <color rgb="FF000000"/>
      <sz val="8"/>
    </font>
    <font>
      <name val="Arial"/>
      <family val="2"/>
      <color theme="1"/>
      <sz val="8"/>
    </font>
    <font>
      <name val="Arial"/>
      <family val="2"/>
      <b val="1"/>
      <color rgb="FF000000"/>
      <sz val="8"/>
    </font>
    <font>
      <name val="Arial"/>
      <family val="2"/>
      <i val="1"/>
      <color theme="0"/>
      <sz val="8"/>
    </font>
    <font>
      <name val="Univers for KPMG"/>
      <family val="2"/>
      <b val="1"/>
      <color rgb="FFFFFFFF"/>
      <sz val="8"/>
    </font>
    <font>
      <name val="Arial"/>
      <family val="2"/>
      <i val="1"/>
      <color rgb="FFFF0000"/>
      <sz val="8"/>
      <u val="single"/>
    </font>
    <font>
      <name val="Arial"/>
      <family val="2"/>
      <color theme="1"/>
      <sz val="8"/>
    </font>
    <font>
      <name val="Arial"/>
      <family val="2"/>
      <b val="1"/>
      <i val="1"/>
      <color rgb="FFC00000"/>
      <sz val="8"/>
    </font>
    <font>
      <name val="Arial"/>
      <family val="2"/>
      <b val="1"/>
      <color rgb="FFFFFFFF"/>
      <sz val="8"/>
    </font>
    <font>
      <name val="Arial"/>
      <family val="2"/>
      <color rgb="FF000000"/>
      <sz val="8"/>
    </font>
    <font>
      <name val="Arial"/>
      <family val="2"/>
      <b val="1"/>
      <color rgb="FF000000"/>
      <sz val="8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b val="1"/>
      <color rgb="FFFFFFFF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b val="1"/>
      <color theme="1"/>
      <sz val="11"/>
      <scheme val="minor"/>
    </font>
    <font>
      <name val="Arial"/>
      <family val="2"/>
      <b val="1"/>
      <color rgb="FF00338D"/>
      <sz val="8"/>
    </font>
    <font>
      <name val="Arial"/>
      <family val="2"/>
      <color theme="1"/>
      <sz val="8"/>
    </font>
    <font>
      <name val="Arial"/>
      <family val="2"/>
      <i val="1"/>
      <color theme="1"/>
      <sz val="8"/>
    </font>
    <font>
      <name val="Arial"/>
      <family val="2"/>
      <b val="1"/>
      <color theme="1"/>
      <sz val="8"/>
      <u val="single"/>
    </font>
    <font>
      <b val="1"/>
      <sz val="14"/>
    </font>
    <font>
      <i val="1"/>
      <color rgb="00666666"/>
    </font>
    <font>
      <b val="1"/>
      <color rgb="00000000"/>
    </font>
    <font>
      <name val="Arial"/>
      <b val="1"/>
      <sz val="12"/>
    </font>
    <font>
      <name val="Arial"/>
      <family val="2"/>
      <color theme="1"/>
      <sz val="12"/>
      <scheme val="minor"/>
    </font>
    <font>
      <name val="Arial"/>
      <i val="1"/>
      <color rgb="00666666"/>
      <sz val="12"/>
    </font>
    <font>
      <name val="Arial"/>
      <b val="1"/>
      <color rgb="00000000"/>
      <sz val="12"/>
    </font>
    <font>
      <name val="Arial"/>
      <b val="1"/>
      <sz val="10"/>
    </font>
    <font>
      <name val="Arial"/>
      <family val="2"/>
      <color theme="1"/>
      <sz val="10"/>
      <scheme val="minor"/>
    </font>
    <font>
      <name val="Arial"/>
      <i val="1"/>
      <color rgb="00666666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theme="1"/>
      <sz val="10"/>
    </font>
    <font>
      <name val="Arial"/>
      <b val="1"/>
      <color rgb="FFFFFFFF"/>
      <sz val="10"/>
    </font>
    <font>
      <name val="Arial"/>
      <i val="1"/>
      <color rgb="FF666666"/>
      <sz val="10"/>
    </font>
    <font>
      <name val="Arial"/>
      <color rgb="FF000000"/>
      <sz val="10"/>
    </font>
    <font>
      <name val="Arial"/>
      <color rgb="FFFFFFFF"/>
      <sz val="10"/>
    </font>
    <font>
      <name val="Arial"/>
      <color rgb="FF1E49E2"/>
      <sz val="10"/>
    </font>
    <font>
      <name val="Arial"/>
      <color rgb="FF008000"/>
      <sz val="10"/>
    </font>
    <font>
      <name val="Arial"/>
      <b val="1"/>
      <color rgb="FF000000"/>
      <sz val="10"/>
    </font>
    <font>
      <name val="Arial"/>
      <sz val="10"/>
    </font>
    <font>
      <name val="Arial"/>
      <i val="1"/>
      <color rgb="FF666666"/>
      <sz val="8"/>
    </font>
  </fonts>
  <fills count="37">
    <fill>
      <patternFill/>
    </fill>
    <fill>
      <patternFill patternType="gray125"/>
    </fill>
    <fill>
      <patternFill patternType="solid">
        <fgColor rgb="FF00338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E49E2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rgb="FF00B8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0091DA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7213EA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00B8F5"/>
        <bgColor indexed="64"/>
      </patternFill>
    </fill>
    <fill>
      <patternFill patternType="solid">
        <fgColor rgb="FF666666"/>
        <bgColor indexed="64"/>
      </patternFill>
    </fill>
    <fill>
      <patternFill patternType="solid">
        <fgColor rgb="FF510DBC"/>
        <bgColor indexed="64"/>
      </patternFill>
    </fill>
    <fill>
      <patternFill patternType="solid">
        <fgColor rgb="FFACEA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D349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00F2F2F2"/>
        <bgColor rgb="00F2F2F2"/>
      </patternFill>
    </fill>
    <fill>
      <patternFill patternType="solid">
        <fgColor rgb="00FFFCE5"/>
        <bgColor rgb="00FFFCE5"/>
      </patternFill>
    </fill>
    <fill>
      <patternFill patternType="solid">
        <fgColor rgb="00D9E1F2"/>
        <bgColor rgb="00D9E1F2"/>
      </patternFill>
    </fill>
    <fill>
      <patternFill patternType="solid">
        <fgColor rgb="00E2F0D9"/>
        <bgColor rgb="00E2F0D9"/>
      </patternFill>
    </fill>
    <fill>
      <patternFill patternType="solid">
        <fgColor rgb="00FFF2CC"/>
        <bgColor rgb="00FFF2CC"/>
      </patternFill>
    </fill>
    <fill>
      <patternFill patternType="solid">
        <fgColor rgb="FF00338D"/>
        <bgColor rgb="FF00338D"/>
      </patternFill>
    </fill>
    <fill>
      <patternFill patternType="solid">
        <fgColor rgb="FF1E49E2"/>
        <bgColor rgb="FF1E49E2"/>
      </patternFill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  <fill>
      <patternFill patternType="solid">
        <fgColor rgb="FFFFFCE5"/>
        <bgColor rgb="FFFFFCE5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135">
    <border>
      <left/>
      <right/>
      <top/>
      <bottom/>
      <diagonal/>
    </border>
    <border>
      <left/>
      <right/>
      <top style="thin">
        <color rgb="FF00338D"/>
      </top>
      <bottom/>
      <diagonal/>
    </border>
    <border>
      <left/>
      <right/>
      <top/>
      <bottom style="medium">
        <color rgb="FF00338D"/>
      </bottom>
      <diagonal/>
    </border>
    <border>
      <left/>
      <right/>
      <top style="thin">
        <color rgb="FF00338D"/>
      </top>
      <bottom style="medium">
        <color rgb="FF00338D"/>
      </bottom>
      <diagonal/>
    </border>
    <border>
      <left/>
      <right/>
      <top/>
      <bottom style="thin">
        <color rgb="FF00338D"/>
      </bottom>
      <diagonal/>
    </border>
    <border>
      <left/>
      <right/>
      <top style="thin">
        <color rgb="FF00338D"/>
      </top>
      <bottom style="thin">
        <color rgb="FF00338D"/>
      </bottom>
      <diagonal/>
    </border>
    <border>
      <left/>
      <right style="thin">
        <color rgb="FF00338D"/>
      </right>
      <top/>
      <bottom/>
      <diagonal/>
    </border>
    <border>
      <left/>
      <right style="thin">
        <color rgb="FF00338D"/>
      </right>
      <top/>
      <bottom style="thin">
        <color rgb="FF00338D"/>
      </bottom>
      <diagonal/>
    </border>
    <border>
      <left/>
      <right style="thin">
        <color rgb="FF00338D"/>
      </right>
      <top/>
      <bottom style="medium">
        <color rgb="FF00338D"/>
      </bottom>
      <diagonal/>
    </border>
    <border>
      <left/>
      <right style="dashed">
        <color rgb="FF00338D"/>
      </right>
      <top/>
      <bottom style="medium">
        <color rgb="FF00338D"/>
      </bottom>
      <diagonal/>
    </border>
    <border>
      <left/>
      <right style="dashed">
        <color rgb="FF00338D"/>
      </right>
      <top/>
      <bottom/>
      <diagonal/>
    </border>
    <border>
      <left/>
      <right style="dashed">
        <color rgb="FF00338D"/>
      </right>
      <top/>
      <bottom style="thin">
        <color rgb="FF00338D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 style="thin">
        <color rgb="FFFFFFFF"/>
      </left>
      <right/>
      <top/>
      <bottom/>
      <diagonal/>
    </border>
    <border>
      <left/>
      <right style="thin">
        <color rgb="FF00338D"/>
      </right>
      <top style="thin">
        <color rgb="FF00338D"/>
      </top>
      <bottom style="thin">
        <color rgb="FF00338D"/>
      </bottom>
      <diagonal/>
    </border>
    <border>
      <left/>
      <right style="dashed">
        <color rgb="FF00338D"/>
      </right>
      <top style="thin">
        <color rgb="FF00338D"/>
      </top>
      <bottom/>
      <diagonal/>
    </border>
    <border>
      <left/>
      <right/>
      <top style="medium">
        <color rgb="FF00338D"/>
      </top>
      <bottom style="thin">
        <color rgb="FF00338D"/>
      </bottom>
      <diagonal/>
    </border>
    <border>
      <left/>
      <right/>
      <top style="dashed">
        <color rgb="FF00338D"/>
      </top>
      <bottom style="dashed">
        <color rgb="FF00338D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rgb="FF00338D"/>
      </bottom>
      <diagonal/>
    </border>
    <border>
      <left style="thin">
        <color theme="0"/>
      </left>
      <right/>
      <top style="thin">
        <color theme="0"/>
      </top>
      <bottom style="thin">
        <color rgb="FF00338D"/>
      </bottom>
      <diagonal/>
    </border>
    <border>
      <left/>
      <right style="thin">
        <color theme="0"/>
      </right>
      <top style="thin">
        <color theme="0"/>
      </top>
      <bottom style="thin">
        <color rgb="FF00338D"/>
      </bottom>
      <diagonal/>
    </border>
    <border>
      <left/>
      <right style="thin">
        <color rgb="FF00338D"/>
      </right>
      <top style="thin">
        <color rgb="FF00338D"/>
      </top>
      <bottom/>
      <diagonal/>
    </border>
    <border>
      <left style="thin">
        <color rgb="FF00338D"/>
      </left>
      <right/>
      <top style="thin">
        <color rgb="FF00338D"/>
      </top>
      <bottom style="thin">
        <color rgb="FF00338D"/>
      </bottom>
      <diagonal/>
    </border>
    <border>
      <left style="thin">
        <color theme="0"/>
      </left>
      <right style="thin">
        <color rgb="FFFFFFFF"/>
      </right>
      <top style="thin">
        <color theme="0"/>
      </top>
      <bottom style="thin">
        <color rgb="FF00338D"/>
      </bottom>
      <diagonal/>
    </border>
    <border>
      <left/>
      <right style="thin">
        <color rgb="FFFFFFFF"/>
      </right>
      <top/>
      <bottom style="thin">
        <color rgb="FF00338D"/>
      </bottom>
      <diagonal/>
    </border>
    <border>
      <left/>
      <right style="dashed">
        <color rgb="FF00338D"/>
      </right>
      <top style="thin">
        <color rgb="FF00338D"/>
      </top>
      <bottom style="medium">
        <color rgb="FF00338D"/>
      </bottom>
      <diagonal/>
    </border>
    <border>
      <left/>
      <right style="thin">
        <color theme="0"/>
      </right>
      <top/>
      <bottom/>
      <diagonal/>
    </border>
    <border>
      <left/>
      <right/>
      <top style="dashed">
        <color rgb="FF00338D"/>
      </top>
      <bottom style="medium">
        <color rgb="FF00338D"/>
      </bottom>
      <diagonal/>
    </border>
    <border>
      <left/>
      <right style="thin">
        <color rgb="FF00338D"/>
      </right>
      <top style="medium">
        <color rgb="FF00338D"/>
      </top>
      <bottom style="thin">
        <color rgb="FF00338D"/>
      </bottom>
      <diagonal/>
    </border>
    <border>
      <left style="thin">
        <color rgb="FFFFFFFF"/>
      </left>
      <right/>
      <top/>
      <bottom style="thin">
        <color rgb="FF00338D"/>
      </bottom>
      <diagonal/>
    </border>
    <border>
      <left/>
      <right/>
      <top/>
      <bottom style="thin">
        <color indexed="24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dashed">
        <color rgb="FF00338D"/>
      </left>
      <right/>
      <top/>
      <bottom/>
      <diagonal/>
    </border>
    <border>
      <left style="thin">
        <color rgb="FF00338D"/>
      </left>
      <right/>
      <top/>
      <bottom/>
      <diagonal/>
    </border>
    <border>
      <left style="dashed">
        <color rgb="FF00338D"/>
      </left>
      <right/>
      <top/>
      <bottom style="thin">
        <color rgb="FF00338D"/>
      </bottom>
      <diagonal/>
    </border>
    <border>
      <left style="thin">
        <color rgb="FF00338D"/>
      </left>
      <right/>
      <top/>
      <bottom style="thin">
        <color rgb="FF00338D"/>
      </bottom>
      <diagonal/>
    </border>
    <border>
      <left style="dashed">
        <color rgb="FF00338D"/>
      </left>
      <right/>
      <top/>
      <bottom style="medium">
        <color rgb="FF00338D"/>
      </bottom>
      <diagonal/>
    </border>
    <border>
      <left style="thin">
        <color rgb="FF00338D"/>
      </left>
      <right/>
      <top/>
      <bottom style="medium">
        <color rgb="FF00338D"/>
      </bottom>
      <diagonal/>
    </border>
    <border>
      <left style="dashed">
        <color theme="0"/>
      </left>
      <right/>
      <top/>
      <bottom style="thin">
        <color rgb="FFFFFFFF"/>
      </bottom>
      <diagonal/>
    </border>
    <border>
      <left style="thin">
        <color rgb="FF00338D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 style="dashed">
        <color rgb="FF00338D"/>
      </left>
      <right/>
      <top style="thin">
        <color rgb="FFFFFFFF"/>
      </top>
      <bottom/>
      <diagonal/>
    </border>
    <border>
      <left style="thin">
        <color rgb="FF00338D"/>
      </left>
      <right/>
      <top style="thin">
        <color rgb="FF00338D"/>
      </top>
      <bottom/>
      <diagonal/>
    </border>
    <border>
      <left style="dashed">
        <color rgb="FF00338D"/>
      </left>
      <right/>
      <top style="thin">
        <color rgb="FF00338D"/>
      </top>
      <bottom/>
      <diagonal/>
    </border>
    <border>
      <left/>
      <right style="thin">
        <color rgb="FF00338D"/>
      </right>
      <top style="thin">
        <color rgb="FF00338D"/>
      </top>
      <bottom style="medium">
        <color rgb="FF00338D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/>
      <bottom style="medium">
        <color theme="0"/>
      </bottom>
      <diagonal/>
    </border>
    <border>
      <left/>
      <right/>
      <top/>
      <bottom style="dashed">
        <color rgb="FF00338D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dashed">
        <color rgb="FF00338D"/>
      </right>
      <top style="dashed">
        <color rgb="FF00338D"/>
      </top>
      <bottom style="dashed">
        <color rgb="FF00338D"/>
      </bottom>
      <diagonal/>
    </border>
    <border>
      <left/>
      <right/>
      <top style="dashed">
        <color rgb="FF00338D"/>
      </top>
      <bottom/>
      <diagonal/>
    </border>
    <border>
      <left/>
      <right style="dashed">
        <color rgb="FF00338D"/>
      </right>
      <top style="dashed">
        <color rgb="FF00338D"/>
      </top>
      <bottom/>
      <diagonal/>
    </border>
    <border>
      <left/>
      <right style="thin">
        <color theme="0"/>
      </right>
      <top style="thin">
        <color rgb="FFFFFFFF"/>
      </top>
      <bottom/>
      <diagonal/>
    </border>
    <border>
      <left style="thin">
        <color theme="0"/>
      </left>
      <right style="thin">
        <color theme="0"/>
      </right>
      <top style="thin">
        <color rgb="FFFFFFFF"/>
      </top>
      <bottom/>
      <diagonal/>
    </border>
    <border>
      <left style="thin">
        <color theme="0"/>
      </left>
      <right/>
      <top style="thin">
        <color rgb="FFFFFFFF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00338D"/>
      </bottom>
      <diagonal/>
    </border>
    <border>
      <left/>
      <right style="thin">
        <color theme="0"/>
      </right>
      <top/>
      <bottom style="dashed">
        <color rgb="FF00338D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dashed">
        <color rgb="FF00338D"/>
      </left>
      <right style="thin">
        <color rgb="FF00338D"/>
      </right>
      <top/>
      <bottom/>
      <diagonal/>
    </border>
    <border>
      <left style="dashed">
        <color rgb="FF00338D"/>
      </left>
      <right style="thin">
        <color rgb="FF00338D"/>
      </right>
      <top/>
      <bottom style="thin">
        <color rgb="FF00338D"/>
      </bottom>
      <diagonal/>
    </border>
    <border>
      <left style="dashed">
        <color rgb="FF00338D"/>
      </left>
      <right style="thin">
        <color rgb="FF00338D"/>
      </right>
      <top style="thin">
        <color rgb="FF00338D"/>
      </top>
      <bottom style="medium">
        <color rgb="FF00338D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FFFFFF"/>
      </right>
      <top style="thin">
        <color theme="0"/>
      </top>
      <bottom/>
      <diagonal/>
    </border>
    <border>
      <left style="dashed">
        <color rgb="FF00338D"/>
      </left>
      <right style="thin">
        <color rgb="FF00338D"/>
      </right>
      <top/>
      <bottom style="medium">
        <color rgb="FF00338D"/>
      </bottom>
      <diagonal/>
    </border>
    <border>
      <left style="thin">
        <color rgb="FF00338D"/>
      </left>
      <right/>
      <top style="thin">
        <color rgb="FF00338D"/>
      </top>
      <bottom style="medium">
        <color rgb="FF00338D"/>
      </bottom>
      <diagonal/>
    </border>
    <border>
      <left/>
      <right/>
      <top style="medium">
        <color rgb="FF00338D"/>
      </top>
      <bottom/>
      <diagonal/>
    </border>
    <border>
      <left/>
      <right style="thin">
        <color rgb="FF000000"/>
      </right>
      <top/>
      <bottom/>
      <diagonal/>
    </border>
    <border>
      <left/>
      <right style="dashed">
        <color rgb="FF00338D"/>
      </right>
      <top style="thin">
        <color rgb="FF00338D"/>
      </top>
      <bottom style="thin">
        <color rgb="FF00338D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rgb="FF00338D"/>
      </left>
      <right/>
      <top/>
      <bottom style="dashed">
        <color rgb="FF00338D"/>
      </bottom>
      <diagonal/>
    </border>
    <border>
      <left/>
      <right style="thin">
        <color rgb="FF00338D"/>
      </right>
      <top/>
      <bottom style="dashed">
        <color rgb="FF00338D"/>
      </bottom>
      <diagonal/>
    </border>
    <border>
      <left/>
      <right style="thin">
        <color rgb="FF00338D"/>
      </right>
      <top style="dashed">
        <color rgb="FF00338D"/>
      </top>
      <bottom/>
      <diagonal/>
    </border>
    <border>
      <left/>
      <right style="thin">
        <color rgb="FF00338D"/>
      </right>
      <top style="dashed">
        <color rgb="FF00338D"/>
      </top>
      <bottom style="dashed">
        <color rgb="FF00338D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rgb="FFFFFFFF"/>
      </right>
      <top style="thin">
        <color theme="0"/>
      </top>
      <bottom/>
      <diagonal/>
    </border>
    <border>
      <left/>
      <right style="dashed">
        <color rgb="FF00338D"/>
      </right>
      <top/>
      <bottom style="dashed">
        <color rgb="FF00338D"/>
      </bottom>
      <diagonal/>
    </border>
    <border>
      <left style="thin">
        <color rgb="FF00338D"/>
      </left>
      <right/>
      <top style="dashed">
        <color rgb="FF00338D"/>
      </top>
      <bottom/>
      <diagonal/>
    </border>
    <border>
      <left/>
      <right/>
      <top style="thin">
        <color rgb="FFFFFFFF"/>
      </top>
      <bottom style="thin">
        <color indexed="64"/>
      </bottom>
      <diagonal/>
    </border>
    <border>
      <left style="thin">
        <color theme="0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/>
      <top/>
      <bottom style="thin">
        <color rgb="FF002060"/>
      </bottom>
      <diagonal/>
    </border>
    <border>
      <left/>
      <right style="dashed">
        <color rgb="FF00338D"/>
      </right>
      <top/>
      <bottom style="thin">
        <color rgb="FF002060"/>
      </bottom>
      <diagonal/>
    </border>
    <border>
      <left/>
      <right style="thin">
        <color rgb="FF00338D"/>
      </right>
      <top/>
      <bottom style="thin">
        <color rgb="FF002060"/>
      </bottom>
      <diagonal/>
    </border>
    <border>
      <left/>
      <right/>
      <top style="thin">
        <color rgb="FF002060"/>
      </top>
      <bottom/>
      <diagonal/>
    </border>
    <border>
      <left/>
      <right style="dashed">
        <color rgb="FF00338D"/>
      </right>
      <top style="thin">
        <color rgb="FF002060"/>
      </top>
      <bottom/>
      <diagonal/>
    </border>
    <border>
      <left/>
      <right style="thin">
        <color rgb="FF00338D"/>
      </right>
      <top style="thin">
        <color rgb="FF002060"/>
      </top>
      <bottom/>
      <diagonal/>
    </border>
    <border>
      <left style="dashed">
        <color rgb="FF00338D"/>
      </left>
      <right/>
      <top style="thin">
        <color rgb="FF00338D"/>
      </top>
      <bottom style="medium">
        <color rgb="FF00338D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rgb="FFFFFFFF"/>
      </right>
      <top/>
      <bottom/>
      <diagonal/>
    </border>
    <border>
      <left/>
      <right style="thin">
        <color rgb="FFFFFFFF"/>
      </right>
      <top/>
      <bottom style="thin">
        <color theme="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ed">
        <color rgb="FF00338D"/>
      </left>
      <right style="dashed">
        <color rgb="FF00338D"/>
      </right>
      <top/>
      <bottom/>
      <diagonal/>
    </border>
    <border>
      <left style="dashed">
        <color rgb="FF00338D"/>
      </left>
      <right style="dashed">
        <color rgb="FF00338D"/>
      </right>
      <top style="thin">
        <color rgb="FF00338D"/>
      </top>
      <bottom style="medium">
        <color rgb="FF00338D"/>
      </bottom>
      <diagonal/>
    </border>
    <border>
      <left/>
      <right/>
      <top style="thin">
        <color theme="0"/>
      </top>
      <bottom style="thin">
        <color rgb="FF00338D"/>
      </bottom>
      <diagonal/>
    </border>
    <border>
      <left/>
      <right style="thin">
        <color theme="0"/>
      </right>
      <top/>
      <bottom style="thin">
        <color rgb="FF00338D"/>
      </bottom>
      <diagonal/>
    </border>
    <border>
      <left style="thin">
        <color rgb="FF00338D"/>
      </left>
      <right style="thin">
        <color theme="0"/>
      </right>
      <top/>
      <bottom/>
      <diagonal/>
    </border>
    <border>
      <left style="thin">
        <color rgb="FF00338D"/>
      </left>
      <right style="thin">
        <color theme="0"/>
      </right>
      <top/>
      <bottom style="thin">
        <color rgb="FF00338D"/>
      </bottom>
      <diagonal/>
    </border>
    <border>
      <left style="thin">
        <color rgb="FF00338D"/>
      </left>
      <right style="thin">
        <color theme="0"/>
      </right>
      <top/>
      <bottom style="medium">
        <color rgb="FF00338D"/>
      </bottom>
      <diagonal/>
    </border>
    <border>
      <left style="thin">
        <color rgb="FFFFFFFF"/>
      </left>
      <right/>
      <top style="thin">
        <color theme="0"/>
      </top>
      <bottom/>
      <diagonal/>
    </border>
    <border>
      <left style="thin">
        <color rgb="FFFFFFFF"/>
      </left>
      <right/>
      <top/>
      <bottom style="thin">
        <color theme="0"/>
      </bottom>
      <diagonal/>
    </border>
    <border>
      <left style="thin">
        <color theme="0"/>
      </left>
      <right/>
      <top/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/>
  </borders>
  <cellStyleXfs count="66">
    <xf numFmtId="0" fontId="96" fillId="0" borderId="0"/>
    <xf numFmtId="0" fontId="193" fillId="0" borderId="0"/>
    <xf numFmtId="0" fontId="96" fillId="0" borderId="0"/>
    <xf numFmtId="0" fontId="112" fillId="0" borderId="0"/>
    <xf numFmtId="0" fontId="96" fillId="0" borderId="0"/>
    <xf numFmtId="0" fontId="96" fillId="0" borderId="0"/>
    <xf numFmtId="0" fontId="96" fillId="0" borderId="0"/>
    <xf numFmtId="43" fontId="96" fillId="0" borderId="0"/>
    <xf numFmtId="0" fontId="121" fillId="0" borderId="0"/>
    <xf numFmtId="0" fontId="121" fillId="0" borderId="0"/>
    <xf numFmtId="9" fontId="96" fillId="0" borderId="0"/>
    <xf numFmtId="0" fontId="96" fillId="0" borderId="0"/>
    <xf numFmtId="0" fontId="96" fillId="0" borderId="0"/>
    <xf numFmtId="0" fontId="193" fillId="0" borderId="0"/>
    <xf numFmtId="0" fontId="193" fillId="0" borderId="0"/>
    <xf numFmtId="0" fontId="96" fillId="0" borderId="0"/>
    <xf numFmtId="0" fontId="193" fillId="0" borderId="0"/>
    <xf numFmtId="0" fontId="193" fillId="0" borderId="0"/>
    <xf numFmtId="0" fontId="193" fillId="0" borderId="0"/>
    <xf numFmtId="0" fontId="131" fillId="0" borderId="0"/>
    <xf numFmtId="0" fontId="193" fillId="0" borderId="0"/>
    <xf numFmtId="0" fontId="133" fillId="0" borderId="0"/>
    <xf numFmtId="0" fontId="193" fillId="0" borderId="0"/>
    <xf numFmtId="0" fontId="193" fillId="0" borderId="0"/>
    <xf numFmtId="0" fontId="166" fillId="0" borderId="0"/>
    <xf numFmtId="0" fontId="193" fillId="0" borderId="0"/>
    <xf numFmtId="43" fontId="147" fillId="0" borderId="0"/>
    <xf numFmtId="0" fontId="147" fillId="0" borderId="0" applyAlignment="1">
      <alignment vertical="center"/>
    </xf>
    <xf numFmtId="0" fontId="193" fillId="0" borderId="0"/>
    <xf numFmtId="203" fontId="96" fillId="0" borderId="0"/>
    <xf numFmtId="0" fontId="193" fillId="0" borderId="0"/>
    <xf numFmtId="44" fontId="96" fillId="0" borderId="0"/>
    <xf numFmtId="0" fontId="193" fillId="0" borderId="0"/>
    <xf numFmtId="43" fontId="193" fillId="0" borderId="0"/>
    <xf numFmtId="0" fontId="96" fillId="0" borderId="0"/>
    <xf numFmtId="0" fontId="193" fillId="0" borderId="0"/>
    <xf numFmtId="0" fontId="166" fillId="0" borderId="0"/>
    <xf numFmtId="0" fontId="166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9" fontId="96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</cellStyleXfs>
  <cellXfs count="3985">
    <xf numFmtId="0" fontId="0" fillId="0" borderId="0" pivotButton="0" quotePrefix="0" xfId="0"/>
    <xf numFmtId="0" fontId="95" fillId="0" borderId="0" pivotButton="0" quotePrefix="0" xfId="1"/>
    <xf numFmtId="41" fontId="95" fillId="0" borderId="0" pivotButton="0" quotePrefix="0" xfId="1"/>
    <xf numFmtId="0" fontId="100" fillId="0" borderId="0" pivotButton="0" quotePrefix="0" xfId="1"/>
    <xf numFmtId="41" fontId="100" fillId="0" borderId="0" pivotButton="0" quotePrefix="0" xfId="1"/>
    <xf numFmtId="0" fontId="95" fillId="2" borderId="0" applyAlignment="1" pivotButton="0" quotePrefix="0" xfId="1">
      <alignment horizontal="left"/>
    </xf>
    <xf numFmtId="0" fontId="95" fillId="0" borderId="0" applyAlignment="1" pivotButton="0" quotePrefix="0" xfId="1">
      <alignment horizontal="left"/>
    </xf>
    <xf numFmtId="0" fontId="100" fillId="0" borderId="0" applyAlignment="1" pivotButton="0" quotePrefix="0" xfId="1">
      <alignment horizontal="left"/>
    </xf>
    <xf numFmtId="0" fontId="101" fillId="0" borderId="0" applyAlignment="1" pivotButton="0" quotePrefix="0" xfId="1">
      <alignment horizontal="left"/>
    </xf>
    <xf numFmtId="0" fontId="102" fillId="0" borderId="0" applyAlignment="1" pivotButton="0" quotePrefix="0" xfId="1">
      <alignment horizontal="left"/>
    </xf>
    <xf numFmtId="0" fontId="103" fillId="0" borderId="0" applyAlignment="1" pivotButton="0" quotePrefix="0" xfId="1">
      <alignment horizontal="left"/>
    </xf>
    <xf numFmtId="0" fontId="104" fillId="0" borderId="0" applyAlignment="1" pivotButton="0" quotePrefix="0" xfId="1">
      <alignment horizontal="left"/>
    </xf>
    <xf numFmtId="164" fontId="105" fillId="3" borderId="0" pivotButton="0" quotePrefix="0" xfId="0"/>
    <xf numFmtId="164" fontId="106" fillId="2" borderId="1" applyAlignment="1" pivotButton="0" quotePrefix="0" xfId="0">
      <alignment vertical="center"/>
    </xf>
    <xf numFmtId="17" fontId="106" fillId="4" borderId="0" applyAlignment="1" pivotButton="0" quotePrefix="0" xfId="0">
      <alignment horizontal="right"/>
    </xf>
    <xf numFmtId="164" fontId="107" fillId="5" borderId="2" pivotButton="0" quotePrefix="0" xfId="0"/>
    <xf numFmtId="0" fontId="106" fillId="2" borderId="1" applyAlignment="1" pivotButton="0" quotePrefix="0" xfId="0">
      <alignment horizontal="left" vertical="center"/>
    </xf>
    <xf numFmtId="0" fontId="106" fillId="4" borderId="0" applyAlignment="1" pivotButton="0" quotePrefix="0" xfId="0">
      <alignment horizontal="left"/>
    </xf>
    <xf numFmtId="0" fontId="105" fillId="3" borderId="0" applyAlignment="1" pivotButton="0" quotePrefix="0" xfId="0">
      <alignment horizontal="left"/>
    </xf>
    <xf numFmtId="0" fontId="105" fillId="3" borderId="0" applyAlignment="1" pivotButton="0" quotePrefix="0" xfId="0">
      <alignment horizontal="left" indent="2"/>
    </xf>
    <xf numFmtId="0" fontId="105" fillId="3" borderId="0" applyAlignment="1" pivotButton="0" quotePrefix="0" xfId="0">
      <alignment horizontal="left" indent="1"/>
    </xf>
    <xf numFmtId="0" fontId="105" fillId="3" borderId="4" applyAlignment="1" pivotButton="0" quotePrefix="0" xfId="0">
      <alignment horizontal="left" indent="2"/>
    </xf>
    <xf numFmtId="164" fontId="105" fillId="3" borderId="4" pivotButton="0" quotePrefix="0" xfId="0"/>
    <xf numFmtId="0" fontId="107" fillId="5" borderId="2" applyAlignment="1" pivotButton="0" quotePrefix="0" xfId="0">
      <alignment horizontal="left"/>
    </xf>
    <xf numFmtId="0" fontId="105" fillId="3" borderId="4" applyAlignment="1" pivotButton="0" quotePrefix="0" xfId="0">
      <alignment horizontal="left" indent="1"/>
    </xf>
    <xf numFmtId="0" fontId="105" fillId="3" borderId="4" applyAlignment="1" pivotButton="0" quotePrefix="0" xfId="0">
      <alignment horizontal="left"/>
    </xf>
    <xf numFmtId="0" fontId="106" fillId="4" borderId="0" applyAlignment="1" pivotButton="0" quotePrefix="0" xfId="0">
      <alignment horizontal="left" wrapText="1"/>
    </xf>
    <xf numFmtId="164" fontId="105" fillId="3" borderId="6" pivotButton="0" quotePrefix="0" xfId="0"/>
    <xf numFmtId="164" fontId="105" fillId="3" borderId="7" pivotButton="0" quotePrefix="0" xfId="0"/>
    <xf numFmtId="164" fontId="107" fillId="5" borderId="8" pivotButton="0" quotePrefix="0" xfId="0"/>
    <xf numFmtId="164" fontId="105" fillId="3" borderId="10" pivotButton="0" quotePrefix="0" xfId="0"/>
    <xf numFmtId="164" fontId="105" fillId="3" borderId="11" pivotButton="0" quotePrefix="0" xfId="0"/>
    <xf numFmtId="164" fontId="107" fillId="5" borderId="9" pivotButton="0" quotePrefix="0" xfId="0"/>
    <xf numFmtId="17" fontId="106" fillId="4" borderId="12" applyAlignment="1" pivotButton="0" quotePrefix="0" xfId="0">
      <alignment horizontal="right"/>
    </xf>
    <xf numFmtId="17" fontId="106" fillId="6" borderId="0" applyAlignment="1" pivotButton="0" quotePrefix="0" xfId="0">
      <alignment horizontal="right"/>
    </xf>
    <xf numFmtId="17" fontId="106" fillId="6" borderId="13" applyAlignment="1" pivotButton="0" quotePrefix="0" xfId="0">
      <alignment horizontal="centerContinuous"/>
    </xf>
    <xf numFmtId="17" fontId="106" fillId="6" borderId="14" applyAlignment="1" pivotButton="0" quotePrefix="0" xfId="0">
      <alignment horizontal="centerContinuous"/>
    </xf>
    <xf numFmtId="17" fontId="108" fillId="6" borderId="13" applyAlignment="1" pivotButton="0" quotePrefix="0" xfId="0">
      <alignment horizontal="centerContinuous"/>
    </xf>
    <xf numFmtId="17" fontId="108" fillId="6" borderId="14" applyAlignment="1" pivotButton="0" quotePrefix="0" xfId="0">
      <alignment horizontal="centerContinuous"/>
    </xf>
    <xf numFmtId="17" fontId="108" fillId="6" borderId="0" applyAlignment="1" pivotButton="0" quotePrefix="0" xfId="0">
      <alignment horizontal="right"/>
    </xf>
    <xf numFmtId="17" fontId="108" fillId="6" borderId="12" applyAlignment="1" pivotButton="0" quotePrefix="0" xfId="0">
      <alignment horizontal="right"/>
    </xf>
    <xf numFmtId="165" fontId="109" fillId="3" borderId="0" pivotButton="0" quotePrefix="0" xfId="0"/>
    <xf numFmtId="165" fontId="109" fillId="3" borderId="10" pivotButton="0" quotePrefix="0" xfId="0"/>
    <xf numFmtId="165" fontId="109" fillId="3" borderId="6" pivotButton="0" quotePrefix="0" xfId="0"/>
    <xf numFmtId="165" fontId="109" fillId="3" borderId="4" pivotButton="0" quotePrefix="0" xfId="0"/>
    <xf numFmtId="165" fontId="109" fillId="3" borderId="11" pivotButton="0" quotePrefix="0" xfId="0"/>
    <xf numFmtId="165" fontId="109" fillId="3" borderId="7" pivotButton="0" quotePrefix="0" xfId="0"/>
    <xf numFmtId="165" fontId="110" fillId="5" borderId="2" pivotButton="0" quotePrefix="0" xfId="0"/>
    <xf numFmtId="165" fontId="110" fillId="5" borderId="9" pivotButton="0" quotePrefix="0" xfId="0"/>
    <xf numFmtId="165" fontId="110" fillId="5" borderId="8" pivotButton="0" quotePrefix="0" xfId="0"/>
    <xf numFmtId="0" fontId="111" fillId="2" borderId="0" applyAlignment="1" pivotButton="0" quotePrefix="0" xfId="1">
      <alignment horizontal="left"/>
    </xf>
    <xf numFmtId="0" fontId="111" fillId="0" borderId="0" applyAlignment="1" pivotButton="0" quotePrefix="0" xfId="1">
      <alignment horizontal="left"/>
    </xf>
    <xf numFmtId="0" fontId="111" fillId="0" borderId="0" pivotButton="0" quotePrefix="0" xfId="1"/>
    <xf numFmtId="41" fontId="111" fillId="0" borderId="0" pivotButton="0" quotePrefix="0" xfId="1"/>
    <xf numFmtId="0" fontId="112" fillId="0" borderId="0" pivotButton="0" quotePrefix="0" xfId="2"/>
    <xf numFmtId="0" fontId="95" fillId="2" borderId="6" pivotButton="0" quotePrefix="0" xfId="1"/>
    <xf numFmtId="0" fontId="0" fillId="0" borderId="0" applyProtection="1" pivotButton="0" quotePrefix="0" xfId="3">
      <protection locked="0" hidden="0"/>
    </xf>
    <xf numFmtId="0" fontId="98" fillId="0" borderId="0" applyAlignment="1" applyProtection="1" pivotButton="0" quotePrefix="0" xfId="3">
      <alignment vertical="center"/>
      <protection locked="0" hidden="0"/>
    </xf>
    <xf numFmtId="0" fontId="95" fillId="2" borderId="0" pivotButton="0" quotePrefix="0" xfId="2"/>
    <xf numFmtId="0" fontId="104" fillId="0" borderId="0" pivotButton="0" quotePrefix="0" xfId="4"/>
    <xf numFmtId="0" fontId="95" fillId="0" borderId="0" pivotButton="0" quotePrefix="0" xfId="4"/>
    <xf numFmtId="49" fontId="115" fillId="0" borderId="0" pivotButton="0" quotePrefix="0" xfId="5"/>
    <xf numFmtId="0" fontId="116" fillId="7" borderId="0" pivotButton="0" quotePrefix="0" xfId="5"/>
    <xf numFmtId="0" fontId="107" fillId="0" borderId="1" applyAlignment="1" applyProtection="1" pivotButton="0" quotePrefix="0" xfId="4">
      <alignment horizontal="left"/>
      <protection locked="0" hidden="0"/>
    </xf>
    <xf numFmtId="166" fontId="107" fillId="0" borderId="0" applyAlignment="1" pivotButton="0" quotePrefix="0" xfId="4">
      <alignment horizontal="right"/>
    </xf>
    <xf numFmtId="0" fontId="105" fillId="7" borderId="0" applyAlignment="1" applyProtection="1" pivotButton="0" quotePrefix="0" xfId="4">
      <alignment horizontal="left" indent="1"/>
      <protection locked="0" hidden="0"/>
    </xf>
    <xf numFmtId="166" fontId="105" fillId="7" borderId="0" applyAlignment="1" pivotButton="0" quotePrefix="0" xfId="4">
      <alignment horizontal="right"/>
    </xf>
    <xf numFmtId="0" fontId="107" fillId="0" borderId="4" applyAlignment="1" applyProtection="1" pivotButton="0" quotePrefix="0" xfId="4">
      <alignment horizontal="left"/>
      <protection locked="0" hidden="0"/>
    </xf>
    <xf numFmtId="166" fontId="107" fillId="0" borderId="4" applyAlignment="1" pivotButton="0" quotePrefix="0" xfId="4">
      <alignment horizontal="right"/>
    </xf>
    <xf numFmtId="0" fontId="107" fillId="0" borderId="0" applyAlignment="1" applyProtection="1" pivotButton="0" quotePrefix="0" xfId="4">
      <alignment horizontal="left"/>
      <protection locked="0" hidden="0"/>
    </xf>
    <xf numFmtId="166" fontId="98" fillId="0" borderId="0" applyAlignment="1" pivotButton="0" quotePrefix="0" xfId="4">
      <alignment horizontal="right"/>
    </xf>
    <xf numFmtId="0" fontId="118" fillId="3" borderId="0" applyAlignment="1" pivotButton="0" quotePrefix="0" xfId="4">
      <alignment horizontal="left" vertical="center"/>
    </xf>
    <xf numFmtId="0" fontId="114" fillId="3" borderId="0" applyAlignment="1" pivotButton="0" quotePrefix="0" xfId="4">
      <alignment horizontal="left" vertical="center" indent="1"/>
    </xf>
    <xf numFmtId="0" fontId="105" fillId="0" borderId="0" applyAlignment="1" applyProtection="1" pivotButton="0" quotePrefix="0" xfId="4">
      <alignment horizontal="left" indent="1"/>
      <protection locked="0" hidden="0"/>
    </xf>
    <xf numFmtId="0" fontId="105" fillId="0" borderId="4" applyAlignment="1" applyProtection="1" pivotButton="0" quotePrefix="0" xfId="4">
      <alignment horizontal="left" indent="1"/>
      <protection locked="0" hidden="0"/>
    </xf>
    <xf numFmtId="0" fontId="107" fillId="5" borderId="0" applyAlignment="1" applyProtection="1" pivotButton="0" quotePrefix="0" xfId="4">
      <alignment horizontal="left"/>
      <protection locked="0" hidden="0"/>
    </xf>
    <xf numFmtId="166" fontId="107" fillId="5" borderId="0" applyAlignment="1" pivotButton="0" quotePrefix="0" xfId="4">
      <alignment horizontal="right"/>
    </xf>
    <xf numFmtId="0" fontId="107" fillId="5" borderId="1" applyAlignment="1" applyProtection="1" pivotButton="0" quotePrefix="0" xfId="4">
      <alignment horizontal="left"/>
      <protection locked="0" hidden="0"/>
    </xf>
    <xf numFmtId="166" fontId="107" fillId="5" borderId="1" applyAlignment="1" pivotButton="0" quotePrefix="0" xfId="4">
      <alignment horizontal="right"/>
    </xf>
    <xf numFmtId="0" fontId="109" fillId="5" borderId="2" applyAlignment="1" pivotButton="0" quotePrefix="0" xfId="4">
      <alignment horizontal="left" vertical="center"/>
    </xf>
    <xf numFmtId="167" fontId="109" fillId="5" borderId="2" applyAlignment="1" pivotButton="0" quotePrefix="0" xfId="4">
      <alignment horizontal="right"/>
    </xf>
    <xf numFmtId="0" fontId="95" fillId="0" borderId="0" pivotButton="0" quotePrefix="0" xfId="6"/>
    <xf numFmtId="0" fontId="100" fillId="0" borderId="0" pivotButton="0" quotePrefix="0" xfId="4"/>
    <xf numFmtId="168" fontId="100" fillId="0" borderId="0" pivotButton="0" quotePrefix="0" xfId="7"/>
    <xf numFmtId="168" fontId="100" fillId="2" borderId="0" pivotButton="0" quotePrefix="0" xfId="2"/>
    <xf numFmtId="0" fontId="119" fillId="7" borderId="0" pivotButton="0" quotePrefix="0" xfId="5"/>
    <xf numFmtId="0" fontId="120" fillId="7" borderId="0" pivotButton="0" quotePrefix="0" xfId="5"/>
    <xf numFmtId="168" fontId="120" fillId="7" borderId="0" pivotButton="0" quotePrefix="0" xfId="5"/>
    <xf numFmtId="0" fontId="113" fillId="0" borderId="0" pivotButton="0" quotePrefix="0" xfId="8"/>
    <xf numFmtId="0" fontId="114" fillId="0" borderId="0" pivotButton="0" quotePrefix="0" xfId="8"/>
    <xf numFmtId="0" fontId="106" fillId="2" borderId="1" applyAlignment="1" pivotButton="0" quotePrefix="0" xfId="4">
      <alignment horizontal="left" vertical="center"/>
    </xf>
    <xf numFmtId="0" fontId="99" fillId="0" borderId="0" pivotButton="0" quotePrefix="0" xfId="4"/>
    <xf numFmtId="0" fontId="116" fillId="0" borderId="0" pivotButton="0" quotePrefix="0" xfId="5"/>
    <xf numFmtId="0" fontId="107" fillId="3" borderId="0" applyAlignment="1" applyProtection="1" pivotButton="0" quotePrefix="0" xfId="4">
      <alignment horizontal="left"/>
      <protection locked="0" hidden="0"/>
    </xf>
    <xf numFmtId="166" fontId="107" fillId="3" borderId="0" applyAlignment="1" pivotButton="0" quotePrefix="0" xfId="4">
      <alignment horizontal="right" wrapText="1"/>
    </xf>
    <xf numFmtId="166" fontId="107" fillId="0" borderId="10" applyAlignment="1" pivotButton="0" quotePrefix="0" xfId="4">
      <alignment horizontal="right"/>
    </xf>
    <xf numFmtId="0" fontId="118" fillId="3" borderId="0" applyAlignment="1" applyProtection="1" pivotButton="0" quotePrefix="0" xfId="4">
      <alignment horizontal="left"/>
      <protection locked="0" hidden="0"/>
    </xf>
    <xf numFmtId="0" fontId="107" fillId="3" borderId="0" applyAlignment="1" pivotButton="0" quotePrefix="0" xfId="4">
      <alignment horizontal="right" wrapText="1"/>
    </xf>
    <xf numFmtId="0" fontId="107" fillId="0" borderId="0" applyAlignment="1" pivotButton="0" quotePrefix="0" xfId="4">
      <alignment horizontal="right"/>
    </xf>
    <xf numFmtId="0" fontId="107" fillId="0" borderId="10" applyAlignment="1" pivotButton="0" quotePrefix="0" xfId="4">
      <alignment horizontal="right"/>
    </xf>
    <xf numFmtId="166" fontId="105" fillId="3" borderId="0" applyAlignment="1" pivotButton="0" quotePrefix="0" xfId="4">
      <alignment horizontal="right" vertical="center" wrapText="1"/>
    </xf>
    <xf numFmtId="166" fontId="105" fillId="0" borderId="0" applyAlignment="1" pivotButton="0" quotePrefix="0" xfId="4">
      <alignment horizontal="right" vertical="center"/>
    </xf>
    <xf numFmtId="169" fontId="105" fillId="0" borderId="0" applyAlignment="1" pivotButton="0" quotePrefix="0" xfId="4">
      <alignment horizontal="right" vertical="center"/>
    </xf>
    <xf numFmtId="169" fontId="105" fillId="0" borderId="10" applyAlignment="1" pivotButton="0" quotePrefix="0" xfId="4">
      <alignment horizontal="right" vertical="center"/>
    </xf>
    <xf numFmtId="166" fontId="105" fillId="3" borderId="4" applyAlignment="1" pivotButton="0" quotePrefix="0" xfId="4">
      <alignment horizontal="right" vertical="center" wrapText="1"/>
    </xf>
    <xf numFmtId="166" fontId="105" fillId="0" borderId="4" applyAlignment="1" pivotButton="0" quotePrefix="0" xfId="4">
      <alignment horizontal="right" vertical="center"/>
    </xf>
    <xf numFmtId="169" fontId="105" fillId="0" borderId="4" applyAlignment="1" pivotButton="0" quotePrefix="0" xfId="4">
      <alignment horizontal="right" vertical="center"/>
    </xf>
    <xf numFmtId="169" fontId="105" fillId="0" borderId="11" applyAlignment="1" pivotButton="0" quotePrefix="0" xfId="4">
      <alignment horizontal="right" vertical="center"/>
    </xf>
    <xf numFmtId="0" fontId="105" fillId="3" borderId="0" applyAlignment="1" applyProtection="1" pivotButton="0" quotePrefix="0" xfId="4">
      <alignment horizontal="left" indent="1"/>
      <protection locked="0" hidden="0"/>
    </xf>
    <xf numFmtId="0" fontId="105" fillId="3" borderId="0" applyAlignment="1" applyProtection="1" pivotButton="0" quotePrefix="0" xfId="4">
      <alignment horizontal="left"/>
      <protection locked="0" hidden="0"/>
    </xf>
    <xf numFmtId="166" fontId="105" fillId="3" borderId="0" applyAlignment="1" pivotButton="0" quotePrefix="0" xfId="4">
      <alignment horizontal="right" wrapText="1"/>
    </xf>
    <xf numFmtId="166" fontId="105" fillId="0" borderId="0" applyAlignment="1" pivotButton="0" quotePrefix="0" xfId="4">
      <alignment horizontal="right"/>
    </xf>
    <xf numFmtId="166" fontId="105" fillId="0" borderId="10" applyAlignment="1" pivotButton="0" quotePrefix="0" xfId="4">
      <alignment horizontal="right"/>
    </xf>
    <xf numFmtId="166" fontId="107" fillId="0" borderId="1" applyAlignment="1" pivotButton="0" quotePrefix="0" xfId="4">
      <alignment horizontal="right" wrapText="1"/>
    </xf>
    <xf numFmtId="166" fontId="107" fillId="0" borderId="1" applyAlignment="1" pivotButton="0" quotePrefix="0" xfId="4">
      <alignment horizontal="right"/>
    </xf>
    <xf numFmtId="166" fontId="107" fillId="0" borderId="17" applyAlignment="1" pivotButton="0" quotePrefix="0" xfId="4">
      <alignment horizontal="right"/>
    </xf>
    <xf numFmtId="0" fontId="107" fillId="0" borderId="18" applyAlignment="1" applyProtection="1" pivotButton="0" quotePrefix="0" xfId="4">
      <alignment horizontal="left"/>
      <protection locked="0" hidden="0"/>
    </xf>
    <xf numFmtId="166" fontId="107" fillId="0" borderId="18" applyAlignment="1" pivotButton="0" quotePrefix="0" xfId="4">
      <alignment horizontal="right" wrapText="1"/>
    </xf>
    <xf numFmtId="166" fontId="107" fillId="0" borderId="18" applyAlignment="1" pivotButton="0" quotePrefix="0" xfId="4">
      <alignment horizontal="right"/>
    </xf>
    <xf numFmtId="0" fontId="117" fillId="3" borderId="0" applyAlignment="1" pivotButton="0" quotePrefix="0" xfId="4">
      <alignment horizontal="left" vertical="center"/>
    </xf>
    <xf numFmtId="166" fontId="107" fillId="3" borderId="0" applyAlignment="1" pivotButton="0" quotePrefix="0" xfId="4">
      <alignment horizontal="right" vertical="center" wrapText="1"/>
    </xf>
    <xf numFmtId="166" fontId="107" fillId="0" borderId="0" applyAlignment="1" pivotButton="0" quotePrefix="0" xfId="4">
      <alignment horizontal="right" vertical="center"/>
    </xf>
    <xf numFmtId="169" fontId="107" fillId="0" borderId="0" applyAlignment="1" pivotButton="0" quotePrefix="0" xfId="4">
      <alignment horizontal="right" vertical="center"/>
    </xf>
    <xf numFmtId="169" fontId="107" fillId="0" borderId="10" applyAlignment="1" pivotButton="0" quotePrefix="0" xfId="4">
      <alignment horizontal="right" vertical="center"/>
    </xf>
    <xf numFmtId="0" fontId="114" fillId="3" borderId="0" applyAlignment="1" pivotButton="0" quotePrefix="0" xfId="4">
      <alignment horizontal="left" vertical="center"/>
    </xf>
    <xf numFmtId="166" fontId="107" fillId="5" borderId="1" applyAlignment="1" pivotButton="0" quotePrefix="0" xfId="4">
      <alignment horizontal="right" wrapText="1"/>
    </xf>
    <xf numFmtId="166" fontId="107" fillId="5" borderId="17" applyAlignment="1" pivotButton="0" quotePrefix="0" xfId="4">
      <alignment horizontal="right"/>
    </xf>
    <xf numFmtId="169" fontId="105" fillId="3" borderId="0" applyAlignment="1" pivotButton="0" quotePrefix="0" xfId="4">
      <alignment horizontal="right" vertical="center" wrapText="1"/>
    </xf>
    <xf numFmtId="169" fontId="105" fillId="3" borderId="0" applyAlignment="1" pivotButton="0" quotePrefix="0" xfId="4">
      <alignment horizontal="right" vertical="center"/>
    </xf>
    <xf numFmtId="169" fontId="105" fillId="3" borderId="10" applyAlignment="1" pivotButton="0" quotePrefix="0" xfId="4">
      <alignment horizontal="right" vertical="center"/>
    </xf>
    <xf numFmtId="166" fontId="114" fillId="3" borderId="4" applyAlignment="1" pivotButton="0" quotePrefix="0" xfId="4">
      <alignment horizontal="right" vertical="center" wrapText="1"/>
    </xf>
    <xf numFmtId="0" fontId="107" fillId="5" borderId="0" applyAlignment="1" pivotButton="0" quotePrefix="0" xfId="4">
      <alignment horizontal="left" vertical="center"/>
    </xf>
    <xf numFmtId="169" fontId="107" fillId="5" borderId="0" applyAlignment="1" pivotButton="0" quotePrefix="0" xfId="4">
      <alignment horizontal="right" vertical="center"/>
    </xf>
    <xf numFmtId="169" fontId="107" fillId="5" borderId="10" applyAlignment="1" pivotButton="0" quotePrefix="0" xfId="4">
      <alignment horizontal="right" vertical="center"/>
    </xf>
    <xf numFmtId="166" fontId="114" fillId="0" borderId="0" applyAlignment="1" pivotButton="0" quotePrefix="0" xfId="4">
      <alignment horizontal="right" vertical="center" wrapText="1"/>
    </xf>
    <xf numFmtId="0" fontId="105" fillId="3" borderId="4" applyAlignment="1" pivotButton="0" quotePrefix="0" xfId="4">
      <alignment horizontal="left" vertical="center" indent="1"/>
    </xf>
    <xf numFmtId="0" fontId="105" fillId="3" borderId="4" applyAlignment="1" pivotButton="0" quotePrefix="0" xfId="4">
      <alignment horizontal="left" vertical="center"/>
    </xf>
    <xf numFmtId="169" fontId="105" fillId="3" borderId="4" applyAlignment="1" pivotButton="0" quotePrefix="0" xfId="4">
      <alignment horizontal="right" vertical="center" wrapText="1"/>
    </xf>
    <xf numFmtId="169" fontId="105" fillId="3" borderId="4" applyAlignment="1" pivotButton="0" quotePrefix="0" xfId="4">
      <alignment horizontal="right" vertical="center"/>
    </xf>
    <xf numFmtId="169" fontId="105" fillId="3" borderId="11" applyAlignment="1" pivotButton="0" quotePrefix="0" xfId="4">
      <alignment horizontal="right" vertical="center"/>
    </xf>
    <xf numFmtId="169" fontId="107" fillId="5" borderId="0" applyAlignment="1" pivotButton="0" quotePrefix="0" xfId="4">
      <alignment horizontal="right" vertical="center" wrapText="1"/>
    </xf>
    <xf numFmtId="169" fontId="107" fillId="5" borderId="1" applyAlignment="1" pivotButton="0" quotePrefix="0" xfId="4">
      <alignment horizontal="right" vertical="center"/>
    </xf>
    <xf numFmtId="0" fontId="105" fillId="5" borderId="2" applyAlignment="1" pivotButton="0" quotePrefix="0" xfId="4">
      <alignment horizontal="left" vertical="center"/>
    </xf>
    <xf numFmtId="167" fontId="109" fillId="5" borderId="2" applyAlignment="1" pivotButton="0" quotePrefix="0" xfId="4">
      <alignment horizontal="right" vertical="center" wrapText="1"/>
    </xf>
    <xf numFmtId="167" fontId="109" fillId="5" borderId="2" applyAlignment="1" pivotButton="0" quotePrefix="0" xfId="4">
      <alignment horizontal="right" vertical="center"/>
    </xf>
    <xf numFmtId="167" fontId="109" fillId="5" borderId="9" applyAlignment="1" pivotButton="0" quotePrefix="0" xfId="4">
      <alignment horizontal="right" vertical="center"/>
    </xf>
    <xf numFmtId="0" fontId="100" fillId="2" borderId="0" pivotButton="0" quotePrefix="0" xfId="2"/>
    <xf numFmtId="0" fontId="122" fillId="0" borderId="0" pivotButton="0" quotePrefix="0" xfId="5"/>
    <xf numFmtId="0" fontId="113" fillId="3" borderId="0" applyAlignment="1" pivotButton="0" quotePrefix="0" xfId="4">
      <alignment horizontal="left" vertical="center"/>
    </xf>
    <xf numFmtId="169" fontId="109" fillId="0" borderId="0" applyAlignment="1" pivotButton="0" quotePrefix="0" xfId="4">
      <alignment horizontal="right" vertical="center"/>
    </xf>
    <xf numFmtId="0" fontId="119" fillId="0" borderId="0" pivotButton="0" quotePrefix="0" xfId="5"/>
    <xf numFmtId="0" fontId="120" fillId="0" borderId="0" pivotButton="0" quotePrefix="0" xfId="5"/>
    <xf numFmtId="168" fontId="120" fillId="0" borderId="0" pivotButton="0" quotePrefix="0" xfId="5"/>
    <xf numFmtId="0" fontId="112" fillId="8" borderId="0" pivotButton="0" quotePrefix="0" xfId="2"/>
    <xf numFmtId="0" fontId="114" fillId="0" borderId="0" pivotButton="0" quotePrefix="0" xfId="9"/>
    <xf numFmtId="15" fontId="97" fillId="6" borderId="20" applyAlignment="1" pivotButton="0" quotePrefix="0" xfId="5">
      <alignment horizontal="right" wrapText="1"/>
    </xf>
    <xf numFmtId="15" fontId="97" fillId="6" borderId="21" applyAlignment="1" pivotButton="0" quotePrefix="0" xfId="5">
      <alignment horizontal="right" wrapText="1"/>
    </xf>
    <xf numFmtId="0" fontId="107" fillId="5" borderId="0" applyAlignment="1" pivotButton="0" quotePrefix="0" xfId="5">
      <alignment horizontal="left" vertical="center"/>
    </xf>
    <xf numFmtId="168" fontId="107" fillId="5" borderId="0" applyAlignment="1" pivotButton="0" quotePrefix="0" xfId="5">
      <alignment horizontal="right" vertical="center" wrapText="1"/>
    </xf>
    <xf numFmtId="168" fontId="107" fillId="5" borderId="6" applyAlignment="1" pivotButton="0" quotePrefix="0" xfId="5">
      <alignment horizontal="right" vertical="center" wrapText="1"/>
    </xf>
    <xf numFmtId="0" fontId="100" fillId="0" borderId="0" pivotButton="0" quotePrefix="0" xfId="5"/>
    <xf numFmtId="168" fontId="105" fillId="3" borderId="0" applyAlignment="1" pivotButton="0" quotePrefix="0" xfId="5">
      <alignment horizontal="right" vertical="center" wrapText="1"/>
    </xf>
    <xf numFmtId="168" fontId="105" fillId="3" borderId="6" applyAlignment="1" pivotButton="0" quotePrefix="0" xfId="5">
      <alignment horizontal="right" vertical="center" wrapText="1"/>
    </xf>
    <xf numFmtId="168" fontId="105" fillId="0" borderId="0" applyAlignment="1" pivotButton="0" quotePrefix="0" xfId="5">
      <alignment horizontal="right" vertical="center" wrapText="1"/>
    </xf>
    <xf numFmtId="0" fontId="114" fillId="3" borderId="0" applyAlignment="1" pivotButton="0" quotePrefix="0" xfId="5">
      <alignment horizontal="left" vertical="center"/>
    </xf>
    <xf numFmtId="168" fontId="105" fillId="0" borderId="6" applyAlignment="1" pivotButton="0" quotePrefix="0" xfId="5">
      <alignment horizontal="right" vertical="center" wrapText="1"/>
    </xf>
    <xf numFmtId="0" fontId="113" fillId="5" borderId="2" applyAlignment="1" pivotButton="0" quotePrefix="0" xfId="5">
      <alignment horizontal="left" vertical="center"/>
    </xf>
    <xf numFmtId="167" fontId="109" fillId="5" borderId="2" applyAlignment="1" pivotButton="0" quotePrefix="0" xfId="5">
      <alignment horizontal="right" vertical="center" wrapText="1"/>
    </xf>
    <xf numFmtId="167" fontId="109" fillId="5" borderId="8" applyAlignment="1" pivotButton="0" quotePrefix="0" xfId="5">
      <alignment horizontal="right" vertical="center" wrapText="1"/>
    </xf>
    <xf numFmtId="168" fontId="100" fillId="0" borderId="0" applyAlignment="1" pivotButton="0" quotePrefix="0" xfId="5">
      <alignment wrapText="1"/>
    </xf>
    <xf numFmtId="0" fontId="113" fillId="0" borderId="0" pivotButton="0" quotePrefix="0" xfId="9"/>
    <xf numFmtId="0" fontId="97" fillId="4" borderId="5" applyAlignment="1" pivotButton="0" quotePrefix="0" xfId="5">
      <alignment horizontal="left" wrapText="1"/>
    </xf>
    <xf numFmtId="0" fontId="97" fillId="4" borderId="5" applyAlignment="1" pivotButton="0" quotePrefix="0" xfId="5">
      <alignment horizontal="right" wrapText="1"/>
    </xf>
    <xf numFmtId="166" fontId="114" fillId="3" borderId="0" applyAlignment="1" pivotButton="0" quotePrefix="0" xfId="5">
      <alignment horizontal="right" vertical="center"/>
    </xf>
    <xf numFmtId="0" fontId="114" fillId="3" borderId="2" applyAlignment="1" pivotButton="0" quotePrefix="0" xfId="5">
      <alignment horizontal="left" vertical="center"/>
    </xf>
    <xf numFmtId="166" fontId="114" fillId="3" borderId="2" applyAlignment="1" pivotButton="0" quotePrefix="0" xfId="5">
      <alignment horizontal="right" vertical="center"/>
    </xf>
    <xf numFmtId="9" fontId="106" fillId="2" borderId="1" applyAlignment="1" pivotButton="0" quotePrefix="0" xfId="10">
      <alignment horizontal="left" vertical="center"/>
    </xf>
    <xf numFmtId="9" fontId="114" fillId="0" borderId="0" pivotButton="0" quotePrefix="0" xfId="10"/>
    <xf numFmtId="0" fontId="97" fillId="4" borderId="5" applyAlignment="1" pivotButton="0" quotePrefix="0" xfId="5">
      <alignment horizontal="right"/>
    </xf>
    <xf numFmtId="0" fontId="114" fillId="3" borderId="4" applyAlignment="1" pivotButton="0" quotePrefix="0" xfId="5">
      <alignment horizontal="left" vertical="center"/>
    </xf>
    <xf numFmtId="166" fontId="114" fillId="3" borderId="4" applyAlignment="1" pivotButton="0" quotePrefix="0" xfId="5">
      <alignment horizontal="right" vertical="center"/>
    </xf>
    <xf numFmtId="0" fontId="114" fillId="0" borderId="0" applyAlignment="1" pivotButton="0" quotePrefix="0" xfId="9">
      <alignment wrapText="1"/>
    </xf>
    <xf numFmtId="0" fontId="97" fillId="4" borderId="4" applyAlignment="1" applyProtection="1" pivotButton="0" quotePrefix="0" xfId="5">
      <alignment horizontal="left"/>
      <protection locked="0" hidden="0"/>
    </xf>
    <xf numFmtId="15" fontId="97" fillId="6" borderId="22" applyAlignment="1" pivotButton="0" quotePrefix="0" xfId="5">
      <alignment horizontal="right"/>
    </xf>
    <xf numFmtId="15" fontId="97" fillId="6" borderId="20" applyAlignment="1" pivotButton="0" quotePrefix="0" xfId="5">
      <alignment horizontal="right"/>
    </xf>
    <xf numFmtId="15" fontId="97" fillId="4" borderId="4" applyAlignment="1" pivotButton="0" quotePrefix="0" xfId="5">
      <alignment horizontal="right"/>
    </xf>
    <xf numFmtId="15" fontId="97" fillId="4" borderId="26" applyAlignment="1" pivotButton="0" quotePrefix="0" xfId="5">
      <alignment horizontal="right"/>
    </xf>
    <xf numFmtId="0" fontId="114" fillId="7" borderId="0" applyAlignment="1" pivotButton="0" quotePrefix="0" xfId="5">
      <alignment horizontal="left" vertical="center" indent="1"/>
    </xf>
    <xf numFmtId="0" fontId="114" fillId="7" borderId="0" applyAlignment="1" pivotButton="0" quotePrefix="0" xfId="5">
      <alignment horizontal="left" vertical="center"/>
    </xf>
    <xf numFmtId="169" fontId="105" fillId="3" borderId="0" applyAlignment="1" pivotButton="0" quotePrefix="0" xfId="5">
      <alignment horizontal="right" vertical="center"/>
    </xf>
    <xf numFmtId="169" fontId="105" fillId="3" borderId="6" applyAlignment="1" pivotButton="0" quotePrefix="0" xfId="5">
      <alignment horizontal="right" vertical="center"/>
    </xf>
    <xf numFmtId="169" fontId="105" fillId="0" borderId="0" applyAlignment="1" pivotButton="0" quotePrefix="0" xfId="5">
      <alignment horizontal="right" vertical="center"/>
    </xf>
    <xf numFmtId="169" fontId="105" fillId="0" borderId="6" applyAlignment="1" pivotButton="0" quotePrefix="0" xfId="5">
      <alignment horizontal="right" vertical="center"/>
    </xf>
    <xf numFmtId="167" fontId="109" fillId="0" borderId="0" applyAlignment="1" pivotButton="0" quotePrefix="0" xfId="5">
      <alignment horizontal="right" vertical="center"/>
    </xf>
    <xf numFmtId="166" fontId="114" fillId="0" borderId="0" applyAlignment="1" pivotButton="0" quotePrefix="0" xfId="5">
      <alignment horizontal="right" vertical="center"/>
    </xf>
    <xf numFmtId="166" fontId="114" fillId="3" borderId="10" applyAlignment="1" pivotButton="0" quotePrefix="0" xfId="5">
      <alignment horizontal="right" vertical="center"/>
    </xf>
    <xf numFmtId="0" fontId="114" fillId="7" borderId="4" applyAlignment="1" pivotButton="0" quotePrefix="0" xfId="5">
      <alignment horizontal="left" vertical="center" indent="1"/>
    </xf>
    <xf numFmtId="169" fontId="105" fillId="3" borderId="4" applyAlignment="1" pivotButton="0" quotePrefix="0" xfId="5">
      <alignment horizontal="right" vertical="center"/>
    </xf>
    <xf numFmtId="169" fontId="105" fillId="3" borderId="7" applyAlignment="1" pivotButton="0" quotePrefix="0" xfId="5">
      <alignment horizontal="right" vertical="center"/>
    </xf>
    <xf numFmtId="169" fontId="105" fillId="0" borderId="4" applyAlignment="1" pivotButton="0" quotePrefix="0" xfId="5">
      <alignment horizontal="right" vertical="center"/>
    </xf>
    <xf numFmtId="169" fontId="105" fillId="0" borderId="7" applyAlignment="1" pivotButton="0" quotePrefix="0" xfId="5">
      <alignment horizontal="right" vertical="center"/>
    </xf>
    <xf numFmtId="167" fontId="109" fillId="0" borderId="4" applyAlignment="1" pivotButton="0" quotePrefix="0" xfId="5">
      <alignment horizontal="right" vertical="center"/>
    </xf>
    <xf numFmtId="166" fontId="114" fillId="3" borderId="11" applyAlignment="1" pivotButton="0" quotePrefix="0" xfId="5">
      <alignment horizontal="right" vertical="center"/>
    </xf>
    <xf numFmtId="0" fontId="105" fillId="7" borderId="0" applyAlignment="1" pivotButton="0" quotePrefix="0" xfId="5">
      <alignment horizontal="left" vertical="center"/>
    </xf>
    <xf numFmtId="169" fontId="105" fillId="3" borderId="10" applyAlignment="1" pivotButton="0" quotePrefix="0" xfId="5">
      <alignment horizontal="right" vertical="center"/>
    </xf>
    <xf numFmtId="0" fontId="118" fillId="7" borderId="0" applyAlignment="1" pivotButton="0" quotePrefix="0" xfId="5">
      <alignment horizontal="left" vertical="center"/>
    </xf>
    <xf numFmtId="166" fontId="114" fillId="3" borderId="7" applyAlignment="1" pivotButton="0" quotePrefix="0" xfId="5">
      <alignment horizontal="right" vertical="center"/>
    </xf>
    <xf numFmtId="166" fontId="114" fillId="3" borderId="6" applyAlignment="1" pivotButton="0" quotePrefix="0" xfId="5">
      <alignment horizontal="right" vertical="center"/>
    </xf>
    <xf numFmtId="0" fontId="105" fillId="3" borderId="4" applyAlignment="1" pivotButton="0" quotePrefix="0" xfId="5">
      <alignment horizontal="left" vertical="center"/>
    </xf>
    <xf numFmtId="169" fontId="105" fillId="3" borderId="11" applyAlignment="1" pivotButton="0" quotePrefix="0" xfId="5">
      <alignment horizontal="right" vertical="center"/>
    </xf>
    <xf numFmtId="169" fontId="107" fillId="5" borderId="0" applyAlignment="1" pivotButton="0" quotePrefix="0" xfId="5">
      <alignment horizontal="right" vertical="center"/>
    </xf>
    <xf numFmtId="169" fontId="107" fillId="5" borderId="6" applyAlignment="1" pivotButton="0" quotePrefix="0" xfId="5">
      <alignment horizontal="right" vertical="center"/>
    </xf>
    <xf numFmtId="167" fontId="110" fillId="5" borderId="0" applyAlignment="1" pivotButton="0" quotePrefix="0" xfId="5">
      <alignment horizontal="right" vertical="center"/>
    </xf>
    <xf numFmtId="169" fontId="107" fillId="5" borderId="10" applyAlignment="1" pivotButton="0" quotePrefix="0" xfId="5">
      <alignment horizontal="right" vertical="center"/>
    </xf>
    <xf numFmtId="0" fontId="105" fillId="3" borderId="0" applyAlignment="1" pivotButton="0" quotePrefix="0" xfId="5">
      <alignment horizontal="left" vertical="center"/>
    </xf>
    <xf numFmtId="169" fontId="109" fillId="7" borderId="0" applyAlignment="1" pivotButton="0" quotePrefix="0" xfId="5">
      <alignment horizontal="right" vertical="center"/>
    </xf>
    <xf numFmtId="169" fontId="105" fillId="7" borderId="0" applyAlignment="1" pivotButton="0" quotePrefix="0" xfId="5">
      <alignment horizontal="right" vertical="center"/>
    </xf>
    <xf numFmtId="169" fontId="105" fillId="7" borderId="10" applyAlignment="1" pivotButton="0" quotePrefix="0" xfId="5">
      <alignment horizontal="right" vertical="center"/>
    </xf>
    <xf numFmtId="0" fontId="109" fillId="5" borderId="0" applyAlignment="1" pivotButton="0" quotePrefix="0" xfId="5">
      <alignment horizontal="left" vertical="center"/>
    </xf>
    <xf numFmtId="0" fontId="105" fillId="5" borderId="0" applyAlignment="1" pivotButton="0" quotePrefix="0" xfId="5">
      <alignment horizontal="left" vertical="center"/>
    </xf>
    <xf numFmtId="167" fontId="109" fillId="5" borderId="0" applyAlignment="1" pivotButton="0" quotePrefix="0" xfId="5">
      <alignment horizontal="right" vertical="center"/>
    </xf>
    <xf numFmtId="167" fontId="109" fillId="5" borderId="6" applyAlignment="1" pivotButton="0" quotePrefix="0" xfId="5">
      <alignment horizontal="right" vertical="center"/>
    </xf>
    <xf numFmtId="167" fontId="109" fillId="5" borderId="10" applyAlignment="1" pivotButton="0" quotePrefix="0" xfId="5">
      <alignment horizontal="right" vertical="center"/>
    </xf>
    <xf numFmtId="0" fontId="118" fillId="3" borderId="0" applyAlignment="1" pivotButton="0" quotePrefix="0" xfId="9">
      <alignment horizontal="left" vertical="center"/>
    </xf>
    <xf numFmtId="0" fontId="118" fillId="3" borderId="0" applyAlignment="1" pivotButton="0" quotePrefix="0" xfId="5">
      <alignment horizontal="left" vertical="center"/>
    </xf>
    <xf numFmtId="166" fontId="105" fillId="3" borderId="0" applyAlignment="1" pivotButton="0" quotePrefix="0" xfId="5">
      <alignment horizontal="right" vertical="center"/>
    </xf>
    <xf numFmtId="166" fontId="105" fillId="0" borderId="0" applyAlignment="1" pivotButton="0" quotePrefix="0" xfId="5">
      <alignment horizontal="right" vertical="center"/>
    </xf>
    <xf numFmtId="166" fontId="105" fillId="0" borderId="6" applyAlignment="1" pivotButton="0" quotePrefix="0" xfId="5">
      <alignment horizontal="right" vertical="center"/>
    </xf>
    <xf numFmtId="166" fontId="105" fillId="0" borderId="10" applyAlignment="1" pivotButton="0" quotePrefix="0" xfId="5">
      <alignment horizontal="right" vertical="center"/>
    </xf>
    <xf numFmtId="0" fontId="109" fillId="5" borderId="2" applyAlignment="1" pivotButton="0" quotePrefix="0" xfId="5">
      <alignment horizontal="left" vertical="center"/>
    </xf>
    <xf numFmtId="167" fontId="109" fillId="5" borderId="2" applyAlignment="1" pivotButton="0" quotePrefix="0" xfId="5">
      <alignment horizontal="right" vertical="center"/>
    </xf>
    <xf numFmtId="167" fontId="109" fillId="5" borderId="8" applyAlignment="1" pivotButton="0" quotePrefix="0" xfId="5">
      <alignment horizontal="right" vertical="center"/>
    </xf>
    <xf numFmtId="167" fontId="109" fillId="5" borderId="9" applyAlignment="1" pivotButton="0" quotePrefix="0" xfId="5">
      <alignment horizontal="right" vertical="center"/>
    </xf>
    <xf numFmtId="0" fontId="113" fillId="0" borderId="1" pivotButton="0" quotePrefix="0" xfId="8"/>
    <xf numFmtId="49" fontId="110" fillId="3" borderId="1" applyAlignment="1" applyProtection="1" pivotButton="0" quotePrefix="0" xfId="5">
      <alignment horizontal="left" vertical="center"/>
      <protection locked="0" hidden="0"/>
    </xf>
    <xf numFmtId="169" fontId="110" fillId="3" borderId="1" applyAlignment="1" applyProtection="1" pivotButton="0" quotePrefix="0" xfId="5">
      <alignment horizontal="right" vertical="center"/>
      <protection locked="0" hidden="0"/>
    </xf>
    <xf numFmtId="169" fontId="109" fillId="3" borderId="1" applyAlignment="1" applyProtection="1" pivotButton="0" quotePrefix="0" xfId="5">
      <alignment horizontal="right" vertical="center"/>
      <protection locked="0" hidden="0"/>
    </xf>
    <xf numFmtId="169" fontId="110" fillId="3" borderId="0" applyAlignment="1" applyProtection="1" pivotButton="0" quotePrefix="0" xfId="5">
      <alignment horizontal="right" vertical="center"/>
      <protection locked="0" hidden="0"/>
    </xf>
    <xf numFmtId="169" fontId="110" fillId="7" borderId="0" applyAlignment="1" applyProtection="1" pivotButton="0" quotePrefix="0" xfId="5">
      <alignment horizontal="right" vertical="center"/>
      <protection locked="0" hidden="0"/>
    </xf>
    <xf numFmtId="168" fontId="100" fillId="0" borderId="0" pivotButton="0" quotePrefix="0" xfId="5"/>
    <xf numFmtId="0" fontId="113" fillId="0" borderId="4" pivotButton="0" quotePrefix="0" xfId="8"/>
    <xf numFmtId="169" fontId="113" fillId="0" borderId="4" pivotButton="0" quotePrefix="0" xfId="8"/>
    <xf numFmtId="0" fontId="97" fillId="4" borderId="0" applyAlignment="1" pivotButton="0" quotePrefix="0" xfId="5">
      <alignment horizontal="right"/>
    </xf>
    <xf numFmtId="15" fontId="97" fillId="6" borderId="21" applyAlignment="1" pivotButton="0" quotePrefix="0" xfId="5">
      <alignment horizontal="right"/>
    </xf>
    <xf numFmtId="15" fontId="97" fillId="6" borderId="25" applyAlignment="1" pivotButton="0" quotePrefix="0" xfId="5">
      <alignment horizontal="right"/>
    </xf>
    <xf numFmtId="169" fontId="107" fillId="0" borderId="0" applyAlignment="1" pivotButton="0" quotePrefix="0" xfId="5">
      <alignment horizontal="right" vertical="center"/>
    </xf>
    <xf numFmtId="169" fontId="107" fillId="0" borderId="6" applyAlignment="1" pivotButton="0" quotePrefix="0" xfId="5">
      <alignment horizontal="right" vertical="center"/>
    </xf>
    <xf numFmtId="169" fontId="107" fillId="3" borderId="0" applyAlignment="1" pivotButton="0" quotePrefix="0" xfId="5">
      <alignment horizontal="right" vertical="center"/>
    </xf>
    <xf numFmtId="169" fontId="107" fillId="3" borderId="10" applyAlignment="1" pivotButton="0" quotePrefix="0" xfId="5">
      <alignment horizontal="right" vertical="center"/>
    </xf>
    <xf numFmtId="0" fontId="105" fillId="3" borderId="1" applyAlignment="1" pivotButton="0" quotePrefix="0" xfId="5">
      <alignment horizontal="left" vertical="center"/>
    </xf>
    <xf numFmtId="169" fontId="105" fillId="0" borderId="1" applyAlignment="1" pivotButton="0" quotePrefix="0" xfId="5">
      <alignment horizontal="right" vertical="center"/>
    </xf>
    <xf numFmtId="169" fontId="105" fillId="0" borderId="23" applyAlignment="1" pivotButton="0" quotePrefix="0" xfId="5">
      <alignment horizontal="right" vertical="center"/>
    </xf>
    <xf numFmtId="169" fontId="105" fillId="3" borderId="1" applyAlignment="1" pivotButton="0" quotePrefix="0" xfId="5">
      <alignment horizontal="right" vertical="center"/>
    </xf>
    <xf numFmtId="169" fontId="105" fillId="3" borderId="17" applyAlignment="1" pivotButton="0" quotePrefix="0" xfId="5">
      <alignment horizontal="right" vertical="center"/>
    </xf>
    <xf numFmtId="0" fontId="117" fillId="5" borderId="1" applyAlignment="1" pivotButton="0" quotePrefix="0" xfId="5">
      <alignment horizontal="left" vertical="center"/>
    </xf>
    <xf numFmtId="169" fontId="117" fillId="5" borderId="1" applyAlignment="1" pivotButton="0" quotePrefix="0" xfId="5">
      <alignment horizontal="right" vertical="center"/>
    </xf>
    <xf numFmtId="169" fontId="117" fillId="5" borderId="23" applyAlignment="1" pivotButton="0" quotePrefix="0" xfId="5">
      <alignment horizontal="right" vertical="center"/>
    </xf>
    <xf numFmtId="169" fontId="117" fillId="5" borderId="17" applyAlignment="1" pivotButton="0" quotePrefix="0" xfId="5">
      <alignment horizontal="right" vertical="center"/>
    </xf>
    <xf numFmtId="0" fontId="114" fillId="5" borderId="2" applyAlignment="1" pivotButton="0" quotePrefix="0" xfId="5">
      <alignment horizontal="left" vertical="center"/>
    </xf>
    <xf numFmtId="167" fontId="113" fillId="5" borderId="2" applyAlignment="1" pivotButton="0" quotePrefix="0" xfId="5">
      <alignment horizontal="right" vertical="center"/>
    </xf>
    <xf numFmtId="167" fontId="113" fillId="5" borderId="8" applyAlignment="1" pivotButton="0" quotePrefix="0" xfId="5">
      <alignment horizontal="right" vertical="center"/>
    </xf>
    <xf numFmtId="167" fontId="113" fillId="5" borderId="9" applyAlignment="1" pivotButton="0" quotePrefix="0" xfId="5">
      <alignment horizontal="right" vertical="center"/>
    </xf>
    <xf numFmtId="169" fontId="105" fillId="7" borderId="0" applyAlignment="1" applyProtection="1" pivotButton="0" quotePrefix="0" xfId="5">
      <alignment horizontal="right" vertical="center"/>
      <protection locked="0" hidden="0"/>
    </xf>
    <xf numFmtId="169" fontId="109" fillId="0" borderId="1" applyAlignment="1" pivotButton="0" quotePrefix="0" xfId="5">
      <alignment horizontal="left"/>
    </xf>
    <xf numFmtId="169" fontId="109" fillId="0" borderId="1" applyAlignment="1" pivotButton="0" quotePrefix="0" xfId="5">
      <alignment horizontal="right"/>
    </xf>
    <xf numFmtId="169" fontId="109" fillId="0" borderId="0" applyAlignment="1" pivotButton="0" quotePrefix="0" xfId="5">
      <alignment horizontal="right"/>
    </xf>
    <xf numFmtId="169" fontId="109" fillId="0" borderId="4" applyAlignment="1" pivotButton="0" quotePrefix="0" xfId="5">
      <alignment horizontal="left"/>
    </xf>
    <xf numFmtId="169" fontId="109" fillId="0" borderId="4" applyAlignment="1" pivotButton="0" quotePrefix="0" xfId="5">
      <alignment horizontal="right"/>
    </xf>
    <xf numFmtId="49" fontId="118" fillId="3" borderId="1" applyAlignment="1" applyProtection="1" pivotButton="0" quotePrefix="0" xfId="5">
      <alignment horizontal="left" vertical="center"/>
      <protection locked="0" hidden="0"/>
    </xf>
    <xf numFmtId="169" fontId="107" fillId="3" borderId="1" applyAlignment="1" applyProtection="1" pivotButton="0" quotePrefix="0" xfId="5">
      <alignment horizontal="right" vertical="center"/>
      <protection locked="0" hidden="0"/>
    </xf>
    <xf numFmtId="169" fontId="107" fillId="3" borderId="17" applyAlignment="1" applyProtection="1" pivotButton="0" quotePrefix="0" xfId="5">
      <alignment horizontal="right" vertical="center"/>
      <protection locked="0" hidden="0"/>
    </xf>
    <xf numFmtId="49" fontId="105" fillId="3" borderId="0" applyAlignment="1" applyProtection="1" pivotButton="0" quotePrefix="0" xfId="5">
      <alignment horizontal="left" vertical="center"/>
      <protection locked="0" hidden="0"/>
    </xf>
    <xf numFmtId="169" fontId="105" fillId="7" borderId="10" applyAlignment="1" applyProtection="1" pivotButton="0" quotePrefix="0" xfId="5">
      <alignment horizontal="right" vertical="center"/>
      <protection locked="0" hidden="0"/>
    </xf>
    <xf numFmtId="49" fontId="105" fillId="0" borderId="0" applyAlignment="1" applyProtection="1" pivotButton="0" quotePrefix="0" xfId="5">
      <alignment horizontal="left" vertical="center"/>
      <protection locked="0" hidden="0"/>
    </xf>
    <xf numFmtId="169" fontId="105" fillId="0" borderId="0" applyAlignment="1" applyProtection="1" pivotButton="0" quotePrefix="0" xfId="5">
      <alignment horizontal="right" vertical="center"/>
      <protection locked="0" hidden="0"/>
    </xf>
    <xf numFmtId="169" fontId="105" fillId="0" borderId="10" applyAlignment="1" applyProtection="1" pivotButton="0" quotePrefix="0" xfId="5">
      <alignment horizontal="right" vertical="center"/>
      <protection locked="0" hidden="0"/>
    </xf>
    <xf numFmtId="169" fontId="105" fillId="7" borderId="0" applyAlignment="1" applyProtection="1" pivotButton="0" quotePrefix="0" xfId="5">
      <alignment horizontal="left" vertical="center"/>
      <protection locked="0" hidden="0"/>
    </xf>
    <xf numFmtId="169" fontId="105" fillId="9" borderId="0" applyAlignment="1" applyProtection="1" pivotButton="0" quotePrefix="0" xfId="5">
      <alignment horizontal="right" vertical="center"/>
      <protection locked="0" hidden="0"/>
    </xf>
    <xf numFmtId="169" fontId="105" fillId="3" borderId="0" applyAlignment="1" applyProtection="1" pivotButton="0" quotePrefix="0" xfId="5">
      <alignment horizontal="right" vertical="center"/>
      <protection locked="0" hidden="0"/>
    </xf>
    <xf numFmtId="169" fontId="105" fillId="3" borderId="10" applyAlignment="1" applyProtection="1" pivotButton="0" quotePrefix="0" xfId="5">
      <alignment horizontal="right" vertical="center"/>
      <protection locked="0" hidden="0"/>
    </xf>
    <xf numFmtId="169" fontId="105" fillId="9" borderId="4" applyAlignment="1" applyProtection="1" pivotButton="0" quotePrefix="0" xfId="5">
      <alignment horizontal="right" vertical="center"/>
      <protection locked="0" hidden="0"/>
    </xf>
    <xf numFmtId="169" fontId="107" fillId="7" borderId="0" applyAlignment="1" applyProtection="1" pivotButton="0" quotePrefix="0" xfId="5">
      <alignment horizontal="right" vertical="center"/>
      <protection locked="0" hidden="0"/>
    </xf>
    <xf numFmtId="0" fontId="97" fillId="4" borderId="4" applyAlignment="1" pivotButton="0" quotePrefix="0" xfId="5">
      <alignment horizontal="left"/>
    </xf>
    <xf numFmtId="170" fontId="114" fillId="3" borderId="0" applyAlignment="1" pivotButton="0" quotePrefix="0" xfId="5">
      <alignment horizontal="left" vertical="center"/>
    </xf>
    <xf numFmtId="170" fontId="114" fillId="3" borderId="4" applyAlignment="1" pivotButton="0" quotePrefix="0" xfId="5">
      <alignment horizontal="left" vertical="center"/>
    </xf>
    <xf numFmtId="0" fontId="113" fillId="7" borderId="0" applyAlignment="1" pivotButton="0" quotePrefix="0" xfId="5">
      <alignment horizontal="left" vertical="center"/>
    </xf>
    <xf numFmtId="166" fontId="100" fillId="7" borderId="0" applyAlignment="1" pivotButton="0" quotePrefix="0" xfId="5">
      <alignment horizontal="right"/>
    </xf>
    <xf numFmtId="170" fontId="114" fillId="3" borderId="2" applyAlignment="1" pivotButton="0" quotePrefix="0" xfId="5">
      <alignment horizontal="left" vertical="center"/>
    </xf>
    <xf numFmtId="0" fontId="113" fillId="7" borderId="4" applyAlignment="1" pivotButton="0" quotePrefix="0" xfId="5">
      <alignment horizontal="left" vertical="center"/>
    </xf>
    <xf numFmtId="166" fontId="100" fillId="7" borderId="4" applyAlignment="1" pivotButton="0" quotePrefix="0" xfId="5">
      <alignment horizontal="right"/>
    </xf>
    <xf numFmtId="0" fontId="98" fillId="0" borderId="0" pivotButton="0" quotePrefix="0" xfId="5"/>
    <xf numFmtId="0" fontId="118" fillId="5" borderId="0" applyAlignment="1" pivotButton="0" quotePrefix="0" xfId="5">
      <alignment horizontal="left" vertical="center"/>
    </xf>
    <xf numFmtId="0" fontId="114" fillId="5" borderId="0" applyAlignment="1" pivotButton="0" quotePrefix="0" xfId="5">
      <alignment horizontal="left" vertical="center"/>
    </xf>
    <xf numFmtId="0" fontId="113" fillId="5" borderId="0" applyAlignment="1" pivotButton="0" quotePrefix="0" xfId="5">
      <alignment horizontal="left" vertical="center"/>
    </xf>
    <xf numFmtId="166" fontId="100" fillId="5" borderId="0" applyAlignment="1" pivotButton="0" quotePrefix="0" xfId="5">
      <alignment horizontal="right"/>
    </xf>
    <xf numFmtId="166" fontId="100" fillId="5" borderId="2" applyAlignment="1" pivotButton="0" quotePrefix="0" xfId="5">
      <alignment horizontal="right"/>
    </xf>
    <xf numFmtId="0" fontId="95" fillId="0" borderId="0" pivotButton="0" quotePrefix="0" xfId="3"/>
    <xf numFmtId="0" fontId="118" fillId="3" borderId="0" pivotButton="0" quotePrefix="0" xfId="3"/>
    <xf numFmtId="166" fontId="105" fillId="3" borderId="0" applyAlignment="1" pivotButton="0" quotePrefix="0" xfId="3">
      <alignment horizontal="right" wrapText="1"/>
    </xf>
    <xf numFmtId="166" fontId="105" fillId="3" borderId="4" applyAlignment="1" pivotButton="0" quotePrefix="0" xfId="3">
      <alignment horizontal="right" wrapText="1"/>
    </xf>
    <xf numFmtId="0" fontId="107" fillId="0" borderId="0" pivotButton="0" quotePrefix="0" xfId="3"/>
    <xf numFmtId="166" fontId="107" fillId="0" borderId="0" applyAlignment="1" pivotButton="0" quotePrefix="0" xfId="3">
      <alignment horizontal="right"/>
    </xf>
    <xf numFmtId="166" fontId="107" fillId="0" borderId="23" applyAlignment="1" pivotButton="0" quotePrefix="0" xfId="4">
      <alignment horizontal="right"/>
    </xf>
    <xf numFmtId="0" fontId="107" fillId="0" borderId="6" applyAlignment="1" pivotButton="0" quotePrefix="0" xfId="4">
      <alignment horizontal="right"/>
    </xf>
    <xf numFmtId="169" fontId="105" fillId="0" borderId="6" applyAlignment="1" pivotButton="0" quotePrefix="0" xfId="4">
      <alignment horizontal="right" vertical="center"/>
    </xf>
    <xf numFmtId="169" fontId="105" fillId="0" borderId="7" applyAlignment="1" pivotButton="0" quotePrefix="0" xfId="4">
      <alignment horizontal="right" vertical="center"/>
    </xf>
    <xf numFmtId="166" fontId="105" fillId="0" borderId="6" applyAlignment="1" pivotButton="0" quotePrefix="0" xfId="4">
      <alignment horizontal="right"/>
    </xf>
    <xf numFmtId="166" fontId="107" fillId="0" borderId="30" applyAlignment="1" pivotButton="0" quotePrefix="0" xfId="4">
      <alignment horizontal="right"/>
    </xf>
    <xf numFmtId="169" fontId="107" fillId="0" borderId="6" applyAlignment="1" pivotButton="0" quotePrefix="0" xfId="4">
      <alignment horizontal="right" vertical="center"/>
    </xf>
    <xf numFmtId="166" fontId="107" fillId="5" borderId="23" applyAlignment="1" pivotButton="0" quotePrefix="0" xfId="4">
      <alignment horizontal="right"/>
    </xf>
    <xf numFmtId="169" fontId="105" fillId="3" borderId="6" applyAlignment="1" pivotButton="0" quotePrefix="0" xfId="4">
      <alignment horizontal="right" vertical="center"/>
    </xf>
    <xf numFmtId="169" fontId="107" fillId="5" borderId="6" applyAlignment="1" pivotButton="0" quotePrefix="0" xfId="4">
      <alignment horizontal="right" vertical="center"/>
    </xf>
    <xf numFmtId="169" fontId="105" fillId="3" borderId="7" applyAlignment="1" pivotButton="0" quotePrefix="0" xfId="4">
      <alignment horizontal="right" vertical="center"/>
    </xf>
    <xf numFmtId="167" fontId="109" fillId="5" borderId="8" applyAlignment="1" pivotButton="0" quotePrefix="0" xfId="4">
      <alignment horizontal="right" vertical="center"/>
    </xf>
    <xf numFmtId="15" fontId="97" fillId="4" borderId="31" applyAlignment="1" pivotButton="0" quotePrefix="0" xfId="5">
      <alignment horizontal="right"/>
    </xf>
    <xf numFmtId="15" fontId="97" fillId="4" borderId="12" applyAlignment="1" pivotButton="0" quotePrefix="0" xfId="5">
      <alignment horizontal="right"/>
    </xf>
    <xf numFmtId="169" fontId="105" fillId="7" borderId="6" applyAlignment="1" pivotButton="0" quotePrefix="0" xfId="5">
      <alignment horizontal="right" vertical="center"/>
    </xf>
    <xf numFmtId="169" fontId="107" fillId="3" borderId="23" applyAlignment="1" pivotButton="0" quotePrefix="0" xfId="5">
      <alignment horizontal="right" vertical="center"/>
    </xf>
    <xf numFmtId="169" fontId="105" fillId="3" borderId="23" applyAlignment="1" pivotButton="0" quotePrefix="0" xfId="5">
      <alignment horizontal="right" vertical="center"/>
    </xf>
    <xf numFmtId="0" fontId="95" fillId="0" borderId="0" applyAlignment="1" pivotButton="0" quotePrefix="0" xfId="1">
      <alignment wrapText="1"/>
    </xf>
    <xf numFmtId="0" fontId="95" fillId="2" borderId="0" pivotButton="0" quotePrefix="0" xfId="6"/>
    <xf numFmtId="0" fontId="107" fillId="0" borderId="0" applyAlignment="1" pivotButton="0" quotePrefix="0" xfId="1">
      <alignment horizontal="left" vertical="center"/>
    </xf>
    <xf numFmtId="0" fontId="106" fillId="2" borderId="1" applyAlignment="1" pivotButton="0" quotePrefix="0" xfId="1">
      <alignment horizontal="left" vertical="center"/>
    </xf>
    <xf numFmtId="164" fontId="106" fillId="2" borderId="1" applyAlignment="1" pivotButton="0" quotePrefix="0" xfId="1">
      <alignment vertical="center"/>
    </xf>
    <xf numFmtId="0" fontId="106" fillId="4" borderId="0" applyAlignment="1" pivotButton="0" quotePrefix="0" xfId="1">
      <alignment horizontal="left"/>
    </xf>
    <xf numFmtId="0" fontId="106" fillId="4" borderId="12" applyAlignment="1" pivotButton="0" quotePrefix="0" xfId="1">
      <alignment horizontal="left"/>
    </xf>
    <xf numFmtId="15" fontId="106" fillId="4" borderId="13" applyAlignment="1" pivotButton="0" quotePrefix="0" xfId="1">
      <alignment horizontal="centerContinuous"/>
    </xf>
    <xf numFmtId="15" fontId="106" fillId="6" borderId="13" applyAlignment="1" pivotButton="0" quotePrefix="0" xfId="1">
      <alignment horizontal="centerContinuous"/>
    </xf>
    <xf numFmtId="0" fontId="106" fillId="4" borderId="32" applyAlignment="1" pivotButton="0" quotePrefix="0" xfId="1">
      <alignment horizontal="left"/>
    </xf>
    <xf numFmtId="171" fontId="97" fillId="4" borderId="0" applyAlignment="1" pivotButton="0" quotePrefix="0" xfId="1">
      <alignment horizontal="right"/>
    </xf>
    <xf numFmtId="171" fontId="97" fillId="4" borderId="12" applyAlignment="1" pivotButton="0" quotePrefix="0" xfId="1">
      <alignment horizontal="right"/>
    </xf>
    <xf numFmtId="15" fontId="106" fillId="4" borderId="15" applyAlignment="1" pivotButton="0" quotePrefix="0" xfId="1">
      <alignment horizontal="right"/>
    </xf>
    <xf numFmtId="15" fontId="106" fillId="4" borderId="33" applyAlignment="1" pivotButton="0" quotePrefix="0" xfId="1">
      <alignment horizontal="right"/>
    </xf>
    <xf numFmtId="0" fontId="95" fillId="0" borderId="4" applyAlignment="1" pivotButton="0" quotePrefix="0" xfId="1">
      <alignment horizontal="left" indent="3"/>
    </xf>
    <xf numFmtId="0" fontId="98" fillId="2" borderId="0" pivotButton="0" quotePrefix="0" xfId="6"/>
    <xf numFmtId="0" fontId="95" fillId="0" borderId="4" applyAlignment="1" pivotButton="0" quotePrefix="0" xfId="1">
      <alignment horizontal="left" indent="4"/>
    </xf>
    <xf numFmtId="0" fontId="95" fillId="0" borderId="4" applyAlignment="1" pivotButton="0" quotePrefix="0" xfId="1">
      <alignment horizontal="left" indent="2"/>
    </xf>
    <xf numFmtId="0" fontId="100" fillId="2" borderId="0" pivotButton="0" quotePrefix="0" xfId="6"/>
    <xf numFmtId="0" fontId="122" fillId="7" borderId="0" pivotButton="0" quotePrefix="0" xfId="5"/>
    <xf numFmtId="0" fontId="95" fillId="0" borderId="4" applyAlignment="1" pivotButton="0" quotePrefix="0" xfId="1">
      <alignment horizontal="left" indent="1"/>
    </xf>
    <xf numFmtId="0" fontId="98" fillId="0" borderId="0" pivotButton="0" quotePrefix="0" xfId="1"/>
    <xf numFmtId="172" fontId="100" fillId="0" borderId="0" pivotButton="0" quotePrefix="0" xfId="1"/>
    <xf numFmtId="168" fontId="100" fillId="2" borderId="0" pivotButton="0" quotePrefix="0" xfId="6"/>
    <xf numFmtId="0" fontId="112" fillId="0" borderId="0" pivotButton="0" quotePrefix="0" xfId="11"/>
    <xf numFmtId="0" fontId="114" fillId="2" borderId="0" pivotButton="0" quotePrefix="0" xfId="11"/>
    <xf numFmtId="0" fontId="101" fillId="3" borderId="0" applyAlignment="1" pivotButton="0" quotePrefix="0" xfId="11">
      <alignment vertical="center"/>
    </xf>
    <xf numFmtId="0" fontId="95" fillId="2" borderId="0" pivotButton="0" quotePrefix="0" xfId="11"/>
    <xf numFmtId="0" fontId="123" fillId="3" borderId="0" pivotButton="0" quotePrefix="0" xfId="11"/>
    <xf numFmtId="0" fontId="124" fillId="0" borderId="0" pivotButton="0" quotePrefix="0" xfId="11"/>
    <xf numFmtId="0" fontId="106" fillId="4" borderId="0" applyAlignment="1" pivotButton="0" quotePrefix="0" xfId="1">
      <alignment horizontal="centerContinuous"/>
    </xf>
    <xf numFmtId="0" fontId="106" fillId="4" borderId="28" applyAlignment="1" pivotButton="0" quotePrefix="0" xfId="1">
      <alignment horizontal="centerContinuous"/>
    </xf>
    <xf numFmtId="17" fontId="106" fillId="6" borderId="36" applyAlignment="1" pivotButton="0" quotePrefix="0" xfId="12">
      <alignment horizontal="right"/>
    </xf>
    <xf numFmtId="0" fontId="98" fillId="2" borderId="0" pivotButton="0" quotePrefix="0" xfId="11"/>
    <xf numFmtId="164" fontId="105" fillId="3" borderId="0" pivotButton="0" quotePrefix="0" xfId="1"/>
    <xf numFmtId="164" fontId="105" fillId="3" borderId="37" pivotButton="0" quotePrefix="0" xfId="1"/>
    <xf numFmtId="164" fontId="105" fillId="3" borderId="38" pivotButton="0" quotePrefix="0" xfId="1"/>
    <xf numFmtId="164" fontId="105" fillId="3" borderId="4" pivotButton="0" quotePrefix="0" xfId="1"/>
    <xf numFmtId="164" fontId="105" fillId="3" borderId="39" pivotButton="0" quotePrefix="0" xfId="1"/>
    <xf numFmtId="164" fontId="105" fillId="3" borderId="40" pivotButton="0" quotePrefix="0" xfId="1"/>
    <xf numFmtId="0" fontId="105" fillId="3" borderId="0" applyAlignment="1" pivotButton="0" quotePrefix="0" xfId="1">
      <alignment horizontal="left" indent="1"/>
    </xf>
    <xf numFmtId="0" fontId="105" fillId="3" borderId="4" applyAlignment="1" pivotButton="0" quotePrefix="0" xfId="1">
      <alignment horizontal="left" indent="1"/>
    </xf>
    <xf numFmtId="164" fontId="107" fillId="3" borderId="0" pivotButton="0" quotePrefix="0" xfId="1"/>
    <xf numFmtId="164" fontId="107" fillId="3" borderId="37" pivotButton="0" quotePrefix="0" xfId="1"/>
    <xf numFmtId="0" fontId="107" fillId="5" borderId="2" applyAlignment="1" pivotButton="0" quotePrefix="0" xfId="1">
      <alignment horizontal="left"/>
    </xf>
    <xf numFmtId="164" fontId="107" fillId="5" borderId="2" pivotButton="0" quotePrefix="0" xfId="1"/>
    <xf numFmtId="164" fontId="107" fillId="5" borderId="41" pivotButton="0" quotePrefix="0" xfId="1"/>
    <xf numFmtId="164" fontId="107" fillId="5" borderId="42" pivotButton="0" quotePrefix="0" xfId="1"/>
    <xf numFmtId="0" fontId="100" fillId="2" borderId="0" pivotButton="0" quotePrefix="0" xfId="11"/>
    <xf numFmtId="0" fontId="109" fillId="3" borderId="0" applyAlignment="1" pivotButton="0" quotePrefix="0" xfId="1">
      <alignment horizontal="left"/>
    </xf>
    <xf numFmtId="164" fontId="109" fillId="3" borderId="0" pivotButton="0" quotePrefix="0" xfId="1"/>
    <xf numFmtId="15" fontId="106" fillId="4" borderId="14" applyAlignment="1" pivotButton="0" quotePrefix="0" xfId="1">
      <alignment horizontal="centerContinuous"/>
    </xf>
    <xf numFmtId="15" fontId="106" fillId="4" borderId="43" applyAlignment="1" pivotButton="0" quotePrefix="0" xfId="1">
      <alignment horizontal="centerContinuous"/>
    </xf>
    <xf numFmtId="0" fontId="108" fillId="4" borderId="0" applyAlignment="1" pivotButton="0" quotePrefix="0" xfId="1">
      <alignment horizontal="left"/>
    </xf>
    <xf numFmtId="0" fontId="108" fillId="4" borderId="12" applyAlignment="1" pivotButton="0" quotePrefix="0" xfId="12">
      <alignment horizontal="left"/>
    </xf>
    <xf numFmtId="0" fontId="118" fillId="3" borderId="0" applyAlignment="1" pivotButton="0" quotePrefix="0" xfId="1">
      <alignment horizontal="left"/>
    </xf>
    <xf numFmtId="164" fontId="105" fillId="3" borderId="10" pivotButton="0" quotePrefix="0" xfId="1"/>
    <xf numFmtId="164" fontId="105" fillId="3" borderId="44" pivotButton="0" quotePrefix="0" xfId="1"/>
    <xf numFmtId="164" fontId="105" fillId="3" borderId="45" pivotButton="0" quotePrefix="0" xfId="1"/>
    <xf numFmtId="164" fontId="105" fillId="3" borderId="46" pivotButton="0" quotePrefix="0" xfId="1"/>
    <xf numFmtId="0" fontId="109" fillId="3" borderId="45" applyAlignment="1" pivotButton="0" quotePrefix="0" xfId="1">
      <alignment horizontal="left"/>
    </xf>
    <xf numFmtId="164" fontId="105" fillId="3" borderId="11" pivotButton="0" quotePrefix="0" xfId="1"/>
    <xf numFmtId="0" fontId="109" fillId="3" borderId="4" applyAlignment="1" pivotButton="0" quotePrefix="0" xfId="1">
      <alignment horizontal="left"/>
    </xf>
    <xf numFmtId="164" fontId="105" fillId="0" borderId="38" pivotButton="0" quotePrefix="0" xfId="1"/>
    <xf numFmtId="0" fontId="107" fillId="5" borderId="1" applyAlignment="1" pivotButton="0" quotePrefix="0" xfId="1">
      <alignment horizontal="left"/>
    </xf>
    <xf numFmtId="164" fontId="107" fillId="5" borderId="1" pivotButton="0" quotePrefix="0" xfId="1"/>
    <xf numFmtId="164" fontId="107" fillId="5" borderId="17" pivotButton="0" quotePrefix="0" xfId="1"/>
    <xf numFmtId="164" fontId="107" fillId="5" borderId="47" pivotButton="0" quotePrefix="0" xfId="1"/>
    <xf numFmtId="164" fontId="107" fillId="5" borderId="48" pivotButton="0" quotePrefix="0" xfId="1"/>
    <xf numFmtId="0" fontId="110" fillId="5" borderId="1" applyAlignment="1" pivotButton="0" quotePrefix="0" xfId="1">
      <alignment horizontal="left"/>
    </xf>
    <xf numFmtId="164" fontId="107" fillId="5" borderId="9" pivotButton="0" quotePrefix="0" xfId="1"/>
    <xf numFmtId="0" fontId="110" fillId="5" borderId="2" applyAlignment="1" pivotButton="0" quotePrefix="0" xfId="1">
      <alignment horizontal="left"/>
    </xf>
    <xf numFmtId="1" fontId="125" fillId="0" borderId="0" pivotButton="0" quotePrefix="0" xfId="1"/>
    <xf numFmtId="164" fontId="109" fillId="0" borderId="0" pivotButton="0" quotePrefix="0" xfId="1"/>
    <xf numFmtId="0" fontId="95" fillId="0" borderId="4" applyAlignment="1" pivotButton="0" quotePrefix="0" xfId="1">
      <alignment horizontal="left"/>
    </xf>
    <xf numFmtId="172" fontId="100" fillId="0" borderId="0" applyAlignment="1" pivotButton="0" quotePrefix="0" xfId="1">
      <alignment horizontal="left"/>
    </xf>
    <xf numFmtId="0" fontId="95" fillId="0" borderId="0" applyAlignment="1" pivotButton="0" quotePrefix="0" xfId="1">
      <alignment horizontal="left" indent="2"/>
    </xf>
    <xf numFmtId="0" fontId="95" fillId="0" borderId="0" applyAlignment="1" pivotButton="0" quotePrefix="0" xfId="1">
      <alignment horizontal="left" indent="1"/>
    </xf>
    <xf numFmtId="0" fontId="95" fillId="0" borderId="0" applyAlignment="1" pivotButton="0" quotePrefix="0" xfId="1">
      <alignment horizontal="left" indent="3"/>
    </xf>
    <xf numFmtId="0" fontId="98" fillId="5" borderId="3" pivotButton="0" quotePrefix="0" xfId="1"/>
    <xf numFmtId="0" fontId="98" fillId="5" borderId="3" applyAlignment="1" pivotButton="0" quotePrefix="0" xfId="1">
      <alignment horizontal="left"/>
    </xf>
    <xf numFmtId="0" fontId="95" fillId="0" borderId="6" pivotButton="0" quotePrefix="0" xfId="1"/>
    <xf numFmtId="41" fontId="95" fillId="0" borderId="10" pivotButton="0" quotePrefix="0" xfId="1"/>
    <xf numFmtId="41" fontId="95" fillId="0" borderId="4" pivotButton="0" quotePrefix="0" xfId="1"/>
    <xf numFmtId="41" fontId="95" fillId="0" borderId="11" pivotButton="0" quotePrefix="0" xfId="1"/>
    <xf numFmtId="41" fontId="98" fillId="5" borderId="3" pivotButton="0" quotePrefix="0" xfId="1"/>
    <xf numFmtId="41" fontId="98" fillId="5" borderId="27" pivotButton="0" quotePrefix="0" xfId="1"/>
    <xf numFmtId="41" fontId="95" fillId="0" borderId="6" pivotButton="0" quotePrefix="0" xfId="1"/>
    <xf numFmtId="41" fontId="95" fillId="0" borderId="7" pivotButton="0" quotePrefix="0" xfId="1"/>
    <xf numFmtId="41" fontId="98" fillId="5" borderId="49" pivotButton="0" quotePrefix="0" xfId="1"/>
    <xf numFmtId="15" fontId="106" fillId="6" borderId="15" applyAlignment="1" pivotButton="0" quotePrefix="0" xfId="1">
      <alignment horizontal="centerContinuous"/>
    </xf>
    <xf numFmtId="15" fontId="106" fillId="6" borderId="36" applyAlignment="1" pivotButton="0" quotePrefix="0" xfId="1">
      <alignment horizontal="right"/>
    </xf>
    <xf numFmtId="0" fontId="118" fillId="3" borderId="0" pivotButton="0" quotePrefix="0" xfId="1"/>
    <xf numFmtId="166" fontId="100" fillId="0" borderId="19" applyAlignment="1" pivotButton="0" quotePrefix="0" xfId="5">
      <alignment horizontal="right"/>
    </xf>
    <xf numFmtId="166" fontId="100" fillId="0" borderId="29" applyAlignment="1" pivotButton="0" quotePrefix="0" xfId="5">
      <alignment horizontal="right"/>
    </xf>
    <xf numFmtId="15" fontId="106" fillId="6" borderId="14" applyAlignment="1" pivotButton="0" quotePrefix="0" xfId="1">
      <alignment horizontal="centerContinuous"/>
    </xf>
    <xf numFmtId="15" fontId="106" fillId="4" borderId="0" applyAlignment="1" pivotButton="0" quotePrefix="0" xfId="1">
      <alignment horizontal="right"/>
    </xf>
    <xf numFmtId="0" fontId="106" fillId="6" borderId="14" applyAlignment="1" pivotButton="0" quotePrefix="0" xfId="1">
      <alignment horizontal="centerContinuous"/>
    </xf>
    <xf numFmtId="165" fontId="100" fillId="0" borderId="0" pivotButton="0" quotePrefix="0" xfId="1"/>
    <xf numFmtId="165" fontId="100" fillId="0" borderId="4" pivotButton="0" quotePrefix="0" xfId="1"/>
    <xf numFmtId="0" fontId="95" fillId="0" borderId="0" applyAlignment="1" pivotButton="0" quotePrefix="0" xfId="1">
      <alignment horizontal="left" indent="4"/>
    </xf>
    <xf numFmtId="0" fontId="0" fillId="2" borderId="0" applyAlignment="1" pivotButton="0" quotePrefix="0" xfId="0">
      <alignment horizontal="left"/>
    </xf>
    <xf numFmtId="0" fontId="101" fillId="0" borderId="0" applyAlignment="1" pivotButton="0" quotePrefix="0" xfId="0">
      <alignment horizontal="left"/>
    </xf>
    <xf numFmtId="0" fontId="102" fillId="0" borderId="0" applyAlignment="1" pivotButton="0" quotePrefix="0" xfId="0">
      <alignment horizontal="left"/>
    </xf>
    <xf numFmtId="0" fontId="103" fillId="0" borderId="0" applyAlignment="1" pivotButton="0" quotePrefix="0" xfId="0">
      <alignment horizontal="left"/>
    </xf>
    <xf numFmtId="0" fontId="104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7" fontId="106" fillId="4" borderId="33" applyAlignment="1" pivotButton="0" quotePrefix="0" xfId="0">
      <alignment horizontal="right"/>
    </xf>
    <xf numFmtId="0" fontId="98" fillId="2" borderId="0" applyAlignment="1" pivotButton="0" quotePrefix="0" xfId="0">
      <alignment horizontal="left"/>
    </xf>
    <xf numFmtId="0" fontId="98" fillId="0" borderId="0" applyAlignment="1" pivotButton="0" quotePrefix="0" xfId="0">
      <alignment horizontal="left"/>
    </xf>
    <xf numFmtId="0" fontId="107" fillId="3" borderId="0" applyAlignment="1" pivotButton="0" quotePrefix="0" xfId="0">
      <alignment horizontal="left"/>
    </xf>
    <xf numFmtId="0" fontId="98" fillId="0" borderId="0" pivotButton="0" quotePrefix="0" xfId="0"/>
    <xf numFmtId="0" fontId="94" fillId="0" borderId="0" pivotButton="0" quotePrefix="0" xfId="0"/>
    <xf numFmtId="0" fontId="100" fillId="2" borderId="0" applyAlignment="1" pivotButton="0" quotePrefix="0" xfId="0">
      <alignment horizontal="left"/>
    </xf>
    <xf numFmtId="0" fontId="100" fillId="0" borderId="0" applyAlignment="1" pivotButton="0" quotePrefix="0" xfId="0">
      <alignment horizontal="left"/>
    </xf>
    <xf numFmtId="0" fontId="100" fillId="0" borderId="0" pivotButton="0" quotePrefix="0" xfId="0"/>
    <xf numFmtId="166" fontId="100" fillId="0" borderId="0" applyAlignment="1" pivotButton="0" quotePrefix="0" xfId="0">
      <alignment horizontal="right"/>
    </xf>
    <xf numFmtId="17" fontId="106" fillId="4" borderId="15" applyAlignment="1" pivotButton="0" quotePrefix="0" xfId="0">
      <alignment horizontal="right" wrapText="1"/>
    </xf>
    <xf numFmtId="0" fontId="108" fillId="4" borderId="0" applyAlignment="1" pivotButton="0" quotePrefix="0" xfId="0">
      <alignment horizontal="left"/>
    </xf>
    <xf numFmtId="17" fontId="108" fillId="4" borderId="0" applyAlignment="1" pivotButton="0" quotePrefix="0" xfId="0">
      <alignment horizontal="centerContinuous"/>
    </xf>
    <xf numFmtId="17" fontId="108" fillId="4" borderId="15" applyAlignment="1" pivotButton="0" quotePrefix="0" xfId="0">
      <alignment horizontal="centerContinuous"/>
    </xf>
    <xf numFmtId="17" fontId="108" fillId="4" borderId="12" applyAlignment="1" pivotButton="0" quotePrefix="0" xfId="0">
      <alignment horizontal="centerContinuous"/>
    </xf>
    <xf numFmtId="17" fontId="108" fillId="4" borderId="33" applyAlignment="1" pivotButton="0" quotePrefix="0" xfId="0">
      <alignment horizontal="centerContinuous"/>
    </xf>
    <xf numFmtId="17" fontId="108" fillId="4" borderId="15" applyAlignment="1" pivotButton="0" quotePrefix="0" xfId="0">
      <alignment horizontal="centerContinuous" wrapText="1"/>
    </xf>
    <xf numFmtId="17" fontId="108" fillId="6" borderId="50" applyAlignment="1" pivotButton="0" quotePrefix="0" xfId="0">
      <alignment horizontal="centerContinuous"/>
    </xf>
    <xf numFmtId="17" fontId="108" fillId="6" borderId="14" applyAlignment="1" pivotButton="0" quotePrefix="0" xfId="0">
      <alignment horizontal="centerContinuous" wrapText="1"/>
    </xf>
    <xf numFmtId="17" fontId="108" fillId="6" borderId="45" applyAlignment="1" pivotButton="0" quotePrefix="0" xfId="0">
      <alignment horizontal="right"/>
    </xf>
    <xf numFmtId="17" fontId="108" fillId="6" borderId="51" applyAlignment="1" pivotButton="0" quotePrefix="0" xfId="0">
      <alignment horizontal="right" wrapText="1"/>
    </xf>
    <xf numFmtId="0" fontId="105" fillId="3" borderId="0" applyAlignment="1" pivotButton="0" quotePrefix="0" xfId="1">
      <alignment horizontal="left"/>
    </xf>
    <xf numFmtId="0" fontId="107" fillId="3" borderId="0" applyAlignment="1" pivotButton="0" quotePrefix="0" xfId="1">
      <alignment horizontal="left"/>
    </xf>
    <xf numFmtId="49" fontId="105" fillId="0" borderId="4" applyAlignment="1" applyProtection="1" pivotButton="0" quotePrefix="0" xfId="5">
      <alignment horizontal="left" vertical="center"/>
      <protection locked="0" hidden="0"/>
    </xf>
    <xf numFmtId="169" fontId="105" fillId="0" borderId="4" applyAlignment="1" applyProtection="1" pivotButton="0" quotePrefix="0" xfId="5">
      <alignment horizontal="right" vertical="center"/>
      <protection locked="0" hidden="0"/>
    </xf>
    <xf numFmtId="169" fontId="105" fillId="0" borderId="11" applyAlignment="1" applyProtection="1" pivotButton="0" quotePrefix="0" xfId="5">
      <alignment horizontal="right" vertical="center"/>
      <protection locked="0" hidden="0"/>
    </xf>
    <xf numFmtId="164" fontId="105" fillId="0" borderId="0" pivotButton="0" quotePrefix="0" xfId="0"/>
    <xf numFmtId="164" fontId="105" fillId="0" borderId="10" pivotButton="0" quotePrefix="0" xfId="0"/>
    <xf numFmtId="0" fontId="118" fillId="3" borderId="0" applyAlignment="1" pivotButton="0" quotePrefix="0" xfId="0">
      <alignment horizontal="left"/>
    </xf>
    <xf numFmtId="0" fontId="93" fillId="2" borderId="0" applyAlignment="1" pivotButton="0" quotePrefix="0" xfId="0">
      <alignment horizontal="left"/>
    </xf>
    <xf numFmtId="0" fontId="93" fillId="0" borderId="0" applyAlignment="1" pivotButton="0" quotePrefix="0" xfId="0">
      <alignment horizontal="left"/>
    </xf>
    <xf numFmtId="41" fontId="105" fillId="3" borderId="0" pivotButton="0" quotePrefix="0" xfId="0"/>
    <xf numFmtId="0" fontId="93" fillId="0" borderId="0" pivotButton="0" quotePrefix="0" xfId="0"/>
    <xf numFmtId="41" fontId="107" fillId="5" borderId="2" pivotButton="0" quotePrefix="0" xfId="0"/>
    <xf numFmtId="41" fontId="107" fillId="5" borderId="9" pivotButton="0" quotePrefix="0" xfId="0"/>
    <xf numFmtId="41" fontId="107" fillId="5" borderId="8" pivotButton="0" quotePrefix="0" xfId="0"/>
    <xf numFmtId="164" fontId="105" fillId="0" borderId="6" pivotButton="0" quotePrefix="0" xfId="0"/>
    <xf numFmtId="164" fontId="105" fillId="0" borderId="4" pivotButton="0" quotePrefix="0" xfId="0"/>
    <xf numFmtId="164" fontId="105" fillId="0" borderId="11" pivotButton="0" quotePrefix="0" xfId="0"/>
    <xf numFmtId="164" fontId="105" fillId="0" borderId="7" pivotButton="0" quotePrefix="0" xfId="0"/>
    <xf numFmtId="17" fontId="106" fillId="4" borderId="14" applyAlignment="1" pivotButton="0" quotePrefix="0" xfId="0">
      <alignment horizontal="centerContinuous"/>
    </xf>
    <xf numFmtId="17" fontId="106" fillId="4" borderId="13" applyAlignment="1" pivotButton="0" quotePrefix="0" xfId="0">
      <alignment horizontal="centerContinuous"/>
    </xf>
    <xf numFmtId="17" fontId="106" fillId="6" borderId="12" applyAlignment="1" pivotButton="0" quotePrefix="0" xfId="0">
      <alignment horizontal="right"/>
    </xf>
    <xf numFmtId="17" fontId="106" fillId="6" borderId="33" applyAlignment="1" pivotButton="0" quotePrefix="0" xfId="0">
      <alignment horizontal="right"/>
    </xf>
    <xf numFmtId="17" fontId="106" fillId="12" borderId="14" applyAlignment="1" pivotButton="0" quotePrefix="0" xfId="0">
      <alignment horizontal="centerContinuous"/>
    </xf>
    <xf numFmtId="17" fontId="106" fillId="12" borderId="13" applyAlignment="1" pivotButton="0" quotePrefix="0" xfId="0">
      <alignment horizontal="centerContinuous"/>
    </xf>
    <xf numFmtId="17" fontId="106" fillId="12" borderId="0" applyAlignment="1" pivotButton="0" quotePrefix="0" xfId="0">
      <alignment horizontal="right"/>
    </xf>
    <xf numFmtId="17" fontId="106" fillId="12" borderId="12" applyAlignment="1" pivotButton="0" quotePrefix="0" xfId="0">
      <alignment horizontal="right"/>
    </xf>
    <xf numFmtId="17" fontId="106" fillId="12" borderId="33" applyAlignment="1" pivotButton="0" quotePrefix="0" xfId="0">
      <alignment horizontal="right"/>
    </xf>
    <xf numFmtId="41" fontId="95" fillId="11" borderId="0" pivotButton="0" quotePrefix="0" xfId="1"/>
    <xf numFmtId="41" fontId="95" fillId="11" borderId="4" pivotButton="0" quotePrefix="0" xfId="1"/>
    <xf numFmtId="15" fontId="106" fillId="4" borderId="0" applyAlignment="1" pivotButton="0" quotePrefix="0" xfId="1">
      <alignment horizontal="right" wrapText="1"/>
    </xf>
    <xf numFmtId="0" fontId="98" fillId="5" borderId="2" pivotButton="0" quotePrefix="0" xfId="1"/>
    <xf numFmtId="0" fontId="98" fillId="5" borderId="2" applyAlignment="1" pivotButton="0" quotePrefix="0" xfId="1">
      <alignment horizontal="left"/>
    </xf>
    <xf numFmtId="41" fontId="98" fillId="5" borderId="2" pivotButton="0" quotePrefix="0" xfId="1"/>
    <xf numFmtId="41" fontId="98" fillId="5" borderId="9" pivotButton="0" quotePrefix="0" xfId="1"/>
    <xf numFmtId="41" fontId="98" fillId="5" borderId="8" pivotButton="0" quotePrefix="0" xfId="1"/>
    <xf numFmtId="171" fontId="97" fillId="4" borderId="51" applyAlignment="1" pivotButton="0" quotePrefix="0" xfId="1">
      <alignment horizontal="right"/>
    </xf>
    <xf numFmtId="41" fontId="95" fillId="13" borderId="4" pivotButton="0" quotePrefix="0" xfId="1"/>
    <xf numFmtId="41" fontId="95" fillId="14" borderId="4" pivotButton="0" quotePrefix="0" xfId="1"/>
    <xf numFmtId="41" fontId="100" fillId="0" borderId="0" pivotButton="0" quotePrefix="0" xfId="0"/>
    <xf numFmtId="0" fontId="117" fillId="3" borderId="0" applyAlignment="1" pivotButton="0" quotePrefix="0" xfId="0">
      <alignment horizontal="left"/>
    </xf>
    <xf numFmtId="17" fontId="106" fillId="4" borderId="15" applyAlignment="1" pivotButton="0" quotePrefix="0" xfId="0">
      <alignment horizontal="right"/>
    </xf>
    <xf numFmtId="17" fontId="106" fillId="4" borderId="0" applyAlignment="1" pivotButton="0" quotePrefix="0" xfId="0">
      <alignment horizontal="right" wrapText="1"/>
    </xf>
    <xf numFmtId="0" fontId="105" fillId="3" borderId="0" applyAlignment="1" pivotButton="0" quotePrefix="0" xfId="1">
      <alignment horizontal="left" indent="2"/>
    </xf>
    <xf numFmtId="0" fontId="105" fillId="3" borderId="4" applyAlignment="1" pivotButton="0" quotePrefix="0" xfId="1">
      <alignment horizontal="left" indent="2"/>
    </xf>
    <xf numFmtId="171" fontId="97" fillId="4" borderId="15" applyAlignment="1" pivotButton="0" quotePrefix="0" xfId="1">
      <alignment horizontal="right" wrapText="1"/>
    </xf>
    <xf numFmtId="41" fontId="95" fillId="11" borderId="11" pivotButton="0" quotePrefix="0" xfId="1"/>
    <xf numFmtId="41" fontId="95" fillId="11" borderId="7" pivotButton="0" quotePrefix="0" xfId="1"/>
    <xf numFmtId="0" fontId="92" fillId="0" borderId="0" pivotButton="0" quotePrefix="0" xfId="0"/>
    <xf numFmtId="0" fontId="92" fillId="0" borderId="0" applyAlignment="1" pivotButton="0" quotePrefix="0" xfId="0">
      <alignment horizontal="left"/>
    </xf>
    <xf numFmtId="17" fontId="106" fillId="4" borderId="28" applyAlignment="1" pivotButton="0" quotePrefix="0" xfId="0">
      <alignment horizontal="left" wrapText="1"/>
    </xf>
    <xf numFmtId="17" fontId="106" fillId="4" borderId="54" applyAlignment="1" pivotButton="0" quotePrefix="0" xfId="0">
      <alignment horizontal="left"/>
    </xf>
    <xf numFmtId="0" fontId="105" fillId="3" borderId="19" applyAlignment="1" pivotButton="0" quotePrefix="0" xfId="0">
      <alignment horizontal="left" vertical="center" wrapText="1"/>
    </xf>
    <xf numFmtId="164" fontId="105" fillId="3" borderId="19" applyAlignment="1" pivotButton="0" quotePrefix="0" xfId="0">
      <alignment horizontal="left" vertical="center" wrapText="1"/>
    </xf>
    <xf numFmtId="173" fontId="105" fillId="3" borderId="19" applyAlignment="1" pivotButton="0" quotePrefix="0" xfId="0">
      <alignment horizontal="left" vertical="center" wrapText="1"/>
    </xf>
    <xf numFmtId="165" fontId="128" fillId="0" borderId="0" pivotButton="0" quotePrefix="0" xfId="0"/>
    <xf numFmtId="164" fontId="0" fillId="0" borderId="0" pivotButton="0" quotePrefix="0" xfId="0"/>
    <xf numFmtId="166" fontId="0" fillId="0" borderId="0" applyAlignment="1" pivotButton="0" quotePrefix="0" xfId="0">
      <alignment horizontal="right"/>
    </xf>
    <xf numFmtId="165" fontId="105" fillId="3" borderId="19" applyAlignment="1" pivotButton="0" quotePrefix="0" xfId="0">
      <alignment horizontal="left" vertical="center" wrapText="1"/>
    </xf>
    <xf numFmtId="0" fontId="105" fillId="3" borderId="57" applyAlignment="1" pivotButton="0" quotePrefix="0" xfId="0">
      <alignment horizontal="left" vertical="center" wrapText="1"/>
    </xf>
    <xf numFmtId="165" fontId="105" fillId="3" borderId="57" applyAlignment="1" pivotButton="0" quotePrefix="0" xfId="0">
      <alignment horizontal="left" vertical="center" wrapText="1"/>
    </xf>
    <xf numFmtId="164" fontId="105" fillId="3" borderId="57" applyAlignment="1" pivotButton="0" quotePrefix="0" xfId="0">
      <alignment horizontal="left" vertical="center" wrapText="1"/>
    </xf>
    <xf numFmtId="0" fontId="105" fillId="3" borderId="29" applyAlignment="1" pivotButton="0" quotePrefix="0" xfId="0">
      <alignment horizontal="left" vertical="center" wrapText="1"/>
    </xf>
    <xf numFmtId="165" fontId="105" fillId="3" borderId="29" applyAlignment="1" pivotButton="0" quotePrefix="0" xfId="0">
      <alignment horizontal="left" vertical="center" wrapText="1"/>
    </xf>
    <xf numFmtId="164" fontId="105" fillId="3" borderId="29" applyAlignment="1" pivotButton="0" quotePrefix="0" xfId="0">
      <alignment horizontal="left" vertical="center" wrapText="1"/>
    </xf>
    <xf numFmtId="0" fontId="105" fillId="3" borderId="0" applyAlignment="1" pivotButton="0" quotePrefix="0" xfId="0">
      <alignment horizontal="left" vertical="center" wrapText="1"/>
    </xf>
    <xf numFmtId="165" fontId="105" fillId="3" borderId="0" applyAlignment="1" pivotButton="0" quotePrefix="0" xfId="0">
      <alignment horizontal="left" vertical="center" wrapText="1"/>
    </xf>
    <xf numFmtId="164" fontId="105" fillId="3" borderId="0" applyAlignment="1" pivotButton="0" quotePrefix="0" xfId="0">
      <alignment horizontal="left" vertical="center" wrapText="1"/>
    </xf>
    <xf numFmtId="165" fontId="105" fillId="3" borderId="1" applyAlignment="1" pivotButton="0" quotePrefix="0" xfId="0">
      <alignment horizontal="left" vertical="center" wrapText="1"/>
    </xf>
    <xf numFmtId="164" fontId="105" fillId="3" borderId="1" applyAlignment="1" pivotButton="0" quotePrefix="0" xfId="0">
      <alignment horizontal="left" vertical="center" wrapText="1"/>
    </xf>
    <xf numFmtId="0" fontId="118" fillId="3" borderId="1" applyAlignment="1" pivotButton="0" quotePrefix="0" xfId="0">
      <alignment horizontal="left" vertical="center" wrapText="1"/>
    </xf>
    <xf numFmtId="165" fontId="105" fillId="3" borderId="19" applyAlignment="1" pivotButton="0" quotePrefix="1" xfId="0">
      <alignment horizontal="left" vertical="center" wrapText="1"/>
    </xf>
    <xf numFmtId="14" fontId="105" fillId="3" borderId="0" applyAlignment="1" pivotButton="0" quotePrefix="1" xfId="0">
      <alignment horizontal="left" vertical="center" wrapText="1"/>
    </xf>
    <xf numFmtId="14" fontId="105" fillId="3" borderId="19" applyAlignment="1" pivotButton="0" quotePrefix="1" xfId="0">
      <alignment horizontal="left" vertical="center" wrapText="1"/>
    </xf>
    <xf numFmtId="14" fontId="105" fillId="3" borderId="57" applyAlignment="1" pivotButton="0" quotePrefix="0" xfId="0">
      <alignment horizontal="left" vertical="center"/>
    </xf>
    <xf numFmtId="14" fontId="105" fillId="3" borderId="57" applyAlignment="1" pivotButton="0" quotePrefix="1" xfId="0">
      <alignment horizontal="left" vertical="center"/>
    </xf>
    <xf numFmtId="14" fontId="105" fillId="3" borderId="29" applyAlignment="1" pivotButton="0" quotePrefix="1" xfId="0">
      <alignment horizontal="left" vertical="center"/>
    </xf>
    <xf numFmtId="165" fontId="109" fillId="0" borderId="0" pivotButton="0" quotePrefix="0" xfId="0"/>
    <xf numFmtId="165" fontId="109" fillId="0" borderId="10" pivotButton="0" quotePrefix="0" xfId="0"/>
    <xf numFmtId="165" fontId="109" fillId="0" borderId="4" pivotButton="0" quotePrefix="0" xfId="0"/>
    <xf numFmtId="165" fontId="109" fillId="0" borderId="11" pivotButton="0" quotePrefix="0" xfId="0"/>
    <xf numFmtId="17" fontId="106" fillId="4" borderId="50" applyAlignment="1" pivotButton="0" quotePrefix="0" xfId="0">
      <alignment horizontal="centerContinuous"/>
    </xf>
    <xf numFmtId="165" fontId="110" fillId="3" borderId="0" pivotButton="0" quotePrefix="0" xfId="0"/>
    <xf numFmtId="0" fontId="90" fillId="2" borderId="0" applyAlignment="1" pivotButton="0" quotePrefix="0" xfId="0">
      <alignment horizontal="left"/>
    </xf>
    <xf numFmtId="0" fontId="90" fillId="0" borderId="0" applyAlignment="1" pivotButton="0" quotePrefix="0" xfId="0">
      <alignment horizontal="left"/>
    </xf>
    <xf numFmtId="0" fontId="90" fillId="0" borderId="0" pivotButton="0" quotePrefix="0" xfId="0"/>
    <xf numFmtId="165" fontId="109" fillId="0" borderId="0" applyAlignment="1" pivotButton="0" quotePrefix="0" xfId="0">
      <alignment horizontal="right"/>
    </xf>
    <xf numFmtId="17" fontId="106" fillId="4" borderId="13" applyAlignment="1" pivotButton="0" quotePrefix="0" xfId="0">
      <alignment horizontal="centerContinuous" wrapText="1"/>
    </xf>
    <xf numFmtId="17" fontId="106" fillId="6" borderId="13" applyAlignment="1" pivotButton="0" quotePrefix="0" xfId="0">
      <alignment horizontal="centerContinuous" wrapText="1"/>
    </xf>
    <xf numFmtId="0" fontId="100" fillId="0" borderId="0" applyAlignment="1" pivotButton="0" quotePrefix="0" xfId="0">
      <alignment wrapText="1"/>
    </xf>
    <xf numFmtId="0" fontId="100" fillId="0" borderId="0" applyAlignment="1" pivotButton="0" quotePrefix="0" xfId="0">
      <alignment horizontal="centerContinuous"/>
    </xf>
    <xf numFmtId="0" fontId="128" fillId="0" borderId="0" pivotButton="0" quotePrefix="0" xfId="0"/>
    <xf numFmtId="0" fontId="127" fillId="0" borderId="0" pivotButton="0" quotePrefix="0" xfId="0"/>
    <xf numFmtId="0" fontId="107" fillId="5" borderId="1" applyAlignment="1" pivotButton="0" quotePrefix="0" xfId="0">
      <alignment vertical="center"/>
    </xf>
    <xf numFmtId="41" fontId="107" fillId="3" borderId="0" pivotButton="0" quotePrefix="0" xfId="0"/>
    <xf numFmtId="41" fontId="90" fillId="0" borderId="0" pivotButton="0" quotePrefix="0" xfId="0"/>
    <xf numFmtId="41" fontId="107" fillId="5" borderId="1" applyAlignment="1" pivotButton="0" quotePrefix="0" xfId="0">
      <alignment vertical="center"/>
    </xf>
    <xf numFmtId="0" fontId="107" fillId="5" borderId="3" applyAlignment="1" pivotButton="0" quotePrefix="0" xfId="0">
      <alignment vertical="center"/>
    </xf>
    <xf numFmtId="41" fontId="107" fillId="5" borderId="3" applyAlignment="1" pivotButton="0" quotePrefix="0" xfId="0">
      <alignment vertical="center"/>
    </xf>
    <xf numFmtId="2" fontId="0" fillId="0" borderId="0" pivotButton="0" quotePrefix="0" xfId="0"/>
    <xf numFmtId="41" fontId="0" fillId="0" borderId="0" pivotButton="0" quotePrefix="0" xfId="0"/>
    <xf numFmtId="174" fontId="105" fillId="3" borderId="0" pivotButton="0" quotePrefix="0" xfId="0"/>
    <xf numFmtId="174" fontId="105" fillId="3" borderId="4" pivotButton="0" quotePrefix="0" xfId="0"/>
    <xf numFmtId="174" fontId="107" fillId="5" borderId="2" pivotButton="0" quotePrefix="0" xfId="0"/>
    <xf numFmtId="174" fontId="100" fillId="0" borderId="0" pivotButton="0" quotePrefix="0" xfId="0"/>
    <xf numFmtId="17" fontId="106" fillId="6" borderId="0" applyAlignment="1" pivotButton="0" quotePrefix="0" xfId="0">
      <alignment horizontal="right" wrapText="1"/>
    </xf>
    <xf numFmtId="174" fontId="107" fillId="3" borderId="0" pivotButton="0" quotePrefix="0" xfId="0"/>
    <xf numFmtId="174" fontId="0" fillId="0" borderId="0" pivotButton="0" quotePrefix="0" xfId="0"/>
    <xf numFmtId="17" fontId="106" fillId="4" borderId="0" applyAlignment="1" pivotButton="0" quotePrefix="0" xfId="0">
      <alignment horizontal="centerContinuous"/>
    </xf>
    <xf numFmtId="164" fontId="105" fillId="5" borderId="0" pivotButton="0" quotePrefix="0" xfId="0"/>
    <xf numFmtId="164" fontId="105" fillId="5" borderId="10" pivotButton="0" quotePrefix="0" xfId="0"/>
    <xf numFmtId="164" fontId="105" fillId="5" borderId="4" pivotButton="0" quotePrefix="0" xfId="0"/>
    <xf numFmtId="164" fontId="105" fillId="5" borderId="11" pivotButton="0" quotePrefix="0" xfId="0"/>
    <xf numFmtId="17" fontId="108" fillId="6" borderId="0" applyAlignment="1" pivotButton="0" quotePrefix="0" xfId="0">
      <alignment horizontal="centerContinuous"/>
    </xf>
    <xf numFmtId="0" fontId="106" fillId="4" borderId="14" applyAlignment="1" pivotButton="0" quotePrefix="0" xfId="1">
      <alignment horizontal="centerContinuous"/>
    </xf>
    <xf numFmtId="0" fontId="106" fillId="6" borderId="0" applyAlignment="1" pivotButton="0" quotePrefix="0" xfId="1">
      <alignment horizontal="centerContinuous"/>
    </xf>
    <xf numFmtId="171" fontId="97" fillId="6" borderId="45" applyAlignment="1" pivotButton="0" quotePrefix="0" xfId="1">
      <alignment horizontal="right"/>
    </xf>
    <xf numFmtId="171" fontId="97" fillId="6" borderId="61" applyAlignment="1" pivotButton="0" quotePrefix="0" xfId="1">
      <alignment horizontal="right"/>
    </xf>
    <xf numFmtId="166" fontId="107" fillId="5" borderId="2" applyAlignment="1" pivotButton="0" quotePrefix="0" xfId="3">
      <alignment horizontal="center"/>
    </xf>
    <xf numFmtId="166" fontId="100" fillId="0" borderId="0" applyAlignment="1" pivotButton="0" quotePrefix="0" xfId="3">
      <alignment horizontal="right"/>
    </xf>
    <xf numFmtId="0" fontId="100" fillId="0" borderId="0" pivotButton="0" quotePrefix="0" xfId="3"/>
    <xf numFmtId="17" fontId="106" fillId="4" borderId="59" applyAlignment="1" pivotButton="0" quotePrefix="0" xfId="0">
      <alignment horizontal="right"/>
    </xf>
    <xf numFmtId="17" fontId="108" fillId="6" borderId="15" applyAlignment="1" pivotButton="0" quotePrefix="0" xfId="0">
      <alignment horizontal="centerContinuous"/>
    </xf>
    <xf numFmtId="17" fontId="108" fillId="6" borderId="60" applyAlignment="1" pivotButton="0" quotePrefix="0" xfId="0">
      <alignment horizontal="right"/>
    </xf>
    <xf numFmtId="17" fontId="108" fillId="6" borderId="61" applyAlignment="1" pivotButton="0" quotePrefix="0" xfId="0">
      <alignment horizontal="right"/>
    </xf>
    <xf numFmtId="0" fontId="118" fillId="3" borderId="0" applyAlignment="1" pivotButton="0" quotePrefix="0" xfId="0">
      <alignment horizontal="left" vertical="center" wrapText="1"/>
    </xf>
    <xf numFmtId="17" fontId="106" fillId="4" borderId="0" applyAlignment="1" pivotButton="0" quotePrefix="0" xfId="0">
      <alignment horizontal="left"/>
    </xf>
    <xf numFmtId="0" fontId="130" fillId="0" borderId="0" pivotButton="0" quotePrefix="0" xfId="0"/>
    <xf numFmtId="175" fontId="95" fillId="0" borderId="0" pivotButton="0" quotePrefix="0" xfId="1"/>
    <xf numFmtId="0" fontId="134" fillId="0" borderId="0" pivotButton="0" quotePrefix="0" xfId="1"/>
    <xf numFmtId="0" fontId="107" fillId="5" borderId="3" applyAlignment="1" pivotButton="0" quotePrefix="0" xfId="0">
      <alignment horizontal="left" vertical="center"/>
    </xf>
    <xf numFmtId="164" fontId="107" fillId="5" borderId="3" applyAlignment="1" pivotButton="0" quotePrefix="0" xfId="0">
      <alignment vertical="center"/>
    </xf>
    <xf numFmtId="164" fontId="107" fillId="5" borderId="27" applyAlignment="1" pivotButton="0" quotePrefix="0" xfId="0">
      <alignment vertical="center"/>
    </xf>
    <xf numFmtId="165" fontId="110" fillId="5" borderId="3" applyAlignment="1" pivotButton="0" quotePrefix="0" xfId="0">
      <alignment vertical="center"/>
    </xf>
    <xf numFmtId="165" fontId="110" fillId="5" borderId="27" applyAlignment="1" pivotButton="0" quotePrefix="0" xfId="0">
      <alignment vertical="center"/>
    </xf>
    <xf numFmtId="165" fontId="110" fillId="5" borderId="49" applyAlignment="1" pivotButton="0" quotePrefix="0" xfId="0">
      <alignment vertical="center"/>
    </xf>
    <xf numFmtId="164" fontId="107" fillId="5" borderId="49" applyAlignment="1" pivotButton="0" quotePrefix="0" xfId="0">
      <alignment vertical="center"/>
    </xf>
    <xf numFmtId="0" fontId="135" fillId="2" borderId="0" pivotButton="0" quotePrefix="0" xfId="0"/>
    <xf numFmtId="0" fontId="135" fillId="10" borderId="0" pivotButton="0" quotePrefix="0" xfId="0"/>
    <xf numFmtId="0" fontId="135" fillId="0" borderId="0" pivotButton="0" quotePrefix="0" xfId="0"/>
    <xf numFmtId="0" fontId="136" fillId="10" borderId="0" pivotButton="0" quotePrefix="0" xfId="0"/>
    <xf numFmtId="0" fontId="137" fillId="10" borderId="0" pivotButton="0" quotePrefix="0" xfId="0"/>
    <xf numFmtId="0" fontId="138" fillId="10" borderId="0" pivotButton="0" quotePrefix="0" xfId="0"/>
    <xf numFmtId="0" fontId="135" fillId="10" borderId="52" pivotButton="0" quotePrefix="0" xfId="0"/>
    <xf numFmtId="0" fontId="140" fillId="10" borderId="0" pivotButton="0" quotePrefix="0" xfId="0"/>
    <xf numFmtId="0" fontId="141" fillId="10" borderId="0" pivotButton="0" quotePrefix="0" xfId="0"/>
    <xf numFmtId="166" fontId="100" fillId="0" borderId="0" applyAlignment="1" pivotButton="0" quotePrefix="0" xfId="1">
      <alignment horizontal="right"/>
    </xf>
    <xf numFmtId="0" fontId="95" fillId="3" borderId="4" applyAlignment="1" pivotButton="0" quotePrefix="0" xfId="1">
      <alignment horizontal="left" indent="3"/>
    </xf>
    <xf numFmtId="0" fontId="95" fillId="3" borderId="4" applyAlignment="1" pivotButton="0" quotePrefix="0" xfId="1">
      <alignment horizontal="left" indent="2"/>
    </xf>
    <xf numFmtId="0" fontId="95" fillId="3" borderId="4" applyAlignment="1" pivotButton="0" quotePrefix="0" xfId="1">
      <alignment horizontal="left"/>
    </xf>
    <xf numFmtId="41" fontId="95" fillId="3" borderId="4" pivotButton="0" quotePrefix="0" xfId="1"/>
    <xf numFmtId="41" fontId="95" fillId="3" borderId="11" pivotButton="0" quotePrefix="0" xfId="1"/>
    <xf numFmtId="41" fontId="95" fillId="3" borderId="7" pivotButton="0" quotePrefix="0" xfId="1"/>
    <xf numFmtId="165" fontId="100" fillId="3" borderId="4" pivotButton="0" quotePrefix="0" xfId="1"/>
    <xf numFmtId="176" fontId="107" fillId="3" borderId="4" applyAlignment="1" pivotButton="0" quotePrefix="0" xfId="3">
      <alignment horizontal="center" wrapText="1"/>
    </xf>
    <xf numFmtId="166" fontId="105" fillId="3" borderId="0" applyAlignment="1" pivotButton="0" quotePrefix="0" xfId="3">
      <alignment horizontal="right"/>
    </xf>
    <xf numFmtId="166" fontId="105" fillId="3" borderId="4" applyAlignment="1" pivotButton="0" quotePrefix="0" xfId="3">
      <alignment horizontal="right"/>
    </xf>
    <xf numFmtId="0" fontId="97" fillId="17" borderId="65" applyAlignment="1" pivotButton="0" quotePrefix="0" xfId="3">
      <alignment horizontal="center" vertical="center"/>
    </xf>
    <xf numFmtId="17" fontId="106" fillId="4" borderId="45" applyAlignment="1" pivotButton="0" quotePrefix="0" xfId="0">
      <alignment horizontal="centerContinuous"/>
    </xf>
    <xf numFmtId="164" fontId="107" fillId="5" borderId="1" pivotButton="0" quotePrefix="0" xfId="0"/>
    <xf numFmtId="0" fontId="107" fillId="5" borderId="3" applyAlignment="1" pivotButton="0" quotePrefix="0" xfId="0">
      <alignment horizontal="left"/>
    </xf>
    <xf numFmtId="164" fontId="107" fillId="5" borderId="3" pivotButton="0" quotePrefix="0" xfId="0"/>
    <xf numFmtId="0" fontId="106" fillId="4" borderId="53" applyAlignment="1" pivotButton="0" quotePrefix="0" xfId="0">
      <alignment horizontal="left"/>
    </xf>
    <xf numFmtId="17" fontId="106" fillId="4" borderId="53" applyAlignment="1" pivotButton="0" quotePrefix="0" xfId="0">
      <alignment horizontal="left" wrapText="1"/>
    </xf>
    <xf numFmtId="17" fontId="106" fillId="4" borderId="67" applyAlignment="1" pivotButton="0" quotePrefix="0" xfId="0">
      <alignment horizontal="left"/>
    </xf>
    <xf numFmtId="0" fontId="88" fillId="0" borderId="0" pivotButton="0" quotePrefix="0" xfId="0"/>
    <xf numFmtId="0" fontId="88" fillId="2" borderId="0" applyAlignment="1" pivotButton="0" quotePrefix="0" xfId="0">
      <alignment horizontal="left"/>
    </xf>
    <xf numFmtId="0" fontId="88" fillId="0" borderId="0" applyAlignment="1" pivotButton="0" quotePrefix="0" xfId="0">
      <alignment horizontal="left"/>
    </xf>
    <xf numFmtId="172" fontId="100" fillId="0" borderId="0" pivotButton="0" quotePrefix="0" xfId="0"/>
    <xf numFmtId="172" fontId="100" fillId="15" borderId="0" pivotButton="0" quotePrefix="0" xfId="0"/>
    <xf numFmtId="0" fontId="107" fillId="5" borderId="1" applyAlignment="1" pivotButton="0" quotePrefix="0" xfId="0">
      <alignment horizontal="left"/>
    </xf>
    <xf numFmtId="0" fontId="105" fillId="0" borderId="2" applyAlignment="1" pivotButton="0" quotePrefix="0" xfId="0">
      <alignment horizontal="left"/>
    </xf>
    <xf numFmtId="164" fontId="105" fillId="0" borderId="2" pivotButton="0" quotePrefix="0" xfId="0"/>
    <xf numFmtId="164" fontId="107" fillId="5" borderId="23" pivotButton="0" quotePrefix="0" xfId="0"/>
    <xf numFmtId="164" fontId="105" fillId="0" borderId="8" pivotButton="0" quotePrefix="0" xfId="0"/>
    <xf numFmtId="164" fontId="107" fillId="5" borderId="17" pivotButton="0" quotePrefix="0" xfId="0"/>
    <xf numFmtId="164" fontId="105" fillId="0" borderId="9" pivotButton="0" quotePrefix="0" xfId="0"/>
    <xf numFmtId="0" fontId="105" fillId="0" borderId="0" applyAlignment="1" pivotButton="0" quotePrefix="0" xfId="0">
      <alignment horizontal="left" indent="1"/>
    </xf>
    <xf numFmtId="0" fontId="105" fillId="0" borderId="4" applyAlignment="1" pivotButton="0" quotePrefix="0" xfId="0">
      <alignment horizontal="left" indent="1"/>
    </xf>
    <xf numFmtId="41" fontId="107" fillId="5" borderId="3" applyAlignment="1" pivotButton="0" quotePrefix="0" xfId="0">
      <alignment horizontal="right" vertical="center"/>
    </xf>
    <xf numFmtId="41" fontId="107" fillId="5" borderId="27" applyAlignment="1" pivotButton="0" quotePrefix="0" xfId="0">
      <alignment horizontal="right" vertical="center"/>
    </xf>
    <xf numFmtId="41" fontId="107" fillId="5" borderId="49" applyAlignment="1" pivotButton="0" quotePrefix="0" xfId="0">
      <alignment horizontal="right" vertical="center"/>
    </xf>
    <xf numFmtId="41" fontId="100" fillId="0" borderId="0" applyAlignment="1" pivotButton="0" quotePrefix="0" xfId="0">
      <alignment horizontal="right"/>
    </xf>
    <xf numFmtId="0" fontId="97" fillId="6" borderId="14" applyAlignment="1" pivotButton="0" quotePrefix="0" xfId="4">
      <alignment horizontal="center" vertical="center"/>
    </xf>
    <xf numFmtId="0" fontId="97" fillId="6" borderId="65" applyAlignment="1" pivotButton="0" quotePrefix="0" xfId="4">
      <alignment horizontal="center" vertical="center"/>
    </xf>
    <xf numFmtId="0" fontId="97" fillId="6" borderId="45" applyAlignment="1" pivotButton="0" quotePrefix="0" xfId="4">
      <alignment horizontal="center" vertical="center"/>
    </xf>
    <xf numFmtId="0" fontId="97" fillId="6" borderId="65" applyAlignment="1" pivotButton="0" quotePrefix="0" xfId="5">
      <alignment horizontal="center" vertical="center"/>
    </xf>
    <xf numFmtId="0" fontId="97" fillId="6" borderId="45" applyAlignment="1" pivotButton="0" quotePrefix="0" xfId="5">
      <alignment horizontal="center" vertical="center"/>
    </xf>
    <xf numFmtId="169" fontId="105" fillId="0" borderId="0" applyAlignment="1" applyProtection="1" pivotButton="0" quotePrefix="0" xfId="5">
      <alignment horizontal="left" vertical="center"/>
      <protection locked="0" hidden="0"/>
    </xf>
    <xf numFmtId="49" fontId="105" fillId="0" borderId="0" applyAlignment="1" applyProtection="1" pivotButton="0" quotePrefix="0" xfId="5">
      <alignment horizontal="left" vertical="center" indent="1"/>
      <protection locked="0" hidden="0"/>
    </xf>
    <xf numFmtId="172" fontId="114" fillId="0" borderId="0" pivotButton="0" quotePrefix="0" xfId="8"/>
    <xf numFmtId="0" fontId="114" fillId="0" borderId="1" pivotButton="0" quotePrefix="0" xfId="8"/>
    <xf numFmtId="172" fontId="114" fillId="0" borderId="4" pivotButton="0" quotePrefix="0" xfId="8"/>
    <xf numFmtId="172" fontId="114" fillId="0" borderId="10" pivotButton="0" quotePrefix="0" xfId="8"/>
    <xf numFmtId="0" fontId="114" fillId="0" borderId="17" pivotButton="0" quotePrefix="0" xfId="8"/>
    <xf numFmtId="172" fontId="105" fillId="3" borderId="0" applyAlignment="1" applyProtection="1" pivotButton="0" quotePrefix="0" xfId="5">
      <alignment horizontal="right" vertical="center"/>
      <protection locked="0" hidden="0"/>
    </xf>
    <xf numFmtId="172" fontId="114" fillId="0" borderId="11" pivotButton="0" quotePrefix="0" xfId="8"/>
    <xf numFmtId="0" fontId="106" fillId="4" borderId="34" applyAlignment="1" pivotButton="0" quotePrefix="0" xfId="1">
      <alignment wrapText="1"/>
    </xf>
    <xf numFmtId="0" fontId="101" fillId="0" borderId="0" applyAlignment="1" pivotButton="0" quotePrefix="0" xfId="23">
      <alignment horizontal="left"/>
    </xf>
    <xf numFmtId="0" fontId="87" fillId="0" borderId="0" pivotButton="0" quotePrefix="0" xfId="23"/>
    <xf numFmtId="0" fontId="102" fillId="0" borderId="0" applyAlignment="1" pivotButton="0" quotePrefix="0" xfId="23">
      <alignment horizontal="left"/>
    </xf>
    <xf numFmtId="0" fontId="103" fillId="0" borderId="0" applyAlignment="1" pivotButton="0" quotePrefix="0" xfId="23">
      <alignment horizontal="left"/>
    </xf>
    <xf numFmtId="0" fontId="104" fillId="0" borderId="0" applyAlignment="1" pivotButton="0" quotePrefix="0" xfId="23">
      <alignment horizontal="left"/>
    </xf>
    <xf numFmtId="0" fontId="87" fillId="0" borderId="0" applyAlignment="1" pivotButton="0" quotePrefix="0" xfId="23">
      <alignment horizontal="left"/>
    </xf>
    <xf numFmtId="0" fontId="106" fillId="2" borderId="1" applyAlignment="1" pivotButton="0" quotePrefix="0" xfId="23">
      <alignment horizontal="left" vertical="center"/>
    </xf>
    <xf numFmtId="164" fontId="106" fillId="2" borderId="1" applyAlignment="1" pivotButton="0" quotePrefix="0" xfId="23">
      <alignment vertical="center"/>
    </xf>
    <xf numFmtId="0" fontId="106" fillId="4" borderId="0" applyAlignment="1" pivotButton="0" quotePrefix="0" xfId="23">
      <alignment horizontal="left"/>
    </xf>
    <xf numFmtId="17" fontId="106" fillId="4" borderId="14" applyAlignment="1" pivotButton="0" quotePrefix="0" xfId="23">
      <alignment horizontal="centerContinuous"/>
    </xf>
    <xf numFmtId="17" fontId="106" fillId="4" borderId="12" applyAlignment="1" pivotButton="0" quotePrefix="0" xfId="23">
      <alignment horizontal="centerContinuous"/>
    </xf>
    <xf numFmtId="17" fontId="106" fillId="4" borderId="0" applyAlignment="1" pivotButton="0" quotePrefix="0" xfId="23">
      <alignment horizontal="centerContinuous"/>
    </xf>
    <xf numFmtId="17" fontId="106" fillId="4" borderId="0" applyAlignment="1" pivotButton="0" quotePrefix="0" xfId="23">
      <alignment horizontal="right"/>
    </xf>
    <xf numFmtId="17" fontId="106" fillId="4" borderId="68" applyAlignment="1" pivotButton="0" quotePrefix="0" xfId="23">
      <alignment horizontal="right"/>
    </xf>
    <xf numFmtId="17" fontId="106" fillId="4" borderId="45" applyAlignment="1" pivotButton="0" quotePrefix="0" xfId="23">
      <alignment horizontal="right"/>
    </xf>
    <xf numFmtId="17" fontId="106" fillId="4" borderId="51" applyAlignment="1" pivotButton="0" quotePrefix="0" xfId="23">
      <alignment horizontal="right"/>
    </xf>
    <xf numFmtId="17" fontId="106" fillId="4" borderId="36" applyAlignment="1" pivotButton="0" quotePrefix="0" xfId="23">
      <alignment horizontal="right" wrapText="1"/>
    </xf>
    <xf numFmtId="0" fontId="105" fillId="3" borderId="0" applyAlignment="1" pivotButton="0" quotePrefix="0" xfId="23">
      <alignment horizontal="left" indent="1"/>
    </xf>
    <xf numFmtId="164" fontId="105" fillId="3" borderId="0" pivotButton="0" quotePrefix="0" xfId="23"/>
    <xf numFmtId="164" fontId="105" fillId="3" borderId="10" pivotButton="0" quotePrefix="0" xfId="23"/>
    <xf numFmtId="164" fontId="105" fillId="3" borderId="6" pivotButton="0" quotePrefix="0" xfId="23"/>
    <xf numFmtId="0" fontId="105" fillId="3" borderId="4" applyAlignment="1" pivotButton="0" quotePrefix="0" xfId="23">
      <alignment horizontal="left" indent="1"/>
    </xf>
    <xf numFmtId="164" fontId="105" fillId="3" borderId="4" pivotButton="0" quotePrefix="0" xfId="23"/>
    <xf numFmtId="164" fontId="105" fillId="3" borderId="11" pivotButton="0" quotePrefix="0" xfId="23"/>
    <xf numFmtId="164" fontId="105" fillId="3" borderId="7" pivotButton="0" quotePrefix="0" xfId="23"/>
    <xf numFmtId="0" fontId="105" fillId="3" borderId="0" applyAlignment="1" pivotButton="0" quotePrefix="0" xfId="23">
      <alignment horizontal="left"/>
    </xf>
    <xf numFmtId="0" fontId="105" fillId="3" borderId="4" applyAlignment="1" pivotButton="0" quotePrefix="0" xfId="23">
      <alignment horizontal="left"/>
    </xf>
    <xf numFmtId="0" fontId="107" fillId="5" borderId="2" applyAlignment="1" pivotButton="0" quotePrefix="0" xfId="23">
      <alignment horizontal="left"/>
    </xf>
    <xf numFmtId="164" fontId="107" fillId="5" borderId="2" pivotButton="0" quotePrefix="0" xfId="23"/>
    <xf numFmtId="164" fontId="107" fillId="5" borderId="9" pivotButton="0" quotePrefix="0" xfId="23"/>
    <xf numFmtId="164" fontId="107" fillId="5" borderId="8" pivotButton="0" quotePrefix="0" xfId="23"/>
    <xf numFmtId="0" fontId="87" fillId="2" borderId="0" applyAlignment="1" pivotButton="0" quotePrefix="0" xfId="23">
      <alignment horizontal="left"/>
    </xf>
    <xf numFmtId="0" fontId="100" fillId="2" borderId="0" applyAlignment="1" pivotButton="0" quotePrefix="0" xfId="23">
      <alignment horizontal="left"/>
    </xf>
    <xf numFmtId="0" fontId="100" fillId="0" borderId="0" applyAlignment="1" pivotButton="0" quotePrefix="0" xfId="23">
      <alignment horizontal="left"/>
    </xf>
    <xf numFmtId="0" fontId="98" fillId="2" borderId="0" applyAlignment="1" pivotButton="0" quotePrefix="0" xfId="23">
      <alignment horizontal="left"/>
    </xf>
    <xf numFmtId="0" fontId="98" fillId="0" borderId="0" applyAlignment="1" pivotButton="0" quotePrefix="0" xfId="23">
      <alignment horizontal="left"/>
    </xf>
    <xf numFmtId="0" fontId="105" fillId="3" borderId="4" applyAlignment="1" pivotButton="0" quotePrefix="0" xfId="23">
      <alignment horizontal="left" indent="2"/>
    </xf>
    <xf numFmtId="0" fontId="114" fillId="2" borderId="0" applyAlignment="1" pivotButton="0" quotePrefix="0" xfId="24">
      <alignment horizontal="left"/>
    </xf>
    <xf numFmtId="0" fontId="101" fillId="0" borderId="0" applyAlignment="1" pivotButton="0" quotePrefix="0" xfId="24">
      <alignment horizontal="left"/>
    </xf>
    <xf numFmtId="0" fontId="114" fillId="0" borderId="0" pivotButton="0" quotePrefix="0" xfId="24"/>
    <xf numFmtId="0" fontId="114" fillId="0" borderId="0" applyAlignment="1" pivotButton="0" quotePrefix="0" xfId="24">
      <alignment horizontal="left"/>
    </xf>
    <xf numFmtId="0" fontId="102" fillId="0" borderId="0" applyAlignment="1" pivotButton="0" quotePrefix="0" xfId="24">
      <alignment horizontal="left"/>
    </xf>
    <xf numFmtId="0" fontId="103" fillId="0" borderId="0" applyAlignment="1" pivotButton="0" quotePrefix="0" xfId="24">
      <alignment horizontal="left"/>
    </xf>
    <xf numFmtId="0" fontId="104" fillId="0" borderId="0" applyAlignment="1" pivotButton="0" quotePrefix="0" xfId="24">
      <alignment horizontal="left"/>
    </xf>
    <xf numFmtId="171" fontId="0" fillId="0" borderId="0" applyAlignment="1" pivotButton="0" quotePrefix="0" xfId="0">
      <alignment horizontal="left"/>
    </xf>
    <xf numFmtId="0" fontId="86" fillId="2" borderId="0" applyAlignment="1" pivotButton="0" quotePrefix="0" xfId="0">
      <alignment horizontal="left"/>
    </xf>
    <xf numFmtId="0" fontId="86" fillId="0" borderId="0" applyAlignment="1" pivotButton="0" quotePrefix="0" xfId="0">
      <alignment horizontal="left"/>
    </xf>
    <xf numFmtId="0" fontId="86" fillId="0" borderId="0" pivotButton="0" quotePrefix="0" xfId="0"/>
    <xf numFmtId="171" fontId="106" fillId="4" borderId="0" applyAlignment="1" pivotButton="0" quotePrefix="0" xfId="0">
      <alignment horizontal="left"/>
    </xf>
    <xf numFmtId="171" fontId="105" fillId="3" borderId="0" applyAlignment="1" pivotButton="0" quotePrefix="0" xfId="0">
      <alignment horizontal="left"/>
    </xf>
    <xf numFmtId="171" fontId="105" fillId="3" borderId="4" applyAlignment="1" pivotButton="0" quotePrefix="0" xfId="0">
      <alignment horizontal="left"/>
    </xf>
    <xf numFmtId="171" fontId="107" fillId="5" borderId="2" applyAlignment="1" pivotButton="0" quotePrefix="0" xfId="0">
      <alignment horizontal="left"/>
    </xf>
    <xf numFmtId="171" fontId="86" fillId="0" borderId="0" applyAlignment="1" pivotButton="0" quotePrefix="0" xfId="0">
      <alignment horizontal="left"/>
    </xf>
    <xf numFmtId="0" fontId="86" fillId="0" borderId="0" pivotButton="0" quotePrefix="0" xfId="25"/>
    <xf numFmtId="17" fontId="106" fillId="4" borderId="12" applyAlignment="1" pivotButton="0" quotePrefix="0" xfId="0">
      <alignment horizontal="centerContinuous"/>
    </xf>
    <xf numFmtId="164" fontId="105" fillId="3" borderId="37" pivotButton="0" quotePrefix="0" xfId="0"/>
    <xf numFmtId="164" fontId="105" fillId="3" borderId="39" pivotButton="0" quotePrefix="0" xfId="0"/>
    <xf numFmtId="164" fontId="107" fillId="5" borderId="41" pivotButton="0" quotePrefix="0" xfId="0"/>
    <xf numFmtId="164" fontId="105" fillId="5" borderId="6" pivotButton="0" quotePrefix="0" xfId="0"/>
    <xf numFmtId="164" fontId="105" fillId="5" borderId="7" pivotButton="0" quotePrefix="0" xfId="0"/>
    <xf numFmtId="0" fontId="105" fillId="3" borderId="0" applyAlignment="1" pivotButton="0" quotePrefix="0" xfId="23">
      <alignment horizontal="left" indent="2"/>
    </xf>
    <xf numFmtId="172" fontId="87" fillId="0" borderId="0" pivotButton="0" quotePrefix="0" xfId="23"/>
    <xf numFmtId="177" fontId="87" fillId="0" borderId="0" applyAlignment="1" pivotButton="0" quotePrefix="0" xfId="23">
      <alignment wrapText="1"/>
    </xf>
    <xf numFmtId="177" fontId="87" fillId="0" borderId="0" pivotButton="0" quotePrefix="0" xfId="23"/>
    <xf numFmtId="0" fontId="85" fillId="0" borderId="0" pivotButton="0" quotePrefix="0" xfId="0"/>
    <xf numFmtId="0" fontId="98" fillId="0" borderId="1" pivotButton="0" quotePrefix="0" xfId="0"/>
    <xf numFmtId="0" fontId="98" fillId="0" borderId="1" applyAlignment="1" pivotButton="0" quotePrefix="0" xfId="0">
      <alignment horizontal="left"/>
    </xf>
    <xf numFmtId="167" fontId="127" fillId="0" borderId="1" applyAlignment="1" pivotButton="0" quotePrefix="0" xfId="0">
      <alignment horizontal="right"/>
    </xf>
    <xf numFmtId="0" fontId="98" fillId="0" borderId="2" pivotButton="0" quotePrefix="0" xfId="0"/>
    <xf numFmtId="0" fontId="98" fillId="0" borderId="2" applyAlignment="1" pivotButton="0" quotePrefix="0" xfId="0">
      <alignment horizontal="left"/>
    </xf>
    <xf numFmtId="167" fontId="127" fillId="0" borderId="2" applyAlignment="1" pivotButton="0" quotePrefix="0" xfId="0">
      <alignment horizontal="right"/>
    </xf>
    <xf numFmtId="0" fontId="100" fillId="0" borderId="0" applyAlignment="1" pivotButton="0" quotePrefix="0" xfId="0">
      <alignment horizontal="left" indent="1"/>
    </xf>
    <xf numFmtId="166" fontId="107" fillId="5" borderId="3" applyAlignment="1" pivotButton="0" quotePrefix="0" xfId="0">
      <alignment horizontal="right" vertical="center"/>
    </xf>
    <xf numFmtId="166" fontId="107" fillId="5" borderId="27" applyAlignment="1" pivotButton="0" quotePrefix="0" xfId="0">
      <alignment horizontal="right" vertical="center"/>
    </xf>
    <xf numFmtId="166" fontId="107" fillId="5" borderId="49" applyAlignment="1" pivotButton="0" quotePrefix="0" xfId="0">
      <alignment horizontal="right" vertical="center"/>
    </xf>
    <xf numFmtId="0" fontId="107" fillId="5" borderId="3" applyAlignment="1" pivotButton="0" quotePrefix="0" xfId="1">
      <alignment vertical="center"/>
    </xf>
    <xf numFmtId="166" fontId="107" fillId="5" borderId="3" applyAlignment="1" pivotButton="0" quotePrefix="0" xfId="1">
      <alignment horizontal="right" vertical="center"/>
    </xf>
    <xf numFmtId="0" fontId="116" fillId="3" borderId="0" pivotButton="0" quotePrefix="0" xfId="5"/>
    <xf numFmtId="0" fontId="95" fillId="0" borderId="69" pivotButton="0" quotePrefix="0" xfId="1"/>
    <xf numFmtId="49" fontId="105" fillId="3" borderId="4" applyAlignment="1" applyProtection="1" pivotButton="0" quotePrefix="0" xfId="5">
      <alignment horizontal="left" vertical="center" indent="1"/>
      <protection locked="0" hidden="0"/>
    </xf>
    <xf numFmtId="172" fontId="114" fillId="3" borderId="4" pivotButton="0" quotePrefix="0" xfId="8"/>
    <xf numFmtId="178" fontId="126" fillId="4" borderId="0" applyAlignment="1" pivotButton="0" quotePrefix="0" xfId="0">
      <alignment vertical="center"/>
    </xf>
    <xf numFmtId="0" fontId="106" fillId="4" borderId="0" applyAlignment="1" pivotButton="0" quotePrefix="1" xfId="6">
      <alignment horizontal="left" vertical="center"/>
    </xf>
    <xf numFmtId="0" fontId="107" fillId="5" borderId="2" applyAlignment="1" pivotButton="0" quotePrefix="0" xfId="0">
      <alignment horizontal="left" vertical="center"/>
    </xf>
    <xf numFmtId="0" fontId="105" fillId="0" borderId="0" applyAlignment="1" pivotButton="0" quotePrefix="0" xfId="0">
      <alignment horizontal="left" vertical="center"/>
    </xf>
    <xf numFmtId="0" fontId="107" fillId="0" borderId="0" applyAlignment="1" pivotButton="0" quotePrefix="0" xfId="0">
      <alignment horizontal="left"/>
    </xf>
    <xf numFmtId="0" fontId="105" fillId="0" borderId="4" applyAlignment="1" pivotButton="0" quotePrefix="0" xfId="0">
      <alignment horizontal="left" vertical="center"/>
    </xf>
    <xf numFmtId="164" fontId="107" fillId="5" borderId="10" pivotButton="0" quotePrefix="0" xfId="0"/>
    <xf numFmtId="164" fontId="107" fillId="5" borderId="6" pivotButton="0" quotePrefix="0" xfId="0"/>
    <xf numFmtId="166" fontId="107" fillId="5" borderId="71" applyAlignment="1" pivotButton="0" quotePrefix="0" xfId="1">
      <alignment horizontal="right" vertical="center"/>
    </xf>
    <xf numFmtId="166" fontId="105" fillId="0" borderId="0" applyAlignment="1" pivotButton="0" quotePrefix="0" xfId="0">
      <alignment horizontal="right"/>
    </xf>
    <xf numFmtId="166" fontId="105" fillId="0" borderId="10" applyAlignment="1" pivotButton="0" quotePrefix="0" xfId="0">
      <alignment horizontal="right"/>
    </xf>
    <xf numFmtId="166" fontId="105" fillId="0" borderId="6" applyAlignment="1" pivotButton="0" quotePrefix="0" xfId="0">
      <alignment horizontal="right"/>
    </xf>
    <xf numFmtId="179" fontId="0" fillId="0" borderId="0" pivotButton="0" quotePrefix="0" xfId="0"/>
    <xf numFmtId="0" fontId="146" fillId="0" borderId="0" pivotButton="0" quotePrefix="0" xfId="0"/>
    <xf numFmtId="167" fontId="109" fillId="3" borderId="4" applyAlignment="1" pivotButton="0" quotePrefix="0" xfId="5">
      <alignment horizontal="right" vertical="center"/>
    </xf>
    <xf numFmtId="166" fontId="105" fillId="3" borderId="4" applyAlignment="1" pivotButton="0" quotePrefix="0" xfId="5">
      <alignment horizontal="right" vertical="center"/>
    </xf>
    <xf numFmtId="166" fontId="105" fillId="3" borderId="11" applyAlignment="1" pivotButton="0" quotePrefix="0" xfId="5">
      <alignment horizontal="right" vertical="center"/>
    </xf>
    <xf numFmtId="166" fontId="105" fillId="3" borderId="7" applyAlignment="1" pivotButton="0" quotePrefix="0" xfId="5">
      <alignment horizontal="right" vertical="center"/>
    </xf>
    <xf numFmtId="0" fontId="98" fillId="0" borderId="0" applyAlignment="1" pivotButton="0" quotePrefix="0" xfId="3">
      <alignment horizontal="left" indent="2"/>
    </xf>
    <xf numFmtId="0" fontId="97" fillId="17" borderId="45" applyAlignment="1" pivotButton="0" quotePrefix="0" xfId="1">
      <alignment horizontal="center" vertical="center"/>
    </xf>
    <xf numFmtId="166" fontId="107" fillId="3" borderId="4" applyAlignment="1" pivotButton="0" quotePrefix="0" xfId="3">
      <alignment horizontal="center" wrapText="1"/>
    </xf>
    <xf numFmtId="166" fontId="105" fillId="3" borderId="4" applyAlignment="1" pivotButton="0" quotePrefix="0" xfId="4">
      <alignment horizontal="right" vertical="center"/>
    </xf>
    <xf numFmtId="0" fontId="114" fillId="0" borderId="0" applyAlignment="1" pivotButton="0" quotePrefix="0" xfId="4">
      <alignment horizontal="left" vertical="center" indent="2"/>
    </xf>
    <xf numFmtId="0" fontId="114" fillId="0" borderId="0" applyAlignment="1" pivotButton="0" quotePrefix="0" xfId="4">
      <alignment horizontal="left" vertical="center" indent="3"/>
    </xf>
    <xf numFmtId="0" fontId="114" fillId="3" borderId="4" applyAlignment="1" pivotButton="0" quotePrefix="0" xfId="4">
      <alignment horizontal="left" vertical="center" indent="3"/>
    </xf>
    <xf numFmtId="0" fontId="114" fillId="3" borderId="0" pivotButton="0" quotePrefix="0" xfId="8"/>
    <xf numFmtId="0" fontId="84" fillId="0" borderId="0" pivotButton="0" quotePrefix="0" xfId="0"/>
    <xf numFmtId="0" fontId="84" fillId="2" borderId="0" applyAlignment="1" pivotButton="0" quotePrefix="0" xfId="0">
      <alignment horizontal="left"/>
    </xf>
    <xf numFmtId="0" fontId="84" fillId="0" borderId="0" applyAlignment="1" pivotButton="0" quotePrefix="0" xfId="0">
      <alignment horizontal="left"/>
    </xf>
    <xf numFmtId="41" fontId="84" fillId="0" borderId="0" pivotButton="0" quotePrefix="0" xfId="0"/>
    <xf numFmtId="164" fontId="105" fillId="5" borderId="37" pivotButton="0" quotePrefix="0" xfId="0"/>
    <xf numFmtId="164" fontId="105" fillId="5" borderId="39" pivotButton="0" quotePrefix="0" xfId="0"/>
    <xf numFmtId="41" fontId="100" fillId="15" borderId="0" pivotButton="0" quotePrefix="0" xfId="0"/>
    <xf numFmtId="0" fontId="105" fillId="3" borderId="0" applyAlignment="1" pivotButton="0" quotePrefix="0" xfId="0">
      <alignment horizontal="left" indent="3"/>
    </xf>
    <xf numFmtId="0" fontId="105" fillId="3" borderId="4" applyAlignment="1" pivotButton="0" quotePrefix="0" xfId="0">
      <alignment horizontal="left" indent="3"/>
    </xf>
    <xf numFmtId="0" fontId="117" fillId="3" borderId="0" applyAlignment="1" pivotButton="0" quotePrefix="0" xfId="0">
      <alignment horizontal="left" indent="1"/>
    </xf>
    <xf numFmtId="41" fontId="95" fillId="5" borderId="0" pivotButton="0" quotePrefix="0" xfId="1"/>
    <xf numFmtId="41" fontId="95" fillId="5" borderId="4" pivotButton="0" quotePrefix="0" xfId="1"/>
    <xf numFmtId="0" fontId="105" fillId="3" borderId="0" applyAlignment="1" pivotButton="0" quotePrefix="0" xfId="0">
      <alignment horizontal="left" indent="4"/>
    </xf>
    <xf numFmtId="0" fontId="105" fillId="3" borderId="4" applyAlignment="1" pivotButton="0" quotePrefix="0" xfId="0">
      <alignment horizontal="left" indent="4"/>
    </xf>
    <xf numFmtId="171" fontId="106" fillId="4" borderId="54" applyAlignment="1" pivotButton="0" quotePrefix="0" xfId="0">
      <alignment horizontal="left" wrapText="1"/>
    </xf>
    <xf numFmtId="171" fontId="106" fillId="4" borderId="55" applyAlignment="1" pivotButton="0" quotePrefix="0" xfId="0">
      <alignment horizontal="left" wrapText="1"/>
    </xf>
    <xf numFmtId="0" fontId="105" fillId="0" borderId="0" applyAlignment="1" pivotButton="0" quotePrefix="0" xfId="0">
      <alignment horizontal="left" indent="2"/>
    </xf>
    <xf numFmtId="41" fontId="86" fillId="0" borderId="0" pivotButton="0" quotePrefix="0" xfId="0"/>
    <xf numFmtId="41" fontId="86" fillId="0" borderId="0" applyAlignment="1" pivotButton="0" quotePrefix="0" xfId="0">
      <alignment horizontal="left"/>
    </xf>
    <xf numFmtId="0" fontId="105" fillId="0" borderId="0" applyAlignment="1" pivotButton="0" quotePrefix="0" xfId="0">
      <alignment horizontal="left"/>
    </xf>
    <xf numFmtId="15" fontId="106" fillId="4" borderId="0" applyAlignment="1" pivotButton="0" quotePrefix="0" xfId="0">
      <alignment horizontal="right"/>
    </xf>
    <xf numFmtId="15" fontId="106" fillId="4" borderId="12" applyAlignment="1" pivotButton="0" quotePrefix="0" xfId="0">
      <alignment horizontal="right"/>
    </xf>
    <xf numFmtId="0" fontId="105" fillId="0" borderId="4" applyAlignment="1" pivotButton="0" quotePrefix="0" xfId="0">
      <alignment horizontal="left"/>
    </xf>
    <xf numFmtId="15" fontId="106" fillId="4" borderId="15" applyAlignment="1" pivotButton="0" quotePrefix="0" xfId="0">
      <alignment horizontal="right"/>
    </xf>
    <xf numFmtId="15" fontId="106" fillId="4" borderId="33" applyAlignment="1" pivotButton="0" quotePrefix="0" xfId="0">
      <alignment horizontal="right"/>
    </xf>
    <xf numFmtId="15" fontId="106" fillId="4" borderId="0" applyAlignment="1" pivotButton="0" quotePrefix="0" xfId="0">
      <alignment horizontal="right" wrapText="1"/>
    </xf>
    <xf numFmtId="17" fontId="106" fillId="4" borderId="68" applyAlignment="1" pivotButton="0" quotePrefix="0" xfId="0">
      <alignment horizontal="centerContinuous"/>
    </xf>
    <xf numFmtId="0" fontId="86" fillId="0" borderId="0" applyAlignment="1" pivotButton="0" quotePrefix="0" xfId="25">
      <alignment wrapText="1"/>
    </xf>
    <xf numFmtId="0" fontId="86" fillId="0" borderId="0" applyAlignment="1" pivotButton="0" quotePrefix="0" xfId="0">
      <alignment wrapText="1"/>
    </xf>
    <xf numFmtId="17" fontId="106" fillId="4" borderId="0" applyAlignment="1" pivotButton="0" quotePrefix="0" xfId="0">
      <alignment horizontal="centerContinuous" wrapText="1"/>
    </xf>
    <xf numFmtId="17" fontId="106" fillId="4" borderId="45" applyAlignment="1" pivotButton="0" quotePrefix="0" xfId="0">
      <alignment horizontal="centerContinuous" wrapText="1"/>
    </xf>
    <xf numFmtId="164" fontId="105" fillId="3" borderId="0" applyAlignment="1" pivotButton="0" quotePrefix="0" xfId="0">
      <alignment wrapText="1"/>
    </xf>
    <xf numFmtId="164" fontId="105" fillId="3" borderId="4" applyAlignment="1" pivotButton="0" quotePrefix="0" xfId="0">
      <alignment wrapText="1"/>
    </xf>
    <xf numFmtId="164" fontId="107" fillId="5" borderId="2" applyAlignment="1" pivotButton="0" quotePrefix="0" xfId="0">
      <alignment wrapText="1"/>
    </xf>
    <xf numFmtId="41" fontId="100" fillId="0" borderId="0" applyAlignment="1" pivotButton="0" quotePrefix="0" xfId="0">
      <alignment wrapText="1"/>
    </xf>
    <xf numFmtId="0" fontId="105" fillId="3" borderId="0" applyAlignment="1" pivotButton="0" quotePrefix="0" xfId="0">
      <alignment wrapText="1"/>
    </xf>
    <xf numFmtId="0" fontId="114" fillId="3" borderId="2" applyAlignment="1" pivotButton="0" quotePrefix="0" xfId="4">
      <alignment horizontal="left" vertical="center" indent="2"/>
    </xf>
    <xf numFmtId="169" fontId="105" fillId="3" borderId="2" applyAlignment="1" pivotButton="0" quotePrefix="0" xfId="4">
      <alignment horizontal="right" vertical="center"/>
    </xf>
    <xf numFmtId="169" fontId="105" fillId="3" borderId="9" applyAlignment="1" pivotButton="0" quotePrefix="0" xfId="4">
      <alignment horizontal="right" vertical="center"/>
    </xf>
    <xf numFmtId="169" fontId="105" fillId="3" borderId="8" applyAlignment="1" pivotButton="0" quotePrefix="0" xfId="4">
      <alignment horizontal="right" vertical="center"/>
    </xf>
    <xf numFmtId="166" fontId="114" fillId="3" borderId="2" applyAlignment="1" pivotButton="0" quotePrefix="0" xfId="4">
      <alignment horizontal="right" vertical="center" wrapText="1"/>
    </xf>
    <xf numFmtId="166" fontId="105" fillId="3" borderId="2" applyAlignment="1" pivotButton="0" quotePrefix="0" xfId="4">
      <alignment horizontal="right" vertical="center"/>
    </xf>
    <xf numFmtId="0" fontId="106" fillId="18" borderId="0" pivotButton="0" quotePrefix="0" xfId="0"/>
    <xf numFmtId="0" fontId="90" fillId="18" borderId="0" pivotButton="0" quotePrefix="0" xfId="0"/>
    <xf numFmtId="0" fontId="105" fillId="0" borderId="0" applyAlignment="1" pivotButton="0" quotePrefix="0" xfId="0">
      <alignment horizontal="left" indent="3"/>
    </xf>
    <xf numFmtId="0" fontId="105" fillId="0" borderId="4" applyAlignment="1" pivotButton="0" quotePrefix="0" xfId="0">
      <alignment horizontal="left" indent="3"/>
    </xf>
    <xf numFmtId="166" fontId="98" fillId="0" borderId="0" applyAlignment="1" pivotButton="0" quotePrefix="0" xfId="0">
      <alignment horizontal="right"/>
    </xf>
    <xf numFmtId="0" fontId="83" fillId="0" borderId="0" applyAlignment="1" pivotButton="0" quotePrefix="0" xfId="0">
      <alignment horizontal="left"/>
    </xf>
    <xf numFmtId="0" fontId="118" fillId="0" borderId="0" pivotButton="0" quotePrefix="0" xfId="0"/>
    <xf numFmtId="0" fontId="149" fillId="0" borderId="0" applyAlignment="1" pivotButton="0" quotePrefix="0" xfId="0">
      <alignment horizontal="left" vertical="center" readingOrder="1"/>
    </xf>
    <xf numFmtId="0" fontId="105" fillId="3" borderId="0" applyAlignment="1" pivotButton="0" quotePrefix="0" xfId="5">
      <alignment horizontal="left" vertical="center" indent="1"/>
    </xf>
    <xf numFmtId="0" fontId="147" fillId="0" borderId="0" applyAlignment="1" pivotButton="0" quotePrefix="0" xfId="27">
      <alignment vertical="center"/>
    </xf>
    <xf numFmtId="0" fontId="83" fillId="2" borderId="0" pivotButton="0" quotePrefix="0" xfId="6"/>
    <xf numFmtId="0" fontId="106" fillId="2" borderId="1" applyAlignment="1" pivotButton="0" quotePrefix="0" xfId="28">
      <alignment horizontal="left" vertical="center"/>
    </xf>
    <xf numFmtId="0" fontId="106" fillId="4" borderId="0" applyAlignment="1" pivotButton="0" quotePrefix="0" xfId="28">
      <alignment horizontal="left"/>
    </xf>
    <xf numFmtId="0" fontId="106" fillId="4" borderId="12" applyAlignment="1" pivotButton="0" quotePrefix="0" xfId="28">
      <alignment horizontal="left"/>
    </xf>
    <xf numFmtId="15" fontId="106" fillId="4" borderId="13" applyAlignment="1" pivotButton="0" quotePrefix="0" xfId="28">
      <alignment horizontal="centerContinuous"/>
    </xf>
    <xf numFmtId="0" fontId="106" fillId="4" borderId="0" applyAlignment="1" pivotButton="0" quotePrefix="0" xfId="28">
      <alignment horizontal="centerContinuous"/>
    </xf>
    <xf numFmtId="0" fontId="106" fillId="4" borderId="32" applyAlignment="1" pivotButton="0" quotePrefix="0" xfId="28">
      <alignment horizontal="left"/>
    </xf>
    <xf numFmtId="171" fontId="97" fillId="4" borderId="0" applyAlignment="1" pivotButton="0" quotePrefix="0" xfId="28">
      <alignment horizontal="right"/>
    </xf>
    <xf numFmtId="171" fontId="97" fillId="4" borderId="12" applyAlignment="1" pivotButton="0" quotePrefix="0" xfId="28">
      <alignment horizontal="right"/>
    </xf>
    <xf numFmtId="15" fontId="106" fillId="4" borderId="15" applyAlignment="1" pivotButton="0" quotePrefix="0" xfId="28">
      <alignment horizontal="right"/>
    </xf>
    <xf numFmtId="15" fontId="106" fillId="4" borderId="33" applyAlignment="1" pivotButton="0" quotePrefix="0" xfId="28">
      <alignment horizontal="right"/>
    </xf>
    <xf numFmtId="15" fontId="106" fillId="4" borderId="0" applyAlignment="1" pivotButton="0" quotePrefix="0" xfId="28">
      <alignment horizontal="right"/>
    </xf>
    <xf numFmtId="171" fontId="97" fillId="4" borderId="51" applyAlignment="1" pivotButton="0" quotePrefix="0" xfId="28">
      <alignment horizontal="right"/>
    </xf>
    <xf numFmtId="0" fontId="114" fillId="0" borderId="0" applyAlignment="1" pivotButton="0" quotePrefix="0" xfId="27">
      <alignment vertical="center"/>
    </xf>
    <xf numFmtId="0" fontId="114" fillId="11" borderId="0" applyAlignment="1" pivotButton="0" quotePrefix="0" xfId="27">
      <alignment vertical="center"/>
    </xf>
    <xf numFmtId="0" fontId="114" fillId="11" borderId="10" applyAlignment="1" pivotButton="0" quotePrefix="0" xfId="27">
      <alignment vertical="center"/>
    </xf>
    <xf numFmtId="166" fontId="114" fillId="0" borderId="0" applyAlignment="1" pivotButton="0" quotePrefix="0" xfId="27">
      <alignment horizontal="right" vertical="center"/>
    </xf>
    <xf numFmtId="166" fontId="114" fillId="0" borderId="10" applyAlignment="1" pivotButton="0" quotePrefix="0" xfId="27">
      <alignment horizontal="right" vertical="center"/>
    </xf>
    <xf numFmtId="166" fontId="114" fillId="0" borderId="6" applyAlignment="1" pivotButton="0" quotePrefix="0" xfId="27">
      <alignment horizontal="right" vertical="center"/>
    </xf>
    <xf numFmtId="0" fontId="114" fillId="0" borderId="0" applyAlignment="1" pivotButton="0" quotePrefix="0" xfId="27">
      <alignment horizontal="left" vertical="center" indent="1"/>
    </xf>
    <xf numFmtId="0" fontId="114" fillId="0" borderId="4" applyAlignment="1" pivotButton="0" quotePrefix="0" xfId="27">
      <alignment horizontal="left" vertical="center" indent="1"/>
    </xf>
    <xf numFmtId="0" fontId="114" fillId="11" borderId="4" applyAlignment="1" pivotButton="0" quotePrefix="0" xfId="27">
      <alignment vertical="center"/>
    </xf>
    <xf numFmtId="0" fontId="114" fillId="11" borderId="11" applyAlignment="1" pivotButton="0" quotePrefix="0" xfId="27">
      <alignment vertical="center"/>
    </xf>
    <xf numFmtId="166" fontId="114" fillId="0" borderId="4" applyAlignment="1" pivotButton="0" quotePrefix="0" xfId="27">
      <alignment horizontal="right" vertical="center"/>
    </xf>
    <xf numFmtId="166" fontId="114" fillId="0" borderId="11" applyAlignment="1" pivotButton="0" quotePrefix="0" xfId="27">
      <alignment horizontal="right" vertical="center"/>
    </xf>
    <xf numFmtId="166" fontId="114" fillId="0" borderId="7" applyAlignment="1" pivotButton="0" quotePrefix="0" xfId="27">
      <alignment horizontal="right" vertical="center"/>
    </xf>
    <xf numFmtId="166" fontId="114" fillId="11" borderId="0" applyAlignment="1" pivotButton="0" quotePrefix="0" xfId="27">
      <alignment horizontal="right" vertical="center"/>
    </xf>
    <xf numFmtId="166" fontId="114" fillId="11" borderId="10" applyAlignment="1" pivotButton="0" quotePrefix="0" xfId="27">
      <alignment horizontal="right" vertical="center"/>
    </xf>
    <xf numFmtId="0" fontId="107" fillId="5" borderId="3" applyAlignment="1" pivotButton="0" quotePrefix="0" xfId="27">
      <alignment vertical="center"/>
    </xf>
    <xf numFmtId="166" fontId="107" fillId="5" borderId="3" applyAlignment="1" pivotButton="0" quotePrefix="0" xfId="27">
      <alignment horizontal="right" vertical="center"/>
    </xf>
    <xf numFmtId="166" fontId="107" fillId="5" borderId="27" applyAlignment="1" pivotButton="0" quotePrefix="0" xfId="27">
      <alignment horizontal="right" vertical="center"/>
    </xf>
    <xf numFmtId="166" fontId="107" fillId="5" borderId="49" applyAlignment="1" pivotButton="0" quotePrefix="0" xfId="27">
      <alignment horizontal="right" vertical="center"/>
    </xf>
    <xf numFmtId="0" fontId="0" fillId="0" borderId="0" applyAlignment="1" pivotButton="0" quotePrefix="0" xfId="0">
      <alignment vertical="center"/>
    </xf>
    <xf numFmtId="0" fontId="114" fillId="0" borderId="0" applyAlignment="1" pivotButton="0" quotePrefix="0" xfId="0">
      <alignment vertical="center"/>
    </xf>
    <xf numFmtId="0" fontId="114" fillId="11" borderId="0" applyAlignment="1" pivotButton="0" quotePrefix="0" xfId="0">
      <alignment vertical="center"/>
    </xf>
    <xf numFmtId="0" fontId="114" fillId="11" borderId="10" applyAlignment="1" pivotButton="0" quotePrefix="0" xfId="0">
      <alignment vertical="center"/>
    </xf>
    <xf numFmtId="166" fontId="114" fillId="0" borderId="0" applyAlignment="1" pivotButton="0" quotePrefix="0" xfId="0">
      <alignment horizontal="right" vertical="center"/>
    </xf>
    <xf numFmtId="166" fontId="114" fillId="0" borderId="10" applyAlignment="1" pivotButton="0" quotePrefix="0" xfId="0">
      <alignment horizontal="right" vertical="center"/>
    </xf>
    <xf numFmtId="166" fontId="114" fillId="0" borderId="6" applyAlignment="1" pivotButton="0" quotePrefix="0" xfId="0">
      <alignment horizontal="right" vertical="center"/>
    </xf>
    <xf numFmtId="0" fontId="114" fillId="0" borderId="0" applyAlignment="1" pivotButton="0" quotePrefix="0" xfId="0">
      <alignment horizontal="left" vertical="center" indent="1"/>
    </xf>
    <xf numFmtId="0" fontId="114" fillId="0" borderId="4" applyAlignment="1" pivotButton="0" quotePrefix="0" xfId="0">
      <alignment horizontal="left" vertical="center" indent="1"/>
    </xf>
    <xf numFmtId="0" fontId="114" fillId="11" borderId="4" applyAlignment="1" pivotButton="0" quotePrefix="0" xfId="0">
      <alignment vertical="center"/>
    </xf>
    <xf numFmtId="0" fontId="114" fillId="11" borderId="11" applyAlignment="1" pivotButton="0" quotePrefix="0" xfId="0">
      <alignment vertical="center"/>
    </xf>
    <xf numFmtId="166" fontId="114" fillId="0" borderId="4" applyAlignment="1" pivotButton="0" quotePrefix="0" xfId="0">
      <alignment horizontal="right" vertical="center"/>
    </xf>
    <xf numFmtId="166" fontId="114" fillId="0" borderId="7" applyAlignment="1" pivotButton="0" quotePrefix="0" xfId="0">
      <alignment horizontal="right" vertical="center"/>
    </xf>
    <xf numFmtId="166" fontId="114" fillId="11" borderId="0" applyAlignment="1" pivotButton="0" quotePrefix="0" xfId="0">
      <alignment horizontal="right" vertical="center"/>
    </xf>
    <xf numFmtId="166" fontId="114" fillId="11" borderId="10" applyAlignment="1" pivotButton="0" quotePrefix="0" xfId="0">
      <alignment horizontal="right" vertical="center"/>
    </xf>
    <xf numFmtId="166" fontId="114" fillId="0" borderId="0" applyAlignment="1" pivotButton="0" quotePrefix="0" xfId="0">
      <alignment vertical="center"/>
    </xf>
    <xf numFmtId="166" fontId="114" fillId="15" borderId="10" applyAlignment="1" pivotButton="0" quotePrefix="0" xfId="0">
      <alignment horizontal="right" vertical="center"/>
    </xf>
    <xf numFmtId="166" fontId="114" fillId="0" borderId="11" applyAlignment="1" pivotButton="0" quotePrefix="0" xfId="0">
      <alignment horizontal="right" vertical="center"/>
    </xf>
    <xf numFmtId="166" fontId="114" fillId="3" borderId="0" applyAlignment="1" pivotButton="0" quotePrefix="0" xfId="4">
      <alignment horizontal="right" vertical="center" wrapText="1"/>
    </xf>
    <xf numFmtId="166" fontId="105" fillId="3" borderId="0" applyAlignment="1" pivotButton="0" quotePrefix="0" xfId="4">
      <alignment horizontal="right" vertical="center"/>
    </xf>
    <xf numFmtId="0" fontId="113" fillId="0" borderId="0" applyAlignment="1" pivotButton="0" quotePrefix="0" xfId="27">
      <alignment vertical="center"/>
    </xf>
    <xf numFmtId="166" fontId="113" fillId="0" borderId="0" applyAlignment="1" pivotButton="0" quotePrefix="0" xfId="27">
      <alignment horizontal="right" vertical="center"/>
    </xf>
    <xf numFmtId="166" fontId="113" fillId="0" borderId="0" applyAlignment="1" pivotButton="0" quotePrefix="0" xfId="27">
      <alignment vertical="center"/>
    </xf>
    <xf numFmtId="0" fontId="113" fillId="0" borderId="0" applyAlignment="1" pivotButton="0" quotePrefix="0" xfId="0">
      <alignment vertical="center"/>
    </xf>
    <xf numFmtId="166" fontId="113" fillId="0" borderId="0" applyAlignment="1" pivotButton="0" quotePrefix="0" xfId="0">
      <alignment horizontal="right" vertical="center"/>
    </xf>
    <xf numFmtId="166" fontId="113" fillId="0" borderId="0" applyAlignment="1" pivotButton="0" quotePrefix="0" xfId="0">
      <alignment vertical="center"/>
    </xf>
    <xf numFmtId="0" fontId="82" fillId="0" borderId="0" pivotButton="0" quotePrefix="0" xfId="0"/>
    <xf numFmtId="0" fontId="82" fillId="2" borderId="0" applyAlignment="1" pivotButton="0" quotePrefix="0" xfId="0">
      <alignment horizontal="left"/>
    </xf>
    <xf numFmtId="0" fontId="82" fillId="0" borderId="0" applyAlignment="1" pivotButton="0" quotePrefix="0" xfId="0">
      <alignment horizontal="left"/>
    </xf>
    <xf numFmtId="0" fontId="105" fillId="3" borderId="0" pivotButton="0" quotePrefix="0" xfId="0"/>
    <xf numFmtId="0" fontId="106" fillId="4" borderId="0" applyAlignment="1" pivotButton="0" quotePrefix="0" xfId="0">
      <alignment horizontal="centerContinuous"/>
    </xf>
    <xf numFmtId="15" fontId="106" fillId="4" borderId="68" applyAlignment="1" pivotButton="0" quotePrefix="0" xfId="0">
      <alignment horizontal="right"/>
    </xf>
    <xf numFmtId="15" fontId="106" fillId="4" borderId="51" applyAlignment="1" pivotButton="0" quotePrefix="0" xfId="0">
      <alignment horizontal="right"/>
    </xf>
    <xf numFmtId="172" fontId="100" fillId="2" borderId="0" applyAlignment="1" pivotButton="0" quotePrefix="0" xfId="0">
      <alignment horizontal="left"/>
    </xf>
    <xf numFmtId="172" fontId="100" fillId="0" borderId="0" applyAlignment="1" pivotButton="0" quotePrefix="0" xfId="0">
      <alignment horizontal="left"/>
    </xf>
    <xf numFmtId="0" fontId="106" fillId="4" borderId="0" applyAlignment="1" pivotButton="0" quotePrefix="0" xfId="0">
      <alignment horizontal="right" wrapText="1"/>
    </xf>
    <xf numFmtId="0" fontId="105" fillId="3" borderId="4" pivotButton="0" quotePrefix="0" xfId="0"/>
    <xf numFmtId="172" fontId="105" fillId="3" borderId="0" pivotButton="0" quotePrefix="0" xfId="0"/>
    <xf numFmtId="172" fontId="105" fillId="3" borderId="4" pivotButton="0" quotePrefix="0" xfId="0"/>
    <xf numFmtId="164" fontId="105" fillId="9" borderId="0" pivotButton="0" quotePrefix="0" xfId="0"/>
    <xf numFmtId="164" fontId="105" fillId="9" borderId="10" pivotButton="0" quotePrefix="0" xfId="0"/>
    <xf numFmtId="164" fontId="105" fillId="9" borderId="6" pivotButton="0" quotePrefix="0" xfId="0"/>
    <xf numFmtId="164" fontId="105" fillId="9" borderId="4" pivotButton="0" quotePrefix="0" xfId="0"/>
    <xf numFmtId="164" fontId="105" fillId="9" borderId="11" pivotButton="0" quotePrefix="0" xfId="0"/>
    <xf numFmtId="164" fontId="105" fillId="9" borderId="7" pivotButton="0" quotePrefix="0" xfId="0"/>
    <xf numFmtId="17" fontId="105" fillId="3" borderId="0" applyAlignment="1" pivotButton="0" quotePrefix="0" xfId="0">
      <alignment horizontal="left" indent="2"/>
    </xf>
    <xf numFmtId="16" fontId="105" fillId="3" borderId="0" applyAlignment="1" pivotButton="0" quotePrefix="0" xfId="0">
      <alignment horizontal="left" indent="2"/>
    </xf>
    <xf numFmtId="0" fontId="0" fillId="2" borderId="0" pivotButton="0" quotePrefix="0" xfId="0"/>
    <xf numFmtId="0" fontId="114" fillId="0" borderId="0" applyAlignment="1" pivotButton="0" quotePrefix="0" xfId="27">
      <alignment horizontal="left" vertical="center"/>
    </xf>
    <xf numFmtId="0" fontId="114" fillId="2" borderId="0" applyAlignment="1" pivotButton="0" quotePrefix="0" xfId="27">
      <alignment horizontal="left" vertical="center"/>
    </xf>
    <xf numFmtId="172" fontId="113" fillId="0" borderId="0" applyAlignment="1" pivotButton="0" quotePrefix="0" xfId="27">
      <alignment vertical="center"/>
    </xf>
    <xf numFmtId="0" fontId="113" fillId="0" borderId="0" applyAlignment="1" pivotButton="0" quotePrefix="0" xfId="27">
      <alignment horizontal="left" vertical="center"/>
    </xf>
    <xf numFmtId="172" fontId="113" fillId="0" borderId="0" applyAlignment="1" pivotButton="0" quotePrefix="0" xfId="27">
      <alignment horizontal="left" vertical="center"/>
    </xf>
    <xf numFmtId="172" fontId="113" fillId="2" borderId="0" applyAlignment="1" pivotButton="0" quotePrefix="0" xfId="27">
      <alignment horizontal="left" vertical="center"/>
    </xf>
    <xf numFmtId="164" fontId="107" fillId="5" borderId="2" applyAlignment="1" pivotButton="0" quotePrefix="0" xfId="27">
      <alignment vertical="center"/>
    </xf>
    <xf numFmtId="164" fontId="107" fillId="5" borderId="2" applyAlignment="1" pivotButton="0" quotePrefix="0" xfId="27">
      <alignment horizontal="left" vertical="center"/>
    </xf>
    <xf numFmtId="0" fontId="107" fillId="5" borderId="2" applyAlignment="1" pivotButton="0" quotePrefix="0" xfId="27">
      <alignment horizontal="left" vertical="center"/>
    </xf>
    <xf numFmtId="164" fontId="105" fillId="3" borderId="4" applyAlignment="1" pivotButton="0" quotePrefix="0" xfId="27">
      <alignment vertical="center"/>
    </xf>
    <xf numFmtId="164" fontId="105" fillId="3" borderId="4" applyAlignment="1" pivotButton="0" quotePrefix="0" xfId="27">
      <alignment horizontal="left" vertical="center"/>
    </xf>
    <xf numFmtId="0" fontId="105" fillId="3" borderId="4" applyAlignment="1" pivotButton="0" quotePrefix="0" xfId="27">
      <alignment horizontal="left" vertical="center"/>
    </xf>
    <xf numFmtId="15" fontId="105" fillId="3" borderId="4" applyAlignment="1" pivotButton="0" quotePrefix="0" xfId="27">
      <alignment horizontal="left" vertical="center"/>
    </xf>
    <xf numFmtId="0" fontId="105" fillId="3" borderId="4" applyAlignment="1" pivotButton="0" quotePrefix="0" xfId="27">
      <alignment horizontal="left" vertical="center" indent="1"/>
    </xf>
    <xf numFmtId="164" fontId="105" fillId="3" borderId="0" applyAlignment="1" pivotButton="0" quotePrefix="0" xfId="27">
      <alignment vertical="center"/>
    </xf>
    <xf numFmtId="164" fontId="105" fillId="3" borderId="0" applyAlignment="1" pivotButton="0" quotePrefix="0" xfId="27">
      <alignment horizontal="left" vertical="center"/>
    </xf>
    <xf numFmtId="15" fontId="105" fillId="3" borderId="0" applyAlignment="1" pivotButton="0" quotePrefix="0" xfId="27">
      <alignment horizontal="left" vertical="center"/>
    </xf>
    <xf numFmtId="0" fontId="105" fillId="3" borderId="0" applyAlignment="1" pivotButton="0" quotePrefix="0" xfId="27">
      <alignment horizontal="left" vertical="center"/>
    </xf>
    <xf numFmtId="0" fontId="105" fillId="3" borderId="0" applyAlignment="1" pivotButton="0" quotePrefix="0" xfId="27">
      <alignment horizontal="left" vertical="center" indent="1"/>
    </xf>
    <xf numFmtId="0" fontId="114" fillId="0" borderId="0" pivotButton="0" quotePrefix="0" xfId="27"/>
    <xf numFmtId="17" fontId="106" fillId="4" borderId="0" applyAlignment="1" pivotButton="0" quotePrefix="0" xfId="27">
      <alignment horizontal="left" wrapText="1"/>
    </xf>
    <xf numFmtId="0" fontId="106" fillId="4" borderId="0" applyAlignment="1" pivotButton="0" quotePrefix="0" xfId="27">
      <alignment horizontal="left" wrapText="1"/>
    </xf>
    <xf numFmtId="17" fontId="106" fillId="4" borderId="0" applyAlignment="1" pivotButton="0" quotePrefix="0" xfId="27">
      <alignment horizontal="left"/>
    </xf>
    <xf numFmtId="0" fontId="106" fillId="4" borderId="0" applyAlignment="1" pivotButton="0" quotePrefix="0" xfId="27">
      <alignment horizontal="left"/>
    </xf>
    <xf numFmtId="0" fontId="114" fillId="0" borderId="0" applyAlignment="1" pivotButton="0" quotePrefix="0" xfId="27">
      <alignment horizontal="left"/>
    </xf>
    <xf numFmtId="0" fontId="114" fillId="2" borderId="0" applyAlignment="1" pivotButton="0" quotePrefix="0" xfId="27">
      <alignment horizontal="left"/>
    </xf>
    <xf numFmtId="0" fontId="104" fillId="0" borderId="0" applyAlignment="1" pivotButton="0" quotePrefix="0" xfId="27">
      <alignment horizontal="left"/>
    </xf>
    <xf numFmtId="0" fontId="103" fillId="0" borderId="0" applyAlignment="1" pivotButton="0" quotePrefix="0" xfId="27">
      <alignment horizontal="left"/>
    </xf>
    <xf numFmtId="0" fontId="102" fillId="0" borderId="0" applyAlignment="1" pivotButton="0" quotePrefix="0" xfId="27">
      <alignment horizontal="left"/>
    </xf>
    <xf numFmtId="0" fontId="101" fillId="0" borderId="0" applyAlignment="1" pivotButton="0" quotePrefix="0" xfId="27">
      <alignment horizontal="left"/>
    </xf>
    <xf numFmtId="0" fontId="101" fillId="0" borderId="0" applyAlignment="1" pivotButton="0" quotePrefix="0" xfId="30">
      <alignment horizontal="left"/>
    </xf>
    <xf numFmtId="0" fontId="81" fillId="0" borderId="0" pivotButton="0" quotePrefix="0" xfId="30"/>
    <xf numFmtId="0" fontId="81" fillId="0" borderId="0" applyAlignment="1" pivotButton="0" quotePrefix="0" xfId="30">
      <alignment horizontal="left"/>
    </xf>
    <xf numFmtId="0" fontId="102" fillId="0" borderId="0" applyAlignment="1" pivotButton="0" quotePrefix="0" xfId="30">
      <alignment horizontal="left"/>
    </xf>
    <xf numFmtId="0" fontId="103" fillId="0" borderId="0" applyAlignment="1" pivotButton="0" quotePrefix="0" xfId="30">
      <alignment horizontal="left"/>
    </xf>
    <xf numFmtId="0" fontId="104" fillId="0" borderId="0" applyAlignment="1" pivotButton="0" quotePrefix="0" xfId="30">
      <alignment horizontal="left"/>
    </xf>
    <xf numFmtId="0" fontId="106" fillId="4" borderId="0" applyAlignment="1" pivotButton="0" quotePrefix="0" xfId="30">
      <alignment horizontal="left"/>
    </xf>
    <xf numFmtId="164" fontId="105" fillId="3" borderId="0" pivotButton="0" quotePrefix="0" xfId="30"/>
    <xf numFmtId="164" fontId="105" fillId="3" borderId="4" pivotButton="0" quotePrefix="0" xfId="30"/>
    <xf numFmtId="0" fontId="81" fillId="2" borderId="0" applyAlignment="1" pivotButton="0" quotePrefix="0" xfId="30">
      <alignment horizontal="left"/>
    </xf>
    <xf numFmtId="0" fontId="100" fillId="2" borderId="0" applyAlignment="1" pivotButton="0" quotePrefix="0" xfId="30">
      <alignment horizontal="left"/>
    </xf>
    <xf numFmtId="0" fontId="100" fillId="0" borderId="0" applyAlignment="1" pivotButton="0" quotePrefix="0" xfId="30">
      <alignment horizontal="left"/>
    </xf>
    <xf numFmtId="15" fontId="100" fillId="0" borderId="0" pivotButton="0" quotePrefix="0" xfId="30"/>
    <xf numFmtId="0" fontId="100" fillId="0" borderId="6" applyAlignment="1" pivotButton="0" quotePrefix="0" xfId="30">
      <alignment horizontal="left"/>
    </xf>
    <xf numFmtId="172" fontId="100" fillId="0" borderId="0" pivotButton="0" quotePrefix="0" xfId="30"/>
    <xf numFmtId="0" fontId="100" fillId="0" borderId="0" pivotButton="0" quotePrefix="0" xfId="30"/>
    <xf numFmtId="164" fontId="105" fillId="3" borderId="6" applyAlignment="1" pivotButton="0" quotePrefix="0" xfId="27">
      <alignment vertical="center"/>
    </xf>
    <xf numFmtId="164" fontId="105" fillId="3" borderId="7" applyAlignment="1" pivotButton="0" quotePrefix="0" xfId="27">
      <alignment vertical="center"/>
    </xf>
    <xf numFmtId="164" fontId="107" fillId="5" borderId="8" applyAlignment="1" pivotButton="0" quotePrefix="0" xfId="27">
      <alignment vertical="center"/>
    </xf>
    <xf numFmtId="164" fontId="105" fillId="3" borderId="69" pivotButton="0" quotePrefix="0" xfId="0"/>
    <xf numFmtId="164" fontId="105" fillId="3" borderId="70" pivotButton="0" quotePrefix="0" xfId="0"/>
    <xf numFmtId="164" fontId="107" fillId="5" borderId="74" pivotButton="0" quotePrefix="0" xfId="0"/>
    <xf numFmtId="0" fontId="100" fillId="0" borderId="0" applyAlignment="1" pivotButton="0" quotePrefix="0" xfId="0">
      <alignment vertical="center"/>
    </xf>
    <xf numFmtId="166" fontId="100" fillId="0" borderId="0" applyAlignment="1" pivotButton="0" quotePrefix="0" xfId="0">
      <alignment vertical="center"/>
    </xf>
    <xf numFmtId="166" fontId="100" fillId="0" borderId="0" applyAlignment="1" pivotButton="0" quotePrefix="0" xfId="0">
      <alignment horizontal="right" vertical="center"/>
    </xf>
    <xf numFmtId="17" fontId="108" fillId="6" borderId="13" applyAlignment="1" pivotButton="0" quotePrefix="0" xfId="0">
      <alignment horizontal="centerContinuous" wrapText="1"/>
    </xf>
    <xf numFmtId="17" fontId="108" fillId="6" borderId="33" applyAlignment="1" pivotButton="0" quotePrefix="0" xfId="0">
      <alignment horizontal="right"/>
    </xf>
    <xf numFmtId="0" fontId="114" fillId="3" borderId="10" applyAlignment="1" pivotButton="0" quotePrefix="0" xfId="27">
      <alignment vertical="center"/>
    </xf>
    <xf numFmtId="166" fontId="114" fillId="3" borderId="10" applyAlignment="1" pivotButton="0" quotePrefix="0" xfId="27">
      <alignment horizontal="right" vertical="center"/>
    </xf>
    <xf numFmtId="166" fontId="114" fillId="3" borderId="6" applyAlignment="1" pivotButton="0" quotePrefix="0" xfId="27">
      <alignment horizontal="right" vertical="center"/>
    </xf>
    <xf numFmtId="0" fontId="114" fillId="3" borderId="4" applyAlignment="1" pivotButton="0" quotePrefix="0" xfId="27">
      <alignment horizontal="left" vertical="center" indent="1"/>
    </xf>
    <xf numFmtId="0" fontId="114" fillId="3" borderId="4" applyAlignment="1" pivotButton="0" quotePrefix="0" xfId="27">
      <alignment vertical="center"/>
    </xf>
    <xf numFmtId="0" fontId="114" fillId="3" borderId="11" applyAlignment="1" pivotButton="0" quotePrefix="0" xfId="27">
      <alignment vertical="center"/>
    </xf>
    <xf numFmtId="166" fontId="114" fillId="3" borderId="4" applyAlignment="1" pivotButton="0" quotePrefix="0" xfId="27">
      <alignment horizontal="right" vertical="center"/>
    </xf>
    <xf numFmtId="166" fontId="114" fillId="3" borderId="7" applyAlignment="1" pivotButton="0" quotePrefix="0" xfId="27">
      <alignment horizontal="right" vertical="center"/>
    </xf>
    <xf numFmtId="0" fontId="113" fillId="3" borderId="4" applyAlignment="1" pivotButton="0" quotePrefix="0" xfId="27">
      <alignment vertical="center"/>
    </xf>
    <xf numFmtId="166" fontId="113" fillId="3" borderId="4" applyAlignment="1" pivotButton="0" quotePrefix="0" xfId="27">
      <alignment horizontal="right" vertical="center"/>
    </xf>
    <xf numFmtId="0" fontId="113" fillId="0" borderId="0" applyAlignment="1" pivotButton="0" quotePrefix="0" xfId="27">
      <alignment horizontal="left" vertical="center" indent="1"/>
    </xf>
    <xf numFmtId="0" fontId="113" fillId="3" borderId="4" applyAlignment="1" pivotButton="0" quotePrefix="0" xfId="27">
      <alignment horizontal="left" vertical="center" indent="1"/>
    </xf>
    <xf numFmtId="0" fontId="114" fillId="3" borderId="10" applyAlignment="1" pivotButton="0" quotePrefix="0" xfId="0">
      <alignment vertical="center"/>
    </xf>
    <xf numFmtId="166" fontId="114" fillId="3" borderId="10" applyAlignment="1" pivotButton="0" quotePrefix="0" xfId="0">
      <alignment horizontal="right" vertical="center"/>
    </xf>
    <xf numFmtId="166" fontId="114" fillId="3" borderId="6" applyAlignment="1" pivotButton="0" quotePrefix="0" xfId="0">
      <alignment horizontal="right" vertical="center"/>
    </xf>
    <xf numFmtId="0" fontId="114" fillId="3" borderId="4" applyAlignment="1" pivotButton="0" quotePrefix="0" xfId="0">
      <alignment horizontal="left" vertical="center" indent="1"/>
    </xf>
    <xf numFmtId="0" fontId="114" fillId="3" borderId="4" applyAlignment="1" pivotButton="0" quotePrefix="0" xfId="0">
      <alignment vertical="center"/>
    </xf>
    <xf numFmtId="0" fontId="114" fillId="3" borderId="11" applyAlignment="1" pivotButton="0" quotePrefix="0" xfId="0">
      <alignment vertical="center"/>
    </xf>
    <xf numFmtId="166" fontId="114" fillId="3" borderId="4" applyAlignment="1" pivotButton="0" quotePrefix="0" xfId="0">
      <alignment horizontal="right" vertical="center"/>
    </xf>
    <xf numFmtId="166" fontId="114" fillId="3" borderId="11" applyAlignment="1" pivotButton="0" quotePrefix="0" xfId="0">
      <alignment horizontal="right" vertical="center"/>
    </xf>
    <xf numFmtId="166" fontId="114" fillId="3" borderId="7" applyAlignment="1" pivotButton="0" quotePrefix="0" xfId="0">
      <alignment horizontal="right" vertical="center"/>
    </xf>
    <xf numFmtId="0" fontId="113" fillId="3" borderId="4" applyAlignment="1" pivotButton="0" quotePrefix="0" xfId="0">
      <alignment vertical="center"/>
    </xf>
    <xf numFmtId="166" fontId="113" fillId="3" borderId="4" applyAlignment="1" pivotButton="0" quotePrefix="0" xfId="0">
      <alignment horizontal="right" vertical="center"/>
    </xf>
    <xf numFmtId="0" fontId="114" fillId="0" borderId="0" applyAlignment="1" pivotButton="0" quotePrefix="0" xfId="0">
      <alignment horizontal="left" vertical="center"/>
    </xf>
    <xf numFmtId="0" fontId="114" fillId="0" borderId="10" applyAlignment="1" pivotButton="0" quotePrefix="0" xfId="0">
      <alignment vertical="center"/>
    </xf>
    <xf numFmtId="0" fontId="100" fillId="3" borderId="4" applyAlignment="1" pivotButton="0" quotePrefix="0" xfId="0">
      <alignment vertical="center"/>
    </xf>
    <xf numFmtId="166" fontId="113" fillId="0" borderId="4" applyAlignment="1" pivotButton="0" quotePrefix="0" xfId="0">
      <alignment horizontal="right" vertical="center"/>
    </xf>
    <xf numFmtId="0" fontId="114" fillId="3" borderId="0" applyAlignment="1" pivotButton="0" quotePrefix="0" xfId="0">
      <alignment horizontal="left" vertical="center" indent="1"/>
    </xf>
    <xf numFmtId="0" fontId="114" fillId="3" borderId="0" applyAlignment="1" pivotButton="0" quotePrefix="0" xfId="0">
      <alignment vertical="center"/>
    </xf>
    <xf numFmtId="166" fontId="114" fillId="3" borderId="0" applyAlignment="1" pivotButton="0" quotePrefix="0" xfId="0">
      <alignment horizontal="right" vertical="center"/>
    </xf>
    <xf numFmtId="0" fontId="114" fillId="3" borderId="0" applyAlignment="1" pivotButton="0" quotePrefix="0" xfId="27">
      <alignment horizontal="left" vertical="center" indent="1"/>
    </xf>
    <xf numFmtId="0" fontId="114" fillId="3" borderId="0" applyAlignment="1" pivotButton="0" quotePrefix="0" xfId="27">
      <alignment vertical="center"/>
    </xf>
    <xf numFmtId="166" fontId="114" fillId="3" borderId="0" applyAlignment="1" pivotButton="0" quotePrefix="0" xfId="27">
      <alignment horizontal="right" vertical="center"/>
    </xf>
    <xf numFmtId="172" fontId="100" fillId="3" borderId="4" pivotButton="0" quotePrefix="0" xfId="0"/>
    <xf numFmtId="0" fontId="100" fillId="3" borderId="4" applyAlignment="1" pivotButton="0" quotePrefix="0" xfId="0">
      <alignment horizontal="left" indent="1"/>
    </xf>
    <xf numFmtId="0" fontId="100" fillId="3" borderId="4" pivotButton="0" quotePrefix="0" xfId="0"/>
    <xf numFmtId="17" fontId="106" fillId="4" borderId="28" applyAlignment="1" pivotButton="0" quotePrefix="0" xfId="0">
      <alignment horizontal="centerContinuous"/>
    </xf>
    <xf numFmtId="0" fontId="118" fillId="3" borderId="1" pivotButton="0" quotePrefix="0" xfId="0"/>
    <xf numFmtId="15" fontId="106" fillId="4" borderId="45" applyAlignment="1" pivotButton="0" quotePrefix="0" xfId="0">
      <alignment horizontal="right"/>
    </xf>
    <xf numFmtId="15" fontId="106" fillId="4" borderId="51" applyAlignment="1" pivotButton="0" quotePrefix="0" xfId="0">
      <alignment horizontal="right" wrapText="1"/>
    </xf>
    <xf numFmtId="15" fontId="106" fillId="4" borderId="36" applyAlignment="1" pivotButton="0" quotePrefix="0" xfId="0">
      <alignment horizontal="right"/>
    </xf>
    <xf numFmtId="164" fontId="105" fillId="3" borderId="38" pivotButton="0" quotePrefix="0" xfId="30"/>
    <xf numFmtId="164" fontId="105" fillId="3" borderId="40" pivotButton="0" quotePrefix="0" xfId="30"/>
    <xf numFmtId="17" fontId="106" fillId="4" borderId="45" applyAlignment="1" pivotButton="0" quotePrefix="0" xfId="30">
      <alignment horizontal="right"/>
    </xf>
    <xf numFmtId="17" fontId="106" fillId="4" borderId="68" applyAlignment="1" pivotButton="0" quotePrefix="0" xfId="30">
      <alignment horizontal="right"/>
    </xf>
    <xf numFmtId="17" fontId="106" fillId="4" borderId="36" applyAlignment="1" pivotButton="0" quotePrefix="0" xfId="30">
      <alignment horizontal="right" wrapText="1"/>
    </xf>
    <xf numFmtId="17" fontId="106" fillId="4" borderId="51" applyAlignment="1" pivotButton="0" quotePrefix="0" xfId="30">
      <alignment horizontal="right" wrapText="1"/>
    </xf>
    <xf numFmtId="17" fontId="106" fillId="4" borderId="0" applyAlignment="1" pivotButton="0" quotePrefix="0" xfId="30">
      <alignment horizontal="centerContinuous"/>
    </xf>
    <xf numFmtId="17" fontId="106" fillId="4" borderId="14" applyAlignment="1" pivotButton="0" quotePrefix="0" xfId="30">
      <alignment horizontal="centerContinuous"/>
    </xf>
    <xf numFmtId="17" fontId="106" fillId="4" borderId="14" applyAlignment="1" pivotButton="0" quotePrefix="0" xfId="30">
      <alignment horizontal="centerContinuous" wrapText="1"/>
    </xf>
    <xf numFmtId="17" fontId="106" fillId="17" borderId="0" applyAlignment="1" pivotButton="0" quotePrefix="0" xfId="30">
      <alignment horizontal="centerContinuous"/>
    </xf>
    <xf numFmtId="17" fontId="106" fillId="17" borderId="14" applyAlignment="1" pivotButton="0" quotePrefix="0" xfId="30">
      <alignment horizontal="centerContinuous"/>
    </xf>
    <xf numFmtId="17" fontId="106" fillId="17" borderId="14" applyAlignment="1" pivotButton="0" quotePrefix="0" xfId="30">
      <alignment horizontal="centerContinuous" wrapText="1"/>
    </xf>
    <xf numFmtId="17" fontId="106" fillId="17" borderId="45" applyAlignment="1" pivotButton="0" quotePrefix="0" xfId="30">
      <alignment horizontal="right"/>
    </xf>
    <xf numFmtId="17" fontId="106" fillId="17" borderId="68" applyAlignment="1" pivotButton="0" quotePrefix="0" xfId="30">
      <alignment horizontal="right"/>
    </xf>
    <xf numFmtId="17" fontId="106" fillId="17" borderId="51" applyAlignment="1" pivotButton="0" quotePrefix="0" xfId="30">
      <alignment horizontal="right" wrapText="1"/>
    </xf>
    <xf numFmtId="0" fontId="98" fillId="2" borderId="0" applyAlignment="1" pivotButton="0" quotePrefix="0" xfId="30">
      <alignment horizontal="left"/>
    </xf>
    <xf numFmtId="0" fontId="98" fillId="0" borderId="0" applyAlignment="1" pivotButton="0" quotePrefix="0" xfId="30">
      <alignment horizontal="left"/>
    </xf>
    <xf numFmtId="0" fontId="98" fillId="0" borderId="0" pivotButton="0" quotePrefix="0" xfId="30"/>
    <xf numFmtId="167" fontId="109" fillId="3" borderId="0" applyAlignment="1" pivotButton="0" quotePrefix="0" xfId="30">
      <alignment horizontal="right"/>
    </xf>
    <xf numFmtId="167" fontId="109" fillId="3" borderId="4" applyAlignment="1" pivotButton="0" quotePrefix="0" xfId="30">
      <alignment horizontal="right"/>
    </xf>
    <xf numFmtId="164" fontId="105" fillId="3" borderId="5" pivotButton="0" quotePrefix="0" xfId="30"/>
    <xf numFmtId="164" fontId="105" fillId="3" borderId="24" pivotButton="0" quotePrefix="0" xfId="30"/>
    <xf numFmtId="0" fontId="107" fillId="5" borderId="3" applyAlignment="1" pivotButton="0" quotePrefix="0" xfId="30">
      <alignment vertical="center"/>
    </xf>
    <xf numFmtId="0" fontId="107" fillId="5" borderId="3" applyAlignment="1" pivotButton="0" quotePrefix="0" xfId="30">
      <alignment horizontal="left" vertical="center"/>
    </xf>
    <xf numFmtId="166" fontId="107" fillId="5" borderId="3" applyAlignment="1" pivotButton="0" quotePrefix="0" xfId="30">
      <alignment horizontal="right" vertical="center"/>
    </xf>
    <xf numFmtId="164" fontId="107" fillId="5" borderId="3" applyAlignment="1" pivotButton="0" quotePrefix="0" xfId="30">
      <alignment vertical="center"/>
    </xf>
    <xf numFmtId="164" fontId="107" fillId="5" borderId="75" applyAlignment="1" pivotButton="0" quotePrefix="0" xfId="30">
      <alignment vertical="center"/>
    </xf>
    <xf numFmtId="0" fontId="107" fillId="5" borderId="2" pivotButton="0" quotePrefix="0" xfId="0"/>
    <xf numFmtId="172" fontId="107" fillId="5" borderId="2" pivotButton="0" quotePrefix="0" xfId="0"/>
    <xf numFmtId="167" fontId="110" fillId="5" borderId="3" applyAlignment="1" pivotButton="0" quotePrefix="0" xfId="30">
      <alignment horizontal="right" vertical="center"/>
    </xf>
    <xf numFmtId="0" fontId="105" fillId="3" borderId="0" applyAlignment="1" pivotButton="0" quotePrefix="0" xfId="27">
      <alignment horizontal="left" vertical="center" indent="2"/>
    </xf>
    <xf numFmtId="0" fontId="105" fillId="3" borderId="4" applyAlignment="1" pivotButton="0" quotePrefix="0" xfId="27">
      <alignment horizontal="left" vertical="center" indent="2"/>
    </xf>
    <xf numFmtId="0" fontId="106" fillId="4" borderId="0" applyAlignment="1" pivotButton="0" quotePrefix="0" xfId="27">
      <alignment horizontal="left" vertical="center"/>
    </xf>
    <xf numFmtId="164" fontId="106" fillId="4" borderId="0" applyAlignment="1" pivotButton="0" quotePrefix="0" xfId="27">
      <alignment horizontal="left" vertical="center"/>
    </xf>
    <xf numFmtId="17" fontId="106" fillId="4" borderId="45" applyAlignment="1" pivotButton="0" quotePrefix="0" xfId="27">
      <alignment horizontal="right"/>
    </xf>
    <xf numFmtId="17" fontId="106" fillId="4" borderId="36" applyAlignment="1" pivotButton="0" quotePrefix="0" xfId="27">
      <alignment horizontal="right" wrapText="1"/>
    </xf>
    <xf numFmtId="17" fontId="106" fillId="4" borderId="45" applyAlignment="1" pivotButton="0" quotePrefix="0" xfId="27">
      <alignment horizontal="right" wrapText="1"/>
    </xf>
    <xf numFmtId="164" fontId="106" fillId="4" borderId="0" applyAlignment="1" pivotButton="0" quotePrefix="0" xfId="27">
      <alignment horizontal="centerContinuous" vertical="center"/>
    </xf>
    <xf numFmtId="164" fontId="106" fillId="17" borderId="0" applyAlignment="1" pivotButton="0" quotePrefix="0" xfId="27">
      <alignment horizontal="centerContinuous" vertical="center"/>
    </xf>
    <xf numFmtId="17" fontId="106" fillId="17" borderId="45" applyAlignment="1" pivotButton="0" quotePrefix="0" xfId="27">
      <alignment horizontal="right"/>
    </xf>
    <xf numFmtId="17" fontId="106" fillId="17" borderId="36" applyAlignment="1" pivotButton="0" quotePrefix="0" xfId="27">
      <alignment horizontal="right" wrapText="1"/>
    </xf>
    <xf numFmtId="17" fontId="106" fillId="17" borderId="45" applyAlignment="1" pivotButton="0" quotePrefix="0" xfId="27">
      <alignment horizontal="right" wrapText="1"/>
    </xf>
    <xf numFmtId="167" fontId="109" fillId="3" borderId="0" applyAlignment="1" pivotButton="0" quotePrefix="0" xfId="27">
      <alignment horizontal="right" vertical="center"/>
    </xf>
    <xf numFmtId="167" fontId="109" fillId="3" borderId="6" applyAlignment="1" pivotButton="0" quotePrefix="0" xfId="27">
      <alignment horizontal="right" vertical="center"/>
    </xf>
    <xf numFmtId="167" fontId="109" fillId="3" borderId="4" applyAlignment="1" pivotButton="0" quotePrefix="0" xfId="27">
      <alignment horizontal="right" vertical="center"/>
    </xf>
    <xf numFmtId="167" fontId="109" fillId="3" borderId="7" applyAlignment="1" pivotButton="0" quotePrefix="0" xfId="27">
      <alignment horizontal="right" vertical="center"/>
    </xf>
    <xf numFmtId="167" fontId="110" fillId="5" borderId="2" applyAlignment="1" pivotButton="0" quotePrefix="0" xfId="27">
      <alignment horizontal="right" vertical="center"/>
    </xf>
    <xf numFmtId="167" fontId="110" fillId="5" borderId="8" applyAlignment="1" pivotButton="0" quotePrefix="0" xfId="27">
      <alignment horizontal="right" vertical="center"/>
    </xf>
    <xf numFmtId="172" fontId="114" fillId="3" borderId="11" pivotButton="0" quotePrefix="0" xfId="8"/>
    <xf numFmtId="41" fontId="105" fillId="0" borderId="0" pivotButton="0" quotePrefix="0" xfId="0"/>
    <xf numFmtId="0" fontId="97" fillId="3" borderId="66" applyAlignment="1" pivotButton="0" quotePrefix="0" xfId="5">
      <alignment horizontal="center" vertical="center"/>
    </xf>
    <xf numFmtId="0" fontId="97" fillId="6" borderId="0" applyAlignment="1" pivotButton="0" quotePrefix="0" xfId="4">
      <alignment horizontal="center" vertical="center"/>
    </xf>
    <xf numFmtId="41" fontId="98" fillId="0" borderId="0" pivotButton="0" quotePrefix="0" xfId="0"/>
    <xf numFmtId="166" fontId="98" fillId="0" borderId="72" applyAlignment="1" pivotButton="0" quotePrefix="0" xfId="0">
      <alignment horizontal="right"/>
    </xf>
    <xf numFmtId="9" fontId="98" fillId="0" borderId="72" pivotButton="0" quotePrefix="0" xfId="0"/>
    <xf numFmtId="0" fontId="80" fillId="2" borderId="0" applyAlignment="1" pivotButton="0" quotePrefix="0" xfId="32">
      <alignment horizontal="left"/>
    </xf>
    <xf numFmtId="0" fontId="101" fillId="0" borderId="0" applyAlignment="1" pivotButton="0" quotePrefix="0" xfId="32">
      <alignment horizontal="left"/>
    </xf>
    <xf numFmtId="0" fontId="80" fillId="0" borderId="0" pivotButton="0" quotePrefix="0" xfId="32"/>
    <xf numFmtId="0" fontId="80" fillId="0" borderId="0" applyAlignment="1" pivotButton="0" quotePrefix="0" xfId="32">
      <alignment horizontal="left"/>
    </xf>
    <xf numFmtId="49" fontId="80" fillId="0" borderId="0" applyAlignment="1" pivotButton="0" quotePrefix="0" xfId="32">
      <alignment horizontal="left"/>
    </xf>
    <xf numFmtId="0" fontId="102" fillId="0" borderId="0" applyAlignment="1" pivotButton="0" quotePrefix="0" xfId="32">
      <alignment horizontal="left"/>
    </xf>
    <xf numFmtId="0" fontId="103" fillId="0" borderId="0" applyAlignment="1" pivotButton="0" quotePrefix="0" xfId="32">
      <alignment horizontal="left"/>
    </xf>
    <xf numFmtId="0" fontId="104" fillId="0" borderId="0" applyAlignment="1" pivotButton="0" quotePrefix="0" xfId="32">
      <alignment horizontal="left"/>
    </xf>
    <xf numFmtId="0" fontId="106" fillId="4" borderId="0" applyAlignment="1" pivotButton="0" quotePrefix="0" xfId="32">
      <alignment horizontal="left"/>
    </xf>
    <xf numFmtId="17" fontId="106" fillId="4" borderId="0" applyAlignment="1" pivotButton="0" quotePrefix="0" xfId="32">
      <alignment horizontal="left"/>
    </xf>
    <xf numFmtId="49" fontId="106" fillId="4" borderId="0" applyAlignment="1" pivotButton="0" quotePrefix="0" xfId="32">
      <alignment horizontal="left"/>
    </xf>
    <xf numFmtId="17" fontId="106" fillId="4" borderId="14" applyAlignment="1" pivotButton="0" quotePrefix="0" xfId="32">
      <alignment horizontal="centerContinuous"/>
    </xf>
    <xf numFmtId="17" fontId="106" fillId="4" borderId="0" applyAlignment="1" pivotButton="0" quotePrefix="0" xfId="32">
      <alignment horizontal="centerContinuous"/>
    </xf>
    <xf numFmtId="0" fontId="80" fillId="2" borderId="0" applyAlignment="1" pivotButton="0" quotePrefix="0" xfId="32">
      <alignment horizontal="left" vertical="top"/>
    </xf>
    <xf numFmtId="0" fontId="80" fillId="0" borderId="0" applyAlignment="1" pivotButton="0" quotePrefix="0" xfId="32">
      <alignment horizontal="left" vertical="top"/>
    </xf>
    <xf numFmtId="0" fontId="80" fillId="0" borderId="0" applyAlignment="1" pivotButton="0" quotePrefix="0" xfId="32">
      <alignment vertical="top"/>
    </xf>
    <xf numFmtId="0" fontId="98" fillId="2" borderId="0" applyAlignment="1" pivotButton="0" quotePrefix="0" xfId="32">
      <alignment vertical="top"/>
    </xf>
    <xf numFmtId="0" fontId="98" fillId="0" borderId="0" applyAlignment="1" pivotButton="0" quotePrefix="0" xfId="32">
      <alignment vertical="top"/>
    </xf>
    <xf numFmtId="0" fontId="107" fillId="5" borderId="3" applyAlignment="1" pivotButton="0" quotePrefix="0" xfId="32">
      <alignment vertical="top"/>
    </xf>
    <xf numFmtId="168" fontId="107" fillId="5" borderId="3" applyAlignment="1" pivotButton="0" quotePrefix="0" xfId="33">
      <alignment vertical="top"/>
    </xf>
    <xf numFmtId="168" fontId="117" fillId="5" borderId="3" applyAlignment="1" pivotButton="0" quotePrefix="0" xfId="33">
      <alignment vertical="top"/>
    </xf>
    <xf numFmtId="0" fontId="100" fillId="2" borderId="0" applyAlignment="1" pivotButton="0" quotePrefix="0" xfId="32">
      <alignment horizontal="left"/>
    </xf>
    <xf numFmtId="0" fontId="100" fillId="0" borderId="0" applyAlignment="1" pivotButton="0" quotePrefix="0" xfId="32">
      <alignment horizontal="left"/>
    </xf>
    <xf numFmtId="0" fontId="100" fillId="0" borderId="0" pivotButton="0" quotePrefix="0" xfId="32"/>
    <xf numFmtId="49" fontId="100" fillId="0" borderId="0" applyAlignment="1" pivotButton="0" quotePrefix="0" xfId="32">
      <alignment horizontal="left"/>
    </xf>
    <xf numFmtId="164" fontId="109" fillId="3" borderId="0" pivotButton="0" quotePrefix="0" xfId="32"/>
    <xf numFmtId="17" fontId="106" fillId="6" borderId="14" applyAlignment="1" pivotButton="0" quotePrefix="0" xfId="32">
      <alignment horizontal="centerContinuous"/>
    </xf>
    <xf numFmtId="17" fontId="106" fillId="6" borderId="12" applyAlignment="1" pivotButton="0" quotePrefix="0" xfId="32">
      <alignment horizontal="centerContinuous"/>
    </xf>
    <xf numFmtId="17" fontId="106" fillId="6" borderId="0" applyAlignment="1" pivotButton="0" quotePrefix="0" xfId="32">
      <alignment horizontal="centerContinuous"/>
    </xf>
    <xf numFmtId="17" fontId="106" fillId="6" borderId="0" applyAlignment="1" pivotButton="0" quotePrefix="0" xfId="32">
      <alignment horizontal="right"/>
    </xf>
    <xf numFmtId="17" fontId="106" fillId="6" borderId="68" applyAlignment="1" pivotButton="0" quotePrefix="0" xfId="32">
      <alignment horizontal="right"/>
    </xf>
    <xf numFmtId="17" fontId="106" fillId="6" borderId="51" applyAlignment="1" pivotButton="0" quotePrefix="0" xfId="32">
      <alignment horizontal="right"/>
    </xf>
    <xf numFmtId="17" fontId="106" fillId="6" borderId="36" applyAlignment="1" pivotButton="0" quotePrefix="0" xfId="32">
      <alignment horizontal="right" wrapText="1"/>
    </xf>
    <xf numFmtId="17" fontId="106" fillId="6" borderId="45" applyAlignment="1" pivotButton="0" quotePrefix="0" xfId="32">
      <alignment horizontal="right" wrapText="1"/>
    </xf>
    <xf numFmtId="17" fontId="106" fillId="4" borderId="68" applyAlignment="1" pivotButton="0" quotePrefix="0" xfId="32">
      <alignment horizontal="right"/>
    </xf>
    <xf numFmtId="0" fontId="100" fillId="0" borderId="0" applyAlignment="1" pivotButton="0" quotePrefix="0" xfId="32">
      <alignment vertical="top"/>
    </xf>
    <xf numFmtId="168" fontId="107" fillId="5" borderId="27" applyAlignment="1" pivotButton="0" quotePrefix="0" xfId="33">
      <alignment vertical="top"/>
    </xf>
    <xf numFmtId="168" fontId="107" fillId="5" borderId="49" applyAlignment="1" pivotButton="0" quotePrefix="0" xfId="33">
      <alignment vertical="top"/>
    </xf>
    <xf numFmtId="165" fontId="110" fillId="0" borderId="0" applyAlignment="1" pivotButton="0" quotePrefix="0" xfId="0">
      <alignment horizontal="right" vertical="center"/>
    </xf>
    <xf numFmtId="166" fontId="105" fillId="0" borderId="76" applyAlignment="1" pivotButton="0" quotePrefix="0" xfId="0">
      <alignment horizontal="right"/>
    </xf>
    <xf numFmtId="165" fontId="109" fillId="0" borderId="76" applyAlignment="1" pivotButton="0" quotePrefix="0" xfId="0">
      <alignment horizontal="right"/>
    </xf>
    <xf numFmtId="0" fontId="80" fillId="0" borderId="0" pivotButton="0" quotePrefix="0" xfId="0"/>
    <xf numFmtId="0" fontId="80" fillId="0" borderId="0" applyAlignment="1" pivotButton="0" quotePrefix="0" xfId="0">
      <alignment horizontal="right"/>
    </xf>
    <xf numFmtId="0" fontId="113" fillId="0" borderId="0" applyAlignment="1" pivotButton="0" quotePrefix="0" xfId="0">
      <alignment horizontal="left" wrapText="1" indent="2"/>
    </xf>
    <xf numFmtId="0" fontId="80" fillId="0" borderId="0" applyAlignment="1" pivotButton="0" quotePrefix="0" xfId="0">
      <alignment horizontal="right" wrapText="1"/>
    </xf>
    <xf numFmtId="0" fontId="114" fillId="0" borderId="4" applyAlignment="1" pivotButton="0" quotePrefix="0" xfId="0">
      <alignment horizontal="right" wrapText="1"/>
    </xf>
    <xf numFmtId="0" fontId="151" fillId="0" borderId="0" applyAlignment="1" pivotButton="0" quotePrefix="0" xfId="0">
      <alignment vertical="top" wrapText="1"/>
    </xf>
    <xf numFmtId="0" fontId="113" fillId="0" borderId="0" applyAlignment="1" pivotButton="0" quotePrefix="0" xfId="0">
      <alignment vertical="top" wrapText="1"/>
    </xf>
    <xf numFmtId="0" fontId="151" fillId="0" borderId="0" applyAlignment="1" pivotButton="0" quotePrefix="0" xfId="0">
      <alignment horizontal="right" vertical="top" wrapText="1"/>
    </xf>
    <xf numFmtId="0" fontId="114" fillId="0" borderId="11" applyAlignment="1" pivotButton="0" quotePrefix="0" xfId="0">
      <alignment horizontal="right" wrapText="1"/>
    </xf>
    <xf numFmtId="0" fontId="80" fillId="0" borderId="0" applyAlignment="1" pivotButton="0" quotePrefix="0" xfId="0">
      <alignment wrapText="1"/>
    </xf>
    <xf numFmtId="0" fontId="97" fillId="2" borderId="0" applyAlignment="1" pivotButton="0" quotePrefix="0" xfId="34">
      <alignment vertical="center" wrapText="1"/>
    </xf>
    <xf numFmtId="0" fontId="97" fillId="4" borderId="0" applyAlignment="1" pivotButton="0" quotePrefix="1" xfId="34">
      <alignment wrapText="1"/>
    </xf>
    <xf numFmtId="0" fontId="97" fillId="4" borderId="0" applyAlignment="1" pivotButton="0" quotePrefix="1" xfId="34">
      <alignment horizontal="right" wrapText="1"/>
    </xf>
    <xf numFmtId="0" fontId="97" fillId="4" borderId="12" applyAlignment="1" pivotButton="0" quotePrefix="1" xfId="34">
      <alignment horizontal="right" wrapText="1"/>
    </xf>
    <xf numFmtId="0" fontId="97" fillId="4" borderId="45" applyAlignment="1" pivotButton="0" quotePrefix="1" xfId="34">
      <alignment horizontal="right" wrapText="1"/>
    </xf>
    <xf numFmtId="0" fontId="97" fillId="4" borderId="68" applyAlignment="1" pivotButton="0" quotePrefix="1" xfId="34">
      <alignment horizontal="right" wrapText="1"/>
    </xf>
    <xf numFmtId="0" fontId="118" fillId="3" borderId="0" applyAlignment="1" pivotButton="0" quotePrefix="0" xfId="34">
      <alignment wrapText="1"/>
    </xf>
    <xf numFmtId="0" fontId="113" fillId="0" borderId="4" applyAlignment="1" pivotButton="0" quotePrefix="0" xfId="0">
      <alignment horizontal="left" wrapText="1"/>
    </xf>
    <xf numFmtId="0" fontId="97" fillId="2" borderId="0" applyAlignment="1" pivotButton="0" quotePrefix="0" xfId="34">
      <alignment horizontal="right" wrapText="1"/>
    </xf>
    <xf numFmtId="0" fontId="151" fillId="0" borderId="0" applyAlignment="1" pivotButton="0" quotePrefix="0" xfId="0">
      <alignment horizontal="right" wrapText="1"/>
    </xf>
    <xf numFmtId="0" fontId="151" fillId="0" borderId="10" applyAlignment="1" pivotButton="0" quotePrefix="0" xfId="0">
      <alignment horizontal="right" wrapText="1"/>
    </xf>
    <xf numFmtId="0" fontId="113" fillId="0" borderId="0" applyAlignment="1" pivotButton="0" quotePrefix="0" xfId="0">
      <alignment horizontal="right" wrapText="1"/>
    </xf>
    <xf numFmtId="0" fontId="114" fillId="0" borderId="0" applyAlignment="1" pivotButton="0" quotePrefix="0" xfId="0">
      <alignment horizontal="right" wrapText="1"/>
    </xf>
    <xf numFmtId="0" fontId="113" fillId="0" borderId="0" applyAlignment="1" pivotButton="0" quotePrefix="0" xfId="0">
      <alignment horizontal="left" wrapText="1"/>
    </xf>
    <xf numFmtId="180" fontId="114" fillId="0" borderId="0" applyAlignment="1" pivotButton="0" quotePrefix="0" xfId="31">
      <alignment horizontal="right" wrapText="1"/>
    </xf>
    <xf numFmtId="0" fontId="151" fillId="0" borderId="0" applyAlignment="1" pivotButton="0" quotePrefix="0" xfId="0">
      <alignment horizontal="left" vertical="top" wrapText="1" indent="1"/>
    </xf>
    <xf numFmtId="0" fontId="113" fillId="0" borderId="0" applyAlignment="1" pivotButton="0" quotePrefix="0" xfId="0">
      <alignment horizontal="left" vertical="top" wrapText="1" indent="1"/>
    </xf>
    <xf numFmtId="0" fontId="113" fillId="0" borderId="0" applyAlignment="1" pivotButton="0" quotePrefix="0" xfId="0">
      <alignment horizontal="right" vertical="top" wrapText="1"/>
    </xf>
    <xf numFmtId="0" fontId="114" fillId="0" borderId="10" applyAlignment="1" pivotButton="0" quotePrefix="0" xfId="31">
      <alignment horizontal="right" wrapText="1"/>
    </xf>
    <xf numFmtId="0" fontId="113" fillId="0" borderId="4" applyAlignment="1" pivotButton="0" quotePrefix="0" xfId="0">
      <alignment horizontal="left" wrapText="1" indent="1"/>
    </xf>
    <xf numFmtId="0" fontId="114" fillId="5" borderId="3" applyAlignment="1" pivotButton="0" quotePrefix="0" xfId="0">
      <alignment horizontal="right" wrapText="1"/>
    </xf>
    <xf numFmtId="0" fontId="113" fillId="5" borderId="0" applyAlignment="1" pivotButton="0" quotePrefix="0" xfId="0">
      <alignment horizontal="right" wrapText="1"/>
    </xf>
    <xf numFmtId="0" fontId="114" fillId="0" borderId="57" applyAlignment="1" pivotButton="0" quotePrefix="0" xfId="0">
      <alignment horizontal="right" wrapText="1"/>
    </xf>
    <xf numFmtId="0" fontId="114" fillId="0" borderId="0" applyAlignment="1" pivotButton="0" quotePrefix="0" xfId="0">
      <alignment horizontal="left" vertical="top" wrapText="1" indent="1"/>
    </xf>
    <xf numFmtId="0" fontId="113" fillId="3" borderId="4" applyAlignment="1" pivotButton="0" quotePrefix="0" xfId="0">
      <alignment horizontal="left" vertical="top" wrapText="1" indent="1"/>
    </xf>
    <xf numFmtId="0" fontId="114" fillId="3" borderId="4" applyAlignment="1" pivotButton="0" quotePrefix="0" xfId="0">
      <alignment horizontal="right" wrapText="1"/>
    </xf>
    <xf numFmtId="0" fontId="114" fillId="5" borderId="2" applyAlignment="1" pivotButton="0" quotePrefix="0" xfId="0">
      <alignment horizontal="left" vertical="top" wrapText="1"/>
    </xf>
    <xf numFmtId="0" fontId="97" fillId="4" borderId="0" applyAlignment="1" pivotButton="0" quotePrefix="1" xfId="34">
      <alignment horizontal="center" wrapText="1"/>
    </xf>
    <xf numFmtId="0" fontId="97" fillId="4" borderId="0" applyAlignment="1" pivotButton="0" quotePrefix="1" xfId="34">
      <alignment horizontal="centerContinuous" wrapText="1"/>
    </xf>
    <xf numFmtId="0" fontId="118" fillId="3" borderId="1" applyAlignment="1" pivotButton="0" quotePrefix="0" xfId="0">
      <alignment wrapText="1"/>
    </xf>
    <xf numFmtId="0" fontId="114" fillId="0" borderId="4" applyAlignment="1" pivotButton="0" quotePrefix="0" xfId="0">
      <alignment horizontal="left" wrapText="1" indent="1"/>
    </xf>
    <xf numFmtId="0" fontId="129" fillId="5" borderId="4" applyAlignment="1" pivotButton="0" quotePrefix="0" xfId="0">
      <alignment horizontal="right" wrapText="1"/>
    </xf>
    <xf numFmtId="0" fontId="97" fillId="4" borderId="12" applyAlignment="1" pivotButton="0" quotePrefix="1" xfId="34">
      <alignment horizontal="centerContinuous" wrapText="1"/>
    </xf>
    <xf numFmtId="0" fontId="114" fillId="0" borderId="0" applyAlignment="1" pivotButton="0" quotePrefix="0" xfId="0">
      <alignment horizontal="left" wrapText="1" indent="1"/>
    </xf>
    <xf numFmtId="0" fontId="96" fillId="2" borderId="0" applyAlignment="1" pivotButton="0" quotePrefix="0" xfId="2">
      <alignment horizontal="left"/>
    </xf>
    <xf numFmtId="0" fontId="101" fillId="0" borderId="0" applyAlignment="1" pivotButton="0" quotePrefix="0" xfId="2">
      <alignment horizontal="left"/>
    </xf>
    <xf numFmtId="0" fontId="96" fillId="0" borderId="0" pivotButton="0" quotePrefix="0" xfId="2"/>
    <xf numFmtId="0" fontId="102" fillId="0" borderId="0" applyAlignment="1" pivotButton="0" quotePrefix="0" xfId="2">
      <alignment horizontal="left"/>
    </xf>
    <xf numFmtId="0" fontId="104" fillId="0" borderId="0" applyAlignment="1" pivotButton="0" quotePrefix="0" xfId="2">
      <alignment horizontal="left"/>
    </xf>
    <xf numFmtId="0" fontId="96" fillId="0" borderId="0" applyAlignment="1" pivotButton="0" quotePrefix="0" xfId="2">
      <alignment horizontal="left"/>
    </xf>
    <xf numFmtId="0" fontId="100" fillId="2" borderId="0" applyAlignment="1" pivotButton="0" quotePrefix="0" xfId="2">
      <alignment horizontal="left"/>
    </xf>
    <xf numFmtId="0" fontId="100" fillId="0" borderId="0" applyAlignment="1" pivotButton="0" quotePrefix="0" xfId="2">
      <alignment horizontal="left"/>
    </xf>
    <xf numFmtId="0" fontId="106" fillId="4" borderId="0" applyAlignment="1" pivotButton="0" quotePrefix="0" xfId="2">
      <alignment horizontal="left"/>
    </xf>
    <xf numFmtId="17" fontId="106" fillId="4" borderId="14" applyAlignment="1" pivotButton="0" quotePrefix="0" xfId="2">
      <alignment horizontal="centerContinuous"/>
    </xf>
    <xf numFmtId="17" fontId="106" fillId="4" borderId="13" applyAlignment="1" pivotButton="0" quotePrefix="0" xfId="2">
      <alignment horizontal="centerContinuous"/>
    </xf>
    <xf numFmtId="0" fontId="100" fillId="0" borderId="0" pivotButton="0" quotePrefix="0" xfId="2"/>
    <xf numFmtId="17" fontId="106" fillId="6" borderId="14" applyAlignment="1" pivotButton="0" quotePrefix="0" xfId="2">
      <alignment horizontal="centerContinuous"/>
    </xf>
    <xf numFmtId="17" fontId="106" fillId="6" borderId="13" applyAlignment="1" pivotButton="0" quotePrefix="0" xfId="2">
      <alignment horizontal="centerContinuous"/>
    </xf>
    <xf numFmtId="17" fontId="106" fillId="12" borderId="14" applyAlignment="1" pivotButton="0" quotePrefix="0" xfId="2">
      <alignment horizontal="centerContinuous"/>
    </xf>
    <xf numFmtId="17" fontId="106" fillId="12" borderId="13" applyAlignment="1" pivotButton="0" quotePrefix="0" xfId="2">
      <alignment horizontal="centerContinuous"/>
    </xf>
    <xf numFmtId="17" fontId="106" fillId="4" borderId="0" applyAlignment="1" pivotButton="0" quotePrefix="0" xfId="2">
      <alignment horizontal="right"/>
    </xf>
    <xf numFmtId="17" fontId="106" fillId="4" borderId="12" applyAlignment="1" pivotButton="0" quotePrefix="0" xfId="2">
      <alignment horizontal="right"/>
    </xf>
    <xf numFmtId="17" fontId="106" fillId="4" borderId="33" applyAlignment="1" pivotButton="0" quotePrefix="0" xfId="2">
      <alignment horizontal="right"/>
    </xf>
    <xf numFmtId="17" fontId="106" fillId="6" borderId="0" applyAlignment="1" pivotButton="0" quotePrefix="0" xfId="2">
      <alignment horizontal="right"/>
    </xf>
    <xf numFmtId="17" fontId="106" fillId="6" borderId="12" applyAlignment="1" pivotButton="0" quotePrefix="0" xfId="2">
      <alignment horizontal="right"/>
    </xf>
    <xf numFmtId="17" fontId="106" fillId="12" borderId="0" applyAlignment="1" pivotButton="0" quotePrefix="0" xfId="2">
      <alignment horizontal="right"/>
    </xf>
    <xf numFmtId="17" fontId="106" fillId="12" borderId="12" applyAlignment="1" pivotButton="0" quotePrefix="0" xfId="2">
      <alignment horizontal="right"/>
    </xf>
    <xf numFmtId="17" fontId="106" fillId="12" borderId="33" applyAlignment="1" pivotButton="0" quotePrefix="0" xfId="2">
      <alignment horizontal="right"/>
    </xf>
    <xf numFmtId="17" fontId="106" fillId="4" borderId="33" applyAlignment="1" pivotButton="0" quotePrefix="0" xfId="2">
      <alignment horizontal="left" wrapText="1"/>
    </xf>
    <xf numFmtId="0" fontId="105" fillId="3" borderId="0" applyAlignment="1" pivotButton="0" quotePrefix="0" xfId="2">
      <alignment horizontal="left" indent="1"/>
    </xf>
    <xf numFmtId="164" fontId="105" fillId="3" borderId="0" pivotButton="0" quotePrefix="0" xfId="2"/>
    <xf numFmtId="164" fontId="105" fillId="3" borderId="10" pivotButton="0" quotePrefix="0" xfId="2"/>
    <xf numFmtId="164" fontId="105" fillId="3" borderId="6" pivotButton="0" quotePrefix="0" xfId="2"/>
    <xf numFmtId="165" fontId="109" fillId="3" borderId="0" pivotButton="0" quotePrefix="0" xfId="2"/>
    <xf numFmtId="165" fontId="109" fillId="3" borderId="10" pivotButton="0" quotePrefix="0" xfId="2"/>
    <xf numFmtId="165" fontId="109" fillId="3" borderId="6" pivotButton="0" quotePrefix="0" xfId="2"/>
    <xf numFmtId="0" fontId="105" fillId="3" borderId="4" applyAlignment="1" pivotButton="0" quotePrefix="0" xfId="2">
      <alignment horizontal="left" indent="1"/>
    </xf>
    <xf numFmtId="164" fontId="105" fillId="3" borderId="4" pivotButton="0" quotePrefix="0" xfId="2"/>
    <xf numFmtId="164" fontId="105" fillId="3" borderId="11" pivotButton="0" quotePrefix="0" xfId="2"/>
    <xf numFmtId="164" fontId="105" fillId="3" borderId="7" pivotButton="0" quotePrefix="0" xfId="2"/>
    <xf numFmtId="165" fontId="109" fillId="3" borderId="4" pivotButton="0" quotePrefix="0" xfId="2"/>
    <xf numFmtId="165" fontId="109" fillId="3" borderId="11" pivotButton="0" quotePrefix="0" xfId="2"/>
    <xf numFmtId="165" fontId="109" fillId="3" borderId="7" pivotButton="0" quotePrefix="0" xfId="2"/>
    <xf numFmtId="165" fontId="109" fillId="0" borderId="4" pivotButton="0" quotePrefix="0" xfId="2"/>
    <xf numFmtId="0" fontId="107" fillId="5" borderId="2" applyAlignment="1" pivotButton="0" quotePrefix="0" xfId="2">
      <alignment horizontal="left"/>
    </xf>
    <xf numFmtId="164" fontId="107" fillId="5" borderId="2" pivotButton="0" quotePrefix="0" xfId="2"/>
    <xf numFmtId="164" fontId="107" fillId="5" borderId="9" pivotButton="0" quotePrefix="0" xfId="2"/>
    <xf numFmtId="164" fontId="107" fillId="5" borderId="8" pivotButton="0" quotePrefix="0" xfId="2"/>
    <xf numFmtId="165" fontId="110" fillId="5" borderId="2" pivotButton="0" quotePrefix="0" xfId="2"/>
    <xf numFmtId="165" fontId="110" fillId="5" borderId="9" pivotButton="0" quotePrefix="0" xfId="2"/>
    <xf numFmtId="165" fontId="110" fillId="5" borderId="8" pivotButton="0" quotePrefix="0" xfId="2"/>
    <xf numFmtId="166" fontId="100" fillId="0" borderId="0" applyAlignment="1" pivotButton="0" quotePrefix="0" xfId="2">
      <alignment horizontal="right"/>
    </xf>
    <xf numFmtId="0" fontId="103" fillId="0" borderId="0" applyAlignment="1" pivotButton="0" quotePrefix="0" xfId="2">
      <alignment horizontal="left"/>
    </xf>
    <xf numFmtId="0" fontId="152" fillId="2" borderId="0" applyAlignment="1" pivotButton="0" quotePrefix="0" xfId="2">
      <alignment horizontal="left"/>
    </xf>
    <xf numFmtId="0" fontId="114" fillId="0" borderId="0" pivotButton="0" quotePrefix="0" xfId="36"/>
    <xf numFmtId="0" fontId="113" fillId="0" borderId="0" pivotButton="0" quotePrefix="0" xfId="36"/>
    <xf numFmtId="166" fontId="113" fillId="0" borderId="0" applyAlignment="1" pivotButton="0" quotePrefix="0" xfId="36">
      <alignment horizontal="right"/>
    </xf>
    <xf numFmtId="0" fontId="106" fillId="4" borderId="0" pivotButton="0" quotePrefix="0" xfId="32"/>
    <xf numFmtId="0" fontId="97" fillId="4" borderId="0" applyAlignment="1" pivotButton="0" quotePrefix="0" xfId="36">
      <alignment horizontal="centerContinuous"/>
    </xf>
    <xf numFmtId="0" fontId="99" fillId="4" borderId="0" applyAlignment="1" pivotButton="0" quotePrefix="0" xfId="36">
      <alignment horizontal="centerContinuous"/>
    </xf>
    <xf numFmtId="0" fontId="99" fillId="4" borderId="28" applyAlignment="1" pivotButton="0" quotePrefix="0" xfId="36">
      <alignment horizontal="centerContinuous"/>
    </xf>
    <xf numFmtId="0" fontId="97" fillId="4" borderId="64" applyAlignment="1" pivotButton="0" quotePrefix="0" xfId="36">
      <alignment horizontal="centerContinuous"/>
    </xf>
    <xf numFmtId="0" fontId="97" fillId="17" borderId="0" applyAlignment="1" pivotButton="0" quotePrefix="0" xfId="36">
      <alignment horizontal="centerContinuous"/>
    </xf>
    <xf numFmtId="0" fontId="99" fillId="17" borderId="0" applyAlignment="1" pivotButton="0" quotePrefix="0" xfId="36">
      <alignment horizontal="centerContinuous"/>
    </xf>
    <xf numFmtId="0" fontId="99" fillId="17" borderId="28" applyAlignment="1" pivotButton="0" quotePrefix="0" xfId="36">
      <alignment horizontal="centerContinuous"/>
    </xf>
    <xf numFmtId="17" fontId="106" fillId="4" borderId="34" applyAlignment="1" pivotButton="0" quotePrefix="0" xfId="32">
      <alignment horizontal="right"/>
    </xf>
    <xf numFmtId="17" fontId="106" fillId="4" borderId="35" applyAlignment="1" pivotButton="0" quotePrefix="0" xfId="32">
      <alignment horizontal="right"/>
    </xf>
    <xf numFmtId="17" fontId="106" fillId="17" borderId="34" applyAlignment="1" pivotButton="0" quotePrefix="0" xfId="32">
      <alignment horizontal="right"/>
    </xf>
    <xf numFmtId="17" fontId="106" fillId="17" borderId="35" applyAlignment="1" pivotButton="0" quotePrefix="0" xfId="32">
      <alignment horizontal="right"/>
    </xf>
    <xf numFmtId="0" fontId="97" fillId="4" borderId="0" applyAlignment="1" pivotButton="0" quotePrefix="0" xfId="32">
      <alignment horizontal="left" vertical="center"/>
    </xf>
    <xf numFmtId="0" fontId="99" fillId="0" borderId="0" pivotButton="0" quotePrefix="0" xfId="36"/>
    <xf numFmtId="0" fontId="114" fillId="0" borderId="0" applyAlignment="1" pivotButton="0" quotePrefix="0" xfId="36">
      <alignment horizontal="left" indent="1"/>
    </xf>
    <xf numFmtId="0" fontId="79" fillId="0" borderId="0" pivotButton="0" quotePrefix="0" xfId="0"/>
    <xf numFmtId="0" fontId="79" fillId="0" borderId="0" applyAlignment="1" pivotButton="0" quotePrefix="0" xfId="0">
      <alignment horizontal="left"/>
    </xf>
    <xf numFmtId="41" fontId="79" fillId="0" borderId="0" pivotButton="0" quotePrefix="0" xfId="0"/>
    <xf numFmtId="15" fontId="106" fillId="4" borderId="12" applyAlignment="1" pivotButton="0" quotePrefix="0" xfId="1">
      <alignment horizontal="right"/>
    </xf>
    <xf numFmtId="41" fontId="105" fillId="0" borderId="10" pivotButton="0" quotePrefix="0" xfId="0"/>
    <xf numFmtId="41" fontId="105" fillId="0" borderId="6" pivotButton="0" quotePrefix="0" xfId="0"/>
    <xf numFmtId="41" fontId="105" fillId="0" borderId="4" pivotButton="0" quotePrefix="0" xfId="0"/>
    <xf numFmtId="41" fontId="105" fillId="0" borderId="11" pivotButton="0" quotePrefix="0" xfId="0"/>
    <xf numFmtId="41" fontId="105" fillId="0" borderId="7" pivotButton="0" quotePrefix="0" xfId="0"/>
    <xf numFmtId="171" fontId="105" fillId="0" borderId="0" applyAlignment="1" pivotButton="0" quotePrefix="0" xfId="0">
      <alignment horizontal="left"/>
    </xf>
    <xf numFmtId="171" fontId="105" fillId="0" borderId="4" applyAlignment="1" pivotButton="0" quotePrefix="0" xfId="0">
      <alignment horizontal="left"/>
    </xf>
    <xf numFmtId="0" fontId="105" fillId="0" borderId="4" applyAlignment="1" pivotButton="0" quotePrefix="0" xfId="0">
      <alignment horizontal="left" indent="2"/>
    </xf>
    <xf numFmtId="165" fontId="109" fillId="0" borderId="4" pivotButton="0" quotePrefix="0" xfId="32"/>
    <xf numFmtId="0" fontId="114" fillId="0" borderId="0" applyAlignment="1" pivotButton="0" quotePrefix="0" xfId="37">
      <alignment horizontal="left" indent="1"/>
    </xf>
    <xf numFmtId="165" fontId="100" fillId="0" borderId="0" applyAlignment="1" pivotButton="0" quotePrefix="0" xfId="0">
      <alignment horizontal="right"/>
    </xf>
    <xf numFmtId="165" fontId="100" fillId="0" borderId="4" applyAlignment="1" pivotButton="0" quotePrefix="0" xfId="0">
      <alignment horizontal="right"/>
    </xf>
    <xf numFmtId="165" fontId="100" fillId="0" borderId="0" pivotButton="0" quotePrefix="0" xfId="0"/>
    <xf numFmtId="41" fontId="100" fillId="5" borderId="0" pivotButton="0" quotePrefix="0" xfId="0"/>
    <xf numFmtId="167" fontId="100" fillId="0" borderId="0" applyAlignment="1" pivotButton="0" quotePrefix="0" xfId="0">
      <alignment horizontal="right"/>
    </xf>
    <xf numFmtId="41" fontId="107" fillId="5" borderId="1" applyAlignment="1" pivotButton="0" quotePrefix="0" xfId="0">
      <alignment horizontal="right" vertical="center"/>
    </xf>
    <xf numFmtId="41" fontId="107" fillId="5" borderId="17" applyAlignment="1" pivotButton="0" quotePrefix="0" xfId="0">
      <alignment horizontal="right" vertical="center"/>
    </xf>
    <xf numFmtId="41" fontId="107" fillId="5" borderId="23" applyAlignment="1" pivotButton="0" quotePrefix="0" xfId="0">
      <alignment horizontal="right" vertical="center"/>
    </xf>
    <xf numFmtId="41" fontId="107" fillId="5" borderId="27" applyAlignment="1" pivotButton="0" quotePrefix="0" xfId="0">
      <alignment vertical="center"/>
    </xf>
    <xf numFmtId="41" fontId="107" fillId="5" borderId="49" applyAlignment="1" pivotButton="0" quotePrefix="0" xfId="0">
      <alignment vertical="center"/>
    </xf>
    <xf numFmtId="0" fontId="114" fillId="3" borderId="0" applyAlignment="1" pivotButton="0" quotePrefix="0" xfId="4">
      <alignment horizontal="left" vertical="center" indent="2"/>
    </xf>
    <xf numFmtId="0" fontId="95" fillId="0" borderId="0" applyAlignment="1" pivotButton="0" quotePrefix="0" xfId="1">
      <alignment vertical="top"/>
    </xf>
    <xf numFmtId="170" fontId="109" fillId="3" borderId="0" applyAlignment="1" pivotButton="0" quotePrefix="0" xfId="4">
      <alignment horizontal="left" vertical="top"/>
    </xf>
    <xf numFmtId="169" fontId="109" fillId="3" borderId="0" applyAlignment="1" pivotButton="0" quotePrefix="0" xfId="4">
      <alignment horizontal="left" vertical="top"/>
    </xf>
    <xf numFmtId="0" fontId="114" fillId="0" borderId="0" applyAlignment="1" pivotButton="0" quotePrefix="0" xfId="8">
      <alignment horizontal="left" vertical="top"/>
    </xf>
    <xf numFmtId="166" fontId="105" fillId="3" borderId="2" applyAlignment="1" pivotButton="0" quotePrefix="0" xfId="4">
      <alignment horizontal="left" vertical="top"/>
    </xf>
    <xf numFmtId="0" fontId="0" fillId="0" borderId="0" applyAlignment="1" pivotButton="0" quotePrefix="0" xfId="0">
      <alignment vertical="top"/>
    </xf>
    <xf numFmtId="0" fontId="114" fillId="0" borderId="4" applyAlignment="1" pivotButton="0" quotePrefix="0" xfId="4">
      <alignment horizontal="left" vertical="center" indent="3"/>
    </xf>
    <xf numFmtId="0" fontId="97" fillId="6" borderId="66" applyAlignment="1" pivotButton="0" quotePrefix="0" xfId="4">
      <alignment horizontal="center" vertical="center"/>
    </xf>
    <xf numFmtId="166" fontId="114" fillId="0" borderId="4" applyAlignment="1" pivotButton="0" quotePrefix="0" xfId="4">
      <alignment horizontal="right" vertical="center" wrapText="1"/>
    </xf>
    <xf numFmtId="0" fontId="150" fillId="0" borderId="0" pivotButton="0" quotePrefix="0" xfId="1"/>
    <xf numFmtId="0" fontId="150" fillId="0" borderId="0" pivotButton="0" quotePrefix="0" xfId="8"/>
    <xf numFmtId="0" fontId="150" fillId="3" borderId="0" pivotButton="0" quotePrefix="0" xfId="8"/>
    <xf numFmtId="0" fontId="78" fillId="0" borderId="0" pivotButton="0" quotePrefix="0" xfId="38"/>
    <xf numFmtId="0" fontId="106" fillId="4" borderId="0" applyAlignment="1" pivotButton="0" quotePrefix="0" xfId="39">
      <alignment horizontal="left"/>
    </xf>
    <xf numFmtId="0" fontId="106" fillId="4" borderId="0" pivotButton="0" quotePrefix="0" xfId="39"/>
    <xf numFmtId="0" fontId="107" fillId="5" borderId="3" applyAlignment="1" pivotButton="0" quotePrefix="0" xfId="36">
      <alignment vertical="center"/>
    </xf>
    <xf numFmtId="0" fontId="77" fillId="0" borderId="0" pivotButton="0" quotePrefix="0" xfId="38"/>
    <xf numFmtId="0" fontId="0" fillId="2" borderId="0" applyAlignment="1" pivotButton="0" quotePrefix="0" xfId="2">
      <alignment horizontal="left"/>
    </xf>
    <xf numFmtId="0" fontId="0" fillId="0" borderId="0" applyAlignment="1" pivotButton="0" quotePrefix="0" xfId="2">
      <alignment horizontal="left"/>
    </xf>
    <xf numFmtId="166" fontId="78" fillId="0" borderId="0" applyAlignment="1" pivotButton="0" quotePrefix="0" xfId="38">
      <alignment horizontal="right"/>
    </xf>
    <xf numFmtId="0" fontId="76" fillId="0" borderId="0" pivotButton="0" quotePrefix="0" xfId="0"/>
    <xf numFmtId="0" fontId="105" fillId="5" borderId="0" applyAlignment="1" pivotButton="0" quotePrefix="0" xfId="0">
      <alignment vertical="center"/>
    </xf>
    <xf numFmtId="41" fontId="105" fillId="5" borderId="0" applyAlignment="1" pivotButton="0" quotePrefix="0" xfId="0">
      <alignment horizontal="right" vertical="center"/>
    </xf>
    <xf numFmtId="0" fontId="105" fillId="0" borderId="0" pivotButton="0" quotePrefix="0" xfId="39"/>
    <xf numFmtId="166" fontId="105" fillId="0" borderId="0" applyAlignment="1" pivotButton="0" quotePrefix="0" xfId="4">
      <alignment horizontal="right" vertical="center" wrapText="1"/>
    </xf>
    <xf numFmtId="0" fontId="107" fillId="0" borderId="0" applyAlignment="1" pivotButton="0" quotePrefix="0" xfId="0">
      <alignment vertical="center"/>
    </xf>
    <xf numFmtId="41" fontId="107" fillId="0" borderId="0" applyAlignment="1" pivotButton="0" quotePrefix="0" xfId="0">
      <alignment horizontal="right" vertical="center"/>
    </xf>
    <xf numFmtId="0" fontId="109" fillId="0" borderId="0" applyAlignment="1" pivotButton="0" quotePrefix="0" xfId="0">
      <alignment vertical="center"/>
    </xf>
    <xf numFmtId="41" fontId="109" fillId="0" borderId="0" applyAlignment="1" pivotButton="0" quotePrefix="0" xfId="0">
      <alignment horizontal="right" vertical="center"/>
    </xf>
    <xf numFmtId="0" fontId="109" fillId="3" borderId="0" applyAlignment="1" pivotButton="0" quotePrefix="0" xfId="4">
      <alignment horizontal="left" vertical="center" indent="1"/>
    </xf>
    <xf numFmtId="0" fontId="100" fillId="7" borderId="0" applyAlignment="1" pivotButton="0" quotePrefix="0" xfId="4">
      <alignment horizontal="left" indent="1"/>
    </xf>
    <xf numFmtId="0" fontId="100" fillId="7" borderId="0" pivotButton="0" quotePrefix="0" xfId="4"/>
    <xf numFmtId="0" fontId="100" fillId="7" borderId="0" applyAlignment="1" pivotButton="0" quotePrefix="0" xfId="4">
      <alignment horizontal="left" vertical="top"/>
    </xf>
    <xf numFmtId="181" fontId="100" fillId="7" borderId="0" pivotButton="0" quotePrefix="0" xfId="4"/>
    <xf numFmtId="0" fontId="97" fillId="4" borderId="0" pivotButton="0" quotePrefix="0" xfId="0"/>
    <xf numFmtId="0" fontId="97" fillId="4" borderId="0" applyAlignment="1" pivotButton="0" quotePrefix="0" xfId="0">
      <alignment wrapText="1"/>
    </xf>
    <xf numFmtId="0" fontId="132" fillId="2" borderId="0" pivotButton="0" quotePrefix="0" xfId="0"/>
    <xf numFmtId="0" fontId="153" fillId="0" borderId="0" applyAlignment="1" pivotButton="0" quotePrefix="0" xfId="2">
      <alignment vertical="center"/>
    </xf>
    <xf numFmtId="0" fontId="75" fillId="0" borderId="0" pivotButton="0" quotePrefix="0" xfId="4"/>
    <xf numFmtId="0" fontId="113" fillId="0" borderId="0" pivotButton="0" quotePrefix="0" xfId="2"/>
    <xf numFmtId="0" fontId="114" fillId="0" borderId="0" pivotButton="0" quotePrefix="0" xfId="2"/>
    <xf numFmtId="0" fontId="111" fillId="0" borderId="0" pivotButton="0" quotePrefix="0" xfId="0"/>
    <xf numFmtId="0" fontId="114" fillId="0" borderId="0" applyAlignment="1" pivotButton="0" quotePrefix="0" xfId="4">
      <alignment horizontal="left" vertical="center" wrapText="1"/>
    </xf>
    <xf numFmtId="0" fontId="132" fillId="0" borderId="0" pivotButton="0" quotePrefix="0" xfId="0"/>
    <xf numFmtId="0" fontId="118" fillId="0" borderId="0" applyAlignment="1" pivotButton="0" quotePrefix="0" xfId="4">
      <alignment horizontal="left" vertical="center"/>
    </xf>
    <xf numFmtId="0" fontId="105" fillId="0" borderId="0" applyAlignment="1" pivotButton="0" quotePrefix="0" xfId="4">
      <alignment horizontal="left" vertical="center" wrapText="1"/>
    </xf>
    <xf numFmtId="0" fontId="105" fillId="0" borderId="2" applyAlignment="1" pivotButton="0" quotePrefix="0" xfId="4">
      <alignment horizontal="left" vertical="center" wrapText="1"/>
    </xf>
    <xf numFmtId="172" fontId="107" fillId="5" borderId="3" applyAlignment="1" pivotButton="0" quotePrefix="0" xfId="36">
      <alignment horizontal="right" vertical="center"/>
    </xf>
    <xf numFmtId="172" fontId="107" fillId="5" borderId="27" applyAlignment="1" pivotButton="0" quotePrefix="0" xfId="36">
      <alignment horizontal="right" vertical="center"/>
    </xf>
    <xf numFmtId="172" fontId="107" fillId="5" borderId="49" applyAlignment="1" pivotButton="0" quotePrefix="0" xfId="36">
      <alignment horizontal="right" vertical="center"/>
    </xf>
    <xf numFmtId="165" fontId="100" fillId="0" borderId="0" applyAlignment="1" pivotButton="0" quotePrefix="0" xfId="0">
      <alignment horizontal="left"/>
    </xf>
    <xf numFmtId="17" fontId="106" fillId="4" borderId="28" applyAlignment="1" pivotButton="0" quotePrefix="0" xfId="0">
      <alignment horizontal="right"/>
    </xf>
    <xf numFmtId="17" fontId="106" fillId="4" borderId="36" applyAlignment="1" pivotButton="0" quotePrefix="0" xfId="32">
      <alignment horizontal="right"/>
    </xf>
    <xf numFmtId="166" fontId="107" fillId="5" borderId="49" applyAlignment="1" pivotButton="0" quotePrefix="0" xfId="30">
      <alignment horizontal="right" vertical="center"/>
    </xf>
    <xf numFmtId="166" fontId="105" fillId="0" borderId="0" applyAlignment="1" pivotButton="0" quotePrefix="0" xfId="0">
      <alignment horizontal="right" vertical="center"/>
    </xf>
    <xf numFmtId="0" fontId="74" fillId="2" borderId="0" applyAlignment="1" pivotButton="0" quotePrefix="0" xfId="37">
      <alignment horizontal="left"/>
    </xf>
    <xf numFmtId="0" fontId="101" fillId="0" borderId="0" applyAlignment="1" pivotButton="0" quotePrefix="0" xfId="37">
      <alignment horizontal="left"/>
    </xf>
    <xf numFmtId="0" fontId="114" fillId="0" borderId="0" pivotButton="0" quotePrefix="0" xfId="37"/>
    <xf numFmtId="0" fontId="102" fillId="0" borderId="0" applyAlignment="1" pivotButton="0" quotePrefix="0" xfId="37">
      <alignment horizontal="left"/>
    </xf>
    <xf numFmtId="0" fontId="103" fillId="0" borderId="0" applyAlignment="1" pivotButton="0" quotePrefix="0" xfId="40">
      <alignment horizontal="left"/>
    </xf>
    <xf numFmtId="0" fontId="104" fillId="0" borderId="0" applyAlignment="1" pivotButton="0" quotePrefix="0" xfId="37">
      <alignment horizontal="left"/>
    </xf>
    <xf numFmtId="0" fontId="74" fillId="0" borderId="0" applyAlignment="1" pivotButton="0" quotePrefix="0" xfId="37">
      <alignment horizontal="left"/>
    </xf>
    <xf numFmtId="0" fontId="106" fillId="4" borderId="0" applyAlignment="1" pivotButton="0" quotePrefix="0" xfId="37">
      <alignment horizontal="left"/>
    </xf>
    <xf numFmtId="17" fontId="106" fillId="4" borderId="0" applyAlignment="1" pivotButton="0" quotePrefix="0" xfId="37">
      <alignment horizontal="right"/>
    </xf>
    <xf numFmtId="17" fontId="106" fillId="4" borderId="12" applyAlignment="1" pivotButton="0" quotePrefix="0" xfId="37">
      <alignment horizontal="right"/>
    </xf>
    <xf numFmtId="17" fontId="106" fillId="4" borderId="33" applyAlignment="1" pivotButton="0" quotePrefix="0" xfId="37">
      <alignment horizontal="right"/>
    </xf>
    <xf numFmtId="17" fontId="106" fillId="4" borderId="15" applyAlignment="1" pivotButton="0" quotePrefix="0" xfId="37">
      <alignment horizontal="right" wrapText="1"/>
    </xf>
    <xf numFmtId="0" fontId="100" fillId="2" borderId="0" applyAlignment="1" pivotButton="0" quotePrefix="0" xfId="37">
      <alignment horizontal="left"/>
    </xf>
    <xf numFmtId="0" fontId="100" fillId="0" borderId="0" applyAlignment="1" pivotButton="0" quotePrefix="0" xfId="37">
      <alignment horizontal="left"/>
    </xf>
    <xf numFmtId="0" fontId="114" fillId="0" borderId="0" applyAlignment="1" pivotButton="0" quotePrefix="0" xfId="37">
      <alignment horizontal="left" indent="2"/>
    </xf>
    <xf numFmtId="166" fontId="114" fillId="0" borderId="0" applyAlignment="1" pivotButton="0" quotePrefix="0" xfId="37">
      <alignment horizontal="right"/>
    </xf>
    <xf numFmtId="166" fontId="114" fillId="0" borderId="10" applyAlignment="1" pivotButton="0" quotePrefix="0" xfId="37">
      <alignment horizontal="right"/>
    </xf>
    <xf numFmtId="166" fontId="114" fillId="0" borderId="6" applyAlignment="1" pivotButton="0" quotePrefix="0" xfId="37">
      <alignment horizontal="right"/>
    </xf>
    <xf numFmtId="0" fontId="114" fillId="3" borderId="4" applyAlignment="1" pivotButton="0" quotePrefix="0" xfId="37">
      <alignment horizontal="left" indent="2"/>
    </xf>
    <xf numFmtId="166" fontId="114" fillId="3" borderId="4" applyAlignment="1" pivotButton="0" quotePrefix="0" xfId="37">
      <alignment horizontal="right"/>
    </xf>
    <xf numFmtId="166" fontId="114" fillId="3" borderId="11" applyAlignment="1" pivotButton="0" quotePrefix="0" xfId="37">
      <alignment horizontal="right"/>
    </xf>
    <xf numFmtId="166" fontId="114" fillId="3" borderId="7" applyAlignment="1" pivotButton="0" quotePrefix="0" xfId="37">
      <alignment horizontal="right"/>
    </xf>
    <xf numFmtId="0" fontId="107" fillId="5" borderId="3" applyAlignment="1" pivotButton="0" quotePrefix="0" xfId="37">
      <alignment vertical="center"/>
    </xf>
    <xf numFmtId="166" fontId="107" fillId="5" borderId="3" applyAlignment="1" pivotButton="0" quotePrefix="0" xfId="37">
      <alignment horizontal="right" vertical="center"/>
    </xf>
    <xf numFmtId="166" fontId="107" fillId="5" borderId="27" applyAlignment="1" pivotButton="0" quotePrefix="0" xfId="37">
      <alignment horizontal="right" vertical="center"/>
    </xf>
    <xf numFmtId="166" fontId="107" fillId="5" borderId="49" applyAlignment="1" pivotButton="0" quotePrefix="0" xfId="37">
      <alignment horizontal="right" vertical="center"/>
    </xf>
    <xf numFmtId="0" fontId="118" fillId="3" borderId="0" pivotButton="0" quotePrefix="0" xfId="37"/>
    <xf numFmtId="0" fontId="145" fillId="0" borderId="0" pivotButton="0" quotePrefix="0" xfId="37"/>
    <xf numFmtId="0" fontId="117" fillId="0" borderId="0" pivotButton="0" quotePrefix="0" xfId="37"/>
    <xf numFmtId="0" fontId="98" fillId="0" borderId="0" applyAlignment="1" pivotButton="0" quotePrefix="0" xfId="37">
      <alignment horizontal="left"/>
    </xf>
    <xf numFmtId="0" fontId="74" fillId="0" borderId="0" pivotButton="0" quotePrefix="0" xfId="0"/>
    <xf numFmtId="0" fontId="97" fillId="2" borderId="0" applyAlignment="1" pivotButton="0" quotePrefix="0" xfId="37">
      <alignment horizontal="left"/>
    </xf>
    <xf numFmtId="0" fontId="97" fillId="0" borderId="0" applyAlignment="1" pivotButton="0" quotePrefix="0" xfId="37">
      <alignment horizontal="left"/>
    </xf>
    <xf numFmtId="0" fontId="97" fillId="4" borderId="45" pivotButton="0" quotePrefix="0" xfId="0"/>
    <xf numFmtId="0" fontId="97" fillId="4" borderId="51" pivotButton="0" quotePrefix="0" xfId="0"/>
    <xf numFmtId="0" fontId="97" fillId="4" borderId="0" applyAlignment="1" pivotButton="0" quotePrefix="0" xfId="0">
      <alignment horizontal="centerContinuous"/>
    </xf>
    <xf numFmtId="0" fontId="98" fillId="0" borderId="89" applyAlignment="1" pivotButton="0" quotePrefix="0" xfId="0">
      <alignment horizontal="left" wrapText="1"/>
    </xf>
    <xf numFmtId="0" fontId="98" fillId="0" borderId="53" applyAlignment="1" pivotButton="0" quotePrefix="0" xfId="0">
      <alignment horizontal="left" wrapText="1"/>
    </xf>
    <xf numFmtId="0" fontId="97" fillId="4" borderId="12" pivotButton="0" quotePrefix="0" xfId="0"/>
    <xf numFmtId="0" fontId="97" fillId="4" borderId="51" applyAlignment="1" pivotButton="0" quotePrefix="0" xfId="0">
      <alignment horizontal="centerContinuous"/>
    </xf>
    <xf numFmtId="0" fontId="97" fillId="4" borderId="45" applyAlignment="1" pivotButton="0" quotePrefix="0" xfId="0">
      <alignment horizontal="centerContinuous"/>
    </xf>
    <xf numFmtId="0" fontId="98" fillId="20" borderId="90" applyAlignment="1" pivotButton="0" quotePrefix="0" xfId="0">
      <alignment horizontal="left" wrapText="1"/>
    </xf>
    <xf numFmtId="0" fontId="100" fillId="0" borderId="94" applyAlignment="1" pivotButton="0" quotePrefix="0" xfId="0">
      <alignment horizontal="right"/>
    </xf>
    <xf numFmtId="167" fontId="127" fillId="0" borderId="72" applyAlignment="1" pivotButton="0" quotePrefix="0" xfId="0">
      <alignment horizontal="right"/>
    </xf>
    <xf numFmtId="17" fontId="106" fillId="17" borderId="34" applyAlignment="1" pivotButton="0" quotePrefix="0" xfId="32">
      <alignment horizontal="right" vertical="center" wrapText="1"/>
    </xf>
    <xf numFmtId="17" fontId="106" fillId="17" borderId="85" applyAlignment="1" pivotButton="0" quotePrefix="0" xfId="32">
      <alignment horizontal="right" vertical="center" wrapText="1"/>
    </xf>
    <xf numFmtId="0" fontId="113" fillId="0" borderId="0" pivotButton="0" quotePrefix="0" xfId="37"/>
    <xf numFmtId="164" fontId="107" fillId="5" borderId="27" pivotButton="0" quotePrefix="0" xfId="0"/>
    <xf numFmtId="166" fontId="107" fillId="0" borderId="19" applyAlignment="1" pivotButton="0" quotePrefix="0" xfId="4">
      <alignment horizontal="left" vertical="top"/>
    </xf>
    <xf numFmtId="0" fontId="107" fillId="0" borderId="19" applyAlignment="1" pivotButton="0" quotePrefix="0" xfId="4">
      <alignment horizontal="left" vertical="top"/>
    </xf>
    <xf numFmtId="166" fontId="105" fillId="0" borderId="19" applyAlignment="1" pivotButton="0" quotePrefix="0" xfId="4">
      <alignment horizontal="left" vertical="top"/>
    </xf>
    <xf numFmtId="169" fontId="114" fillId="0" borderId="19" applyAlignment="1" pivotButton="0" quotePrefix="0" xfId="4">
      <alignment horizontal="left" vertical="top"/>
    </xf>
    <xf numFmtId="169" fontId="105" fillId="0" borderId="19" applyAlignment="1" pivotButton="0" quotePrefix="0" xfId="4">
      <alignment horizontal="left" vertical="top"/>
    </xf>
    <xf numFmtId="169" fontId="114" fillId="0" borderId="57" applyAlignment="1" pivotButton="0" quotePrefix="0" xfId="4">
      <alignment horizontal="left" vertical="top"/>
    </xf>
    <xf numFmtId="169" fontId="107" fillId="0" borderId="19" applyAlignment="1" pivotButton="0" quotePrefix="0" xfId="4">
      <alignment horizontal="left" vertical="top"/>
    </xf>
    <xf numFmtId="167" fontId="109" fillId="0" borderId="29" applyAlignment="1" pivotButton="0" quotePrefix="0" xfId="4">
      <alignment horizontal="left" vertical="top"/>
    </xf>
    <xf numFmtId="0" fontId="97" fillId="4" borderId="0" applyAlignment="1" applyProtection="1" pivotButton="0" quotePrefix="0" xfId="4">
      <alignment horizontal="left"/>
      <protection locked="0" hidden="0"/>
    </xf>
    <xf numFmtId="17" fontId="97" fillId="4" borderId="0" applyAlignment="1" pivotButton="0" quotePrefix="0" xfId="4">
      <alignment horizontal="right"/>
    </xf>
    <xf numFmtId="15" fontId="97" fillId="4" borderId="95" applyAlignment="1" pivotButton="0" quotePrefix="0" xfId="5">
      <alignment horizontal="right" wrapText="1"/>
    </xf>
    <xf numFmtId="15" fontId="97" fillId="4" borderId="85" applyAlignment="1" pivotButton="0" quotePrefix="0" xfId="5">
      <alignment horizontal="right" wrapText="1"/>
    </xf>
    <xf numFmtId="15" fontId="97" fillId="4" borderId="96" applyAlignment="1" pivotButton="0" quotePrefix="0" xfId="5">
      <alignment horizontal="right" wrapText="1"/>
    </xf>
    <xf numFmtId="15" fontId="97" fillId="6" borderId="35" applyAlignment="1" pivotButton="0" quotePrefix="0" xfId="5">
      <alignment horizontal="right" wrapText="1"/>
    </xf>
    <xf numFmtId="15" fontId="97" fillId="6" borderId="95" applyAlignment="1" pivotButton="0" quotePrefix="0" xfId="5">
      <alignment horizontal="right" wrapText="1"/>
    </xf>
    <xf numFmtId="15" fontId="97" fillId="6" borderId="85" applyAlignment="1" pivotButton="0" quotePrefix="0" xfId="5">
      <alignment horizontal="right" wrapText="1"/>
    </xf>
    <xf numFmtId="15" fontId="97" fillId="4" borderId="35" applyAlignment="1" pivotButton="0" quotePrefix="0" xfId="5">
      <alignment horizontal="right" wrapText="1"/>
    </xf>
    <xf numFmtId="0" fontId="97" fillId="4" borderId="0" applyAlignment="1" pivotButton="0" quotePrefix="0" xfId="5">
      <alignment horizontal="left"/>
    </xf>
    <xf numFmtId="0" fontId="114" fillId="3" borderId="0" applyAlignment="1" pivotButton="0" quotePrefix="0" xfId="5">
      <alignment horizontal="left" vertical="center" indent="1"/>
    </xf>
    <xf numFmtId="166" fontId="98" fillId="0" borderId="0" applyAlignment="1" pivotButton="0" quotePrefix="0" xfId="0">
      <alignment horizontal="left"/>
    </xf>
    <xf numFmtId="169" fontId="114" fillId="0" borderId="57" applyAlignment="1" pivotButton="0" quotePrefix="0" xfId="4">
      <alignment horizontal="left" vertical="top" wrapText="1"/>
    </xf>
    <xf numFmtId="169" fontId="114" fillId="0" borderId="19" applyAlignment="1" pivotButton="0" quotePrefix="0" xfId="4">
      <alignment horizontal="left" vertical="top" wrapText="1"/>
    </xf>
    <xf numFmtId="169" fontId="105" fillId="0" borderId="19" applyAlignment="1" pivotButton="0" quotePrefix="1" xfId="4">
      <alignment horizontal="left" vertical="top" wrapText="1"/>
    </xf>
    <xf numFmtId="169" fontId="105" fillId="0" borderId="53" applyAlignment="1" pivotButton="0" quotePrefix="0" xfId="4">
      <alignment horizontal="left" vertical="top" wrapText="1"/>
    </xf>
    <xf numFmtId="169" fontId="105" fillId="0" borderId="53" applyAlignment="1" pivotButton="0" quotePrefix="1" xfId="4">
      <alignment horizontal="left" vertical="top" wrapText="1"/>
    </xf>
    <xf numFmtId="0" fontId="116" fillId="0" borderId="0" applyAlignment="1" pivotButton="0" quotePrefix="0" xfId="5">
      <alignment wrapText="1"/>
    </xf>
    <xf numFmtId="0" fontId="118" fillId="3" borderId="0" applyAlignment="1" pivotButton="0" quotePrefix="0" xfId="4">
      <alignment horizontal="left" vertical="center" wrapText="1"/>
    </xf>
    <xf numFmtId="169" fontId="105" fillId="3" borderId="10" applyAlignment="1" pivotButton="0" quotePrefix="0" xfId="4">
      <alignment horizontal="right" vertical="center" wrapText="1"/>
    </xf>
    <xf numFmtId="169" fontId="105" fillId="3" borderId="6" applyAlignment="1" pivotButton="0" quotePrefix="0" xfId="4">
      <alignment horizontal="right" vertical="center" wrapText="1"/>
    </xf>
    <xf numFmtId="169" fontId="105" fillId="0" borderId="19" applyAlignment="1" pivotButton="0" quotePrefix="0" xfId="4">
      <alignment horizontal="left" vertical="top" wrapText="1"/>
    </xf>
    <xf numFmtId="0" fontId="150" fillId="0" borderId="0" applyAlignment="1" pivotButton="0" quotePrefix="0" xfId="8">
      <alignment wrapText="1"/>
    </xf>
    <xf numFmtId="0" fontId="114" fillId="0" borderId="0" applyAlignment="1" pivotButton="0" quotePrefix="0" xfId="8">
      <alignment wrapText="1"/>
    </xf>
    <xf numFmtId="0" fontId="97" fillId="6" borderId="45" applyAlignment="1" pivotButton="0" quotePrefix="0" xfId="4">
      <alignment horizontal="center" vertical="center" wrapText="1"/>
    </xf>
    <xf numFmtId="169" fontId="105" fillId="0" borderId="0" applyAlignment="1" pivotButton="0" quotePrefix="0" xfId="4">
      <alignment horizontal="right" vertical="center" wrapText="1"/>
    </xf>
    <xf numFmtId="169" fontId="105" fillId="0" borderId="10" applyAlignment="1" pivotButton="0" quotePrefix="0" xfId="4">
      <alignment horizontal="right" vertical="center" wrapText="1"/>
    </xf>
    <xf numFmtId="169" fontId="105" fillId="0" borderId="6" applyAlignment="1" pivotButton="0" quotePrefix="0" xfId="4">
      <alignment horizontal="right" vertical="center" wrapText="1"/>
    </xf>
    <xf numFmtId="169" fontId="105" fillId="0" borderId="4" applyAlignment="1" pivotButton="0" quotePrefix="0" xfId="4">
      <alignment horizontal="right" vertical="center" wrapText="1"/>
    </xf>
    <xf numFmtId="169" fontId="105" fillId="0" borderId="11" applyAlignment="1" pivotButton="0" quotePrefix="0" xfId="4">
      <alignment horizontal="right" vertical="center" wrapText="1"/>
    </xf>
    <xf numFmtId="169" fontId="105" fillId="0" borderId="7" applyAlignment="1" pivotButton="0" quotePrefix="0" xfId="4">
      <alignment horizontal="right" vertical="center" wrapText="1"/>
    </xf>
    <xf numFmtId="166" fontId="105" fillId="0" borderId="4" applyAlignment="1" pivotButton="0" quotePrefix="0" xfId="4">
      <alignment horizontal="right" vertical="center" wrapText="1"/>
    </xf>
    <xf numFmtId="0" fontId="97" fillId="6" borderId="65" applyAlignment="1" pivotButton="0" quotePrefix="0" xfId="4">
      <alignment horizontal="center" vertical="center" wrapText="1"/>
    </xf>
    <xf numFmtId="169" fontId="114" fillId="0" borderId="19" applyAlignment="1" pivotButton="0" quotePrefix="1" xfId="4">
      <alignment horizontal="left" vertical="top" wrapText="1"/>
    </xf>
    <xf numFmtId="169" fontId="130" fillId="0" borderId="19" applyAlignment="1" pivotButton="0" quotePrefix="0" xfId="4">
      <alignment horizontal="left" vertical="top" wrapText="1"/>
    </xf>
    <xf numFmtId="0" fontId="97" fillId="6" borderId="14" applyAlignment="1" pivotButton="0" quotePrefix="0" xfId="4">
      <alignment horizontal="center" vertical="center" wrapText="1"/>
    </xf>
    <xf numFmtId="0" fontId="100" fillId="5" borderId="0" applyAlignment="1" pivotButton="0" quotePrefix="0" xfId="0">
      <alignment horizontal="left" indent="2"/>
    </xf>
    <xf numFmtId="0" fontId="100" fillId="5" borderId="0" pivotButton="0" quotePrefix="0" xfId="0"/>
    <xf numFmtId="166" fontId="100" fillId="5" borderId="0" applyAlignment="1" pivotButton="0" quotePrefix="0" xfId="0">
      <alignment horizontal="right"/>
    </xf>
    <xf numFmtId="166" fontId="100" fillId="5" borderId="10" applyAlignment="1" pivotButton="0" quotePrefix="0" xfId="0">
      <alignment horizontal="right"/>
    </xf>
    <xf numFmtId="166" fontId="100" fillId="5" borderId="6" applyAlignment="1" pivotButton="0" quotePrefix="0" xfId="0">
      <alignment horizontal="right"/>
    </xf>
    <xf numFmtId="0" fontId="100" fillId="5" borderId="4" pivotButton="0" quotePrefix="0" xfId="0"/>
    <xf numFmtId="166" fontId="100" fillId="5" borderId="4" applyAlignment="1" pivotButton="0" quotePrefix="0" xfId="0">
      <alignment horizontal="right"/>
    </xf>
    <xf numFmtId="166" fontId="100" fillId="5" borderId="11" applyAlignment="1" pivotButton="0" quotePrefix="0" xfId="0">
      <alignment horizontal="right"/>
    </xf>
    <xf numFmtId="166" fontId="100" fillId="5" borderId="7" applyAlignment="1" pivotButton="0" quotePrefix="0" xfId="0">
      <alignment horizontal="right"/>
    </xf>
    <xf numFmtId="0" fontId="100" fillId="5" borderId="0" applyAlignment="1" pivotButton="0" quotePrefix="0" xfId="0">
      <alignment horizontal="left" indent="1"/>
    </xf>
    <xf numFmtId="41" fontId="127" fillId="0" borderId="72" pivotButton="0" quotePrefix="0" xfId="0"/>
    <xf numFmtId="0" fontId="127" fillId="0" borderId="72" pivotButton="0" quotePrefix="0" xfId="0"/>
    <xf numFmtId="17" fontId="108" fillId="4" borderId="15" applyAlignment="1" pivotButton="0" quotePrefix="0" xfId="0">
      <alignment horizontal="right" wrapText="1"/>
    </xf>
    <xf numFmtId="166" fontId="127" fillId="0" borderId="72" applyAlignment="1" pivotButton="0" quotePrefix="0" xfId="0">
      <alignment horizontal="right"/>
    </xf>
    <xf numFmtId="0" fontId="100" fillId="0" borderId="86" pivotButton="0" quotePrefix="0" xfId="0"/>
    <xf numFmtId="43" fontId="100" fillId="0" borderId="0" pivotButton="0" quotePrefix="0" xfId="0"/>
    <xf numFmtId="166" fontId="127" fillId="0" borderId="72" pivotButton="0" quotePrefix="0" xfId="0"/>
    <xf numFmtId="166" fontId="127" fillId="0" borderId="0" pivotButton="0" quotePrefix="0" xfId="0"/>
    <xf numFmtId="166" fontId="113" fillId="0" borderId="0" applyAlignment="1" pivotButton="0" quotePrefix="0" xfId="37">
      <alignment horizontal="right"/>
    </xf>
    <xf numFmtId="0" fontId="72" fillId="2" borderId="6" pivotButton="0" quotePrefix="0" xfId="42"/>
    <xf numFmtId="0" fontId="101" fillId="0" borderId="0" applyAlignment="1" pivotButton="0" quotePrefix="0" xfId="42">
      <alignment horizontal="left"/>
    </xf>
    <xf numFmtId="17" fontId="114" fillId="0" borderId="0" applyAlignment="1" pivotButton="0" quotePrefix="0" xfId="37">
      <alignment vertical="top"/>
    </xf>
    <xf numFmtId="0" fontId="102" fillId="0" borderId="0" applyAlignment="1" pivotButton="0" quotePrefix="0" xfId="42">
      <alignment horizontal="left"/>
    </xf>
    <xf numFmtId="0" fontId="103" fillId="0" borderId="0" applyAlignment="1" pivotButton="0" quotePrefix="0" xfId="42">
      <alignment horizontal="left"/>
    </xf>
    <xf numFmtId="0" fontId="72" fillId="2" borderId="0" pivotButton="0" quotePrefix="0" xfId="2"/>
    <xf numFmtId="0" fontId="104" fillId="0" borderId="0" applyAlignment="1" pivotButton="0" quotePrefix="0" xfId="42">
      <alignment horizontal="left"/>
    </xf>
    <xf numFmtId="17" fontId="106" fillId="4" borderId="45" applyAlignment="1" pivotButton="0" quotePrefix="0" xfId="44">
      <alignment horizontal="right"/>
    </xf>
    <xf numFmtId="17" fontId="106" fillId="4" borderId="68" applyAlignment="1" pivotButton="0" quotePrefix="0" xfId="44">
      <alignment horizontal="right"/>
    </xf>
    <xf numFmtId="17" fontId="106" fillId="4" borderId="36" applyAlignment="1" pivotButton="0" quotePrefix="0" xfId="44">
      <alignment horizontal="right"/>
    </xf>
    <xf numFmtId="182" fontId="114" fillId="0" borderId="0" pivotButton="0" quotePrefix="0" xfId="37"/>
    <xf numFmtId="182" fontId="113" fillId="0" borderId="0" pivotButton="0" quotePrefix="0" xfId="37"/>
    <xf numFmtId="183" fontId="113" fillId="0" borderId="0" applyAlignment="1" pivotButton="0" quotePrefix="0" xfId="37">
      <alignment horizontal="right"/>
    </xf>
    <xf numFmtId="0" fontId="100" fillId="5" borderId="4" applyAlignment="1" pivotButton="0" quotePrefix="0" xfId="0">
      <alignment horizontal="left"/>
    </xf>
    <xf numFmtId="166" fontId="107" fillId="5" borderId="2" applyAlignment="1" pivotButton="0" quotePrefix="0" xfId="37">
      <alignment horizontal="right" vertical="center"/>
    </xf>
    <xf numFmtId="0" fontId="114" fillId="0" borderId="0" applyAlignment="1" pivotButton="0" quotePrefix="0" xfId="4">
      <alignment horizontal="left" vertical="center" wrapText="1" indent="2"/>
    </xf>
    <xf numFmtId="0" fontId="114" fillId="0" borderId="0" applyAlignment="1" pivotButton="0" quotePrefix="0" xfId="4">
      <alignment horizontal="left" vertical="center" wrapText="1" indent="3"/>
    </xf>
    <xf numFmtId="0" fontId="114" fillId="0" borderId="4" applyAlignment="1" pivotButton="0" quotePrefix="0" xfId="4">
      <alignment horizontal="left" vertical="center" wrapText="1" indent="3"/>
    </xf>
    <xf numFmtId="0" fontId="100" fillId="5" borderId="0" applyAlignment="1" pivotButton="0" quotePrefix="0" xfId="0">
      <alignment horizontal="left"/>
    </xf>
    <xf numFmtId="164" fontId="105" fillId="16" borderId="0" pivotButton="0" quotePrefix="0" xfId="0"/>
    <xf numFmtId="0" fontId="114" fillId="0" borderId="0" applyAlignment="1" pivotButton="0" quotePrefix="0" xfId="37">
      <alignment horizontal="right"/>
    </xf>
    <xf numFmtId="17" fontId="106" fillId="4" borderId="36" applyAlignment="1" pivotButton="0" quotePrefix="0" xfId="44">
      <alignment horizontal="right" wrapText="1"/>
    </xf>
    <xf numFmtId="17" fontId="106" fillId="4" borderId="51" applyAlignment="1" pivotButton="0" quotePrefix="0" xfId="44">
      <alignment horizontal="right" wrapText="1"/>
    </xf>
    <xf numFmtId="0" fontId="71" fillId="0" borderId="0" pivotButton="0" quotePrefix="0" xfId="0"/>
    <xf numFmtId="0" fontId="71" fillId="0" borderId="0" applyAlignment="1" pivotButton="0" quotePrefix="0" xfId="0">
      <alignment horizontal="left"/>
    </xf>
    <xf numFmtId="0" fontId="71" fillId="2" borderId="0" applyAlignment="1" pivotButton="0" quotePrefix="0" xfId="0">
      <alignment horizontal="left"/>
    </xf>
    <xf numFmtId="0" fontId="103" fillId="0" borderId="0" applyAlignment="1" pivotButton="0" quotePrefix="0" xfId="45">
      <alignment horizontal="left"/>
    </xf>
    <xf numFmtId="0" fontId="110" fillId="5" borderId="3" applyAlignment="1" pivotButton="0" quotePrefix="0" xfId="0">
      <alignment vertical="center"/>
    </xf>
    <xf numFmtId="184" fontId="98" fillId="0" borderId="72" pivotButton="0" quotePrefix="0" xfId="0"/>
    <xf numFmtId="0" fontId="98" fillId="0" borderId="57" applyAlignment="1" pivotButton="0" quotePrefix="0" xfId="0">
      <alignment horizontal="left"/>
    </xf>
    <xf numFmtId="0" fontId="98" fillId="0" borderId="57" applyAlignment="1" pivotButton="0" quotePrefix="0" xfId="0">
      <alignment horizontal="left" wrapText="1"/>
    </xf>
    <xf numFmtId="0" fontId="98" fillId="20" borderId="58" applyAlignment="1" pivotButton="0" quotePrefix="0" xfId="0">
      <alignment horizontal="left" wrapText="1"/>
    </xf>
    <xf numFmtId="0" fontId="98" fillId="0" borderId="58" applyAlignment="1" pivotButton="0" quotePrefix="0" xfId="0">
      <alignment horizontal="left" wrapText="1"/>
    </xf>
    <xf numFmtId="167" fontId="100" fillId="5" borderId="0" applyAlignment="1" pivotButton="0" quotePrefix="0" xfId="0">
      <alignment horizontal="right"/>
    </xf>
    <xf numFmtId="167" fontId="100" fillId="5" borderId="10" applyAlignment="1" pivotButton="0" quotePrefix="0" xfId="0">
      <alignment horizontal="right"/>
    </xf>
    <xf numFmtId="167" fontId="100" fillId="5" borderId="6" applyAlignment="1" pivotButton="0" quotePrefix="0" xfId="0">
      <alignment horizontal="right"/>
    </xf>
    <xf numFmtId="0" fontId="147" fillId="0" borderId="0" pivotButton="0" quotePrefix="0" xfId="27"/>
    <xf numFmtId="17" fontId="106" fillId="4" borderId="0" applyAlignment="1" pivotButton="0" quotePrefix="0" xfId="27">
      <alignment horizontal="right"/>
    </xf>
    <xf numFmtId="17" fontId="106" fillId="4" borderId="12" applyAlignment="1" pivotButton="0" quotePrefix="0" xfId="27">
      <alignment horizontal="right"/>
    </xf>
    <xf numFmtId="164" fontId="105" fillId="3" borderId="10" applyAlignment="1" pivotButton="0" quotePrefix="0" xfId="27">
      <alignment vertical="center"/>
    </xf>
    <xf numFmtId="164" fontId="105" fillId="3" borderId="11" applyAlignment="1" pivotButton="0" quotePrefix="0" xfId="27">
      <alignment vertical="center"/>
    </xf>
    <xf numFmtId="164" fontId="107" fillId="5" borderId="2" pivotButton="0" quotePrefix="0" xfId="27"/>
    <xf numFmtId="164" fontId="107" fillId="5" borderId="9" applyAlignment="1" pivotButton="0" quotePrefix="0" xfId="27">
      <alignment vertical="center"/>
    </xf>
    <xf numFmtId="0" fontId="107" fillId="0" borderId="0" applyAlignment="1" pivotButton="0" quotePrefix="0" xfId="27">
      <alignment horizontal="left" vertical="center"/>
    </xf>
    <xf numFmtId="164" fontId="107" fillId="0" borderId="0" pivotButton="0" quotePrefix="0" xfId="27"/>
    <xf numFmtId="164" fontId="107" fillId="0" borderId="0" applyAlignment="1" pivotButton="0" quotePrefix="0" xfId="27">
      <alignment vertical="center"/>
    </xf>
    <xf numFmtId="0" fontId="113" fillId="2" borderId="0" pivotButton="0" quotePrefix="0" xfId="11"/>
    <xf numFmtId="0" fontId="109" fillId="0" borderId="0" applyAlignment="1" pivotButton="0" quotePrefix="0" xfId="27">
      <alignment horizontal="left" vertical="center"/>
    </xf>
    <xf numFmtId="164" fontId="109" fillId="0" borderId="0" pivotButton="0" quotePrefix="0" xfId="27"/>
    <xf numFmtId="164" fontId="109" fillId="0" borderId="0" applyAlignment="1" pivotButton="0" quotePrefix="0" xfId="27">
      <alignment vertical="center"/>
    </xf>
    <xf numFmtId="164" fontId="105" fillId="5" borderId="0" applyAlignment="1" pivotButton="0" quotePrefix="0" xfId="27">
      <alignment vertical="center"/>
    </xf>
    <xf numFmtId="164" fontId="105" fillId="5" borderId="10" applyAlignment="1" pivotButton="0" quotePrefix="0" xfId="27">
      <alignment vertical="center"/>
    </xf>
    <xf numFmtId="0" fontId="156" fillId="0" borderId="0" applyAlignment="1" pivotButton="0" quotePrefix="0" xfId="27">
      <alignment vertical="center"/>
    </xf>
    <xf numFmtId="164" fontId="109" fillId="15" borderId="0" applyAlignment="1" pivotButton="0" quotePrefix="0" xfId="27">
      <alignment vertical="center"/>
    </xf>
    <xf numFmtId="17" fontId="106" fillId="4" borderId="33" applyAlignment="1" pivotButton="0" quotePrefix="0" xfId="27">
      <alignment horizontal="right"/>
    </xf>
    <xf numFmtId="17" fontId="106" fillId="4" borderId="15" applyAlignment="1" pivotButton="0" quotePrefix="0" xfId="27">
      <alignment horizontal="right" wrapText="1"/>
    </xf>
    <xf numFmtId="41" fontId="147" fillId="0" borderId="0" applyAlignment="1" pivotButton="0" quotePrefix="0" xfId="27">
      <alignment vertical="center"/>
    </xf>
    <xf numFmtId="17" fontId="106" fillId="4" borderId="14" applyAlignment="1" pivotButton="0" quotePrefix="0" xfId="27">
      <alignment horizontal="centerContinuous"/>
    </xf>
    <xf numFmtId="17" fontId="106" fillId="4" borderId="13" applyAlignment="1" pivotButton="0" quotePrefix="0" xfId="27">
      <alignment horizontal="centerContinuous"/>
    </xf>
    <xf numFmtId="17" fontId="106" fillId="4" borderId="13" applyAlignment="1" pivotButton="0" quotePrefix="0" xfId="27">
      <alignment horizontal="centerContinuous" wrapText="1"/>
    </xf>
    <xf numFmtId="17" fontId="106" fillId="6" borderId="14" applyAlignment="1" pivotButton="0" quotePrefix="0" xfId="27">
      <alignment horizontal="centerContinuous"/>
    </xf>
    <xf numFmtId="17" fontId="106" fillId="6" borderId="13" applyAlignment="1" pivotButton="0" quotePrefix="0" xfId="27">
      <alignment horizontal="centerContinuous"/>
    </xf>
    <xf numFmtId="17" fontId="106" fillId="6" borderId="13" applyAlignment="1" pivotButton="0" quotePrefix="0" xfId="27">
      <alignment horizontal="centerContinuous" wrapText="1"/>
    </xf>
    <xf numFmtId="17" fontId="106" fillId="6" borderId="0" applyAlignment="1" pivotButton="0" quotePrefix="0" xfId="27">
      <alignment horizontal="right"/>
    </xf>
    <xf numFmtId="17" fontId="106" fillId="6" borderId="12" applyAlignment="1" pivotButton="0" quotePrefix="0" xfId="27">
      <alignment horizontal="right"/>
    </xf>
    <xf numFmtId="17" fontId="106" fillId="6" borderId="33" applyAlignment="1" pivotButton="0" quotePrefix="0" xfId="27">
      <alignment horizontal="right"/>
    </xf>
    <xf numFmtId="41" fontId="114" fillId="0" borderId="0" applyAlignment="1" pivotButton="0" quotePrefix="0" xfId="27">
      <alignment vertical="center"/>
    </xf>
    <xf numFmtId="41" fontId="113" fillId="0" borderId="0" applyAlignment="1" pivotButton="0" quotePrefix="0" xfId="27">
      <alignment vertical="center"/>
    </xf>
    <xf numFmtId="17" fontId="106" fillId="19" borderId="14" applyAlignment="1" pivotButton="0" quotePrefix="0" xfId="27">
      <alignment horizontal="centerContinuous"/>
    </xf>
    <xf numFmtId="17" fontId="106" fillId="19" borderId="13" applyAlignment="1" pivotButton="0" quotePrefix="0" xfId="27">
      <alignment horizontal="centerContinuous"/>
    </xf>
    <xf numFmtId="17" fontId="106" fillId="19" borderId="13" applyAlignment="1" pivotButton="0" quotePrefix="0" xfId="27">
      <alignment horizontal="centerContinuous" wrapText="1"/>
    </xf>
    <xf numFmtId="17" fontId="106" fillId="19" borderId="0" applyAlignment="1" pivotButton="0" quotePrefix="0" xfId="27">
      <alignment horizontal="right"/>
    </xf>
    <xf numFmtId="17" fontId="106" fillId="19" borderId="12" applyAlignment="1" pivotButton="0" quotePrefix="0" xfId="27">
      <alignment horizontal="right"/>
    </xf>
    <xf numFmtId="17" fontId="106" fillId="19" borderId="33" applyAlignment="1" pivotButton="0" quotePrefix="0" xfId="27">
      <alignment horizontal="right"/>
    </xf>
    <xf numFmtId="0" fontId="70" fillId="0" borderId="0" pivotButton="0" quotePrefix="0" xfId="0"/>
    <xf numFmtId="0" fontId="70" fillId="2" borderId="0" applyAlignment="1" pivotButton="0" quotePrefix="0" xfId="0">
      <alignment horizontal="left"/>
    </xf>
    <xf numFmtId="0" fontId="70" fillId="0" borderId="0" applyAlignment="1" pivotButton="0" quotePrefix="0" xfId="0">
      <alignment horizontal="left"/>
    </xf>
    <xf numFmtId="17" fontId="106" fillId="6" borderId="14" applyAlignment="1" pivotButton="0" quotePrefix="0" xfId="0">
      <alignment horizontal="centerContinuous" wrapText="1"/>
    </xf>
    <xf numFmtId="0" fontId="97" fillId="6" borderId="14" applyAlignment="1" pivotButton="0" quotePrefix="0" xfId="5">
      <alignment horizontal="center" vertical="center"/>
    </xf>
    <xf numFmtId="0" fontId="128" fillId="2" borderId="0" applyAlignment="1" pivotButton="0" quotePrefix="0" xfId="0">
      <alignment horizontal="left"/>
    </xf>
    <xf numFmtId="0" fontId="97" fillId="0" borderId="0" pivotButton="0" quotePrefix="0" xfId="0"/>
    <xf numFmtId="185" fontId="70" fillId="0" borderId="0" pivotButton="0" quotePrefix="0" xfId="0"/>
    <xf numFmtId="186" fontId="70" fillId="0" borderId="0" pivotButton="0" quotePrefix="0" xfId="0"/>
    <xf numFmtId="0" fontId="118" fillId="3" borderId="1" applyAlignment="1" pivotButton="0" quotePrefix="0" xfId="0">
      <alignment horizontal="left" vertical="center"/>
    </xf>
    <xf numFmtId="0" fontId="70" fillId="2" borderId="0" pivotButton="0" quotePrefix="0" xfId="6"/>
    <xf numFmtId="0" fontId="157" fillId="0" borderId="0" applyAlignment="1" pivotButton="0" quotePrefix="0" xfId="27">
      <alignment vertical="center"/>
    </xf>
    <xf numFmtId="0" fontId="70" fillId="0" borderId="0" applyAlignment="1" pivotButton="0" quotePrefix="0" xfId="0">
      <alignment vertical="center"/>
    </xf>
    <xf numFmtId="0" fontId="117" fillId="0" borderId="0" applyAlignment="1" pivotButton="0" quotePrefix="0" xfId="37">
      <alignment horizontal="left"/>
    </xf>
    <xf numFmtId="0" fontId="107" fillId="5" borderId="3" applyAlignment="1" pivotButton="0" quotePrefix="0" xfId="27">
      <alignment horizontal="left" vertical="center"/>
    </xf>
    <xf numFmtId="164" fontId="107" fillId="5" borderId="3" applyAlignment="1" pivotButton="0" quotePrefix="0" xfId="27">
      <alignment vertical="center"/>
    </xf>
    <xf numFmtId="164" fontId="107" fillId="5" borderId="27" applyAlignment="1" pivotButton="0" quotePrefix="0" xfId="27">
      <alignment vertical="center"/>
    </xf>
    <xf numFmtId="164" fontId="107" fillId="5" borderId="49" applyAlignment="1" pivotButton="0" quotePrefix="0" xfId="27">
      <alignment vertical="center"/>
    </xf>
    <xf numFmtId="0" fontId="158" fillId="0" borderId="0" applyAlignment="1" pivotButton="0" quotePrefix="0" xfId="27">
      <alignment horizontal="left" vertical="center"/>
    </xf>
    <xf numFmtId="0" fontId="159" fillId="0" borderId="0" applyAlignment="1" pivotButton="0" quotePrefix="0" xfId="27">
      <alignment vertical="center"/>
    </xf>
    <xf numFmtId="0" fontId="160" fillId="2" borderId="0" pivotButton="0" quotePrefix="0" xfId="11"/>
    <xf numFmtId="0" fontId="161" fillId="7" borderId="0" pivotButton="0" quotePrefix="0" xfId="5"/>
    <xf numFmtId="164" fontId="158" fillId="0" borderId="0" applyAlignment="1" pivotButton="0" quotePrefix="0" xfId="27">
      <alignment vertical="center"/>
    </xf>
    <xf numFmtId="164" fontId="158" fillId="5" borderId="0" applyAlignment="1" pivotButton="0" quotePrefix="0" xfId="27">
      <alignment vertical="center"/>
    </xf>
    <xf numFmtId="166" fontId="105" fillId="0" borderId="57" applyAlignment="1" pivotButton="0" quotePrefix="0" xfId="4">
      <alignment horizontal="left" vertical="top" wrapText="1"/>
    </xf>
    <xf numFmtId="185" fontId="110" fillId="5" borderId="3" applyAlignment="1" pivotButton="0" quotePrefix="0" xfId="0">
      <alignment horizontal="right" vertical="center"/>
    </xf>
    <xf numFmtId="41" fontId="100" fillId="5" borderId="0" applyAlignment="1" pivotButton="0" quotePrefix="0" xfId="0">
      <alignment horizontal="right"/>
    </xf>
    <xf numFmtId="41" fontId="100" fillId="5" borderId="10" applyAlignment="1" pivotButton="0" quotePrefix="0" xfId="0">
      <alignment horizontal="right"/>
    </xf>
    <xf numFmtId="41" fontId="100" fillId="5" borderId="6" applyAlignment="1" pivotButton="0" quotePrefix="0" xfId="0">
      <alignment horizontal="right"/>
    </xf>
    <xf numFmtId="164" fontId="114" fillId="0" borderId="0" applyAlignment="1" pivotButton="0" quotePrefix="0" xfId="27">
      <alignment vertical="center"/>
    </xf>
    <xf numFmtId="43" fontId="114" fillId="0" borderId="0" applyAlignment="1" pivotButton="0" quotePrefix="0" xfId="27">
      <alignment vertical="center"/>
    </xf>
    <xf numFmtId="0" fontId="100" fillId="0" borderId="0" applyAlignment="1" pivotButton="0" quotePrefix="0" xfId="0">
      <alignment horizontal="right"/>
    </xf>
    <xf numFmtId="0" fontId="90" fillId="0" borderId="0" applyAlignment="1" pivotButton="0" quotePrefix="0" xfId="0">
      <alignment horizontal="right"/>
    </xf>
    <xf numFmtId="0" fontId="100" fillId="0" borderId="93" applyAlignment="1" pivotButton="0" quotePrefix="0" xfId="0">
      <alignment horizontal="right"/>
    </xf>
    <xf numFmtId="0" fontId="127" fillId="0" borderId="0" applyAlignment="1" pivotButton="0" quotePrefix="0" xfId="0">
      <alignment horizontal="right"/>
    </xf>
    <xf numFmtId="0" fontId="98" fillId="0" borderId="0" applyAlignment="1" pivotButton="0" quotePrefix="0" xfId="0">
      <alignment horizontal="right"/>
    </xf>
    <xf numFmtId="0" fontId="114" fillId="3" borderId="4" applyAlignment="1" pivotButton="0" quotePrefix="0" xfId="4">
      <alignment horizontal="left" vertical="center" indent="2"/>
    </xf>
    <xf numFmtId="0" fontId="114" fillId="3" borderId="0" applyAlignment="1" pivotButton="0" quotePrefix="0" xfId="4">
      <alignment horizontal="left" vertical="center" indent="3"/>
    </xf>
    <xf numFmtId="169" fontId="114" fillId="0" borderId="53" applyAlignment="1" pivotButton="0" quotePrefix="0" xfId="4">
      <alignment horizontal="left" vertical="top"/>
    </xf>
    <xf numFmtId="166" fontId="100" fillId="7" borderId="0" applyAlignment="1" pivotButton="0" quotePrefix="0" xfId="4">
      <alignment horizontal="right"/>
    </xf>
    <xf numFmtId="166" fontId="98" fillId="0" borderId="72" applyAlignment="1" pivotButton="0" quotePrefix="0" xfId="0">
      <alignment horizontal="left"/>
    </xf>
    <xf numFmtId="0" fontId="100" fillId="0" borderId="93" applyAlignment="1" pivotButton="0" quotePrefix="0" xfId="0">
      <alignment horizontal="left"/>
    </xf>
    <xf numFmtId="0" fontId="100" fillId="0" borderId="94" applyAlignment="1" pivotButton="0" quotePrefix="0" xfId="0">
      <alignment horizontal="left"/>
    </xf>
    <xf numFmtId="167" fontId="100" fillId="0" borderId="0" applyAlignment="1" pivotButton="0" quotePrefix="0" xfId="0">
      <alignment horizontal="left"/>
    </xf>
    <xf numFmtId="0" fontId="127" fillId="0" borderId="0" applyAlignment="1" pivotButton="0" quotePrefix="0" xfId="0">
      <alignment horizontal="left"/>
    </xf>
    <xf numFmtId="0" fontId="114" fillId="0" borderId="0" applyAlignment="1" pivotButton="0" quotePrefix="0" xfId="4">
      <alignment horizontal="left" vertical="center" indent="1"/>
    </xf>
    <xf numFmtId="0" fontId="69" fillId="0" borderId="0" pivotButton="0" quotePrefix="0" xfId="0"/>
    <xf numFmtId="41" fontId="113" fillId="5" borderId="0" applyAlignment="1" pivotButton="0" quotePrefix="0" xfId="27">
      <alignment vertical="center"/>
    </xf>
    <xf numFmtId="41" fontId="114" fillId="5" borderId="0" applyAlignment="1" pivotButton="0" quotePrefix="0" xfId="27">
      <alignment vertical="center"/>
    </xf>
    <xf numFmtId="0" fontId="69" fillId="0" borderId="0" applyAlignment="1" pivotButton="0" quotePrefix="0" xfId="0">
      <alignment horizontal="left" indent="1"/>
    </xf>
    <xf numFmtId="0" fontId="69" fillId="0" borderId="0" applyAlignment="1" pivotButton="0" quotePrefix="0" xfId="0">
      <alignment horizontal="left" indent="2"/>
    </xf>
    <xf numFmtId="0" fontId="69" fillId="3" borderId="4" applyAlignment="1" pivotButton="0" quotePrefix="0" xfId="0">
      <alignment horizontal="left" indent="2"/>
    </xf>
    <xf numFmtId="169" fontId="114" fillId="0" borderId="57" applyAlignment="1" pivotButton="0" quotePrefix="1" xfId="4">
      <alignment horizontal="left" vertical="top" wrapText="1"/>
    </xf>
    <xf numFmtId="166" fontId="105" fillId="0" borderId="19" applyAlignment="1" pivotButton="0" quotePrefix="0" xfId="4">
      <alignment horizontal="left" vertical="top" wrapText="1"/>
    </xf>
    <xf numFmtId="0" fontId="69" fillId="3" borderId="4" applyAlignment="1" pivotButton="0" quotePrefix="0" xfId="0">
      <alignment horizontal="left" indent="1"/>
    </xf>
    <xf numFmtId="0" fontId="69" fillId="0" borderId="0" pivotButton="0" quotePrefix="0" xfId="1"/>
    <xf numFmtId="0" fontId="69" fillId="0" borderId="0" applyAlignment="1" pivotButton="0" quotePrefix="0" xfId="37">
      <alignment horizontal="left"/>
    </xf>
    <xf numFmtId="0" fontId="69" fillId="2" borderId="0" applyAlignment="1" pivotButton="0" quotePrefix="0" xfId="37">
      <alignment horizontal="left"/>
    </xf>
    <xf numFmtId="166" fontId="69" fillId="0" borderId="0" applyAlignment="1" pivotButton="0" quotePrefix="0" xfId="0">
      <alignment horizontal="right"/>
    </xf>
    <xf numFmtId="0" fontId="69" fillId="0" borderId="0" applyAlignment="1" pivotButton="0" quotePrefix="0" xfId="0">
      <alignment horizontal="left" indent="3"/>
    </xf>
    <xf numFmtId="187" fontId="69" fillId="0" borderId="0" applyAlignment="1" pivotButton="0" quotePrefix="0" xfId="0">
      <alignment horizontal="right"/>
    </xf>
    <xf numFmtId="0" fontId="97" fillId="6" borderId="99" applyAlignment="1" pivotButton="0" quotePrefix="0" xfId="4">
      <alignment horizontal="center" vertical="center"/>
    </xf>
    <xf numFmtId="0" fontId="69" fillId="3" borderId="4" applyAlignment="1" pivotButton="0" quotePrefix="0" xfId="0">
      <alignment horizontal="left" indent="3"/>
    </xf>
    <xf numFmtId="165" fontId="110" fillId="5" borderId="3" applyAlignment="1" pivotButton="0" quotePrefix="0" xfId="0">
      <alignment horizontal="right" vertical="center"/>
    </xf>
    <xf numFmtId="0" fontId="69" fillId="0" borderId="0" pivotButton="0" quotePrefix="0" xfId="4"/>
    <xf numFmtId="0" fontId="69" fillId="0" borderId="0" applyAlignment="1" pivotButton="0" quotePrefix="0" xfId="4">
      <alignment wrapText="1"/>
    </xf>
    <xf numFmtId="0" fontId="69" fillId="0" borderId="0" applyAlignment="1" pivotButton="0" quotePrefix="0" xfId="0">
      <alignment horizontal="left"/>
    </xf>
    <xf numFmtId="0" fontId="69" fillId="0" borderId="0" applyAlignment="1" pivotButton="0" quotePrefix="0" xfId="0">
      <alignment wrapText="1"/>
    </xf>
    <xf numFmtId="0" fontId="69" fillId="2" borderId="0" applyAlignment="1" pivotButton="0" quotePrefix="0" xfId="0">
      <alignment horizontal="left"/>
    </xf>
    <xf numFmtId="0" fontId="69" fillId="3" borderId="0" applyAlignment="1" pivotButton="0" quotePrefix="0" xfId="0">
      <alignment horizontal="left"/>
    </xf>
    <xf numFmtId="0" fontId="69" fillId="3" borderId="0" pivotButton="0" quotePrefix="0" xfId="0"/>
    <xf numFmtId="0" fontId="69" fillId="2" borderId="0" pivotButton="0" quotePrefix="0" xfId="2"/>
    <xf numFmtId="0" fontId="69" fillId="7" borderId="0" pivotButton="0" quotePrefix="0" xfId="5"/>
    <xf numFmtId="166" fontId="69" fillId="0" borderId="0" applyAlignment="1" pivotButton="0" quotePrefix="0" xfId="4">
      <alignment horizontal="right"/>
    </xf>
    <xf numFmtId="166" fontId="69" fillId="0" borderId="4" applyAlignment="1" pivotButton="0" quotePrefix="0" xfId="4">
      <alignment horizontal="right"/>
    </xf>
    <xf numFmtId="0" fontId="69" fillId="0" borderId="0" pivotButton="0" quotePrefix="0" xfId="6"/>
    <xf numFmtId="0" fontId="69" fillId="0" borderId="0" applyAlignment="1" pivotButton="0" quotePrefix="0" xfId="4">
      <alignment horizontal="left" vertical="top"/>
    </xf>
    <xf numFmtId="0" fontId="69" fillId="0" borderId="0" pivotButton="0" quotePrefix="0" xfId="5"/>
    <xf numFmtId="0" fontId="69" fillId="2" borderId="0" applyAlignment="1" pivotButton="0" quotePrefix="0" xfId="2">
      <alignment wrapText="1"/>
    </xf>
    <xf numFmtId="0" fontId="69" fillId="7" borderId="0" pivotButton="0" quotePrefix="0" xfId="4"/>
    <xf numFmtId="0" fontId="69" fillId="7" borderId="0" applyAlignment="1" pivotButton="0" quotePrefix="0" xfId="4">
      <alignment horizontal="left" vertical="top"/>
    </xf>
    <xf numFmtId="0" fontId="69" fillId="3" borderId="0" pivotButton="0" quotePrefix="0" xfId="4"/>
    <xf numFmtId="41" fontId="69" fillId="0" borderId="0" pivotButton="0" quotePrefix="0" xfId="0"/>
    <xf numFmtId="166" fontId="69" fillId="0" borderId="0" applyAlignment="1" pivotButton="0" quotePrefix="0" xfId="0">
      <alignment horizontal="left"/>
    </xf>
    <xf numFmtId="174" fontId="69" fillId="0" borderId="0" applyAlignment="1" pivotButton="0" quotePrefix="0" xfId="0">
      <alignment horizontal="left"/>
    </xf>
    <xf numFmtId="174" fontId="69" fillId="0" borderId="0" pivotButton="0" quotePrefix="0" xfId="0"/>
    <xf numFmtId="41" fontId="69" fillId="0" borderId="0" applyAlignment="1" pivotButton="0" quotePrefix="0" xfId="0">
      <alignment horizontal="right"/>
    </xf>
    <xf numFmtId="41" fontId="69" fillId="0" borderId="10" applyAlignment="1" pivotButton="0" quotePrefix="0" xfId="0">
      <alignment horizontal="right"/>
    </xf>
    <xf numFmtId="41" fontId="69" fillId="0" borderId="6" applyAlignment="1" pivotButton="0" quotePrefix="0" xfId="0">
      <alignment horizontal="right"/>
    </xf>
    <xf numFmtId="0" fontId="69" fillId="3" borderId="0" applyAlignment="1" pivotButton="0" quotePrefix="0" xfId="0">
      <alignment horizontal="left" indent="3"/>
    </xf>
    <xf numFmtId="0" fontId="69" fillId="3" borderId="4" pivotButton="0" quotePrefix="0" xfId="0"/>
    <xf numFmtId="41" fontId="69" fillId="3" borderId="4" applyAlignment="1" pivotButton="0" quotePrefix="0" xfId="0">
      <alignment horizontal="right"/>
    </xf>
    <xf numFmtId="41" fontId="69" fillId="3" borderId="11" applyAlignment="1" pivotButton="0" quotePrefix="0" xfId="0">
      <alignment horizontal="right"/>
    </xf>
    <xf numFmtId="41" fontId="69" fillId="3" borderId="7" applyAlignment="1" pivotButton="0" quotePrefix="0" xfId="0">
      <alignment horizontal="right"/>
    </xf>
    <xf numFmtId="0" fontId="69" fillId="0" borderId="4" applyAlignment="1" pivotButton="0" quotePrefix="0" xfId="0">
      <alignment horizontal="left" indent="2"/>
    </xf>
    <xf numFmtId="0" fontId="69" fillId="0" borderId="4" pivotButton="0" quotePrefix="0" xfId="0"/>
    <xf numFmtId="41" fontId="69" fillId="0" borderId="4" applyAlignment="1" pivotButton="0" quotePrefix="0" xfId="0">
      <alignment horizontal="right"/>
    </xf>
    <xf numFmtId="41" fontId="69" fillId="0" borderId="11" applyAlignment="1" pivotButton="0" quotePrefix="0" xfId="0">
      <alignment horizontal="right"/>
    </xf>
    <xf numFmtId="41" fontId="69" fillId="0" borderId="7" applyAlignment="1" pivotButton="0" quotePrefix="0" xfId="0">
      <alignment horizontal="right"/>
    </xf>
    <xf numFmtId="166" fontId="69" fillId="0" borderId="10" applyAlignment="1" pivotButton="0" quotePrefix="0" xfId="0">
      <alignment horizontal="right"/>
    </xf>
    <xf numFmtId="166" fontId="69" fillId="0" borderId="6" applyAlignment="1" pivotButton="0" quotePrefix="0" xfId="0">
      <alignment horizontal="right"/>
    </xf>
    <xf numFmtId="166" fontId="69" fillId="3" borderId="4" applyAlignment="1" pivotButton="0" quotePrefix="0" xfId="0">
      <alignment horizontal="right"/>
    </xf>
    <xf numFmtId="166" fontId="69" fillId="3" borderId="11" applyAlignment="1" pivotButton="0" quotePrefix="0" xfId="0">
      <alignment horizontal="right"/>
    </xf>
    <xf numFmtId="166" fontId="69" fillId="3" borderId="7" applyAlignment="1" pivotButton="0" quotePrefix="0" xfId="0">
      <alignment horizontal="right"/>
    </xf>
    <xf numFmtId="0" fontId="69" fillId="3" borderId="0" applyAlignment="1" pivotButton="0" quotePrefix="0" xfId="0">
      <alignment horizontal="left" indent="1"/>
    </xf>
    <xf numFmtId="0" fontId="69" fillId="3" borderId="0" applyAlignment="1" pivotButton="0" quotePrefix="0" xfId="0">
      <alignment horizontal="left" indent="2"/>
    </xf>
    <xf numFmtId="171" fontId="69" fillId="0" borderId="0" pivotButton="0" quotePrefix="0" xfId="0"/>
    <xf numFmtId="0" fontId="69" fillId="18" borderId="0" applyAlignment="1" pivotButton="0" quotePrefix="0" xfId="0">
      <alignment horizontal="left"/>
    </xf>
    <xf numFmtId="0" fontId="69" fillId="18" borderId="0" pivotButton="0" quotePrefix="0" xfId="0"/>
    <xf numFmtId="41" fontId="69" fillId="18" borderId="0" applyAlignment="1" pivotButton="0" quotePrefix="0" xfId="0">
      <alignment horizontal="right"/>
    </xf>
    <xf numFmtId="41" fontId="69" fillId="3" borderId="0" applyAlignment="1" pivotButton="0" quotePrefix="0" xfId="0">
      <alignment horizontal="right"/>
    </xf>
    <xf numFmtId="41" fontId="69" fillId="3" borderId="10" applyAlignment="1" pivotButton="0" quotePrefix="0" xfId="0">
      <alignment horizontal="right"/>
    </xf>
    <xf numFmtId="41" fontId="69" fillId="3" borderId="6" applyAlignment="1" pivotButton="0" quotePrefix="0" xfId="0">
      <alignment horizontal="right"/>
    </xf>
    <xf numFmtId="0" fontId="69" fillId="0" borderId="0" applyAlignment="1" pivotButton="0" quotePrefix="0" xfId="0">
      <alignment horizontal="right"/>
    </xf>
    <xf numFmtId="166" fontId="69" fillId="3" borderId="0" applyAlignment="1" pivotButton="0" quotePrefix="0" xfId="0">
      <alignment horizontal="right"/>
    </xf>
    <xf numFmtId="166" fontId="69" fillId="3" borderId="10" applyAlignment="1" pivotButton="0" quotePrefix="0" xfId="0">
      <alignment horizontal="right"/>
    </xf>
    <xf numFmtId="166" fontId="69" fillId="3" borderId="6" applyAlignment="1" pivotButton="0" quotePrefix="0" xfId="0">
      <alignment horizontal="right"/>
    </xf>
    <xf numFmtId="0" fontId="69" fillId="3" borderId="4" applyAlignment="1" pivotButton="0" quotePrefix="0" xfId="0">
      <alignment horizontal="left"/>
    </xf>
    <xf numFmtId="0" fontId="69" fillId="5" borderId="0" applyAlignment="1" pivotButton="0" quotePrefix="0" xfId="0">
      <alignment horizontal="left"/>
    </xf>
    <xf numFmtId="0" fontId="69" fillId="5" borderId="0" pivotButton="0" quotePrefix="0" xfId="0"/>
    <xf numFmtId="166" fontId="69" fillId="5" borderId="0" applyAlignment="1" pivotButton="0" quotePrefix="0" xfId="0">
      <alignment horizontal="right"/>
    </xf>
    <xf numFmtId="166" fontId="69" fillId="5" borderId="6" applyAlignment="1" pivotButton="0" quotePrefix="0" xfId="0">
      <alignment horizontal="right"/>
    </xf>
    <xf numFmtId="0" fontId="69" fillId="5" borderId="4" applyAlignment="1" pivotButton="0" quotePrefix="0" xfId="0">
      <alignment horizontal="left" indent="2"/>
    </xf>
    <xf numFmtId="0" fontId="69" fillId="5" borderId="0" applyAlignment="1" pivotButton="0" quotePrefix="0" xfId="0">
      <alignment horizontal="left" indent="1"/>
    </xf>
    <xf numFmtId="0" fontId="69" fillId="0" borderId="0" applyAlignment="1" pivotButton="0" quotePrefix="1" xfId="0">
      <alignment horizontal="left" indent="2"/>
    </xf>
    <xf numFmtId="0" fontId="69" fillId="0" borderId="10" pivotButton="0" quotePrefix="0" xfId="0"/>
    <xf numFmtId="0" fontId="69" fillId="0" borderId="6" pivotButton="0" quotePrefix="0" xfId="0"/>
    <xf numFmtId="0" fontId="69" fillId="0" borderId="4" applyAlignment="1" pivotButton="0" quotePrefix="0" xfId="0">
      <alignment horizontal="left" indent="3"/>
    </xf>
    <xf numFmtId="165" fontId="100" fillId="0" borderId="87" applyAlignment="1" pivotButton="0" quotePrefix="0" xfId="0">
      <alignment horizontal="left"/>
    </xf>
    <xf numFmtId="165" fontId="100" fillId="0" borderId="87" applyAlignment="1" pivotButton="0" quotePrefix="0" xfId="0">
      <alignment horizontal="right"/>
    </xf>
    <xf numFmtId="165" fontId="100" fillId="0" borderId="88" applyAlignment="1" pivotButton="0" quotePrefix="0" xfId="0">
      <alignment horizontal="right"/>
    </xf>
    <xf numFmtId="0" fontId="69" fillId="0" borderId="1" applyAlignment="1" pivotButton="0" quotePrefix="0" xfId="0">
      <alignment horizontal="left" indent="1"/>
    </xf>
    <xf numFmtId="0" fontId="69" fillId="0" borderId="1" pivotButton="0" quotePrefix="0" xfId="0"/>
    <xf numFmtId="41" fontId="69" fillId="0" borderId="1" applyAlignment="1" pivotButton="0" quotePrefix="0" xfId="0">
      <alignment horizontal="right"/>
    </xf>
    <xf numFmtId="41" fontId="69" fillId="0" borderId="17" applyAlignment="1" pivotButton="0" quotePrefix="0" xfId="0">
      <alignment horizontal="right"/>
    </xf>
    <xf numFmtId="41" fontId="69" fillId="0" borderId="23" applyAlignment="1" pivotButton="0" quotePrefix="0" xfId="0">
      <alignment horizontal="right"/>
    </xf>
    <xf numFmtId="43" fontId="69" fillId="0" borderId="0" pivotButton="0" quotePrefix="0" xfId="0"/>
    <xf numFmtId="0" fontId="69" fillId="0" borderId="0" applyAlignment="1" pivotButton="0" quotePrefix="0" xfId="2">
      <alignment horizontal="left"/>
    </xf>
    <xf numFmtId="0" fontId="69" fillId="0" borderId="0" pivotButton="0" quotePrefix="0" xfId="38"/>
    <xf numFmtId="0" fontId="69" fillId="2" borderId="0" applyAlignment="1" pivotButton="0" quotePrefix="0" xfId="2">
      <alignment horizontal="right"/>
    </xf>
    <xf numFmtId="0" fontId="69" fillId="0" borderId="0" applyAlignment="1" pivotButton="0" quotePrefix="0" xfId="5">
      <alignment horizontal="right"/>
    </xf>
    <xf numFmtId="0" fontId="69" fillId="5" borderId="0" applyAlignment="1" pivotButton="0" quotePrefix="0" xfId="0">
      <alignment horizontal="left" indent="3"/>
    </xf>
    <xf numFmtId="185" fontId="69" fillId="2" borderId="0" applyAlignment="1" pivotButton="0" quotePrefix="0" xfId="0">
      <alignment horizontal="left"/>
    </xf>
    <xf numFmtId="185" fontId="69" fillId="0" borderId="0" applyAlignment="1" pivotButton="0" quotePrefix="0" xfId="0">
      <alignment horizontal="left"/>
    </xf>
    <xf numFmtId="185" fontId="69" fillId="3" borderId="4" applyAlignment="1" pivotButton="0" quotePrefix="0" xfId="0">
      <alignment horizontal="right"/>
    </xf>
    <xf numFmtId="186" fontId="69" fillId="2" borderId="0" applyAlignment="1" pivotButton="0" quotePrefix="0" xfId="0">
      <alignment horizontal="left"/>
    </xf>
    <xf numFmtId="186" fontId="69" fillId="0" borderId="0" applyAlignment="1" pivotButton="0" quotePrefix="0" xfId="0">
      <alignment horizontal="left"/>
    </xf>
    <xf numFmtId="186" fontId="69" fillId="3" borderId="4" applyAlignment="1" pivotButton="0" quotePrefix="0" xfId="0">
      <alignment horizontal="left" indent="3"/>
    </xf>
    <xf numFmtId="186" fontId="69" fillId="3" borderId="4" applyAlignment="1" pivotButton="0" quotePrefix="0" xfId="0">
      <alignment horizontal="right"/>
    </xf>
    <xf numFmtId="166" fontId="69" fillId="0" borderId="0" pivotButton="0" quotePrefix="0" xfId="0"/>
    <xf numFmtId="0" fontId="69" fillId="2" borderId="0" pivotButton="0" quotePrefix="0" xfId="11"/>
    <xf numFmtId="164" fontId="69" fillId="0" borderId="0" pivotButton="0" quotePrefix="0" xfId="0"/>
    <xf numFmtId="0" fontId="69" fillId="0" borderId="10" applyAlignment="1" pivotButton="0" quotePrefix="0" xfId="0">
      <alignment horizontal="left"/>
    </xf>
    <xf numFmtId="0" fontId="69" fillId="20" borderId="10" applyAlignment="1" pivotButton="0" quotePrefix="0" xfId="0">
      <alignment horizontal="left"/>
    </xf>
    <xf numFmtId="0" fontId="69" fillId="20" borderId="6" applyAlignment="1" pivotButton="0" quotePrefix="0" xfId="0">
      <alignment horizontal="left"/>
    </xf>
    <xf numFmtId="16" fontId="69" fillId="0" borderId="0" applyAlignment="1" pivotButton="0" quotePrefix="1" xfId="0">
      <alignment horizontal="left"/>
    </xf>
    <xf numFmtId="0" fontId="69" fillId="0" borderId="91" pivotButton="0" quotePrefix="0" xfId="0"/>
    <xf numFmtId="0" fontId="69" fillId="0" borderId="57" applyAlignment="1" pivotButton="0" quotePrefix="0" xfId="0">
      <alignment horizontal="left"/>
    </xf>
    <xf numFmtId="0" fontId="69" fillId="0" borderId="58" applyAlignment="1" pivotButton="0" quotePrefix="0" xfId="0">
      <alignment horizontal="left"/>
    </xf>
    <xf numFmtId="0" fontId="69" fillId="20" borderId="58" applyAlignment="1" pivotButton="0" quotePrefix="0" xfId="0">
      <alignment horizontal="left"/>
    </xf>
    <xf numFmtId="0" fontId="69" fillId="20" borderId="91" applyAlignment="1" pivotButton="0" quotePrefix="0" xfId="0">
      <alignment horizontal="left"/>
    </xf>
    <xf numFmtId="0" fontId="69" fillId="0" borderId="91" applyAlignment="1" pivotButton="0" quotePrefix="0" xfId="0">
      <alignment wrapText="1"/>
    </xf>
    <xf numFmtId="0" fontId="69" fillId="0" borderId="92" pivotButton="0" quotePrefix="0" xfId="0"/>
    <xf numFmtId="0" fontId="69" fillId="0" borderId="19" applyAlignment="1" pivotButton="0" quotePrefix="0" xfId="0">
      <alignment horizontal="left"/>
    </xf>
    <xf numFmtId="0" fontId="69" fillId="0" borderId="56" applyAlignment="1" pivotButton="0" quotePrefix="0" xfId="0">
      <alignment horizontal="left"/>
    </xf>
    <xf numFmtId="0" fontId="69" fillId="20" borderId="56" applyAlignment="1" pivotButton="0" quotePrefix="0" xfId="0">
      <alignment horizontal="left"/>
    </xf>
    <xf numFmtId="0" fontId="69" fillId="20" borderId="92" applyAlignment="1" pivotButton="0" quotePrefix="0" xfId="0">
      <alignment horizontal="left"/>
    </xf>
    <xf numFmtId="16" fontId="69" fillId="0" borderId="98" applyAlignment="1" pivotButton="0" quotePrefix="1" xfId="0">
      <alignment horizontal="left"/>
    </xf>
    <xf numFmtId="0" fontId="69" fillId="0" borderId="57" applyAlignment="1" pivotButton="0" quotePrefix="1" xfId="0">
      <alignment horizontal="left"/>
    </xf>
    <xf numFmtId="9" fontId="69" fillId="0" borderId="58" applyAlignment="1" pivotButton="0" quotePrefix="0" xfId="0">
      <alignment horizontal="left"/>
    </xf>
    <xf numFmtId="187" fontId="69" fillId="20" borderId="58" applyAlignment="1" pivotButton="0" quotePrefix="0" xfId="0">
      <alignment horizontal="right"/>
    </xf>
    <xf numFmtId="17" fontId="69" fillId="0" borderId="0" applyAlignment="1" pivotButton="0" quotePrefix="1" xfId="0">
      <alignment horizontal="left"/>
    </xf>
    <xf numFmtId="0" fontId="69" fillId="0" borderId="0" applyAlignment="1" pivotButton="0" quotePrefix="1" xfId="0">
      <alignment horizontal="left"/>
    </xf>
    <xf numFmtId="9" fontId="69" fillId="0" borderId="10" applyAlignment="1" pivotButton="0" quotePrefix="0" xfId="0">
      <alignment horizontal="left"/>
    </xf>
    <xf numFmtId="187" fontId="69" fillId="20" borderId="10" applyAlignment="1" pivotButton="0" quotePrefix="0" xfId="0">
      <alignment horizontal="right"/>
    </xf>
    <xf numFmtId="9" fontId="69" fillId="0" borderId="97" applyAlignment="1" pivotButton="0" quotePrefix="0" xfId="0">
      <alignment horizontal="left"/>
    </xf>
    <xf numFmtId="187" fontId="69" fillId="20" borderId="97" applyAlignment="1" pivotButton="0" quotePrefix="0" xfId="0">
      <alignment horizontal="right"/>
    </xf>
    <xf numFmtId="0" fontId="69" fillId="0" borderId="2" pivotButton="0" quotePrefix="0" xfId="0"/>
    <xf numFmtId="0" fontId="69" fillId="0" borderId="42" applyAlignment="1" pivotButton="0" quotePrefix="0" xfId="0">
      <alignment horizontal="left"/>
    </xf>
    <xf numFmtId="0" fontId="69" fillId="0" borderId="2" applyAlignment="1" pivotButton="0" quotePrefix="0" xfId="0">
      <alignment horizontal="left"/>
    </xf>
    <xf numFmtId="0" fontId="69" fillId="0" borderId="9" applyAlignment="1" pivotButton="0" quotePrefix="0" xfId="0">
      <alignment horizontal="left"/>
    </xf>
    <xf numFmtId="0" fontId="69" fillId="20" borderId="9" applyAlignment="1" pivotButton="0" quotePrefix="0" xfId="0">
      <alignment horizontal="left"/>
    </xf>
    <xf numFmtId="0" fontId="69" fillId="20" borderId="8" applyAlignment="1" pivotButton="0" quotePrefix="0" xfId="0">
      <alignment horizontal="left"/>
    </xf>
    <xf numFmtId="0" fontId="69" fillId="0" borderId="0" applyAlignment="1" pivotButton="0" quotePrefix="0" xfId="0">
      <alignment horizontal="right" wrapText="1"/>
    </xf>
    <xf numFmtId="0" fontId="69" fillId="0" borderId="10" applyAlignment="1" pivotButton="0" quotePrefix="0" xfId="0">
      <alignment horizontal="right" wrapText="1"/>
    </xf>
    <xf numFmtId="0" fontId="69" fillId="5" borderId="0" applyAlignment="1" pivotButton="0" quotePrefix="0" xfId="0">
      <alignment horizontal="right" wrapText="1"/>
    </xf>
    <xf numFmtId="0" fontId="69" fillId="0" borderId="4" applyAlignment="1" pivotButton="0" quotePrefix="0" xfId="0">
      <alignment horizontal="left" wrapText="1" indent="1"/>
    </xf>
    <xf numFmtId="0" fontId="69" fillId="0" borderId="4" applyAlignment="1" pivotButton="0" quotePrefix="0" xfId="0">
      <alignment horizontal="right" wrapText="1"/>
    </xf>
    <xf numFmtId="0" fontId="69" fillId="0" borderId="11" applyAlignment="1" pivotButton="0" quotePrefix="0" xfId="31">
      <alignment horizontal="right" wrapText="1"/>
    </xf>
    <xf numFmtId="0" fontId="69" fillId="5" borderId="4" applyAlignment="1" pivotButton="0" quotePrefix="0" xfId="0">
      <alignment horizontal="right" wrapText="1"/>
    </xf>
    <xf numFmtId="0" fontId="69" fillId="5" borderId="0" applyAlignment="1" pivotButton="0" quotePrefix="0" xfId="0">
      <alignment horizontal="left" wrapText="1"/>
    </xf>
    <xf numFmtId="0" fontId="69" fillId="5" borderId="10" applyAlignment="1" pivotButton="0" quotePrefix="0" xfId="31">
      <alignment horizontal="right" wrapText="1"/>
    </xf>
    <xf numFmtId="0" fontId="69" fillId="0" borderId="0" applyAlignment="1" pivotButton="0" quotePrefix="0" xfId="0">
      <alignment horizontal="left" wrapText="1" indent="1"/>
    </xf>
    <xf numFmtId="0" fontId="69" fillId="0" borderId="11" applyAlignment="1" pivotButton="0" quotePrefix="0" xfId="0">
      <alignment horizontal="right" wrapText="1"/>
    </xf>
    <xf numFmtId="0" fontId="69" fillId="0" borderId="39" applyAlignment="1" pivotButton="0" quotePrefix="0" xfId="0">
      <alignment horizontal="right" wrapText="1"/>
    </xf>
    <xf numFmtId="0" fontId="69" fillId="5" borderId="10" applyAlignment="1" pivotButton="0" quotePrefix="0" xfId="0">
      <alignment horizontal="right" wrapText="1"/>
    </xf>
    <xf numFmtId="0" fontId="69" fillId="0" borderId="0" applyAlignment="1" pivotButton="0" quotePrefix="0" xfId="0">
      <alignment horizontal="right" vertical="top" wrapText="1"/>
    </xf>
    <xf numFmtId="0" fontId="69" fillId="0" borderId="0" applyAlignment="1" pivotButton="0" quotePrefix="0" xfId="0">
      <alignment vertical="top" wrapText="1"/>
    </xf>
    <xf numFmtId="0" fontId="69" fillId="0" borderId="77" applyAlignment="1" pivotButton="0" quotePrefix="0" xfId="0">
      <alignment vertical="top" wrapText="1"/>
    </xf>
    <xf numFmtId="0" fontId="69" fillId="5" borderId="2" applyAlignment="1" pivotButton="0" quotePrefix="0" xfId="0">
      <alignment horizontal="left" wrapText="1"/>
    </xf>
    <xf numFmtId="0" fontId="69" fillId="5" borderId="2" applyAlignment="1" pivotButton="0" quotePrefix="0" xfId="0">
      <alignment horizontal="right" wrapText="1"/>
    </xf>
    <xf numFmtId="0" fontId="69" fillId="5" borderId="9" applyAlignment="1" pivotButton="0" quotePrefix="0" xfId="0">
      <alignment horizontal="right" wrapText="1"/>
    </xf>
    <xf numFmtId="0" fontId="69" fillId="0" borderId="19" applyAlignment="1" pivotButton="0" quotePrefix="0" xfId="0">
      <alignment horizontal="right" wrapText="1"/>
    </xf>
    <xf numFmtId="0" fontId="69" fillId="0" borderId="56" applyAlignment="1" pivotButton="0" quotePrefix="0" xfId="31">
      <alignment horizontal="right" wrapText="1"/>
    </xf>
    <xf numFmtId="0" fontId="69" fillId="0" borderId="0" applyAlignment="1" pivotButton="0" quotePrefix="0" xfId="0">
      <alignment horizontal="left" wrapText="1" indent="2"/>
    </xf>
    <xf numFmtId="0" fontId="69" fillId="5" borderId="1" applyAlignment="1" pivotButton="0" quotePrefix="0" xfId="0">
      <alignment horizontal="left" wrapText="1"/>
    </xf>
    <xf numFmtId="0" fontId="69" fillId="5" borderId="1" applyAlignment="1" pivotButton="0" quotePrefix="0" xfId="0">
      <alignment horizontal="right" wrapText="1"/>
    </xf>
    <xf numFmtId="0" fontId="69" fillId="5" borderId="17" applyAlignment="1" pivotButton="0" quotePrefix="0" xfId="0">
      <alignment horizontal="right" wrapText="1"/>
    </xf>
    <xf numFmtId="166" fontId="69" fillId="0" borderId="10" applyAlignment="1" pivotButton="0" quotePrefix="0" xfId="0">
      <alignment horizontal="right" wrapText="1"/>
    </xf>
    <xf numFmtId="166" fontId="69" fillId="0" borderId="0" applyAlignment="1" pivotButton="0" quotePrefix="0" xfId="0">
      <alignment horizontal="right" wrapText="1"/>
    </xf>
    <xf numFmtId="166" fontId="69" fillId="0" borderId="58" applyAlignment="1" pivotButton="0" quotePrefix="0" xfId="0">
      <alignment horizontal="right" wrapText="1"/>
    </xf>
    <xf numFmtId="166" fontId="69" fillId="0" borderId="57" applyAlignment="1" pivotButton="0" quotePrefix="0" xfId="0">
      <alignment horizontal="right" wrapText="1"/>
    </xf>
    <xf numFmtId="0" fontId="69" fillId="0" borderId="0" applyAlignment="1" pivotButton="0" quotePrefix="0" xfId="0">
      <alignment horizontal="left" vertical="top" wrapText="1" indent="2"/>
    </xf>
    <xf numFmtId="166" fontId="69" fillId="3" borderId="11" applyAlignment="1" pivotButton="0" quotePrefix="0" xfId="0">
      <alignment horizontal="right" wrapText="1"/>
    </xf>
    <xf numFmtId="166" fontId="69" fillId="3" borderId="4" applyAlignment="1" pivotButton="0" quotePrefix="0" xfId="0">
      <alignment horizontal="right" wrapText="1"/>
    </xf>
    <xf numFmtId="0" fontId="69" fillId="0" borderId="1" applyAlignment="1" pivotButton="0" quotePrefix="0" xfId="0">
      <alignment wrapText="1"/>
    </xf>
    <xf numFmtId="0" fontId="69" fillId="0" borderId="1" applyAlignment="1" pivotButton="0" quotePrefix="0" xfId="0">
      <alignment horizontal="right" wrapText="1"/>
    </xf>
    <xf numFmtId="0" fontId="69" fillId="0" borderId="17" applyAlignment="1" pivotButton="0" quotePrefix="0" xfId="0">
      <alignment horizontal="right" wrapText="1"/>
    </xf>
    <xf numFmtId="0" fontId="69" fillId="0" borderId="1" applyAlignment="1" pivotButton="0" quotePrefix="0" xfId="0">
      <alignment horizontal="right"/>
    </xf>
    <xf numFmtId="0" fontId="69" fillId="0" borderId="5" applyAlignment="1" pivotButton="0" quotePrefix="0" xfId="0">
      <alignment wrapText="1"/>
    </xf>
    <xf numFmtId="0" fontId="69" fillId="0" borderId="5" applyAlignment="1" pivotButton="0" quotePrefix="0" xfId="0">
      <alignment horizontal="right" wrapText="1"/>
    </xf>
    <xf numFmtId="0" fontId="69" fillId="0" borderId="78" applyAlignment="1" pivotButton="0" quotePrefix="0" xfId="0">
      <alignment horizontal="right" wrapText="1"/>
    </xf>
    <xf numFmtId="0" fontId="69" fillId="0" borderId="5" applyAlignment="1" pivotButton="0" quotePrefix="0" xfId="0">
      <alignment horizontal="right"/>
    </xf>
    <xf numFmtId="0" fontId="69" fillId="0" borderId="4" applyAlignment="1" pivotButton="0" quotePrefix="0" xfId="0">
      <alignment wrapText="1"/>
    </xf>
    <xf numFmtId="0" fontId="69" fillId="0" borderId="4" applyAlignment="1" pivotButton="0" quotePrefix="0" xfId="0">
      <alignment horizontal="right"/>
    </xf>
    <xf numFmtId="0" fontId="69" fillId="0" borderId="0" applyAlignment="1" pivotButton="0" quotePrefix="0" xfId="4">
      <alignment horizontal="left"/>
    </xf>
    <xf numFmtId="0" fontId="69" fillId="0" borderId="0" applyAlignment="1" pivotButton="0" quotePrefix="0" xfId="5">
      <alignment wrapText="1"/>
    </xf>
    <xf numFmtId="9" fontId="69" fillId="0" borderId="0" pivotButton="0" quotePrefix="0" xfId="10"/>
    <xf numFmtId="0" fontId="69" fillId="2" borderId="0" pivotButton="0" quotePrefix="0" xfId="6"/>
    <xf numFmtId="0" fontId="69" fillId="0" borderId="0" applyAlignment="1" pivotButton="0" quotePrefix="0" xfId="1">
      <alignment horizontal="left" indent="3"/>
    </xf>
    <xf numFmtId="0" fontId="69" fillId="0" borderId="0" applyAlignment="1" pivotButton="0" quotePrefix="0" xfId="1">
      <alignment horizontal="left"/>
    </xf>
    <xf numFmtId="0" fontId="69" fillId="0" borderId="4" applyAlignment="1" pivotButton="0" quotePrefix="0" xfId="1">
      <alignment horizontal="left" indent="2"/>
    </xf>
    <xf numFmtId="0" fontId="69" fillId="0" borderId="4" applyAlignment="1" pivotButton="0" quotePrefix="0" xfId="1">
      <alignment horizontal="left"/>
    </xf>
    <xf numFmtId="0" fontId="69" fillId="0" borderId="0" applyAlignment="1" pivotButton="0" quotePrefix="0" xfId="1">
      <alignment horizontal="left" indent="2"/>
    </xf>
    <xf numFmtId="0" fontId="69" fillId="3" borderId="0" pivotButton="0" quotePrefix="0" xfId="5"/>
    <xf numFmtId="168" fontId="69" fillId="0" borderId="0" pivotButton="0" quotePrefix="0" xfId="5"/>
    <xf numFmtId="0" fontId="69" fillId="0" borderId="19" pivotButton="0" quotePrefix="0" xfId="5"/>
    <xf numFmtId="166" fontId="69" fillId="7" borderId="0" applyAlignment="1" pivotButton="0" quotePrefix="0" xfId="5">
      <alignment horizontal="right"/>
    </xf>
    <xf numFmtId="166" fontId="69" fillId="0" borderId="19" applyAlignment="1" pivotButton="0" quotePrefix="0" xfId="5">
      <alignment horizontal="right"/>
    </xf>
    <xf numFmtId="0" fontId="69" fillId="5" borderId="0" pivotButton="0" quotePrefix="0" xfId="5"/>
    <xf numFmtId="166" fontId="69" fillId="5" borderId="0" applyAlignment="1" pivotButton="0" quotePrefix="0" xfId="5">
      <alignment horizontal="right"/>
    </xf>
    <xf numFmtId="166" fontId="69" fillId="0" borderId="19" applyAlignment="1" pivotButton="0" quotePrefix="0" xfId="5">
      <alignment vertical="top" wrapText="1"/>
    </xf>
    <xf numFmtId="0" fontId="69" fillId="0" borderId="0" pivotButton="0" quotePrefix="0" xfId="3"/>
    <xf numFmtId="0" fontId="69" fillId="0" borderId="0" applyAlignment="1" pivotButton="0" quotePrefix="0" xfId="3">
      <alignment horizontal="left" indent="2"/>
    </xf>
    <xf numFmtId="0" fontId="69" fillId="3" borderId="4" applyAlignment="1" pivotButton="0" quotePrefix="0" xfId="3">
      <alignment horizontal="left" indent="2"/>
    </xf>
    <xf numFmtId="0" fontId="69" fillId="3" borderId="4" applyAlignment="1" pivotButton="0" quotePrefix="0" xfId="1">
      <alignment horizontal="left" indent="2"/>
    </xf>
    <xf numFmtId="0" fontId="69" fillId="0" borderId="0" applyAlignment="1" pivotButton="0" quotePrefix="0" xfId="1">
      <alignment horizontal="left" indent="1"/>
    </xf>
    <xf numFmtId="0" fontId="69" fillId="3" borderId="4" applyAlignment="1" pivotButton="0" quotePrefix="0" xfId="1">
      <alignment horizontal="left" indent="1"/>
    </xf>
    <xf numFmtId="166" fontId="69" fillId="0" borderId="4" applyAlignment="1" pivotButton="0" quotePrefix="0" xfId="3">
      <alignment horizontal="center"/>
    </xf>
    <xf numFmtId="41" fontId="69" fillId="0" borderId="0" pivotButton="0" quotePrefix="0" xfId="1"/>
    <xf numFmtId="0" fontId="69" fillId="0" borderId="4" applyAlignment="1" pivotButton="0" quotePrefix="0" xfId="1">
      <alignment horizontal="left" indent="1"/>
    </xf>
    <xf numFmtId="0" fontId="69" fillId="0" borderId="4" applyAlignment="1" pivotButton="0" quotePrefix="0" xfId="1">
      <alignment horizontal="left" indent="4"/>
    </xf>
    <xf numFmtId="0" fontId="69" fillId="0" borderId="0" applyAlignment="1" pivotButton="0" quotePrefix="0" xfId="1">
      <alignment horizontal="left" indent="4"/>
    </xf>
    <xf numFmtId="171" fontId="69" fillId="0" borderId="0" applyAlignment="1" pivotButton="0" quotePrefix="0" xfId="0">
      <alignment horizontal="left"/>
    </xf>
    <xf numFmtId="0" fontId="69" fillId="0" borderId="4" applyAlignment="1" pivotButton="0" quotePrefix="0" xfId="0">
      <alignment horizontal="left" indent="1"/>
    </xf>
    <xf numFmtId="166" fontId="69" fillId="0" borderId="4" applyAlignment="1" pivotButton="0" quotePrefix="0" xfId="0">
      <alignment horizontal="right"/>
    </xf>
    <xf numFmtId="172" fontId="69" fillId="0" borderId="0" pivotButton="0" quotePrefix="0" xfId="0"/>
    <xf numFmtId="172" fontId="69" fillId="0" borderId="0" applyAlignment="1" pivotButton="0" quotePrefix="0" xfId="0">
      <alignment horizontal="left"/>
    </xf>
    <xf numFmtId="0" fontId="69" fillId="0" borderId="53" applyAlignment="1" pivotButton="0" quotePrefix="0" xfId="0">
      <alignment vertical="center" wrapText="1"/>
    </xf>
    <xf numFmtId="0" fontId="69" fillId="0" borderId="53" applyAlignment="1" pivotButton="0" quotePrefix="0" xfId="0">
      <alignment horizontal="left" vertical="center" wrapText="1"/>
    </xf>
    <xf numFmtId="15" fontId="69" fillId="0" borderId="53" applyAlignment="1" pivotButton="0" quotePrefix="0" xfId="0">
      <alignment horizontal="left" vertical="center" wrapText="1"/>
    </xf>
    <xf numFmtId="171" fontId="69" fillId="0" borderId="53" applyAlignment="1" pivotButton="0" quotePrefix="0" xfId="0">
      <alignment horizontal="left" vertical="center" wrapText="1"/>
    </xf>
    <xf numFmtId="0" fontId="69" fillId="0" borderId="57" applyAlignment="1" pivotButton="0" quotePrefix="0" xfId="0">
      <alignment vertical="center" wrapText="1"/>
    </xf>
    <xf numFmtId="0" fontId="69" fillId="0" borderId="57" applyAlignment="1" pivotButton="0" quotePrefix="0" xfId="0">
      <alignment horizontal="left" vertical="center" wrapText="1"/>
    </xf>
    <xf numFmtId="15" fontId="69" fillId="0" borderId="57" applyAlignment="1" pivotButton="0" quotePrefix="0" xfId="0">
      <alignment horizontal="left" vertical="center" wrapText="1"/>
    </xf>
    <xf numFmtId="171" fontId="69" fillId="0" borderId="57" applyAlignment="1" pivotButton="0" quotePrefix="0" xfId="0">
      <alignment horizontal="left" vertical="center" wrapText="1"/>
    </xf>
    <xf numFmtId="0" fontId="69" fillId="0" borderId="29" applyAlignment="1" pivotButton="0" quotePrefix="0" xfId="0">
      <alignment vertical="center" wrapText="1"/>
    </xf>
    <xf numFmtId="0" fontId="69" fillId="0" borderId="29" applyAlignment="1" pivotButton="0" quotePrefix="0" xfId="0">
      <alignment horizontal="left" vertical="center" wrapText="1"/>
    </xf>
    <xf numFmtId="15" fontId="69" fillId="0" borderId="29" applyAlignment="1" pivotButton="0" quotePrefix="0" xfId="0">
      <alignment horizontal="left" vertical="center" wrapText="1"/>
    </xf>
    <xf numFmtId="171" fontId="69" fillId="0" borderId="29" applyAlignment="1" pivotButton="0" quotePrefix="0" xfId="0">
      <alignment horizontal="left" vertical="center" wrapText="1"/>
    </xf>
    <xf numFmtId="41" fontId="69" fillId="0" borderId="0" applyAlignment="1" pivotButton="0" quotePrefix="0" xfId="0">
      <alignment horizontal="left"/>
    </xf>
    <xf numFmtId="15" fontId="69" fillId="0" borderId="0" pivotButton="0" quotePrefix="0" xfId="0"/>
    <xf numFmtId="166" fontId="69" fillId="0" borderId="0" applyAlignment="1" pivotButton="0" quotePrefix="0" xfId="1">
      <alignment horizontal="right"/>
    </xf>
    <xf numFmtId="166" fontId="69" fillId="0" borderId="69" applyAlignment="1" pivotButton="0" quotePrefix="0" xfId="1">
      <alignment horizontal="right"/>
    </xf>
    <xf numFmtId="166" fontId="69" fillId="0" borderId="4" applyAlignment="1" pivotButton="0" quotePrefix="0" xfId="1">
      <alignment horizontal="right"/>
    </xf>
    <xf numFmtId="166" fontId="69" fillId="0" borderId="70" applyAlignment="1" pivotButton="0" quotePrefix="0" xfId="1">
      <alignment horizontal="right"/>
    </xf>
    <xf numFmtId="0" fontId="69" fillId="0" borderId="0" applyAlignment="1" pivotButton="0" quotePrefix="0" xfId="0">
      <alignment horizontal="left" wrapText="1"/>
    </xf>
    <xf numFmtId="175" fontId="69" fillId="0" borderId="0" pivotButton="0" quotePrefix="0" xfId="1"/>
    <xf numFmtId="0" fontId="68" fillId="0" borderId="0" applyAlignment="1" pivotButton="0" quotePrefix="0" xfId="0">
      <alignment horizontal="left" indent="1"/>
    </xf>
    <xf numFmtId="0" fontId="68" fillId="0" borderId="0" pivotButton="0" quotePrefix="0" xfId="0"/>
    <xf numFmtId="0" fontId="68" fillId="3" borderId="4" applyAlignment="1" pivotButton="0" quotePrefix="0" xfId="0">
      <alignment horizontal="left" indent="3"/>
    </xf>
    <xf numFmtId="188" fontId="114" fillId="0" borderId="0" applyAlignment="1" pivotButton="0" quotePrefix="0" xfId="27">
      <alignment vertical="center"/>
    </xf>
    <xf numFmtId="189" fontId="95" fillId="0" borderId="0" pivotButton="0" quotePrefix="0" xfId="47"/>
    <xf numFmtId="164" fontId="107" fillId="5" borderId="2" applyAlignment="1" pivotButton="0" quotePrefix="0" xfId="0">
      <alignment horizontal="left"/>
    </xf>
    <xf numFmtId="0" fontId="67" fillId="0" borderId="0" applyAlignment="1" pivotButton="0" quotePrefix="0" xfId="37">
      <alignment horizontal="left"/>
    </xf>
    <xf numFmtId="0" fontId="67" fillId="2" borderId="0" applyAlignment="1" pivotButton="0" quotePrefix="0" xfId="37">
      <alignment horizontal="left"/>
    </xf>
    <xf numFmtId="17" fontId="106" fillId="4" borderId="33" applyAlignment="1" pivotButton="0" quotePrefix="0" xfId="0">
      <alignment horizontal="right" wrapText="1"/>
    </xf>
    <xf numFmtId="164" fontId="107" fillId="0" borderId="0" applyAlignment="1" pivotButton="0" quotePrefix="0" xfId="0">
      <alignment horizontal="left"/>
    </xf>
    <xf numFmtId="164" fontId="107" fillId="0" borderId="0" pivotButton="0" quotePrefix="0" xfId="0"/>
    <xf numFmtId="0" fontId="114" fillId="0" borderId="0" pivotButton="0" quotePrefix="0" xfId="0"/>
    <xf numFmtId="182" fontId="117" fillId="0" borderId="0" pivotButton="0" quotePrefix="0" xfId="37"/>
    <xf numFmtId="0" fontId="105" fillId="0" borderId="0" applyAlignment="1" pivotButton="0" quotePrefix="0" xfId="39">
      <alignment horizontal="left" indent="2"/>
    </xf>
    <xf numFmtId="0" fontId="128" fillId="2" borderId="0" applyAlignment="1" pivotButton="0" quotePrefix="0" xfId="2">
      <alignment horizontal="left"/>
    </xf>
    <xf numFmtId="165" fontId="109" fillId="0" borderId="0" pivotButton="0" quotePrefix="0" xfId="32"/>
    <xf numFmtId="17" fontId="106" fillId="4" borderId="34" applyAlignment="1" pivotButton="0" quotePrefix="0" xfId="32">
      <alignment horizontal="right" vertical="center" wrapText="1"/>
    </xf>
    <xf numFmtId="17" fontId="106" fillId="4" borderId="85" applyAlignment="1" pivotButton="0" quotePrefix="0" xfId="32">
      <alignment horizontal="right" vertical="center" wrapText="1"/>
    </xf>
    <xf numFmtId="0" fontId="67" fillId="3" borderId="4" applyAlignment="1" pivotButton="0" quotePrefix="0" xfId="0">
      <alignment horizontal="left" indent="2"/>
    </xf>
    <xf numFmtId="0" fontId="67" fillId="3" borderId="4" pivotButton="0" quotePrefix="0" xfId="0"/>
    <xf numFmtId="164" fontId="105" fillId="5" borderId="4" applyAlignment="1" pivotButton="0" quotePrefix="0" xfId="27">
      <alignment vertical="center"/>
    </xf>
    <xf numFmtId="164" fontId="105" fillId="5" borderId="11" applyAlignment="1" pivotButton="0" quotePrefix="0" xfId="27">
      <alignment vertical="center"/>
    </xf>
    <xf numFmtId="164" fontId="105" fillId="0" borderId="0" pivotButton="0" quotePrefix="1" xfId="0"/>
    <xf numFmtId="165" fontId="109" fillId="0" borderId="6" pivotButton="0" quotePrefix="0" xfId="0"/>
    <xf numFmtId="164" fontId="105" fillId="0" borderId="4" pivotButton="0" quotePrefix="1" xfId="0"/>
    <xf numFmtId="165" fontId="109" fillId="0" borderId="7" pivotButton="0" quotePrefix="0" xfId="0"/>
    <xf numFmtId="164" fontId="107" fillId="0" borderId="10" pivotButton="0" quotePrefix="0" xfId="0"/>
    <xf numFmtId="164" fontId="107" fillId="0" borderId="6" pivotButton="0" quotePrefix="0" xfId="0"/>
    <xf numFmtId="165" fontId="110" fillId="0" borderId="0" pivotButton="0" quotePrefix="0" xfId="0"/>
    <xf numFmtId="165" fontId="110" fillId="0" borderId="10" pivotButton="0" quotePrefix="0" xfId="0"/>
    <xf numFmtId="165" fontId="110" fillId="0" borderId="6" pivotButton="0" quotePrefix="0" xfId="0"/>
    <xf numFmtId="17" fontId="106" fillId="4" borderId="15" applyAlignment="1" pivotButton="0" quotePrefix="0" xfId="0">
      <alignment horizontal="right" vertical="center" wrapText="1"/>
    </xf>
    <xf numFmtId="166" fontId="67" fillId="0" borderId="4" applyAlignment="1" pivotButton="0" quotePrefix="0" xfId="0">
      <alignment horizontal="right"/>
    </xf>
    <xf numFmtId="166" fontId="67" fillId="0" borderId="11" applyAlignment="1" pivotButton="0" quotePrefix="0" xfId="0">
      <alignment horizontal="right"/>
    </xf>
    <xf numFmtId="166" fontId="67" fillId="0" borderId="7" applyAlignment="1" pivotButton="0" quotePrefix="0" xfId="0">
      <alignment horizontal="right"/>
    </xf>
    <xf numFmtId="164" fontId="105" fillId="0" borderId="0" pivotButton="0" quotePrefix="0" xfId="38"/>
    <xf numFmtId="164" fontId="105" fillId="0" borderId="10" pivotButton="0" quotePrefix="0" xfId="38"/>
    <xf numFmtId="164" fontId="105" fillId="0" borderId="6" pivotButton="0" quotePrefix="0" xfId="38"/>
    <xf numFmtId="164" fontId="105" fillId="0" borderId="4" pivotButton="0" quotePrefix="0" xfId="38"/>
    <xf numFmtId="164" fontId="105" fillId="0" borderId="11" pivotButton="0" quotePrefix="0" xfId="38"/>
    <xf numFmtId="164" fontId="105" fillId="0" borderId="7" pivotButton="0" quotePrefix="0" xfId="38"/>
    <xf numFmtId="172" fontId="105" fillId="0" borderId="0" pivotButton="0" quotePrefix="0" xfId="38"/>
    <xf numFmtId="172" fontId="105" fillId="0" borderId="10" pivotButton="0" quotePrefix="0" xfId="38"/>
    <xf numFmtId="172" fontId="105" fillId="0" borderId="6" pivotButton="0" quotePrefix="0" xfId="38"/>
    <xf numFmtId="172" fontId="105" fillId="0" borderId="4" pivotButton="0" quotePrefix="0" xfId="38"/>
    <xf numFmtId="172" fontId="105" fillId="0" borderId="11" pivotButton="0" quotePrefix="0" xfId="38"/>
    <xf numFmtId="172" fontId="105" fillId="0" borderId="7" pivotButton="0" quotePrefix="0" xfId="38"/>
    <xf numFmtId="172" fontId="114" fillId="0" borderId="0" applyAlignment="1" pivotButton="0" quotePrefix="0" xfId="36">
      <alignment horizontal="right"/>
    </xf>
    <xf numFmtId="172" fontId="114" fillId="0" borderId="10" applyAlignment="1" pivotButton="0" quotePrefix="0" xfId="36">
      <alignment horizontal="right"/>
    </xf>
    <xf numFmtId="172" fontId="114" fillId="0" borderId="6" applyAlignment="1" pivotButton="0" quotePrefix="0" xfId="36">
      <alignment horizontal="right"/>
    </xf>
    <xf numFmtId="0" fontId="114" fillId="0" borderId="0" applyAlignment="1" pivotButton="0" quotePrefix="0" xfId="37">
      <alignment horizontal="left" indent="4"/>
    </xf>
    <xf numFmtId="0" fontId="113" fillId="0" borderId="0" applyAlignment="1" pivotButton="0" quotePrefix="0" xfId="37">
      <alignment horizontal="left" indent="4"/>
    </xf>
    <xf numFmtId="167" fontId="113" fillId="0" borderId="10" applyAlignment="1" pivotButton="0" quotePrefix="0" xfId="37">
      <alignment horizontal="right"/>
    </xf>
    <xf numFmtId="167" fontId="113" fillId="0" borderId="38" applyAlignment="1" pivotButton="0" quotePrefix="0" xfId="37">
      <alignment horizontal="right"/>
    </xf>
    <xf numFmtId="0" fontId="114" fillId="0" borderId="4" applyAlignment="1" pivotButton="0" quotePrefix="0" xfId="37">
      <alignment horizontal="left" indent="4"/>
    </xf>
    <xf numFmtId="0" fontId="113" fillId="0" borderId="4" applyAlignment="1" pivotButton="0" quotePrefix="0" xfId="37">
      <alignment horizontal="left" indent="4"/>
    </xf>
    <xf numFmtId="167" fontId="113" fillId="0" borderId="4" applyAlignment="1" pivotButton="0" quotePrefix="0" xfId="37">
      <alignment horizontal="right"/>
    </xf>
    <xf numFmtId="167" fontId="113" fillId="0" borderId="11" applyAlignment="1" pivotButton="0" quotePrefix="0" xfId="37">
      <alignment horizontal="right"/>
    </xf>
    <xf numFmtId="167" fontId="113" fillId="0" borderId="40" applyAlignment="1" pivotButton="0" quotePrefix="0" xfId="37">
      <alignment horizontal="right"/>
    </xf>
    <xf numFmtId="0" fontId="114" fillId="0" borderId="0" applyAlignment="1" pivotButton="0" quotePrefix="0" xfId="37">
      <alignment horizontal="left" indent="3"/>
    </xf>
    <xf numFmtId="0" fontId="113" fillId="0" borderId="0" applyAlignment="1" pivotButton="0" quotePrefix="0" xfId="37">
      <alignment horizontal="left" indent="3"/>
    </xf>
    <xf numFmtId="167" fontId="113" fillId="0" borderId="6" applyAlignment="1" pivotButton="0" quotePrefix="0" xfId="37">
      <alignment horizontal="right"/>
    </xf>
    <xf numFmtId="167" fontId="113" fillId="0" borderId="7" applyAlignment="1" pivotButton="0" quotePrefix="0" xfId="37">
      <alignment horizontal="right"/>
    </xf>
    <xf numFmtId="0" fontId="114" fillId="0" borderId="4" applyAlignment="1" pivotButton="0" quotePrefix="0" xfId="37">
      <alignment horizontal="left" indent="3"/>
    </xf>
    <xf numFmtId="0" fontId="113" fillId="0" borderId="4" applyAlignment="1" pivotButton="0" quotePrefix="0" xfId="37">
      <alignment horizontal="left" indent="3"/>
    </xf>
    <xf numFmtId="0" fontId="113" fillId="0" borderId="0" applyAlignment="1" pivotButton="0" quotePrefix="0" xfId="37">
      <alignment horizontal="left" indent="2"/>
    </xf>
    <xf numFmtId="0" fontId="113" fillId="0" borderId="0" applyAlignment="1" pivotButton="0" quotePrefix="0" xfId="37">
      <alignment horizontal="left" indent="1"/>
    </xf>
    <xf numFmtId="186" fontId="69" fillId="0" borderId="4" applyAlignment="1" pivotButton="0" quotePrefix="0" xfId="0">
      <alignment horizontal="right"/>
    </xf>
    <xf numFmtId="186" fontId="69" fillId="0" borderId="11" applyAlignment="1" pivotButton="0" quotePrefix="0" xfId="0">
      <alignment horizontal="right"/>
    </xf>
    <xf numFmtId="166" fontId="69" fillId="0" borderId="11" applyAlignment="1" pivotButton="0" quotePrefix="0" xfId="0">
      <alignment horizontal="right"/>
    </xf>
    <xf numFmtId="0" fontId="95" fillId="0" borderId="10" pivotButton="0" quotePrefix="0" xfId="1"/>
    <xf numFmtId="0" fontId="105" fillId="0" borderId="0" applyAlignment="1" pivotButton="0" quotePrefix="0" xfId="32">
      <alignment horizontal="left" vertical="top" indent="1"/>
    </xf>
    <xf numFmtId="49" fontId="105" fillId="0" borderId="0" applyAlignment="1" pivotButton="0" quotePrefix="0" xfId="32">
      <alignment horizontal="left" vertical="top"/>
    </xf>
    <xf numFmtId="15" fontId="105" fillId="0" borderId="0" applyAlignment="1" pivotButton="0" quotePrefix="0" xfId="32">
      <alignment horizontal="left" vertical="top"/>
    </xf>
    <xf numFmtId="164" fontId="105" fillId="0" borderId="0" applyAlignment="1" pivotButton="0" quotePrefix="0" xfId="32">
      <alignment horizontal="left" vertical="top"/>
    </xf>
    <xf numFmtId="164" fontId="105" fillId="0" borderId="0" applyAlignment="1" pivotButton="0" quotePrefix="0" xfId="32">
      <alignment vertical="top"/>
    </xf>
    <xf numFmtId="164" fontId="114" fillId="0" borderId="0" applyAlignment="1" pivotButton="0" quotePrefix="0" xfId="32">
      <alignment vertical="top"/>
    </xf>
    <xf numFmtId="164" fontId="105" fillId="0" borderId="10" applyAlignment="1" pivotButton="0" quotePrefix="0" xfId="32">
      <alignment vertical="top"/>
    </xf>
    <xf numFmtId="164" fontId="105" fillId="0" borderId="6" applyAlignment="1" pivotButton="0" quotePrefix="0" xfId="32">
      <alignment vertical="top"/>
    </xf>
    <xf numFmtId="190" fontId="114" fillId="0" borderId="0" applyAlignment="1" pivotButton="0" quotePrefix="0" xfId="32">
      <alignment vertical="top"/>
    </xf>
    <xf numFmtId="0" fontId="105" fillId="0" borderId="0" applyAlignment="1" pivotButton="0" quotePrefix="0" xfId="27">
      <alignment horizontal="left" vertical="center" indent="1"/>
    </xf>
    <xf numFmtId="166" fontId="105" fillId="0" borderId="0" applyAlignment="1" pivotButton="0" quotePrefix="0" xfId="27">
      <alignment horizontal="right"/>
    </xf>
    <xf numFmtId="166" fontId="105" fillId="0" borderId="0" applyAlignment="1" pivotButton="0" quotePrefix="0" xfId="27">
      <alignment horizontal="right" vertical="center"/>
    </xf>
    <xf numFmtId="166" fontId="105" fillId="0" borderId="10" applyAlignment="1" pivotButton="0" quotePrefix="0" xfId="27">
      <alignment horizontal="right" vertical="center"/>
    </xf>
    <xf numFmtId="164" fontId="105" fillId="0" borderId="0" applyAlignment="1" pivotButton="0" quotePrefix="0" xfId="27">
      <alignment vertical="center"/>
    </xf>
    <xf numFmtId="164" fontId="105" fillId="0" borderId="10" applyAlignment="1" pivotButton="0" quotePrefix="0" xfId="27">
      <alignment vertical="center"/>
    </xf>
    <xf numFmtId="164" fontId="105" fillId="0" borderId="6" applyAlignment="1" pivotButton="0" quotePrefix="0" xfId="27">
      <alignment vertical="center"/>
    </xf>
    <xf numFmtId="187" fontId="105" fillId="0" borderId="0" applyAlignment="1" pivotButton="0" quotePrefix="0" xfId="27">
      <alignment horizontal="right"/>
    </xf>
    <xf numFmtId="187" fontId="105" fillId="0" borderId="0" applyAlignment="1" pivotButton="0" quotePrefix="0" xfId="27">
      <alignment horizontal="right" vertical="center"/>
    </xf>
    <xf numFmtId="187" fontId="105" fillId="0" borderId="10" applyAlignment="1" pivotButton="0" quotePrefix="0" xfId="27">
      <alignment horizontal="right" vertical="center"/>
    </xf>
    <xf numFmtId="187" fontId="105" fillId="0" borderId="0" applyAlignment="1" pivotButton="0" quotePrefix="0" xfId="27">
      <alignment vertical="center"/>
    </xf>
    <xf numFmtId="187" fontId="105" fillId="0" borderId="10" applyAlignment="1" pivotButton="0" quotePrefix="0" xfId="27">
      <alignment vertical="center"/>
    </xf>
    <xf numFmtId="187" fontId="105" fillId="0" borderId="6" applyAlignment="1" pivotButton="0" quotePrefix="0" xfId="27">
      <alignment vertical="center"/>
    </xf>
    <xf numFmtId="0" fontId="105" fillId="0" borderId="4" applyAlignment="1" pivotButton="0" quotePrefix="0" xfId="27">
      <alignment horizontal="left" vertical="center" indent="1"/>
    </xf>
    <xf numFmtId="166" fontId="105" fillId="0" borderId="4" applyAlignment="1" pivotButton="0" quotePrefix="0" xfId="27">
      <alignment horizontal="right"/>
    </xf>
    <xf numFmtId="166" fontId="105" fillId="0" borderId="4" applyAlignment="1" pivotButton="0" quotePrefix="0" xfId="27">
      <alignment horizontal="right" vertical="center"/>
    </xf>
    <xf numFmtId="166" fontId="105" fillId="0" borderId="11" applyAlignment="1" pivotButton="0" quotePrefix="0" xfId="27">
      <alignment horizontal="right" vertical="center"/>
    </xf>
    <xf numFmtId="164" fontId="105" fillId="0" borderId="4" applyAlignment="1" pivotButton="0" quotePrefix="0" xfId="27">
      <alignment vertical="center"/>
    </xf>
    <xf numFmtId="164" fontId="105" fillId="0" borderId="11" applyAlignment="1" pivotButton="0" quotePrefix="0" xfId="27">
      <alignment vertical="center"/>
    </xf>
    <xf numFmtId="164" fontId="105" fillId="0" borderId="7" applyAlignment="1" pivotButton="0" quotePrefix="0" xfId="27">
      <alignment vertical="center"/>
    </xf>
    <xf numFmtId="164" fontId="105" fillId="0" borderId="0" pivotButton="0" quotePrefix="0" xfId="27"/>
    <xf numFmtId="15" fontId="106" fillId="4" borderId="100" applyAlignment="1" pivotButton="0" quotePrefix="0" xfId="0">
      <alignment horizontal="right"/>
    </xf>
    <xf numFmtId="17" fontId="106" fillId="6" borderId="36" applyAlignment="1" pivotButton="0" quotePrefix="0" xfId="0">
      <alignment horizontal="right"/>
    </xf>
    <xf numFmtId="17" fontId="106" fillId="6" borderId="51" applyAlignment="1" pivotButton="0" quotePrefix="0" xfId="0">
      <alignment horizontal="right" wrapText="1"/>
    </xf>
    <xf numFmtId="0" fontId="66" fillId="2" borderId="0" pivotButton="0" quotePrefix="0" xfId="11"/>
    <xf numFmtId="0" fontId="66" fillId="2" borderId="0" pivotButton="0" quotePrefix="0" xfId="6"/>
    <xf numFmtId="0" fontId="106" fillId="4" borderId="0" applyAlignment="1" pivotButton="0" quotePrefix="0" xfId="49">
      <alignment horizontal="left"/>
    </xf>
    <xf numFmtId="0" fontId="106" fillId="4" borderId="12" applyAlignment="1" pivotButton="0" quotePrefix="0" xfId="49">
      <alignment horizontal="left"/>
    </xf>
    <xf numFmtId="15" fontId="106" fillId="4" borderId="13" applyAlignment="1" pivotButton="0" quotePrefix="0" xfId="49">
      <alignment horizontal="centerContinuous"/>
    </xf>
    <xf numFmtId="0" fontId="106" fillId="4" borderId="0" applyAlignment="1" pivotButton="0" quotePrefix="0" xfId="49">
      <alignment horizontal="centerContinuous"/>
    </xf>
    <xf numFmtId="0" fontId="106" fillId="4" borderId="32" applyAlignment="1" pivotButton="0" quotePrefix="0" xfId="49">
      <alignment horizontal="left"/>
    </xf>
    <xf numFmtId="171" fontId="97" fillId="4" borderId="0" applyAlignment="1" pivotButton="0" quotePrefix="0" xfId="49">
      <alignment horizontal="right"/>
    </xf>
    <xf numFmtId="171" fontId="97" fillId="4" borderId="12" applyAlignment="1" pivotButton="0" quotePrefix="0" xfId="49">
      <alignment horizontal="right"/>
    </xf>
    <xf numFmtId="15" fontId="106" fillId="4" borderId="15" applyAlignment="1" pivotButton="0" quotePrefix="0" xfId="49">
      <alignment horizontal="right"/>
    </xf>
    <xf numFmtId="15" fontId="106" fillId="4" borderId="33" applyAlignment="1" pivotButton="0" quotePrefix="0" xfId="49">
      <alignment horizontal="right"/>
    </xf>
    <xf numFmtId="15" fontId="106" fillId="4" borderId="0" applyAlignment="1" pivotButton="0" quotePrefix="0" xfId="49">
      <alignment horizontal="right"/>
    </xf>
    <xf numFmtId="171" fontId="97" fillId="4" borderId="51" applyAlignment="1" pivotButton="0" quotePrefix="0" xfId="49">
      <alignment horizontal="right"/>
    </xf>
    <xf numFmtId="0" fontId="66" fillId="7" borderId="0" pivotButton="0" quotePrefix="0" xfId="5"/>
    <xf numFmtId="0" fontId="65" fillId="0" borderId="0" applyAlignment="1" pivotButton="0" quotePrefix="0" xfId="0">
      <alignment horizontal="left" indent="1"/>
    </xf>
    <xf numFmtId="166" fontId="65" fillId="0" borderId="0" applyAlignment="1" pivotButton="0" quotePrefix="0" xfId="0">
      <alignment horizontal="right"/>
    </xf>
    <xf numFmtId="166" fontId="65" fillId="0" borderId="10" applyAlignment="1" pivotButton="0" quotePrefix="0" xfId="0">
      <alignment horizontal="right"/>
    </xf>
    <xf numFmtId="166" fontId="65" fillId="0" borderId="6" applyAlignment="1" pivotButton="0" quotePrefix="0" xfId="0">
      <alignment horizontal="right"/>
    </xf>
    <xf numFmtId="166" fontId="65" fillId="3" borderId="4" applyAlignment="1" pivotButton="0" quotePrefix="0" xfId="0">
      <alignment horizontal="right"/>
    </xf>
    <xf numFmtId="166" fontId="65" fillId="3" borderId="11" applyAlignment="1" pivotButton="0" quotePrefix="0" xfId="0">
      <alignment horizontal="right"/>
    </xf>
    <xf numFmtId="166" fontId="65" fillId="3" borderId="7" applyAlignment="1" pivotButton="0" quotePrefix="0" xfId="0">
      <alignment horizontal="right"/>
    </xf>
    <xf numFmtId="0" fontId="64" fillId="0" borderId="0" pivotButton="0" quotePrefix="0" xfId="50"/>
    <xf numFmtId="0" fontId="64" fillId="0" borderId="0" applyAlignment="1" pivotButton="0" quotePrefix="0" xfId="50">
      <alignment horizontal="left"/>
    </xf>
    <xf numFmtId="0" fontId="64" fillId="2" borderId="0" applyAlignment="1" pivotButton="0" quotePrefix="0" xfId="50">
      <alignment horizontal="left"/>
    </xf>
    <xf numFmtId="172" fontId="100" fillId="0" borderId="0" pivotButton="0" quotePrefix="0" xfId="50"/>
    <xf numFmtId="164" fontId="105" fillId="3" borderId="0" pivotButton="0" quotePrefix="0" xfId="50"/>
    <xf numFmtId="164" fontId="105" fillId="3" borderId="10" pivotButton="0" quotePrefix="0" xfId="50"/>
    <xf numFmtId="0" fontId="105" fillId="3" borderId="0" applyAlignment="1" pivotButton="0" quotePrefix="0" xfId="50">
      <alignment horizontal="left"/>
    </xf>
    <xf numFmtId="164" fontId="105" fillId="3" borderId="4" pivotButton="0" quotePrefix="0" xfId="50"/>
    <xf numFmtId="164" fontId="105" fillId="3" borderId="11" pivotButton="0" quotePrefix="0" xfId="50"/>
    <xf numFmtId="0" fontId="105" fillId="3" borderId="4" applyAlignment="1" pivotButton="0" quotePrefix="0" xfId="50">
      <alignment horizontal="left"/>
    </xf>
    <xf numFmtId="17" fontId="106" fillId="4" borderId="0" applyAlignment="1" pivotButton="0" quotePrefix="0" xfId="50">
      <alignment horizontal="right"/>
    </xf>
    <xf numFmtId="0" fontId="106" fillId="4" borderId="0" applyAlignment="1" pivotButton="0" quotePrefix="0" xfId="50">
      <alignment horizontal="left"/>
    </xf>
    <xf numFmtId="0" fontId="106" fillId="4" borderId="0" applyAlignment="1" pivotButton="0" quotePrefix="0" xfId="50">
      <alignment horizontal="left" wrapText="1"/>
    </xf>
    <xf numFmtId="164" fontId="106" fillId="2" borderId="1" applyAlignment="1" pivotButton="0" quotePrefix="0" xfId="50">
      <alignment vertical="center"/>
    </xf>
    <xf numFmtId="0" fontId="106" fillId="2" borderId="1" applyAlignment="1" pivotButton="0" quotePrefix="0" xfId="50">
      <alignment horizontal="left" vertical="center"/>
    </xf>
    <xf numFmtId="0" fontId="104" fillId="0" borderId="0" applyAlignment="1" pivotButton="0" quotePrefix="0" xfId="50">
      <alignment horizontal="left"/>
    </xf>
    <xf numFmtId="0" fontId="103" fillId="0" borderId="0" applyAlignment="1" pivotButton="0" quotePrefix="0" xfId="50">
      <alignment horizontal="left"/>
    </xf>
    <xf numFmtId="0" fontId="102" fillId="0" borderId="0" applyAlignment="1" pivotButton="0" quotePrefix="0" xfId="50">
      <alignment horizontal="left"/>
    </xf>
    <xf numFmtId="0" fontId="101" fillId="0" borderId="0" applyAlignment="1" pivotButton="0" quotePrefix="0" xfId="50">
      <alignment horizontal="left"/>
    </xf>
    <xf numFmtId="180" fontId="105" fillId="3" borderId="2" applyAlignment="1" pivotButton="0" quotePrefix="0" xfId="50">
      <alignment horizontal="right"/>
    </xf>
    <xf numFmtId="0" fontId="105" fillId="3" borderId="2" applyAlignment="1" pivotButton="0" quotePrefix="0" xfId="50">
      <alignment horizontal="left"/>
    </xf>
    <xf numFmtId="180" fontId="105" fillId="3" borderId="0" applyAlignment="1" pivotButton="0" quotePrefix="0" xfId="50">
      <alignment horizontal="right"/>
    </xf>
    <xf numFmtId="0" fontId="106" fillId="4" borderId="0" applyAlignment="1" pivotButton="0" quotePrefix="0" xfId="50">
      <alignment horizontal="right"/>
    </xf>
    <xf numFmtId="164" fontId="106" fillId="2" borderId="1" applyAlignment="1" pivotButton="0" quotePrefix="0" xfId="50">
      <alignment horizontal="left" vertical="center"/>
    </xf>
    <xf numFmtId="164" fontId="107" fillId="5" borderId="2" applyAlignment="1" pivotButton="0" quotePrefix="0" xfId="50">
      <alignment horizontal="right"/>
    </xf>
    <xf numFmtId="165" fontId="110" fillId="5" borderId="2" applyAlignment="1" pivotButton="0" quotePrefix="0" xfId="50">
      <alignment horizontal="right"/>
    </xf>
    <xf numFmtId="0" fontId="107" fillId="5" borderId="2" applyAlignment="1" pivotButton="0" quotePrefix="0" xfId="50">
      <alignment horizontal="left"/>
    </xf>
    <xf numFmtId="164" fontId="105" fillId="3" borderId="4" applyAlignment="1" pivotButton="0" quotePrefix="0" xfId="50">
      <alignment horizontal="right"/>
    </xf>
    <xf numFmtId="165" fontId="109" fillId="3" borderId="4" applyAlignment="1" pivotButton="0" quotePrefix="0" xfId="50">
      <alignment horizontal="right"/>
    </xf>
    <xf numFmtId="164" fontId="105" fillId="3" borderId="0" applyAlignment="1" pivotButton="0" quotePrefix="0" xfId="50">
      <alignment horizontal="right"/>
    </xf>
    <xf numFmtId="165" fontId="109" fillId="3" borderId="0" applyAlignment="1" pivotButton="0" quotePrefix="0" xfId="50">
      <alignment horizontal="right"/>
    </xf>
    <xf numFmtId="0" fontId="106" fillId="4" borderId="0" applyAlignment="1" pivotButton="0" quotePrefix="0" xfId="50">
      <alignment horizontal="right" wrapText="1"/>
    </xf>
    <xf numFmtId="172" fontId="105" fillId="3" borderId="2" applyAlignment="1" pivotButton="0" quotePrefix="0" xfId="50">
      <alignment horizontal="left"/>
    </xf>
    <xf numFmtId="172" fontId="105" fillId="3" borderId="2" pivotButton="0" quotePrefix="0" xfId="50"/>
    <xf numFmtId="172" fontId="100" fillId="0" borderId="0" applyAlignment="1" pivotButton="0" quotePrefix="0" xfId="50">
      <alignment horizontal="left"/>
    </xf>
    <xf numFmtId="0" fontId="109" fillId="3" borderId="0" applyAlignment="1" pivotButton="0" quotePrefix="0" xfId="50">
      <alignment horizontal="left"/>
    </xf>
    <xf numFmtId="0" fontId="100" fillId="0" borderId="0" applyAlignment="1" pivotButton="0" quotePrefix="0" xfId="50">
      <alignment horizontal="left"/>
    </xf>
    <xf numFmtId="0" fontId="100" fillId="2" borderId="0" applyAlignment="1" pivotButton="0" quotePrefix="0" xfId="50">
      <alignment horizontal="left"/>
    </xf>
    <xf numFmtId="172" fontId="100" fillId="9" borderId="0" pivotButton="0" quotePrefix="0" xfId="50"/>
    <xf numFmtId="164" fontId="107" fillId="5" borderId="2" pivotButton="0" quotePrefix="0" xfId="50"/>
    <xf numFmtId="164" fontId="107" fillId="5" borderId="8" pivotButton="0" quotePrefix="0" xfId="50"/>
    <xf numFmtId="164" fontId="107" fillId="5" borderId="9" pivotButton="0" quotePrefix="0" xfId="50"/>
    <xf numFmtId="164" fontId="105" fillId="0" borderId="4" pivotButton="0" quotePrefix="0" xfId="50"/>
    <xf numFmtId="164" fontId="105" fillId="9" borderId="7" pivotButton="0" quotePrefix="0" xfId="50"/>
    <xf numFmtId="164" fontId="105" fillId="9" borderId="4" pivotButton="0" quotePrefix="0" xfId="50"/>
    <xf numFmtId="164" fontId="105" fillId="0" borderId="0" pivotButton="0" quotePrefix="0" xfId="50"/>
    <xf numFmtId="164" fontId="105" fillId="9" borderId="6" pivotButton="0" quotePrefix="0" xfId="50"/>
    <xf numFmtId="164" fontId="105" fillId="9" borderId="0" pivotButton="0" quotePrefix="0" xfId="50"/>
    <xf numFmtId="15" fontId="64" fillId="0" borderId="0" pivotButton="0" quotePrefix="0" xfId="50"/>
    <xf numFmtId="17" fontId="106" fillId="4" borderId="15" applyAlignment="1" pivotButton="0" quotePrefix="0" xfId="50">
      <alignment horizontal="right"/>
    </xf>
    <xf numFmtId="17" fontId="106" fillId="4" borderId="12" applyAlignment="1" pivotButton="0" quotePrefix="0" xfId="50">
      <alignment horizontal="right"/>
    </xf>
    <xf numFmtId="0" fontId="64" fillId="0" borderId="0" applyAlignment="1" pivotButton="0" quotePrefix="0" xfId="0">
      <alignment horizontal="left" indent="1"/>
    </xf>
    <xf numFmtId="166" fontId="64" fillId="0" borderId="72" applyAlignment="1" pivotButton="0" quotePrefix="0" xfId="0">
      <alignment horizontal="right"/>
    </xf>
    <xf numFmtId="164" fontId="106" fillId="0" borderId="0" applyAlignment="1" pivotButton="0" quotePrefix="0" xfId="0">
      <alignment vertical="center"/>
    </xf>
    <xf numFmtId="17" fontId="106" fillId="0" borderId="0" applyAlignment="1" pivotButton="0" quotePrefix="0" xfId="0">
      <alignment horizontal="centerContinuous"/>
    </xf>
    <xf numFmtId="17" fontId="106" fillId="0" borderId="0" applyAlignment="1" pivotButton="0" quotePrefix="0" xfId="0">
      <alignment horizontal="centerContinuous" wrapText="1"/>
    </xf>
    <xf numFmtId="17" fontId="0" fillId="0" borderId="0" applyAlignment="1" pivotButton="0" quotePrefix="0" xfId="0">
      <alignment vertical="top"/>
    </xf>
    <xf numFmtId="17" fontId="106" fillId="0" borderId="0" applyAlignment="1" pivotButton="0" quotePrefix="0" xfId="0">
      <alignment horizontal="right"/>
    </xf>
    <xf numFmtId="17" fontId="106" fillId="0" borderId="0" applyAlignment="1" pivotButton="0" quotePrefix="0" xfId="0">
      <alignment horizontal="right" wrapText="1"/>
    </xf>
    <xf numFmtId="0" fontId="64" fillId="2" borderId="0" applyAlignment="1" pivotButton="0" quotePrefix="0" xfId="37">
      <alignment horizontal="left"/>
    </xf>
    <xf numFmtId="0" fontId="64" fillId="0" borderId="0" applyAlignment="1" pivotButton="0" quotePrefix="0" xfId="37">
      <alignment horizontal="left"/>
    </xf>
    <xf numFmtId="166" fontId="100" fillId="3" borderId="4" applyAlignment="1" pivotButton="0" quotePrefix="0" xfId="0">
      <alignment horizontal="right"/>
    </xf>
    <xf numFmtId="0" fontId="100" fillId="5" borderId="1" pivotButton="0" quotePrefix="0" xfId="0"/>
    <xf numFmtId="166" fontId="100" fillId="5" borderId="1" applyAlignment="1" pivotButton="0" quotePrefix="0" xfId="0">
      <alignment horizontal="right"/>
    </xf>
    <xf numFmtId="166" fontId="100" fillId="5" borderId="17" applyAlignment="1" pivotButton="0" quotePrefix="0" xfId="0">
      <alignment horizontal="right"/>
    </xf>
    <xf numFmtId="166" fontId="100" fillId="5" borderId="23" applyAlignment="1" pivotButton="0" quotePrefix="0" xfId="0">
      <alignment horizontal="right"/>
    </xf>
    <xf numFmtId="0" fontId="64" fillId="3" borderId="4" applyAlignment="1" pivotButton="0" quotePrefix="0" xfId="0">
      <alignment horizontal="left" indent="3"/>
    </xf>
    <xf numFmtId="0" fontId="100" fillId="5" borderId="0" applyAlignment="1" pivotButton="0" quotePrefix="0" xfId="0">
      <alignment horizontal="left" indent="3"/>
    </xf>
    <xf numFmtId="0" fontId="100" fillId="5" borderId="4" applyAlignment="1" pivotButton="0" quotePrefix="0" xfId="0">
      <alignment horizontal="left" indent="3"/>
    </xf>
    <xf numFmtId="0" fontId="114" fillId="0" borderId="4" applyAlignment="1" pivotButton="0" quotePrefix="0" xfId="4">
      <alignment horizontal="left" vertical="center" wrapText="1" indent="2"/>
    </xf>
    <xf numFmtId="0" fontId="100" fillId="3" borderId="4" applyAlignment="1" pivotButton="0" quotePrefix="0" xfId="0">
      <alignment horizontal="left"/>
    </xf>
    <xf numFmtId="0" fontId="100" fillId="5" borderId="1" applyAlignment="1" pivotButton="0" quotePrefix="0" xfId="0">
      <alignment horizontal="left"/>
    </xf>
    <xf numFmtId="0" fontId="105" fillId="3" borderId="4" applyAlignment="1" pivotButton="0" quotePrefix="0" xfId="0">
      <alignment horizontal="left" vertical="center" indent="1"/>
    </xf>
    <xf numFmtId="0" fontId="105" fillId="3" borderId="4" applyAlignment="1" pivotButton="0" quotePrefix="0" xfId="0">
      <alignment vertical="center"/>
    </xf>
    <xf numFmtId="164" fontId="105" fillId="3" borderId="4" applyAlignment="1" pivotButton="0" quotePrefix="0" xfId="0">
      <alignment vertical="center"/>
    </xf>
    <xf numFmtId="164" fontId="105" fillId="3" borderId="11" applyAlignment="1" pivotButton="0" quotePrefix="0" xfId="0">
      <alignment vertical="center"/>
    </xf>
    <xf numFmtId="164" fontId="105" fillId="3" borderId="7" applyAlignment="1" pivotButton="0" quotePrefix="0" xfId="0">
      <alignment vertical="center"/>
    </xf>
    <xf numFmtId="0" fontId="107" fillId="5" borderId="1" applyAlignment="1" pivotButton="0" quotePrefix="0" xfId="36">
      <alignment vertical="center"/>
    </xf>
    <xf numFmtId="166" fontId="107" fillId="5" borderId="3" applyAlignment="1" pivotButton="0" quotePrefix="0" xfId="36">
      <alignment horizontal="right" vertical="center"/>
    </xf>
    <xf numFmtId="166" fontId="107" fillId="5" borderId="49" applyAlignment="1" pivotButton="0" quotePrefix="0" xfId="36">
      <alignment horizontal="right" vertical="center"/>
    </xf>
    <xf numFmtId="166" fontId="107" fillId="5" borderId="27" applyAlignment="1" pivotButton="0" quotePrefix="0" xfId="36">
      <alignment horizontal="right" vertical="center"/>
    </xf>
    <xf numFmtId="0" fontId="105" fillId="0" borderId="0" applyAlignment="1" pivotButton="0" quotePrefix="0" xfId="39">
      <alignment horizontal="left" indent="1"/>
    </xf>
    <xf numFmtId="187" fontId="100" fillId="5" borderId="0" applyAlignment="1" pivotButton="0" quotePrefix="0" xfId="0">
      <alignment horizontal="right"/>
    </xf>
    <xf numFmtId="187" fontId="100" fillId="5" borderId="10" applyAlignment="1" pivotButton="0" quotePrefix="0" xfId="0">
      <alignment horizontal="right"/>
    </xf>
    <xf numFmtId="187" fontId="100" fillId="5" borderId="6" applyAlignment="1" pivotButton="0" quotePrefix="0" xfId="0">
      <alignment horizontal="right"/>
    </xf>
    <xf numFmtId="187" fontId="100" fillId="5" borderId="4" applyAlignment="1" pivotButton="0" quotePrefix="0" xfId="0">
      <alignment horizontal="right"/>
    </xf>
    <xf numFmtId="187" fontId="100" fillId="5" borderId="11" applyAlignment="1" pivotButton="0" quotePrefix="0" xfId="0">
      <alignment horizontal="right"/>
    </xf>
    <xf numFmtId="187" fontId="100" fillId="5" borderId="7" applyAlignment="1" pivotButton="0" quotePrefix="0" xfId="0">
      <alignment horizontal="right"/>
    </xf>
    <xf numFmtId="188" fontId="69" fillId="0" borderId="0" pivotButton="0" quotePrefix="0" xfId="0"/>
    <xf numFmtId="0" fontId="105" fillId="0" borderId="4" pivotButton="0" quotePrefix="0" xfId="39"/>
    <xf numFmtId="166" fontId="114" fillId="0" borderId="0" applyAlignment="1" pivotButton="0" quotePrefix="0" xfId="36">
      <alignment horizontal="right"/>
    </xf>
    <xf numFmtId="166" fontId="114" fillId="0" borderId="6" applyAlignment="1" pivotButton="0" quotePrefix="0" xfId="36">
      <alignment horizontal="right"/>
    </xf>
    <xf numFmtId="166" fontId="114" fillId="0" borderId="10" applyAlignment="1" pivotButton="0" quotePrefix="0" xfId="36">
      <alignment horizontal="right"/>
    </xf>
    <xf numFmtId="166" fontId="107" fillId="5" borderId="17" applyAlignment="1" pivotButton="0" quotePrefix="0" xfId="36">
      <alignment horizontal="right" vertical="center"/>
    </xf>
    <xf numFmtId="166" fontId="107" fillId="5" borderId="23" applyAlignment="1" pivotButton="0" quotePrefix="0" xfId="36">
      <alignment horizontal="right" vertical="center"/>
    </xf>
    <xf numFmtId="166" fontId="107" fillId="5" borderId="1" applyAlignment="1" pivotButton="0" quotePrefix="0" xfId="36">
      <alignment horizontal="right" vertical="center"/>
    </xf>
    <xf numFmtId="166" fontId="64" fillId="3" borderId="4" applyAlignment="1" pivotButton="0" quotePrefix="0" xfId="0">
      <alignment horizontal="right"/>
    </xf>
    <xf numFmtId="0" fontId="63" fillId="2" borderId="0" applyAlignment="1" pivotButton="0" quotePrefix="0" xfId="0">
      <alignment horizontal="left"/>
    </xf>
    <xf numFmtId="0" fontId="63" fillId="0" borderId="0" applyAlignment="1" pivotButton="0" quotePrefix="0" xfId="0">
      <alignment horizontal="left"/>
    </xf>
    <xf numFmtId="0" fontId="63" fillId="2" borderId="0" pivotButton="0" quotePrefix="0" xfId="11"/>
    <xf numFmtId="0" fontId="63" fillId="0" borderId="0" pivotButton="0" quotePrefix="0" xfId="0"/>
    <xf numFmtId="166" fontId="63" fillId="0" borderId="0" applyAlignment="1" pivotButton="0" quotePrefix="0" xfId="32">
      <alignment horizontal="right"/>
    </xf>
    <xf numFmtId="0" fontId="107" fillId="5" borderId="1" applyAlignment="1" pivotButton="0" quotePrefix="0" xfId="32">
      <alignment vertical="center"/>
    </xf>
    <xf numFmtId="166" fontId="107" fillId="5" borderId="1" applyAlignment="1" pivotButton="0" quotePrefix="0" xfId="32">
      <alignment horizontal="right" vertical="center"/>
    </xf>
    <xf numFmtId="0" fontId="107" fillId="5" borderId="3" applyAlignment="1" pivotButton="0" quotePrefix="0" xfId="32">
      <alignment vertical="center"/>
    </xf>
    <xf numFmtId="166" fontId="107" fillId="5" borderId="3" applyAlignment="1" pivotButton="0" quotePrefix="0" xfId="32">
      <alignment horizontal="right" vertical="center"/>
    </xf>
    <xf numFmtId="0" fontId="80" fillId="0" borderId="0" applyAlignment="1" pivotButton="0" quotePrefix="0" xfId="32">
      <alignment horizontal="left" indent="1"/>
    </xf>
    <xf numFmtId="166" fontId="63" fillId="0" borderId="6" applyAlignment="1" pivotButton="0" quotePrefix="0" xfId="32">
      <alignment horizontal="right"/>
    </xf>
    <xf numFmtId="166" fontId="107" fillId="5" borderId="49" applyAlignment="1" pivotButton="0" quotePrefix="0" xfId="32">
      <alignment horizontal="right" vertical="center"/>
    </xf>
    <xf numFmtId="166" fontId="107" fillId="5" borderId="23" applyAlignment="1" pivotButton="0" quotePrefix="0" xfId="32">
      <alignment horizontal="right" vertical="center"/>
    </xf>
    <xf numFmtId="166" fontId="107" fillId="5" borderId="17" applyAlignment="1" pivotButton="0" quotePrefix="0" xfId="32">
      <alignment horizontal="right" vertical="center"/>
    </xf>
    <xf numFmtId="166" fontId="63" fillId="0" borderId="10" applyAlignment="1" pivotButton="0" quotePrefix="0" xfId="32">
      <alignment horizontal="right"/>
    </xf>
    <xf numFmtId="166" fontId="107" fillId="5" borderId="27" applyAlignment="1" pivotButton="0" quotePrefix="0" xfId="32">
      <alignment horizontal="right" vertical="center"/>
    </xf>
    <xf numFmtId="41" fontId="63" fillId="0" borderId="0" pivotButton="0" quotePrefix="0" xfId="0"/>
    <xf numFmtId="0" fontId="63" fillId="0" borderId="0" applyAlignment="1" pivotButton="0" quotePrefix="0" xfId="0">
      <alignment horizontal="left" indent="1"/>
    </xf>
    <xf numFmtId="164" fontId="106" fillId="2" borderId="0" applyAlignment="1" pivotButton="0" quotePrefix="0" xfId="0">
      <alignment vertical="center"/>
    </xf>
    <xf numFmtId="17" fontId="106" fillId="4" borderId="63" applyAlignment="1" pivotButton="0" quotePrefix="0" xfId="0">
      <alignment horizontal="centerContinuous"/>
    </xf>
    <xf numFmtId="0" fontId="63" fillId="0" borderId="4" applyAlignment="1" pivotButton="0" quotePrefix="0" xfId="0">
      <alignment horizontal="left" indent="1"/>
    </xf>
    <xf numFmtId="41" fontId="63" fillId="0" borderId="4" pivotButton="0" quotePrefix="0" xfId="0"/>
    <xf numFmtId="0" fontId="63" fillId="2" borderId="4" applyAlignment="1" pivotButton="0" quotePrefix="0" xfId="0">
      <alignment horizontal="left"/>
    </xf>
    <xf numFmtId="0" fontId="63" fillId="0" borderId="4" applyAlignment="1" pivotButton="0" quotePrefix="0" xfId="0">
      <alignment horizontal="left"/>
    </xf>
    <xf numFmtId="9" fontId="100" fillId="0" borderId="0" pivotButton="0" quotePrefix="0" xfId="0"/>
    <xf numFmtId="0" fontId="106" fillId="4" borderId="0" applyAlignment="1" pivotButton="0" quotePrefix="0" xfId="32">
      <alignment wrapText="1"/>
    </xf>
    <xf numFmtId="0" fontId="63" fillId="2" borderId="0" pivotButton="0" quotePrefix="0" xfId="6"/>
    <xf numFmtId="0" fontId="97" fillId="0" borderId="0" pivotButton="0" quotePrefix="0" xfId="4"/>
    <xf numFmtId="0" fontId="97" fillId="2" borderId="0" pivotButton="0" quotePrefix="0" xfId="6"/>
    <xf numFmtId="166" fontId="63" fillId="0" borderId="0" applyAlignment="1" pivotButton="0" quotePrefix="0" xfId="0">
      <alignment horizontal="right"/>
    </xf>
    <xf numFmtId="166" fontId="63" fillId="3" borderId="4" applyAlignment="1" pivotButton="0" quotePrefix="0" xfId="0">
      <alignment horizontal="right"/>
    </xf>
    <xf numFmtId="166" fontId="107" fillId="5" borderId="3" applyAlignment="1" pivotButton="0" quotePrefix="0" xfId="0">
      <alignment vertical="center"/>
    </xf>
    <xf numFmtId="0" fontId="97" fillId="2" borderId="0" applyAlignment="1" pivotButton="0" quotePrefix="0" xfId="6">
      <alignment horizontal="right" wrapText="1"/>
    </xf>
    <xf numFmtId="0" fontId="97" fillId="0" borderId="0" applyAlignment="1" pivotButton="0" quotePrefix="0" xfId="4">
      <alignment horizontal="right" wrapText="1"/>
    </xf>
    <xf numFmtId="0" fontId="97" fillId="4" borderId="0" applyAlignment="1" pivotButton="0" quotePrefix="0" xfId="0">
      <alignment horizontal="right" wrapText="1"/>
    </xf>
    <xf numFmtId="0" fontId="97" fillId="0" borderId="0" applyAlignment="1" pivotButton="0" quotePrefix="0" xfId="0">
      <alignment horizontal="right" wrapText="1"/>
    </xf>
    <xf numFmtId="0" fontId="97" fillId="17" borderId="0" applyAlignment="1" pivotButton="0" quotePrefix="0" xfId="0">
      <alignment horizontal="right" wrapText="1"/>
    </xf>
    <xf numFmtId="0" fontId="97" fillId="4" borderId="36" applyAlignment="1" pivotButton="0" quotePrefix="0" xfId="0">
      <alignment horizontal="right" wrapText="1"/>
    </xf>
    <xf numFmtId="0" fontId="97" fillId="17" borderId="36" applyAlignment="1" pivotButton="0" quotePrefix="0" xfId="0">
      <alignment horizontal="right" wrapText="1"/>
    </xf>
    <xf numFmtId="0" fontId="97" fillId="0" borderId="0" applyAlignment="1" pivotButton="0" quotePrefix="0" xfId="0">
      <alignment wrapText="1"/>
    </xf>
    <xf numFmtId="166" fontId="63" fillId="0" borderId="0" pivotButton="0" quotePrefix="0" xfId="0"/>
    <xf numFmtId="166" fontId="63" fillId="3" borderId="4" pivotButton="0" quotePrefix="0" xfId="0"/>
    <xf numFmtId="166" fontId="100" fillId="0" borderId="0" pivotButton="0" quotePrefix="0" xfId="0"/>
    <xf numFmtId="0" fontId="97" fillId="0" borderId="0" applyAlignment="1" pivotButton="0" quotePrefix="0" xfId="0">
      <alignment horizontal="center"/>
    </xf>
    <xf numFmtId="166" fontId="107" fillId="5" borderId="1" applyAlignment="1" pivotButton="0" quotePrefix="0" xfId="0">
      <alignment horizontal="right" vertical="center"/>
    </xf>
    <xf numFmtId="167" fontId="110" fillId="5" borderId="3" applyAlignment="1" pivotButton="0" quotePrefix="0" xfId="0">
      <alignment horizontal="right" vertical="center"/>
    </xf>
    <xf numFmtId="0" fontId="63" fillId="0" borderId="0" applyAlignment="1" pivotButton="0" quotePrefix="0" xfId="0">
      <alignment horizontal="left" indent="2"/>
    </xf>
    <xf numFmtId="0" fontId="63" fillId="3" borderId="4" applyAlignment="1" pivotButton="0" quotePrefix="0" xfId="0">
      <alignment horizontal="left" indent="2"/>
    </xf>
    <xf numFmtId="0" fontId="62" fillId="0" borderId="0" pivotButton="0" quotePrefix="0" xfId="51"/>
    <xf numFmtId="0" fontId="62" fillId="2" borderId="0" pivotButton="0" quotePrefix="0" xfId="11"/>
    <xf numFmtId="0" fontId="62" fillId="2" borderId="0" pivotButton="0" quotePrefix="0" xfId="6"/>
    <xf numFmtId="0" fontId="106" fillId="4" borderId="0" applyAlignment="1" pivotButton="0" quotePrefix="0" xfId="51">
      <alignment horizontal="left"/>
    </xf>
    <xf numFmtId="17" fontId="106" fillId="4" borderId="0" applyAlignment="1" pivotButton="0" quotePrefix="0" xfId="51">
      <alignment horizontal="right"/>
    </xf>
    <xf numFmtId="17" fontId="106" fillId="4" borderId="12" applyAlignment="1" pivotButton="0" quotePrefix="0" xfId="51">
      <alignment horizontal="right"/>
    </xf>
    <xf numFmtId="17" fontId="106" fillId="4" borderId="33" applyAlignment="1" pivotButton="0" quotePrefix="0" xfId="51">
      <alignment horizontal="right"/>
    </xf>
    <xf numFmtId="17" fontId="106" fillId="4" borderId="15" applyAlignment="1" pivotButton="0" quotePrefix="0" xfId="51">
      <alignment horizontal="right" wrapText="1"/>
    </xf>
    <xf numFmtId="0" fontId="105" fillId="3" borderId="0" applyAlignment="1" pivotButton="0" quotePrefix="0" xfId="51">
      <alignment horizontal="left" indent="2"/>
    </xf>
    <xf numFmtId="164" fontId="105" fillId="3" borderId="0" pivotButton="0" quotePrefix="0" xfId="51"/>
    <xf numFmtId="164" fontId="105" fillId="3" borderId="10" pivotButton="0" quotePrefix="0" xfId="51"/>
    <xf numFmtId="164" fontId="105" fillId="3" borderId="6" pivotButton="0" quotePrefix="0" xfId="51"/>
    <xf numFmtId="0" fontId="105" fillId="3" borderId="4" applyAlignment="1" pivotButton="0" quotePrefix="0" xfId="51">
      <alignment horizontal="left" indent="2"/>
    </xf>
    <xf numFmtId="164" fontId="105" fillId="3" borderId="4" pivotButton="0" quotePrefix="0" xfId="51"/>
    <xf numFmtId="164" fontId="105" fillId="3" borderId="11" pivotButton="0" quotePrefix="0" xfId="51"/>
    <xf numFmtId="164" fontId="105" fillId="3" borderId="7" pivotButton="0" quotePrefix="0" xfId="51"/>
    <xf numFmtId="0" fontId="105" fillId="3" borderId="0" applyAlignment="1" pivotButton="0" quotePrefix="0" xfId="51">
      <alignment horizontal="left" indent="1"/>
    </xf>
    <xf numFmtId="0" fontId="105" fillId="3" borderId="4" applyAlignment="1" pivotButton="0" quotePrefix="0" xfId="51">
      <alignment horizontal="left" indent="1"/>
    </xf>
    <xf numFmtId="0" fontId="107" fillId="5" borderId="2" applyAlignment="1" pivotButton="0" quotePrefix="0" xfId="51">
      <alignment horizontal="left"/>
    </xf>
    <xf numFmtId="164" fontId="107" fillId="5" borderId="2" pivotButton="0" quotePrefix="0" xfId="51"/>
    <xf numFmtId="164" fontId="107" fillId="5" borderId="9" pivotButton="0" quotePrefix="0" xfId="51"/>
    <xf numFmtId="164" fontId="107" fillId="5" borderId="8" pivotButton="0" quotePrefix="0" xfId="51"/>
    <xf numFmtId="0" fontId="107" fillId="0" borderId="0" applyAlignment="1" pivotButton="0" quotePrefix="0" xfId="51">
      <alignment horizontal="left"/>
    </xf>
    <xf numFmtId="164" fontId="107" fillId="0" borderId="0" pivotButton="0" quotePrefix="0" xfId="51"/>
    <xf numFmtId="0" fontId="109" fillId="0" borderId="0" applyAlignment="1" pivotButton="0" quotePrefix="0" xfId="51">
      <alignment horizontal="left"/>
    </xf>
    <xf numFmtId="164" fontId="109" fillId="0" borderId="0" pivotButton="0" quotePrefix="0" xfId="51"/>
    <xf numFmtId="0" fontId="100" fillId="0" borderId="0" pivotButton="0" quotePrefix="0" xfId="51"/>
    <xf numFmtId="0" fontId="62" fillId="7" borderId="0" pivotButton="0" quotePrefix="0" xfId="5"/>
    <xf numFmtId="15" fontId="106" fillId="4" borderId="0" applyAlignment="1" pivotButton="0" quotePrefix="0" xfId="51">
      <alignment horizontal="right"/>
    </xf>
    <xf numFmtId="15" fontId="106" fillId="4" borderId="12" applyAlignment="1" pivotButton="0" quotePrefix="0" xfId="51">
      <alignment horizontal="right"/>
    </xf>
    <xf numFmtId="15" fontId="106" fillId="4" borderId="101" applyAlignment="1" pivotButton="0" quotePrefix="0" xfId="51">
      <alignment horizontal="centerContinuous"/>
    </xf>
    <xf numFmtId="15" fontId="106" fillId="4" borderId="13" applyAlignment="1" pivotButton="0" quotePrefix="0" xfId="51">
      <alignment horizontal="centerContinuous" wrapText="1"/>
    </xf>
    <xf numFmtId="15" fontId="106" fillId="6" borderId="101" applyAlignment="1" pivotButton="0" quotePrefix="0" xfId="51">
      <alignment horizontal="centerContinuous"/>
    </xf>
    <xf numFmtId="15" fontId="106" fillId="6" borderId="13" applyAlignment="1" pivotButton="0" quotePrefix="0" xfId="51">
      <alignment horizontal="centerContinuous" wrapText="1"/>
    </xf>
    <xf numFmtId="15" fontId="106" fillId="4" borderId="33" applyAlignment="1" pivotButton="0" quotePrefix="0" xfId="51">
      <alignment horizontal="right"/>
    </xf>
    <xf numFmtId="15" fontId="106" fillId="4" borderId="15" applyAlignment="1" pivotButton="0" quotePrefix="0" xfId="51">
      <alignment horizontal="right" wrapText="1"/>
    </xf>
    <xf numFmtId="15" fontId="106" fillId="6" borderId="33" applyAlignment="1" pivotButton="0" quotePrefix="0" xfId="51">
      <alignment horizontal="right"/>
    </xf>
    <xf numFmtId="15" fontId="106" fillId="6" borderId="15" applyAlignment="1" pivotButton="0" quotePrefix="0" xfId="51">
      <alignment horizontal="right" wrapText="1"/>
    </xf>
    <xf numFmtId="0" fontId="105" fillId="3" borderId="0" applyAlignment="1" pivotButton="0" quotePrefix="0" xfId="51">
      <alignment horizontal="left"/>
    </xf>
    <xf numFmtId="164" fontId="105" fillId="11" borderId="0" pivotButton="0" quotePrefix="0" xfId="51"/>
    <xf numFmtId="164" fontId="105" fillId="5" borderId="0" pivotButton="0" quotePrefix="0" xfId="51"/>
    <xf numFmtId="164" fontId="105" fillId="0" borderId="0" pivotButton="0" quotePrefix="0" xfId="51"/>
    <xf numFmtId="164" fontId="105" fillId="5" borderId="4" pivotButton="0" quotePrefix="0" xfId="51"/>
    <xf numFmtId="164" fontId="105" fillId="0" borderId="4" pivotButton="0" quotePrefix="0" xfId="51"/>
    <xf numFmtId="0" fontId="105" fillId="0" borderId="4" applyAlignment="1" pivotButton="0" quotePrefix="0" xfId="51">
      <alignment horizontal="left"/>
    </xf>
    <xf numFmtId="164" fontId="105" fillId="0" borderId="11" pivotButton="0" quotePrefix="0" xfId="51"/>
    <xf numFmtId="164" fontId="105" fillId="0" borderId="7" pivotButton="0" quotePrefix="0" xfId="51"/>
    <xf numFmtId="164" fontId="109" fillId="15" borderId="0" pivotButton="0" quotePrefix="0" xfId="51"/>
    <xf numFmtId="0" fontId="107" fillId="5" borderId="2" applyAlignment="1" pivotButton="0" quotePrefix="0" xfId="0">
      <alignment vertical="center"/>
    </xf>
    <xf numFmtId="166" fontId="107" fillId="5" borderId="2" applyAlignment="1" pivotButton="0" quotePrefix="0" xfId="0">
      <alignment horizontal="right" vertical="center"/>
    </xf>
    <xf numFmtId="166" fontId="107" fillId="5" borderId="9" applyAlignment="1" pivotButton="0" quotePrefix="0" xfId="0">
      <alignment horizontal="right" vertical="center"/>
    </xf>
    <xf numFmtId="166" fontId="107" fillId="5" borderId="8" applyAlignment="1" pivotButton="0" quotePrefix="0" xfId="0">
      <alignment horizontal="right" vertical="center"/>
    </xf>
    <xf numFmtId="166" fontId="69" fillId="0" borderId="7" applyAlignment="1" pivotButton="0" quotePrefix="0" xfId="0">
      <alignment horizontal="right"/>
    </xf>
    <xf numFmtId="0" fontId="105" fillId="0" borderId="0" applyAlignment="1" pivotButton="0" quotePrefix="0" xfId="51">
      <alignment horizontal="left" indent="2"/>
    </xf>
    <xf numFmtId="164" fontId="105" fillId="0" borderId="10" pivotButton="0" quotePrefix="0" xfId="51"/>
    <xf numFmtId="164" fontId="105" fillId="0" borderId="6" pivotButton="0" quotePrefix="0" xfId="51"/>
    <xf numFmtId="0" fontId="60" fillId="2" borderId="0" applyAlignment="1" pivotButton="0" quotePrefix="0" xfId="52">
      <alignment horizontal="left"/>
    </xf>
    <xf numFmtId="0" fontId="101" fillId="0" borderId="0" applyAlignment="1" pivotButton="0" quotePrefix="0" xfId="52">
      <alignment horizontal="left"/>
    </xf>
    <xf numFmtId="0" fontId="102" fillId="0" borderId="0" applyAlignment="1" pivotButton="0" quotePrefix="0" xfId="52">
      <alignment horizontal="left"/>
    </xf>
    <xf numFmtId="0" fontId="103" fillId="0" borderId="0" applyAlignment="1" pivotButton="0" quotePrefix="0" xfId="52">
      <alignment horizontal="left"/>
    </xf>
    <xf numFmtId="0" fontId="104" fillId="0" borderId="0" applyAlignment="1" pivotButton="0" quotePrefix="0" xfId="52">
      <alignment horizontal="left"/>
    </xf>
    <xf numFmtId="0" fontId="60" fillId="0" borderId="0" applyAlignment="1" pivotButton="0" quotePrefix="0" xfId="52">
      <alignment horizontal="left"/>
    </xf>
    <xf numFmtId="0" fontId="60" fillId="2" borderId="0" applyAlignment="1" pivotButton="0" quotePrefix="0" xfId="52">
      <alignment horizontal="left" wrapText="1"/>
    </xf>
    <xf numFmtId="0" fontId="60" fillId="0" borderId="0" applyAlignment="1" pivotButton="0" quotePrefix="0" xfId="52">
      <alignment horizontal="left" wrapText="1"/>
    </xf>
    <xf numFmtId="0" fontId="106" fillId="4" borderId="0" applyAlignment="1" pivotButton="0" quotePrefix="0" xfId="52">
      <alignment horizontal="left" wrapText="1"/>
    </xf>
    <xf numFmtId="17" fontId="106" fillId="4" borderId="14" applyAlignment="1" pivotButton="0" quotePrefix="0" xfId="52">
      <alignment horizontal="centerContinuous" wrapText="1"/>
    </xf>
    <xf numFmtId="17" fontId="106" fillId="4" borderId="12" applyAlignment="1" pivotButton="0" quotePrefix="0" xfId="52">
      <alignment horizontal="centerContinuous" wrapText="1"/>
    </xf>
    <xf numFmtId="0" fontId="0" fillId="0" borderId="0" applyAlignment="1" pivotButton="0" quotePrefix="0" xfId="0">
      <alignment wrapText="1"/>
    </xf>
    <xf numFmtId="17" fontId="106" fillId="6" borderId="14" applyAlignment="1" pivotButton="0" quotePrefix="0" xfId="52">
      <alignment horizontal="centerContinuous" wrapText="1"/>
    </xf>
    <xf numFmtId="17" fontId="106" fillId="6" borderId="12" applyAlignment="1" pivotButton="0" quotePrefix="0" xfId="52">
      <alignment horizontal="centerContinuous" wrapText="1"/>
    </xf>
    <xf numFmtId="0" fontId="106" fillId="4" borderId="0" applyAlignment="1" pivotButton="0" quotePrefix="0" xfId="52">
      <alignment horizontal="left"/>
    </xf>
    <xf numFmtId="17" fontId="106" fillId="4" borderId="0" applyAlignment="1" pivotButton="0" quotePrefix="0" xfId="52">
      <alignment horizontal="right"/>
    </xf>
    <xf numFmtId="17" fontId="106" fillId="4" borderId="68" applyAlignment="1" pivotButton="0" quotePrefix="0" xfId="52">
      <alignment horizontal="right"/>
    </xf>
    <xf numFmtId="17" fontId="106" fillId="6" borderId="0" applyAlignment="1" pivotButton="0" quotePrefix="0" xfId="52">
      <alignment horizontal="right"/>
    </xf>
    <xf numFmtId="17" fontId="106" fillId="6" borderId="68" applyAlignment="1" pivotButton="0" quotePrefix="0" xfId="52">
      <alignment horizontal="right"/>
    </xf>
    <xf numFmtId="0" fontId="60" fillId="0" borderId="0" applyAlignment="1" pivotButton="0" quotePrefix="0" xfId="0">
      <alignment horizontal="left" indent="2"/>
    </xf>
    <xf numFmtId="166" fontId="60" fillId="0" borderId="0" applyAlignment="1" pivotButton="0" quotePrefix="0" xfId="0">
      <alignment horizontal="right"/>
    </xf>
    <xf numFmtId="166" fontId="60" fillId="0" borderId="6" applyAlignment="1" pivotButton="0" quotePrefix="0" xfId="0">
      <alignment horizontal="right"/>
    </xf>
    <xf numFmtId="0" fontId="60" fillId="3" borderId="4" applyAlignment="1" pivotButton="0" quotePrefix="0" xfId="0">
      <alignment horizontal="left" indent="2"/>
    </xf>
    <xf numFmtId="166" fontId="60" fillId="3" borderId="4" applyAlignment="1" pivotButton="0" quotePrefix="0" xfId="0">
      <alignment horizontal="right"/>
    </xf>
    <xf numFmtId="166" fontId="60" fillId="3" borderId="7" applyAlignment="1" pivotButton="0" quotePrefix="0" xfId="0">
      <alignment horizontal="right"/>
    </xf>
    <xf numFmtId="0" fontId="60" fillId="0" borderId="0" applyAlignment="1" pivotButton="0" quotePrefix="0" xfId="0">
      <alignment horizontal="left" indent="1"/>
    </xf>
    <xf numFmtId="166" fontId="60" fillId="3" borderId="0" applyAlignment="1" pivotButton="0" quotePrefix="0" xfId="0">
      <alignment horizontal="right"/>
    </xf>
    <xf numFmtId="166" fontId="60" fillId="3" borderId="6" applyAlignment="1" pivotButton="0" quotePrefix="0" xfId="0">
      <alignment horizontal="right"/>
    </xf>
    <xf numFmtId="0" fontId="60" fillId="3" borderId="0" applyAlignment="1" pivotButton="0" quotePrefix="0" xfId="0">
      <alignment horizontal="left" indent="1"/>
    </xf>
    <xf numFmtId="0" fontId="100" fillId="2" borderId="0" applyAlignment="1" pivotButton="0" quotePrefix="0" xfId="52">
      <alignment horizontal="left"/>
    </xf>
    <xf numFmtId="0" fontId="100" fillId="0" borderId="0" applyAlignment="1" pivotButton="0" quotePrefix="0" xfId="52">
      <alignment horizontal="left"/>
    </xf>
    <xf numFmtId="0" fontId="60" fillId="0" borderId="0" pivotButton="0" quotePrefix="0" xfId="0"/>
    <xf numFmtId="166" fontId="60" fillId="5" borderId="0" applyAlignment="1" pivotButton="0" quotePrefix="0" xfId="0">
      <alignment horizontal="right"/>
    </xf>
    <xf numFmtId="166" fontId="60" fillId="5" borderId="6" applyAlignment="1" pivotButton="0" quotePrefix="0" xfId="0">
      <alignment horizontal="right"/>
    </xf>
    <xf numFmtId="166" fontId="60" fillId="5" borderId="4" applyAlignment="1" pivotButton="0" quotePrefix="0" xfId="0">
      <alignment horizontal="right"/>
    </xf>
    <xf numFmtId="166" fontId="60" fillId="5" borderId="7" applyAlignment="1" pivotButton="0" quotePrefix="0" xfId="0">
      <alignment horizontal="right"/>
    </xf>
    <xf numFmtId="0" fontId="60" fillId="0" borderId="4" applyAlignment="1" pivotButton="0" quotePrefix="0" xfId="0">
      <alignment horizontal="left" indent="2"/>
    </xf>
    <xf numFmtId="0" fontId="163" fillId="0" borderId="0" applyAlignment="1" pivotButton="0" quotePrefix="0" xfId="0">
      <alignment horizontal="right"/>
    </xf>
    <xf numFmtId="0" fontId="69" fillId="0" borderId="0" applyAlignment="1" pivotButton="0" quotePrefix="1" xfId="0">
      <alignment horizontal="left" indent="3"/>
    </xf>
    <xf numFmtId="0" fontId="60" fillId="3" borderId="0" applyAlignment="1" pivotButton="0" quotePrefix="0" xfId="0">
      <alignment horizontal="left" indent="2"/>
    </xf>
    <xf numFmtId="0" fontId="134" fillId="0" borderId="0" pivotButton="0" quotePrefix="0" xfId="0"/>
    <xf numFmtId="0" fontId="60" fillId="3" borderId="4" applyAlignment="1" pivotButton="0" quotePrefix="0" xfId="0">
      <alignment horizontal="left" indent="3"/>
    </xf>
    <xf numFmtId="0" fontId="98" fillId="3" borderId="4" pivotButton="0" quotePrefix="0" xfId="0"/>
    <xf numFmtId="166" fontId="67" fillId="3" borderId="4" applyAlignment="1" pivotButton="0" quotePrefix="0" xfId="0">
      <alignment horizontal="right"/>
    </xf>
    <xf numFmtId="166" fontId="67" fillId="3" borderId="11" applyAlignment="1" pivotButton="0" quotePrefix="0" xfId="0">
      <alignment horizontal="right"/>
    </xf>
    <xf numFmtId="166" fontId="67" fillId="3" borderId="7" applyAlignment="1" pivotButton="0" quotePrefix="0" xfId="0">
      <alignment horizontal="right"/>
    </xf>
    <xf numFmtId="41" fontId="64" fillId="0" borderId="0" applyAlignment="1" pivotButton="0" quotePrefix="0" xfId="0">
      <alignment horizontal="right"/>
    </xf>
    <xf numFmtId="181" fontId="100" fillId="0" borderId="0" applyAlignment="1" pivotButton="0" quotePrefix="0" xfId="0">
      <alignment horizontal="right"/>
    </xf>
    <xf numFmtId="189" fontId="127" fillId="0" borderId="72" pivotButton="0" quotePrefix="0" xfId="0"/>
    <xf numFmtId="166" fontId="64" fillId="0" borderId="0" applyAlignment="1" pivotButton="0" quotePrefix="0" xfId="0">
      <alignment horizontal="right"/>
    </xf>
    <xf numFmtId="166" fontId="60" fillId="0" borderId="10" applyAlignment="1" pivotButton="0" quotePrefix="0" xfId="0">
      <alignment horizontal="right"/>
    </xf>
    <xf numFmtId="166" fontId="60" fillId="3" borderId="11" applyAlignment="1" pivotButton="0" quotePrefix="0" xfId="0">
      <alignment horizontal="right"/>
    </xf>
    <xf numFmtId="166" fontId="107" fillId="0" borderId="0" applyAlignment="1" pivotButton="0" quotePrefix="0" xfId="0">
      <alignment horizontal="right" vertical="center"/>
    </xf>
    <xf numFmtId="166" fontId="109" fillId="0" borderId="0" applyAlignment="1" pivotButton="0" quotePrefix="0" xfId="0">
      <alignment horizontal="right" vertical="center"/>
    </xf>
    <xf numFmtId="0" fontId="155" fillId="0" borderId="0" applyAlignment="1" pivotButton="0" quotePrefix="0" xfId="0">
      <alignment horizontal="left"/>
    </xf>
    <xf numFmtId="0" fontId="60" fillId="0" borderId="0" pivotButton="0" quotePrefix="0" xfId="4"/>
    <xf numFmtId="0" fontId="98" fillId="0" borderId="0" pivotButton="0" quotePrefix="0" xfId="4"/>
    <xf numFmtId="41" fontId="69" fillId="5" borderId="0" applyAlignment="1" pivotButton="0" quotePrefix="0" xfId="0">
      <alignment horizontal="right"/>
    </xf>
    <xf numFmtId="41" fontId="69" fillId="5" borderId="10" applyAlignment="1" pivotButton="0" quotePrefix="0" xfId="0">
      <alignment horizontal="right"/>
    </xf>
    <xf numFmtId="41" fontId="69" fillId="5" borderId="6" applyAlignment="1" pivotButton="0" quotePrefix="0" xfId="0">
      <alignment horizontal="right"/>
    </xf>
    <xf numFmtId="167" fontId="109" fillId="5" borderId="0" applyAlignment="1" pivotButton="0" quotePrefix="0" xfId="27">
      <alignment horizontal="right" vertical="center"/>
    </xf>
    <xf numFmtId="0" fontId="109" fillId="5" borderId="0" applyAlignment="1" pivotButton="0" quotePrefix="0" xfId="27">
      <alignment horizontal="left" vertical="center"/>
    </xf>
    <xf numFmtId="164" fontId="109" fillId="5" borderId="0" applyAlignment="1" pivotButton="0" quotePrefix="0" xfId="27">
      <alignment vertical="center"/>
    </xf>
    <xf numFmtId="188" fontId="113" fillId="0" borderId="0" applyAlignment="1" pivotButton="0" quotePrefix="0" xfId="27">
      <alignment vertical="center"/>
    </xf>
    <xf numFmtId="0" fontId="60" fillId="7" borderId="0" pivotButton="0" quotePrefix="0" xfId="4"/>
    <xf numFmtId="169" fontId="105" fillId="5" borderId="0" applyAlignment="1" pivotButton="0" quotePrefix="0" xfId="4">
      <alignment horizontal="right" vertical="center"/>
    </xf>
    <xf numFmtId="166" fontId="105" fillId="5" borderId="0" applyAlignment="1" pivotButton="0" quotePrefix="0" xfId="4">
      <alignment horizontal="right" vertical="center"/>
    </xf>
    <xf numFmtId="166" fontId="105" fillId="0" borderId="53" applyAlignment="1" pivotButton="0" quotePrefix="0" xfId="4">
      <alignment horizontal="left" vertical="top" wrapText="1"/>
    </xf>
    <xf numFmtId="166" fontId="63" fillId="0" borderId="4" pivotButton="0" quotePrefix="0" xfId="0"/>
    <xf numFmtId="166" fontId="164" fillId="0" borderId="0" pivotButton="0" quotePrefix="0" xfId="0"/>
    <xf numFmtId="0" fontId="164" fillId="0" borderId="0" applyAlignment="1" pivotButton="0" quotePrefix="0" xfId="0">
      <alignment horizontal="left" indent="1"/>
    </xf>
    <xf numFmtId="166" fontId="61" fillId="0" borderId="0" pivotButton="0" quotePrefix="0" xfId="0"/>
    <xf numFmtId="0" fontId="61" fillId="0" borderId="0" pivotButton="0" quotePrefix="0" xfId="0"/>
    <xf numFmtId="0" fontId="164" fillId="2" borderId="0" pivotButton="0" quotePrefix="0" xfId="2"/>
    <xf numFmtId="0" fontId="165" fillId="0" borderId="0" pivotButton="0" quotePrefix="0" xfId="5"/>
    <xf numFmtId="0" fontId="166" fillId="0" borderId="0" applyAlignment="1" pivotButton="0" quotePrefix="0" xfId="4">
      <alignment horizontal="left" vertical="center" indent="1"/>
    </xf>
    <xf numFmtId="0" fontId="167" fillId="6" borderId="65" applyAlignment="1" pivotButton="0" quotePrefix="0" xfId="4">
      <alignment horizontal="center" vertical="center"/>
    </xf>
    <xf numFmtId="169" fontId="168" fillId="0" borderId="0" applyAlignment="1" pivotButton="0" quotePrefix="0" xfId="4">
      <alignment horizontal="right" vertical="center"/>
    </xf>
    <xf numFmtId="169" fontId="168" fillId="0" borderId="10" applyAlignment="1" pivotButton="0" quotePrefix="0" xfId="4">
      <alignment horizontal="right" vertical="center"/>
    </xf>
    <xf numFmtId="169" fontId="168" fillId="0" borderId="6" applyAlignment="1" pivotButton="0" quotePrefix="0" xfId="4">
      <alignment horizontal="right" vertical="center"/>
    </xf>
    <xf numFmtId="166" fontId="166" fillId="0" borderId="0" applyAlignment="1" pivotButton="0" quotePrefix="0" xfId="4">
      <alignment horizontal="right" vertical="center" wrapText="1"/>
    </xf>
    <xf numFmtId="166" fontId="168" fillId="0" borderId="0" applyAlignment="1" pivotButton="0" quotePrefix="0" xfId="4">
      <alignment horizontal="right" vertical="center"/>
    </xf>
    <xf numFmtId="0" fontId="164" fillId="0" borderId="0" pivotButton="0" quotePrefix="0" xfId="4"/>
    <xf numFmtId="166" fontId="168" fillId="0" borderId="19" applyAlignment="1" pivotButton="0" quotePrefix="0" xfId="4">
      <alignment horizontal="left" vertical="top" wrapText="1"/>
    </xf>
    <xf numFmtId="0" fontId="169" fillId="0" borderId="0" pivotButton="0" quotePrefix="0" xfId="8"/>
    <xf numFmtId="0" fontId="167" fillId="6" borderId="66" applyAlignment="1" pivotButton="0" quotePrefix="0" xfId="4">
      <alignment horizontal="center" vertical="center"/>
    </xf>
    <xf numFmtId="0" fontId="167" fillId="6" borderId="45" applyAlignment="1" pivotButton="0" quotePrefix="0" xfId="4">
      <alignment horizontal="center" vertical="center"/>
    </xf>
    <xf numFmtId="166" fontId="168" fillId="0" borderId="57" applyAlignment="1" pivotButton="0" quotePrefix="0" xfId="4">
      <alignment horizontal="left" vertical="top" wrapText="1"/>
    </xf>
    <xf numFmtId="0" fontId="97" fillId="3" borderId="2" applyAlignment="1" pivotButton="0" quotePrefix="0" xfId="4">
      <alignment horizontal="center" vertical="center"/>
    </xf>
    <xf numFmtId="17" fontId="170" fillId="4" borderId="36" applyAlignment="1" pivotButton="0" quotePrefix="0" xfId="38">
      <alignment horizontal="right"/>
    </xf>
    <xf numFmtId="177" fontId="170" fillId="4" borderId="68" applyAlignment="1" pivotButton="0" quotePrefix="0" xfId="38">
      <alignment horizontal="right"/>
    </xf>
    <xf numFmtId="177" fontId="170" fillId="4" borderId="45" applyAlignment="1" pivotButton="0" quotePrefix="0" xfId="38">
      <alignment horizontal="right"/>
    </xf>
    <xf numFmtId="0" fontId="170" fillId="4" borderId="0" applyAlignment="1" pivotButton="0" quotePrefix="0" xfId="39">
      <alignment horizontal="left"/>
    </xf>
    <xf numFmtId="0" fontId="164" fillId="0" borderId="0" applyAlignment="1" pivotButton="0" quotePrefix="0" xfId="2">
      <alignment horizontal="left"/>
    </xf>
    <xf numFmtId="0" fontId="113" fillId="0" borderId="0" applyAlignment="1" pivotButton="0" quotePrefix="0" xfId="37">
      <alignment horizontal="right"/>
    </xf>
    <xf numFmtId="9" fontId="164" fillId="0" borderId="0" pivotButton="0" quotePrefix="0" xfId="47"/>
    <xf numFmtId="0" fontId="166" fillId="0" borderId="0" applyAlignment="1" pivotButton="0" quotePrefix="0" xfId="4">
      <alignment horizontal="left" vertical="center" indent="2"/>
    </xf>
    <xf numFmtId="0" fontId="166" fillId="0" borderId="4" applyAlignment="1" pivotButton="0" quotePrefix="0" xfId="4">
      <alignment horizontal="left" vertical="center" indent="2"/>
    </xf>
    <xf numFmtId="0" fontId="69" fillId="3" borderId="102" applyAlignment="1" pivotButton="0" quotePrefix="0" xfId="0">
      <alignment horizontal="left"/>
    </xf>
    <xf numFmtId="0" fontId="69" fillId="3" borderId="102" pivotButton="0" quotePrefix="0" xfId="0"/>
    <xf numFmtId="166" fontId="69" fillId="3" borderId="102" applyAlignment="1" pivotButton="0" quotePrefix="0" xfId="0">
      <alignment horizontal="right"/>
    </xf>
    <xf numFmtId="166" fontId="69" fillId="3" borderId="103" applyAlignment="1" pivotButton="0" quotePrefix="0" xfId="0">
      <alignment horizontal="right"/>
    </xf>
    <xf numFmtId="166" fontId="69" fillId="3" borderId="104" applyAlignment="1" pivotButton="0" quotePrefix="0" xfId="0">
      <alignment horizontal="right"/>
    </xf>
    <xf numFmtId="0" fontId="69" fillId="0" borderId="105" applyAlignment="1" pivotButton="0" quotePrefix="0" xfId="0">
      <alignment horizontal="left" indent="1"/>
    </xf>
    <xf numFmtId="0" fontId="69" fillId="0" borderId="105" pivotButton="0" quotePrefix="0" xfId="0"/>
    <xf numFmtId="166" fontId="69" fillId="0" borderId="105" applyAlignment="1" pivotButton="0" quotePrefix="0" xfId="0">
      <alignment horizontal="right"/>
    </xf>
    <xf numFmtId="166" fontId="69" fillId="0" borderId="106" applyAlignment="1" pivotButton="0" quotePrefix="0" xfId="0">
      <alignment horizontal="right"/>
    </xf>
    <xf numFmtId="166" fontId="69" fillId="0" borderId="107" applyAlignment="1" pivotButton="0" quotePrefix="0" xfId="0">
      <alignment horizontal="right"/>
    </xf>
    <xf numFmtId="0" fontId="69" fillId="0" borderId="0" applyAlignment="1" pivotButton="0" quotePrefix="0" xfId="0">
      <alignment horizontal="left" indent="4"/>
    </xf>
    <xf numFmtId="0" fontId="64" fillId="3" borderId="0" applyAlignment="1" pivotButton="0" quotePrefix="0" xfId="0">
      <alignment horizontal="left" indent="4"/>
    </xf>
    <xf numFmtId="0" fontId="64" fillId="3" borderId="4" applyAlignment="1" pivotButton="0" quotePrefix="0" xfId="0">
      <alignment horizontal="left" indent="4"/>
    </xf>
    <xf numFmtId="0" fontId="100" fillId="5" borderId="0" applyAlignment="1" pivotButton="0" quotePrefix="0" xfId="0">
      <alignment horizontal="left" indent="4"/>
    </xf>
    <xf numFmtId="0" fontId="100" fillId="5" borderId="4" applyAlignment="1" pivotButton="0" quotePrefix="0" xfId="0">
      <alignment horizontal="left" indent="4"/>
    </xf>
    <xf numFmtId="0" fontId="69" fillId="3" borderId="0" applyAlignment="1" pivotButton="0" quotePrefix="0" xfId="0">
      <alignment horizontal="left" indent="4"/>
    </xf>
    <xf numFmtId="0" fontId="66" fillId="3" borderId="0" applyAlignment="1" pivotButton="0" quotePrefix="0" xfId="0">
      <alignment horizontal="left" indent="2"/>
    </xf>
    <xf numFmtId="0" fontId="100" fillId="5" borderId="1" applyAlignment="1" pivotButton="0" quotePrefix="0" xfId="0">
      <alignment horizontal="left" indent="3"/>
    </xf>
    <xf numFmtId="0" fontId="69" fillId="0" borderId="102" applyAlignment="1" pivotButton="0" quotePrefix="0" xfId="0">
      <alignment horizontal="left" indent="2"/>
    </xf>
    <xf numFmtId="0" fontId="69" fillId="21" borderId="0" pivotButton="0" quotePrefix="0" xfId="0"/>
    <xf numFmtId="166" fontId="100" fillId="0" borderId="0" applyAlignment="1" pivotButton="0" quotePrefix="0" xfId="0">
      <alignment horizontal="left"/>
    </xf>
    <xf numFmtId="0" fontId="97" fillId="6" borderId="0" applyAlignment="1" pivotButton="0" quotePrefix="0" xfId="4">
      <alignment horizontal="center" vertical="center" wrapText="1"/>
    </xf>
    <xf numFmtId="0" fontId="97" fillId="6" borderId="4" applyAlignment="1" pivotButton="0" quotePrefix="0" xfId="4">
      <alignment horizontal="center" vertical="center" wrapText="1"/>
    </xf>
    <xf numFmtId="0" fontId="114" fillId="3" borderId="0" applyAlignment="1" pivotButton="0" quotePrefix="0" xfId="4">
      <alignment horizontal="left" vertical="center" wrapText="1" indent="2"/>
    </xf>
    <xf numFmtId="166" fontId="107" fillId="0" borderId="6" applyAlignment="1" pivotButton="0" quotePrefix="0" xfId="4">
      <alignment horizontal="right"/>
    </xf>
    <xf numFmtId="166" fontId="107" fillId="0" borderId="53" applyAlignment="1" pivotButton="0" quotePrefix="0" xfId="4">
      <alignment horizontal="left" vertical="top"/>
    </xf>
    <xf numFmtId="166" fontId="59" fillId="0" borderId="0" applyAlignment="1" pivotButton="0" quotePrefix="0" xfId="0">
      <alignment horizontal="right"/>
    </xf>
    <xf numFmtId="0" fontId="59" fillId="0" borderId="0" applyAlignment="1" pivotButton="0" quotePrefix="0" xfId="0">
      <alignment horizontal="left" indent="1"/>
    </xf>
    <xf numFmtId="166" fontId="59" fillId="0" borderId="6" applyAlignment="1" pivotButton="0" quotePrefix="0" xfId="0">
      <alignment horizontal="right"/>
    </xf>
    <xf numFmtId="166" fontId="59" fillId="0" borderId="10" applyAlignment="1" pivotButton="0" quotePrefix="0" xfId="0">
      <alignment horizontal="right"/>
    </xf>
    <xf numFmtId="41" fontId="105" fillId="3" borderId="0" applyAlignment="1" pivotButton="0" quotePrefix="0" xfId="0">
      <alignment horizontal="left" indent="1"/>
    </xf>
    <xf numFmtId="166" fontId="98" fillId="0" borderId="72" pivotButton="0" quotePrefix="0" xfId="0"/>
    <xf numFmtId="0" fontId="97" fillId="6" borderId="0" applyAlignment="1" pivotButton="0" quotePrefix="0" xfId="5">
      <alignment horizontal="center" vertical="center"/>
    </xf>
    <xf numFmtId="0" fontId="114" fillId="0" borderId="0" applyAlignment="1" pivotButton="0" quotePrefix="0" xfId="8">
      <alignment horizontal="left" indent="2"/>
    </xf>
    <xf numFmtId="0" fontId="114" fillId="3" borderId="4" applyAlignment="1" pivotButton="0" quotePrefix="0" xfId="8">
      <alignment horizontal="left" indent="2"/>
    </xf>
    <xf numFmtId="0" fontId="97" fillId="3" borderId="4" applyAlignment="1" pivotButton="0" quotePrefix="0" xfId="5">
      <alignment horizontal="center" vertical="center"/>
    </xf>
    <xf numFmtId="0" fontId="114" fillId="0" borderId="0" pivotButton="0" quotePrefix="1" xfId="8"/>
    <xf numFmtId="164" fontId="70" fillId="0" borderId="0" pivotButton="0" quotePrefix="0" xfId="0"/>
    <xf numFmtId="166" fontId="58" fillId="0" borderId="0" applyAlignment="1" pivotButton="0" quotePrefix="0" xfId="0">
      <alignment horizontal="right"/>
    </xf>
    <xf numFmtId="164" fontId="58" fillId="0" borderId="0" pivotButton="0" quotePrefix="0" xfId="0"/>
    <xf numFmtId="41" fontId="105" fillId="3" borderId="0" applyAlignment="1" pivotButton="0" quotePrefix="0" xfId="0">
      <alignment horizontal="left"/>
    </xf>
    <xf numFmtId="0" fontId="58" fillId="0" borderId="0" pivotButton="0" quotePrefix="0" xfId="1"/>
    <xf numFmtId="0" fontId="58" fillId="0" borderId="0" pivotButton="0" quotePrefix="0" xfId="0"/>
    <xf numFmtId="43" fontId="105" fillId="0" borderId="0" applyAlignment="1" pivotButton="0" quotePrefix="0" xfId="32">
      <alignment vertical="top"/>
    </xf>
    <xf numFmtId="43" fontId="114" fillId="0" borderId="0" applyAlignment="1" pivotButton="0" quotePrefix="0" xfId="32">
      <alignment vertical="top"/>
    </xf>
    <xf numFmtId="164" fontId="109" fillId="0" borderId="0" pivotButton="0" quotePrefix="0" xfId="32"/>
    <xf numFmtId="164" fontId="150" fillId="0" borderId="0" pivotButton="0" quotePrefix="0" xfId="32"/>
    <xf numFmtId="164" fontId="106" fillId="2" borderId="0" applyAlignment="1" pivotButton="0" quotePrefix="0" xfId="32">
      <alignment vertical="center"/>
    </xf>
    <xf numFmtId="0" fontId="127" fillId="0" borderId="0" applyAlignment="1" pivotButton="0" quotePrefix="0" xfId="32">
      <alignment vertical="top"/>
    </xf>
    <xf numFmtId="0" fontId="106" fillId="2" borderId="0" applyAlignment="1" pivotButton="0" quotePrefix="0" xfId="32">
      <alignment horizontal="left" vertical="center"/>
    </xf>
    <xf numFmtId="49" fontId="106" fillId="2" borderId="0" applyAlignment="1" pivotButton="0" quotePrefix="0" xfId="32">
      <alignment horizontal="left" vertical="center"/>
    </xf>
    <xf numFmtId="164" fontId="106" fillId="2" borderId="0" applyAlignment="1" pivotButton="0" quotePrefix="0" xfId="32">
      <alignment horizontal="left" vertical="center"/>
    </xf>
    <xf numFmtId="0" fontId="95" fillId="0" borderId="37" pivotButton="0" quotePrefix="0" xfId="1"/>
    <xf numFmtId="166" fontId="107" fillId="5" borderId="108" applyAlignment="1" pivotButton="0" quotePrefix="0" xfId="1">
      <alignment horizontal="right" vertical="center"/>
    </xf>
    <xf numFmtId="164" fontId="105" fillId="3" borderId="69" pivotButton="0" quotePrefix="0" xfId="1"/>
    <xf numFmtId="164" fontId="105" fillId="3" borderId="70" pivotButton="0" quotePrefix="0" xfId="1"/>
    <xf numFmtId="164" fontId="107" fillId="3" borderId="69" pivotButton="0" quotePrefix="0" xfId="1"/>
    <xf numFmtId="164" fontId="107" fillId="5" borderId="74" pivotButton="0" quotePrefix="0" xfId="1"/>
    <xf numFmtId="17" fontId="106" fillId="6" borderId="51" applyAlignment="1" pivotButton="0" quotePrefix="0" xfId="12">
      <alignment horizontal="right"/>
    </xf>
    <xf numFmtId="0" fontId="106" fillId="2" borderId="0" applyAlignment="1" pivotButton="0" quotePrefix="0" xfId="1">
      <alignment horizontal="left" vertical="center"/>
    </xf>
    <xf numFmtId="164" fontId="106" fillId="2" borderId="0" applyAlignment="1" pivotButton="0" quotePrefix="0" xfId="1">
      <alignment vertical="center"/>
    </xf>
    <xf numFmtId="0" fontId="97" fillId="4" borderId="28" applyAlignment="1" pivotButton="0" quotePrefix="0" xfId="4">
      <alignment horizontal="right" wrapText="1"/>
    </xf>
    <xf numFmtId="0" fontId="97" fillId="4" borderId="54" applyAlignment="1" pivotButton="0" quotePrefix="0" xfId="4">
      <alignment horizontal="right" wrapText="1"/>
    </xf>
    <xf numFmtId="17" fontId="97" fillId="4" borderId="55" applyAlignment="1" pivotButton="0" quotePrefix="0" xfId="4">
      <alignment horizontal="right" wrapText="1"/>
    </xf>
    <xf numFmtId="0" fontId="106" fillId="2" borderId="0" applyAlignment="1" pivotButton="0" quotePrefix="0" xfId="4">
      <alignment horizontal="left" vertical="center"/>
    </xf>
    <xf numFmtId="0" fontId="106" fillId="2" borderId="6" applyAlignment="1" pivotButton="0" quotePrefix="0" xfId="4">
      <alignment horizontal="left" vertical="center"/>
    </xf>
    <xf numFmtId="17" fontId="97" fillId="4" borderId="12" applyAlignment="1" pivotButton="0" quotePrefix="0" xfId="4">
      <alignment horizontal="right"/>
    </xf>
    <xf numFmtId="17" fontId="97" fillId="4" borderId="54" applyAlignment="1" pivotButton="0" quotePrefix="0" xfId="4">
      <alignment horizontal="right" wrapText="1"/>
    </xf>
    <xf numFmtId="17" fontId="97" fillId="4" borderId="0" applyAlignment="1" pivotButton="0" quotePrefix="0" xfId="4">
      <alignment horizontal="right" vertical="top"/>
    </xf>
    <xf numFmtId="17" fontId="97" fillId="4" borderId="54" applyAlignment="1" pivotButton="0" quotePrefix="0" xfId="4">
      <alignment horizontal="right" vertical="top"/>
    </xf>
    <xf numFmtId="0" fontId="106" fillId="2" borderId="0" applyAlignment="1" pivotButton="0" quotePrefix="0" xfId="0">
      <alignment horizontal="left" vertical="center"/>
    </xf>
    <xf numFmtId="178" fontId="126" fillId="2" borderId="0" applyAlignment="1" pivotButton="0" quotePrefix="0" xfId="0">
      <alignment vertical="center"/>
    </xf>
    <xf numFmtId="0" fontId="78" fillId="0" borderId="0" pivotButton="0" quotePrefix="0" xfId="0"/>
    <xf numFmtId="0" fontId="164" fillId="0" borderId="0" applyAlignment="1" pivotButton="0" quotePrefix="0" xfId="0">
      <alignment horizontal="left"/>
    </xf>
    <xf numFmtId="0" fontId="64" fillId="0" borderId="0" applyAlignment="1" pivotButton="0" quotePrefix="0" xfId="0">
      <alignment horizontal="left"/>
    </xf>
    <xf numFmtId="0" fontId="171" fillId="0" borderId="0" pivotButton="0" quotePrefix="0" xfId="0"/>
    <xf numFmtId="0" fontId="60" fillId="0" borderId="0" applyAlignment="1" pivotButton="0" quotePrefix="0" xfId="0">
      <alignment horizontal="left"/>
    </xf>
    <xf numFmtId="164" fontId="108" fillId="2" borderId="0" applyAlignment="1" pivotButton="0" quotePrefix="0" xfId="0">
      <alignment vertical="center"/>
    </xf>
    <xf numFmtId="0" fontId="155" fillId="0" borderId="0" pivotButton="0" quotePrefix="0" xfId="0"/>
    <xf numFmtId="0" fontId="106" fillId="2" borderId="0" applyAlignment="1" pivotButton="0" quotePrefix="0" xfId="39">
      <alignment horizontal="left" vertical="center"/>
    </xf>
    <xf numFmtId="0" fontId="106" fillId="2" borderId="0" applyAlignment="1" pivotButton="0" quotePrefix="0" xfId="39">
      <alignment vertical="center"/>
    </xf>
    <xf numFmtId="164" fontId="106" fillId="2" borderId="0" applyAlignment="1" pivotButton="0" quotePrefix="0" xfId="38">
      <alignment vertical="center"/>
    </xf>
    <xf numFmtId="0" fontId="106" fillId="2" borderId="0" applyAlignment="1" pivotButton="0" quotePrefix="0" xfId="43">
      <alignment horizontal="left" vertical="center"/>
    </xf>
    <xf numFmtId="0" fontId="108" fillId="2" borderId="0" applyAlignment="1" pivotButton="0" quotePrefix="0" xfId="43">
      <alignment horizontal="left" vertical="center"/>
    </xf>
    <xf numFmtId="0" fontId="154" fillId="2" borderId="0" applyAlignment="1" pivotButton="0" quotePrefix="0" xfId="37">
      <alignment vertical="center"/>
    </xf>
    <xf numFmtId="164" fontId="106" fillId="2" borderId="0" applyAlignment="1" pivotButton="0" quotePrefix="0" xfId="44">
      <alignment vertical="center"/>
    </xf>
    <xf numFmtId="177" fontId="97" fillId="4" borderId="12" pivotButton="0" quotePrefix="0" xfId="0"/>
    <xf numFmtId="0" fontId="106" fillId="2" borderId="0" applyAlignment="1" pivotButton="0" quotePrefix="0" xfId="0">
      <alignment vertical="center"/>
    </xf>
    <xf numFmtId="0" fontId="114" fillId="2" borderId="0" pivotButton="0" quotePrefix="0" xfId="36"/>
    <xf numFmtId="0" fontId="97" fillId="4" borderId="15" applyAlignment="1" pivotButton="0" quotePrefix="0" xfId="0">
      <alignment horizontal="centerContinuous"/>
    </xf>
    <xf numFmtId="0" fontId="106" fillId="4" borderId="0" applyAlignment="1" pivotButton="0" quotePrefix="0" xfId="37">
      <alignment vertical="center"/>
    </xf>
    <xf numFmtId="0" fontId="106" fillId="2" borderId="0" applyAlignment="1" pivotButton="0" quotePrefix="0" xfId="37">
      <alignment vertical="center"/>
    </xf>
    <xf numFmtId="164" fontId="106" fillId="2" borderId="0" applyAlignment="1" pivotButton="0" quotePrefix="0" xfId="0">
      <alignment horizontal="left" vertical="center"/>
    </xf>
    <xf numFmtId="164" fontId="126" fillId="2" borderId="0" applyAlignment="1" pivotButton="0" quotePrefix="0" xfId="0">
      <alignment horizontal="left" vertical="center"/>
    </xf>
    <xf numFmtId="0" fontId="97" fillId="4" borderId="64" applyAlignment="1" pivotButton="0" quotePrefix="0" xfId="5">
      <alignment horizontal="centerContinuous" wrapText="1"/>
    </xf>
    <xf numFmtId="0" fontId="97" fillId="4" borderId="109" applyAlignment="1" pivotButton="0" quotePrefix="0" xfId="5">
      <alignment horizontal="centerContinuous" wrapText="1"/>
    </xf>
    <xf numFmtId="0" fontId="97" fillId="4" borderId="62" applyAlignment="1" pivotButton="0" quotePrefix="0" xfId="5">
      <alignment horizontal="centerContinuous" wrapText="1"/>
    </xf>
    <xf numFmtId="0" fontId="97" fillId="4" borderId="110" applyAlignment="1" pivotButton="0" quotePrefix="0" xfId="5">
      <alignment horizontal="centerContinuous" wrapText="1"/>
    </xf>
    <xf numFmtId="0" fontId="97" fillId="6" borderId="64" applyAlignment="1" pivotButton="0" quotePrefix="0" xfId="5">
      <alignment horizontal="centerContinuous"/>
    </xf>
    <xf numFmtId="0" fontId="97" fillId="6" borderId="109" applyAlignment="1" pivotButton="0" quotePrefix="0" xfId="5">
      <alignment horizontal="centerContinuous"/>
    </xf>
    <xf numFmtId="0" fontId="97" fillId="6" borderId="62" applyAlignment="1" pivotButton="0" quotePrefix="0" xfId="5">
      <alignment horizontal="centerContinuous"/>
    </xf>
    <xf numFmtId="0" fontId="97" fillId="2" borderId="0" applyAlignment="1" pivotButton="0" quotePrefix="0" xfId="5">
      <alignment horizontal="left" vertical="center"/>
    </xf>
    <xf numFmtId="0" fontId="97" fillId="2" borderId="0" applyAlignment="1" pivotButton="0" quotePrefix="0" xfId="5">
      <alignment horizontal="left" vertical="center" wrapText="1"/>
    </xf>
    <xf numFmtId="0" fontId="97" fillId="4" borderId="4" applyAlignment="1" pivotButton="0" quotePrefix="0" xfId="5">
      <alignment horizontal="left" wrapText="1"/>
    </xf>
    <xf numFmtId="0" fontId="97" fillId="4" borderId="4" applyAlignment="1" pivotButton="0" quotePrefix="0" xfId="5">
      <alignment horizontal="right" wrapText="1"/>
    </xf>
    <xf numFmtId="0" fontId="106" fillId="2" borderId="0" applyAlignment="1" pivotButton="0" quotePrefix="0" xfId="5">
      <alignment horizontal="left" vertical="center"/>
    </xf>
    <xf numFmtId="176" fontId="97" fillId="4" borderId="28" applyAlignment="1" pivotButton="0" quotePrefix="0" xfId="3">
      <alignment horizontal="right" wrapText="1"/>
    </xf>
    <xf numFmtId="176" fontId="97" fillId="4" borderId="54" applyAlignment="1" pivotButton="0" quotePrefix="0" xfId="3">
      <alignment horizontal="right" wrapText="1"/>
    </xf>
    <xf numFmtId="176" fontId="97" fillId="4" borderId="55" applyAlignment="1" pivotButton="0" quotePrefix="0" xfId="3">
      <alignment horizontal="right" wrapText="1"/>
    </xf>
    <xf numFmtId="171" fontId="97" fillId="6" borderId="0" applyAlignment="1" pivotButton="0" quotePrefix="0" xfId="1">
      <alignment horizontal="right"/>
    </xf>
    <xf numFmtId="0" fontId="97" fillId="4" borderId="12" applyAlignment="1" pivotButton="0" quotePrefix="0" xfId="5">
      <alignment horizontal="right"/>
    </xf>
    <xf numFmtId="0" fontId="97" fillId="4" borderId="64" applyAlignment="1" pivotButton="0" quotePrefix="0" xfId="5">
      <alignment horizontal="centerContinuous"/>
    </xf>
    <xf numFmtId="0" fontId="97" fillId="4" borderId="109" applyAlignment="1" pivotButton="0" quotePrefix="0" xfId="5">
      <alignment horizontal="centerContinuous"/>
    </xf>
    <xf numFmtId="0" fontId="97" fillId="4" borderId="62" applyAlignment="1" pivotButton="0" quotePrefix="0" xfId="5">
      <alignment horizontal="centerContinuous"/>
    </xf>
    <xf numFmtId="0" fontId="97" fillId="4" borderId="110" applyAlignment="1" pivotButton="0" quotePrefix="0" xfId="5">
      <alignment horizontal="centerContinuous"/>
    </xf>
    <xf numFmtId="0" fontId="97" fillId="6" borderId="110" applyAlignment="1" pivotButton="0" quotePrefix="0" xfId="5">
      <alignment horizontal="centerContinuous"/>
    </xf>
    <xf numFmtId="0" fontId="97" fillId="4" borderId="0" applyAlignment="1" pivotButton="0" quotePrefix="0" xfId="5">
      <alignment horizontal="left" wrapText="1"/>
    </xf>
    <xf numFmtId="0" fontId="97" fillId="4" borderId="0" applyAlignment="1" pivotButton="0" quotePrefix="0" xfId="5">
      <alignment horizontal="right" wrapText="1"/>
    </xf>
    <xf numFmtId="0" fontId="99" fillId="4" borderId="0" pivotButton="0" quotePrefix="0" xfId="3"/>
    <xf numFmtId="0" fontId="97" fillId="4" borderId="64" applyAlignment="1" pivotButton="0" quotePrefix="0" xfId="3">
      <alignment horizontal="centerContinuous"/>
    </xf>
    <xf numFmtId="0" fontId="97" fillId="4" borderId="109" applyAlignment="1" pivotButton="0" quotePrefix="0" xfId="3">
      <alignment horizontal="centerContinuous"/>
    </xf>
    <xf numFmtId="0" fontId="97" fillId="4" borderId="62" applyAlignment="1" pivotButton="0" quotePrefix="0" xfId="3">
      <alignment horizontal="centerContinuous"/>
    </xf>
    <xf numFmtId="0" fontId="106" fillId="2" borderId="0" applyAlignment="1" pivotButton="0" quotePrefix="0" xfId="3">
      <alignment vertical="center"/>
    </xf>
    <xf numFmtId="0" fontId="106" fillId="2" borderId="0" applyAlignment="1" pivotButton="0" quotePrefix="0" xfId="3">
      <alignment horizontal="center" vertical="center"/>
    </xf>
    <xf numFmtId="171" fontId="106" fillId="2" borderId="0" applyAlignment="1" pivotButton="0" quotePrefix="0" xfId="0">
      <alignment horizontal="left" vertical="center"/>
    </xf>
    <xf numFmtId="0" fontId="106" fillId="2" borderId="0" applyAlignment="1" pivotButton="0" quotePrefix="0" xfId="27">
      <alignment horizontal="left" vertical="center"/>
    </xf>
    <xf numFmtId="164" fontId="106" fillId="2" borderId="0" applyAlignment="1" pivotButton="0" quotePrefix="0" xfId="27">
      <alignment horizontal="left" vertical="center"/>
    </xf>
    <xf numFmtId="164" fontId="106" fillId="2" borderId="0" applyAlignment="1" pivotButton="0" quotePrefix="0" xfId="27">
      <alignment vertical="center"/>
    </xf>
    <xf numFmtId="0" fontId="106" fillId="2" borderId="0" applyAlignment="1" pivotButton="0" quotePrefix="0" xfId="30">
      <alignment horizontal="left" vertical="center"/>
    </xf>
    <xf numFmtId="164" fontId="106" fillId="2" borderId="0" applyAlignment="1" pivotButton="0" quotePrefix="0" xfId="30">
      <alignment vertical="center"/>
    </xf>
    <xf numFmtId="0" fontId="97" fillId="4" borderId="14" applyAlignment="1" pivotButton="0" quotePrefix="0" xfId="0">
      <alignment horizontal="centerContinuous"/>
    </xf>
    <xf numFmtId="0" fontId="97" fillId="17" borderId="14" applyAlignment="1" pivotButton="0" quotePrefix="0" xfId="0">
      <alignment horizontal="centerContinuous"/>
    </xf>
    <xf numFmtId="0" fontId="97" fillId="4" borderId="14" applyAlignment="1" pivotButton="0" quotePrefix="0" xfId="0">
      <alignment horizontal="center"/>
    </xf>
    <xf numFmtId="0" fontId="162" fillId="2" borderId="0" applyAlignment="1" pivotButton="0" quotePrefix="0" xfId="0">
      <alignment vertical="center"/>
    </xf>
    <xf numFmtId="0" fontId="108" fillId="2" borderId="0" applyAlignment="1" pivotButton="0" quotePrefix="0" xfId="1">
      <alignment horizontal="left" vertical="center"/>
    </xf>
    <xf numFmtId="164" fontId="106" fillId="2" borderId="0" applyAlignment="1" pivotButton="0" quotePrefix="0" xfId="0">
      <alignment vertical="center" wrapText="1"/>
    </xf>
    <xf numFmtId="0" fontId="106" fillId="2" borderId="0" applyAlignment="1" pivotButton="0" quotePrefix="0" xfId="28">
      <alignment horizontal="left" vertical="center"/>
    </xf>
    <xf numFmtId="164" fontId="106" fillId="2" borderId="0" applyAlignment="1" pivotButton="0" quotePrefix="0" xfId="28">
      <alignment vertical="center"/>
    </xf>
    <xf numFmtId="0" fontId="106" fillId="2" borderId="0" applyAlignment="1" pivotButton="0" quotePrefix="0" xfId="49">
      <alignment horizontal="left" vertical="center"/>
    </xf>
    <xf numFmtId="164" fontId="106" fillId="2" borderId="0" applyAlignment="1" pivotButton="0" quotePrefix="0" xfId="49">
      <alignment vertical="center"/>
    </xf>
    <xf numFmtId="0" fontId="106" fillId="2" borderId="0" applyAlignment="1" pivotButton="0" quotePrefix="0" xfId="51">
      <alignment horizontal="left" vertical="center"/>
    </xf>
    <xf numFmtId="164" fontId="106" fillId="2" borderId="0" applyAlignment="1" pivotButton="0" quotePrefix="0" xfId="51">
      <alignment vertical="center"/>
    </xf>
    <xf numFmtId="0" fontId="106" fillId="2" borderId="0" applyAlignment="1" pivotButton="0" quotePrefix="0" xfId="23">
      <alignment horizontal="left" vertical="center"/>
    </xf>
    <xf numFmtId="164" fontId="106" fillId="2" borderId="0" applyAlignment="1" pivotButton="0" quotePrefix="0" xfId="23">
      <alignment vertical="center"/>
    </xf>
    <xf numFmtId="164" fontId="106" fillId="2" borderId="0" pivotButton="0" quotePrefix="0" xfId="27"/>
    <xf numFmtId="0" fontId="106" fillId="2" borderId="0" applyAlignment="1" pivotButton="0" quotePrefix="0" xfId="52">
      <alignment horizontal="left" vertical="center"/>
    </xf>
    <xf numFmtId="0" fontId="106" fillId="2" borderId="0" applyAlignment="1" pivotButton="0" quotePrefix="0" xfId="50">
      <alignment horizontal="left" vertical="center"/>
    </xf>
    <xf numFmtId="164" fontId="106" fillId="2" borderId="0" applyAlignment="1" pivotButton="0" quotePrefix="0" xfId="50">
      <alignment vertical="center"/>
    </xf>
    <xf numFmtId="0" fontId="105" fillId="3" borderId="5" applyAlignment="1" pivotButton="0" quotePrefix="0" xfId="0">
      <alignment horizontal="left"/>
    </xf>
    <xf numFmtId="0" fontId="97" fillId="4" borderId="0" applyAlignment="1" applyProtection="1" pivotButton="0" quotePrefix="0" xfId="5">
      <alignment horizontal="left"/>
      <protection locked="0" hidden="0"/>
    </xf>
    <xf numFmtId="171" fontId="97" fillId="4" borderId="0" applyAlignment="1" pivotButton="0" quotePrefix="0" xfId="5">
      <alignment horizontal="left"/>
    </xf>
    <xf numFmtId="15" fontId="97" fillId="4" borderId="0" applyAlignment="1" pivotButton="0" quotePrefix="0" xfId="5">
      <alignment horizontal="right"/>
    </xf>
    <xf numFmtId="15" fontId="97" fillId="4" borderId="15" applyAlignment="1" pivotButton="0" quotePrefix="0" xfId="5">
      <alignment horizontal="right"/>
    </xf>
    <xf numFmtId="15" fontId="97" fillId="4" borderId="35" applyAlignment="1" pivotButton="0" quotePrefix="0" xfId="5">
      <alignment horizontal="right"/>
    </xf>
    <xf numFmtId="15" fontId="97" fillId="4" borderId="95" applyAlignment="1" pivotButton="0" quotePrefix="0" xfId="5">
      <alignment horizontal="right"/>
    </xf>
    <xf numFmtId="15" fontId="97" fillId="4" borderId="85" applyAlignment="1" pivotButton="0" quotePrefix="0" xfId="5">
      <alignment horizontal="right"/>
    </xf>
    <xf numFmtId="15" fontId="97" fillId="4" borderId="96" applyAlignment="1" pivotButton="0" quotePrefix="0" xfId="5">
      <alignment horizontal="right"/>
    </xf>
    <xf numFmtId="15" fontId="97" fillId="6" borderId="35" applyAlignment="1" pivotButton="0" quotePrefix="0" xfId="5">
      <alignment horizontal="right"/>
    </xf>
    <xf numFmtId="15" fontId="97" fillId="6" borderId="95" applyAlignment="1" pivotButton="0" quotePrefix="0" xfId="5">
      <alignment horizontal="right"/>
    </xf>
    <xf numFmtId="41" fontId="95" fillId="0" borderId="38" pivotButton="0" quotePrefix="0" xfId="1"/>
    <xf numFmtId="41" fontId="95" fillId="0" borderId="40" pivotButton="0" quotePrefix="0" xfId="1"/>
    <xf numFmtId="169" fontId="105" fillId="0" borderId="38" applyAlignment="1" pivotButton="0" quotePrefix="0" xfId="5">
      <alignment horizontal="right" vertical="center"/>
    </xf>
    <xf numFmtId="41" fontId="95" fillId="3" borderId="40" pivotButton="0" quotePrefix="0" xfId="1"/>
    <xf numFmtId="169" fontId="107" fillId="5" borderId="38" applyAlignment="1" pivotButton="0" quotePrefix="0" xfId="5">
      <alignment horizontal="right" vertical="center"/>
    </xf>
    <xf numFmtId="167" fontId="109" fillId="5" borderId="38" applyAlignment="1" pivotButton="0" quotePrefix="0" xfId="5">
      <alignment horizontal="right" vertical="center"/>
    </xf>
    <xf numFmtId="169" fontId="105" fillId="3" borderId="40" applyAlignment="1" pivotButton="0" quotePrefix="0" xfId="5">
      <alignment horizontal="right" vertical="center"/>
    </xf>
    <xf numFmtId="169" fontId="105" fillId="0" borderId="40" applyAlignment="1" pivotButton="0" quotePrefix="0" xfId="5">
      <alignment horizontal="right" vertical="center"/>
    </xf>
    <xf numFmtId="166" fontId="105" fillId="0" borderId="38" applyAlignment="1" pivotButton="0" quotePrefix="0" xfId="5">
      <alignment horizontal="right" vertical="center"/>
    </xf>
    <xf numFmtId="166" fontId="105" fillId="3" borderId="40" applyAlignment="1" pivotButton="0" quotePrefix="0" xfId="5">
      <alignment horizontal="right" vertical="center"/>
    </xf>
    <xf numFmtId="167" fontId="109" fillId="5" borderId="42" applyAlignment="1" pivotButton="0" quotePrefix="0" xfId="5">
      <alignment horizontal="right" vertical="center"/>
    </xf>
    <xf numFmtId="0" fontId="69" fillId="0" borderId="5" pivotButton="0" quotePrefix="0" xfId="3"/>
    <xf numFmtId="166" fontId="69" fillId="0" borderId="5" applyAlignment="1" pivotButton="0" quotePrefix="0" xfId="3">
      <alignment horizontal="right"/>
    </xf>
    <xf numFmtId="49" fontId="107" fillId="5" borderId="3" applyAlignment="1" applyProtection="1" pivotButton="0" quotePrefix="0" xfId="5">
      <alignment horizontal="left" vertical="center"/>
      <protection locked="0" hidden="0"/>
    </xf>
    <xf numFmtId="169" fontId="107" fillId="5" borderId="3" applyAlignment="1" applyProtection="1" pivotButton="0" quotePrefix="0" xfId="5">
      <alignment horizontal="right" vertical="center"/>
      <protection locked="0" hidden="0"/>
    </xf>
    <xf numFmtId="172" fontId="117" fillId="5" borderId="2" pivotButton="0" quotePrefix="0" xfId="8"/>
    <xf numFmtId="172" fontId="117" fillId="5" borderId="9" pivotButton="0" quotePrefix="0" xfId="8"/>
    <xf numFmtId="169" fontId="107" fillId="5" borderId="27" applyAlignment="1" applyProtection="1" pivotButton="0" quotePrefix="0" xfId="5">
      <alignment horizontal="right" vertical="center"/>
      <protection locked="0" hidden="0"/>
    </xf>
    <xf numFmtId="0" fontId="114" fillId="0" borderId="0" applyAlignment="1" pivotButton="0" quotePrefix="0" xfId="32">
      <alignment horizontal="left" vertical="top" indent="1"/>
    </xf>
    <xf numFmtId="0" fontId="111" fillId="0" borderId="0" applyAlignment="1" pivotButton="0" quotePrefix="0" xfId="1">
      <alignment horizontal="left" indent="1"/>
    </xf>
    <xf numFmtId="0" fontId="111" fillId="3" borderId="4" applyAlignment="1" pivotButton="0" quotePrefix="0" xfId="1">
      <alignment horizontal="left" indent="1"/>
    </xf>
    <xf numFmtId="0" fontId="111" fillId="3" borderId="4" applyAlignment="1" pivotButton="0" quotePrefix="0" xfId="1">
      <alignment horizontal="left"/>
    </xf>
    <xf numFmtId="41" fontId="111" fillId="3" borderId="4" pivotButton="0" quotePrefix="0" xfId="1"/>
    <xf numFmtId="0" fontId="175" fillId="0" borderId="0" applyAlignment="1" pivotButton="0" quotePrefix="0" xfId="0">
      <alignment horizontal="left"/>
    </xf>
    <xf numFmtId="0" fontId="175" fillId="0" borderId="0" pivotButton="0" quotePrefix="0" xfId="0"/>
    <xf numFmtId="0" fontId="173" fillId="17" borderId="65" applyAlignment="1" pivotButton="0" quotePrefix="0" xfId="3">
      <alignment horizontal="center" vertical="center"/>
    </xf>
    <xf numFmtId="0" fontId="69" fillId="3" borderId="0" applyAlignment="1" pivotButton="0" quotePrefix="0" xfId="1">
      <alignment horizontal="left" indent="1"/>
    </xf>
    <xf numFmtId="176" fontId="107" fillId="3" borderId="0" applyAlignment="1" pivotButton="0" quotePrefix="0" xfId="3">
      <alignment horizontal="center" wrapText="1"/>
    </xf>
    <xf numFmtId="0" fontId="69" fillId="0" borderId="0" applyAlignment="1" pivotButton="0" quotePrefix="0" xfId="3">
      <alignment horizontal="left" indent="3"/>
    </xf>
    <xf numFmtId="0" fontId="69" fillId="3" borderId="4" applyAlignment="1" pivotButton="0" quotePrefix="0" xfId="3">
      <alignment horizontal="left" indent="3"/>
    </xf>
    <xf numFmtId="41" fontId="56" fillId="0" borderId="4" pivotButton="0" quotePrefix="0" xfId="1"/>
    <xf numFmtId="0" fontId="175" fillId="2" borderId="0" applyAlignment="1" pivotButton="0" quotePrefix="0" xfId="0">
      <alignment horizontal="left"/>
    </xf>
    <xf numFmtId="0" fontId="174" fillId="0" borderId="0" applyAlignment="1" pivotButton="0" quotePrefix="0" xfId="0">
      <alignment horizontal="left" indent="2"/>
    </xf>
    <xf numFmtId="0" fontId="174" fillId="0" borderId="0" applyAlignment="1" pivotButton="0" quotePrefix="0" xfId="0">
      <alignment horizontal="left"/>
    </xf>
    <xf numFmtId="166" fontId="175" fillId="0" borderId="0" applyAlignment="1" pivotButton="0" quotePrefix="0" xfId="0">
      <alignment horizontal="right"/>
    </xf>
    <xf numFmtId="166" fontId="175" fillId="0" borderId="10" applyAlignment="1" pivotButton="0" quotePrefix="0" xfId="0">
      <alignment horizontal="right"/>
    </xf>
    <xf numFmtId="166" fontId="175" fillId="0" borderId="6" applyAlignment="1" pivotButton="0" quotePrefix="0" xfId="0">
      <alignment horizontal="right"/>
    </xf>
    <xf numFmtId="164" fontId="174" fillId="0" borderId="0" pivotButton="0" quotePrefix="0" xfId="0"/>
    <xf numFmtId="0" fontId="97" fillId="6" borderId="55" applyAlignment="1" pivotButton="0" quotePrefix="0" xfId="5">
      <alignment horizontal="centerContinuous"/>
    </xf>
    <xf numFmtId="191" fontId="0" fillId="0" borderId="0" pivotButton="0" quotePrefix="0" xfId="0"/>
    <xf numFmtId="0" fontId="98" fillId="3" borderId="0" applyAlignment="1" pivotButton="0" quotePrefix="0" xfId="3">
      <alignment horizontal="left" indent="2"/>
    </xf>
    <xf numFmtId="0" fontId="55" fillId="0" borderId="0" applyAlignment="1" pivotButton="0" quotePrefix="0" xfId="0">
      <alignment horizontal="left" indent="1"/>
    </xf>
    <xf numFmtId="166" fontId="55" fillId="0" borderId="0" applyAlignment="1" pivotButton="0" quotePrefix="0" xfId="0">
      <alignment horizontal="right"/>
    </xf>
    <xf numFmtId="0" fontId="70" fillId="5" borderId="0" pivotButton="0" quotePrefix="0" xfId="0"/>
    <xf numFmtId="0" fontId="70" fillId="3" borderId="4" pivotButton="0" quotePrefix="0" xfId="0"/>
    <xf numFmtId="41" fontId="70" fillId="0" borderId="0" pivotButton="0" quotePrefix="0" xfId="0"/>
    <xf numFmtId="0" fontId="70" fillId="3" borderId="0" pivotButton="0" quotePrefix="0" xfId="0"/>
    <xf numFmtId="0" fontId="118" fillId="3" borderId="0" pivotButton="0" quotePrefix="0" xfId="0"/>
    <xf numFmtId="0" fontId="70" fillId="5" borderId="4" pivotButton="0" quotePrefix="0" xfId="0"/>
    <xf numFmtId="166" fontId="55" fillId="0" borderId="6" applyAlignment="1" pivotButton="0" quotePrefix="0" xfId="0">
      <alignment horizontal="right"/>
    </xf>
    <xf numFmtId="0" fontId="70" fillId="0" borderId="6" pivotButton="0" quotePrefix="0" xfId="0"/>
    <xf numFmtId="166" fontId="55" fillId="0" borderId="10" applyAlignment="1" pivotButton="0" quotePrefix="0" xfId="0">
      <alignment horizontal="right"/>
    </xf>
    <xf numFmtId="0" fontId="70" fillId="0" borderId="10" pivotButton="0" quotePrefix="0" xfId="0"/>
    <xf numFmtId="0" fontId="70" fillId="5" borderId="10" pivotButton="0" quotePrefix="0" xfId="0"/>
    <xf numFmtId="0" fontId="70" fillId="5" borderId="11" pivotButton="0" quotePrefix="0" xfId="0"/>
    <xf numFmtId="0" fontId="57" fillId="0" borderId="0" pivotButton="0" quotePrefix="0" xfId="32"/>
    <xf numFmtId="168" fontId="80" fillId="0" borderId="0" pivotButton="0" quotePrefix="0" xfId="32"/>
    <xf numFmtId="0" fontId="55" fillId="0" borderId="0" applyAlignment="1" pivotButton="0" quotePrefix="0" xfId="32">
      <alignment vertical="top"/>
    </xf>
    <xf numFmtId="0" fontId="55" fillId="0" borderId="0" pivotButton="0" quotePrefix="0" xfId="32"/>
    <xf numFmtId="0" fontId="54" fillId="0" borderId="0" pivotButton="0" quotePrefix="0" xfId="0"/>
    <xf numFmtId="0" fontId="54" fillId="0" borderId="0" applyAlignment="1" pivotButton="0" quotePrefix="0" xfId="0">
      <alignment horizontal="left" indent="1"/>
    </xf>
    <xf numFmtId="166" fontId="54" fillId="0" borderId="0" applyAlignment="1" pivotButton="0" quotePrefix="0" xfId="0">
      <alignment horizontal="right"/>
    </xf>
    <xf numFmtId="166" fontId="54" fillId="3" borderId="4" applyAlignment="1" pivotButton="0" quotePrefix="0" xfId="0">
      <alignment horizontal="right"/>
    </xf>
    <xf numFmtId="166" fontId="54" fillId="5" borderId="0" applyAlignment="1" pivotButton="0" quotePrefix="0" xfId="0">
      <alignment horizontal="right"/>
    </xf>
    <xf numFmtId="0" fontId="70" fillId="0" borderId="0" applyAlignment="1" pivotButton="0" quotePrefix="0" xfId="0">
      <alignment horizontal="left" indent="2"/>
    </xf>
    <xf numFmtId="0" fontId="70" fillId="3" borderId="4" applyAlignment="1" pivotButton="0" quotePrefix="0" xfId="0">
      <alignment horizontal="left" indent="2"/>
    </xf>
    <xf numFmtId="0" fontId="70" fillId="0" borderId="0" applyAlignment="1" pivotButton="0" quotePrefix="0" xfId="0">
      <alignment horizontal="left" indent="3"/>
    </xf>
    <xf numFmtId="0" fontId="70" fillId="3" borderId="4" applyAlignment="1" pivotButton="0" quotePrefix="0" xfId="0">
      <alignment horizontal="left" indent="3"/>
    </xf>
    <xf numFmtId="0" fontId="54" fillId="0" borderId="0" applyAlignment="1" pivotButton="0" quotePrefix="0" xfId="0">
      <alignment horizontal="left" indent="2"/>
    </xf>
    <xf numFmtId="0" fontId="54" fillId="3" borderId="4" applyAlignment="1" pivotButton="0" quotePrefix="0" xfId="0">
      <alignment horizontal="left" indent="2"/>
    </xf>
    <xf numFmtId="166" fontId="54" fillId="0" borderId="6" applyAlignment="1" pivotButton="0" quotePrefix="0" xfId="0">
      <alignment horizontal="right"/>
    </xf>
    <xf numFmtId="166" fontId="54" fillId="0" borderId="10" applyAlignment="1" pivotButton="0" quotePrefix="0" xfId="0">
      <alignment horizontal="right"/>
    </xf>
    <xf numFmtId="166" fontId="54" fillId="5" borderId="10" applyAlignment="1" pivotButton="0" quotePrefix="0" xfId="0">
      <alignment horizontal="right"/>
    </xf>
    <xf numFmtId="166" fontId="54" fillId="3" borderId="7" applyAlignment="1" pivotButton="0" quotePrefix="0" xfId="0">
      <alignment horizontal="right"/>
    </xf>
    <xf numFmtId="166" fontId="54" fillId="3" borderId="11" applyAlignment="1" pivotButton="0" quotePrefix="0" xfId="0">
      <alignment horizontal="right"/>
    </xf>
    <xf numFmtId="0" fontId="54" fillId="3" borderId="4" applyAlignment="1" pivotButton="0" quotePrefix="0" xfId="0">
      <alignment horizontal="left" indent="1"/>
    </xf>
    <xf numFmtId="0" fontId="53" fillId="2" borderId="0" pivotButton="0" quotePrefix="0" xfId="11"/>
    <xf numFmtId="0" fontId="53" fillId="2" borderId="0" pivotButton="0" quotePrefix="0" xfId="6"/>
    <xf numFmtId="15" fontId="106" fillId="4" borderId="0" applyAlignment="1" pivotButton="0" quotePrefix="0" xfId="27">
      <alignment horizontal="right" vertical="center"/>
    </xf>
    <xf numFmtId="15" fontId="106" fillId="4" borderId="12" applyAlignment="1" pivotButton="0" quotePrefix="0" xfId="27">
      <alignment horizontal="right" vertical="center"/>
    </xf>
    <xf numFmtId="15" fontId="106" fillId="4" borderId="13" applyAlignment="1" pivotButton="0" quotePrefix="0" xfId="27">
      <alignment horizontal="centerContinuous" vertical="center"/>
    </xf>
    <xf numFmtId="15" fontId="106" fillId="4" borderId="33" applyAlignment="1" pivotButton="0" quotePrefix="0" xfId="27">
      <alignment horizontal="right" vertical="center"/>
    </xf>
    <xf numFmtId="15" fontId="106" fillId="4" borderId="15" applyAlignment="1" pivotButton="0" quotePrefix="0" xfId="27">
      <alignment horizontal="right" vertical="center"/>
    </xf>
    <xf numFmtId="0" fontId="53" fillId="7" borderId="0" pivotButton="0" quotePrefix="0" xfId="5"/>
    <xf numFmtId="0" fontId="105" fillId="0" borderId="5" applyAlignment="1" pivotButton="0" quotePrefix="0" xfId="27">
      <alignment horizontal="left" vertical="center"/>
    </xf>
    <xf numFmtId="164" fontId="105" fillId="0" borderId="5" applyAlignment="1" pivotButton="0" quotePrefix="0" xfId="27">
      <alignment vertical="center"/>
    </xf>
    <xf numFmtId="164" fontId="105" fillId="0" borderId="78" applyAlignment="1" pivotButton="0" quotePrefix="0" xfId="27">
      <alignment vertical="center"/>
    </xf>
    <xf numFmtId="164" fontId="106" fillId="2" borderId="1" applyAlignment="1" pivotButton="0" quotePrefix="0" xfId="27">
      <alignment vertical="center"/>
    </xf>
    <xf numFmtId="0" fontId="106" fillId="2" borderId="1" applyAlignment="1" pivotButton="0" quotePrefix="0" xfId="27">
      <alignment horizontal="left" vertical="center"/>
    </xf>
    <xf numFmtId="0" fontId="53" fillId="2" borderId="0" applyAlignment="1" pivotButton="0" quotePrefix="0" xfId="53">
      <alignment horizontal="left"/>
    </xf>
    <xf numFmtId="0" fontId="101" fillId="0" borderId="0" applyAlignment="1" pivotButton="0" quotePrefix="0" xfId="53">
      <alignment horizontal="left"/>
    </xf>
    <xf numFmtId="0" fontId="53" fillId="0" borderId="0" pivotButton="0" quotePrefix="0" xfId="53"/>
    <xf numFmtId="0" fontId="102" fillId="0" borderId="0" applyAlignment="1" pivotButton="0" quotePrefix="0" xfId="53">
      <alignment horizontal="left"/>
    </xf>
    <xf numFmtId="0" fontId="103" fillId="0" borderId="0" applyAlignment="1" pivotButton="0" quotePrefix="0" xfId="53">
      <alignment horizontal="left"/>
    </xf>
    <xf numFmtId="0" fontId="104" fillId="0" borderId="0" applyAlignment="1" pivotButton="0" quotePrefix="0" xfId="53">
      <alignment horizontal="left"/>
    </xf>
    <xf numFmtId="0" fontId="106" fillId="2" borderId="1" applyAlignment="1" pivotButton="0" quotePrefix="0" xfId="53">
      <alignment horizontal="left" vertical="center"/>
    </xf>
    <xf numFmtId="164" fontId="106" fillId="2" borderId="1" applyAlignment="1" pivotButton="0" quotePrefix="0" xfId="53">
      <alignment vertical="center"/>
    </xf>
    <xf numFmtId="0" fontId="53" fillId="0" borderId="0" applyAlignment="1" pivotButton="0" quotePrefix="0" xfId="53">
      <alignment horizontal="left"/>
    </xf>
    <xf numFmtId="0" fontId="106" fillId="4" borderId="0" applyAlignment="1" pivotButton="0" quotePrefix="0" xfId="53">
      <alignment horizontal="left"/>
    </xf>
    <xf numFmtId="17" fontId="106" fillId="4" borderId="0" applyAlignment="1" pivotButton="0" quotePrefix="0" xfId="53">
      <alignment horizontal="right"/>
    </xf>
    <xf numFmtId="17" fontId="106" fillId="4" borderId="12" applyAlignment="1" pivotButton="0" quotePrefix="0" xfId="53">
      <alignment horizontal="right"/>
    </xf>
    <xf numFmtId="17" fontId="106" fillId="4" borderId="15" applyAlignment="1" pivotButton="0" quotePrefix="0" xfId="53">
      <alignment horizontal="right"/>
    </xf>
    <xf numFmtId="17" fontId="106" fillId="4" borderId="33" applyAlignment="1" pivotButton="0" quotePrefix="0" xfId="53">
      <alignment horizontal="right" wrapText="1"/>
    </xf>
    <xf numFmtId="0" fontId="105" fillId="3" borderId="0" applyAlignment="1" pivotButton="0" quotePrefix="0" xfId="53">
      <alignment horizontal="left" indent="2"/>
    </xf>
    <xf numFmtId="164" fontId="105" fillId="3" borderId="0" pivotButton="0" quotePrefix="0" xfId="53"/>
    <xf numFmtId="164" fontId="105" fillId="3" borderId="10" pivotButton="0" quotePrefix="0" xfId="53"/>
    <xf numFmtId="164" fontId="105" fillId="3" borderId="6" pivotButton="0" quotePrefix="0" xfId="53"/>
    <xf numFmtId="0" fontId="105" fillId="3" borderId="4" applyAlignment="1" pivotButton="0" quotePrefix="0" xfId="53">
      <alignment horizontal="left" indent="2"/>
    </xf>
    <xf numFmtId="164" fontId="105" fillId="3" borderId="4" pivotButton="0" quotePrefix="0" xfId="53"/>
    <xf numFmtId="164" fontId="105" fillId="3" borderId="11" pivotButton="0" quotePrefix="0" xfId="53"/>
    <xf numFmtId="164" fontId="105" fillId="3" borderId="7" pivotButton="0" quotePrefix="0" xfId="53"/>
    <xf numFmtId="0" fontId="105" fillId="3" borderId="0" applyAlignment="1" pivotButton="0" quotePrefix="0" xfId="53">
      <alignment horizontal="left" indent="1"/>
    </xf>
    <xf numFmtId="0" fontId="98" fillId="2" borderId="0" applyAlignment="1" pivotButton="0" quotePrefix="0" xfId="53">
      <alignment horizontal="left"/>
    </xf>
    <xf numFmtId="0" fontId="98" fillId="0" borderId="0" applyAlignment="1" pivotButton="0" quotePrefix="0" xfId="53">
      <alignment horizontal="left"/>
    </xf>
    <xf numFmtId="0" fontId="100" fillId="2" borderId="0" applyAlignment="1" pivotButton="0" quotePrefix="0" xfId="53">
      <alignment horizontal="left"/>
    </xf>
    <xf numFmtId="0" fontId="100" fillId="0" borderId="0" applyAlignment="1" pivotButton="0" quotePrefix="0" xfId="53">
      <alignment horizontal="left"/>
    </xf>
    <xf numFmtId="0" fontId="105" fillId="3" borderId="4" applyAlignment="1" pivotButton="0" quotePrefix="0" xfId="53">
      <alignment horizontal="left" indent="1"/>
    </xf>
    <xf numFmtId="0" fontId="105" fillId="3" borderId="0" applyAlignment="1" pivotButton="0" quotePrefix="0" xfId="53">
      <alignment horizontal="left"/>
    </xf>
    <xf numFmtId="0" fontId="105" fillId="3" borderId="0" applyAlignment="1" pivotButton="0" quotePrefix="0" xfId="53">
      <alignment horizontal="left" indent="3"/>
    </xf>
    <xf numFmtId="0" fontId="105" fillId="3" borderId="4" applyAlignment="1" pivotButton="0" quotePrefix="0" xfId="53">
      <alignment horizontal="left" indent="3"/>
    </xf>
    <xf numFmtId="0" fontId="105" fillId="3" borderId="4" applyAlignment="1" pivotButton="0" quotePrefix="0" xfId="53">
      <alignment horizontal="left"/>
    </xf>
    <xf numFmtId="0" fontId="107" fillId="5" borderId="2" applyAlignment="1" pivotButton="0" quotePrefix="0" xfId="53">
      <alignment horizontal="left"/>
    </xf>
    <xf numFmtId="164" fontId="107" fillId="5" borderId="2" pivotButton="0" quotePrefix="0" xfId="53"/>
    <xf numFmtId="164" fontId="107" fillId="5" borderId="9" pivotButton="0" quotePrefix="0" xfId="53"/>
    <xf numFmtId="164" fontId="107" fillId="5" borderId="8" pivotButton="0" quotePrefix="0" xfId="53"/>
    <xf numFmtId="17" fontId="106" fillId="4" borderId="63" applyAlignment="1" pivotButton="0" quotePrefix="0" xfId="53">
      <alignment horizontal="centerContinuous"/>
    </xf>
    <xf numFmtId="17" fontId="106" fillId="4" borderId="111" applyAlignment="1" pivotButton="0" quotePrefix="0" xfId="53">
      <alignment horizontal="centerContinuous"/>
    </xf>
    <xf numFmtId="166" fontId="100" fillId="0" borderId="10" applyAlignment="1" pivotButton="0" quotePrefix="0" xfId="0">
      <alignment horizontal="right"/>
    </xf>
    <xf numFmtId="166" fontId="100" fillId="0" borderId="6" applyAlignment="1" pivotButton="0" quotePrefix="0" xfId="0">
      <alignment horizontal="right"/>
    </xf>
    <xf numFmtId="164" fontId="109" fillId="0" borderId="0" pivotButton="0" quotePrefix="0" xfId="0"/>
    <xf numFmtId="0" fontId="69" fillId="0" borderId="1" applyAlignment="1" pivotButton="0" quotePrefix="0" xfId="0">
      <alignment horizontal="left"/>
    </xf>
    <xf numFmtId="166" fontId="54" fillId="5" borderId="4" applyAlignment="1" pivotButton="0" quotePrefix="0" xfId="0">
      <alignment horizontal="right"/>
    </xf>
    <xf numFmtId="166" fontId="54" fillId="5" borderId="11" applyAlignment="1" pivotButton="0" quotePrefix="0" xfId="0">
      <alignment horizontal="right"/>
    </xf>
    <xf numFmtId="166" fontId="52" fillId="0" borderId="0" applyAlignment="1" pivotButton="0" quotePrefix="0" xfId="0">
      <alignment horizontal="right"/>
    </xf>
    <xf numFmtId="192" fontId="127" fillId="0" borderId="72" pivotButton="0" quotePrefix="0" xfId="0"/>
    <xf numFmtId="41" fontId="98" fillId="0" borderId="72" pivotButton="0" quotePrefix="0" xfId="0"/>
    <xf numFmtId="0" fontId="51" fillId="0" borderId="0" pivotButton="0" quotePrefix="0" xfId="0"/>
    <xf numFmtId="0" fontId="51" fillId="0" borderId="0" applyAlignment="1" pivotButton="0" quotePrefix="0" xfId="0">
      <alignment horizontal="left" indent="1"/>
    </xf>
    <xf numFmtId="166" fontId="51" fillId="0" borderId="0" applyAlignment="1" pivotButton="0" quotePrefix="0" xfId="0">
      <alignment horizontal="right"/>
    </xf>
    <xf numFmtId="41" fontId="69" fillId="5" borderId="7" applyAlignment="1" pivotButton="0" quotePrefix="0" xfId="0">
      <alignment horizontal="right"/>
    </xf>
    <xf numFmtId="0" fontId="51" fillId="2" borderId="0" pivotButton="0" quotePrefix="0" xfId="6"/>
    <xf numFmtId="0" fontId="51" fillId="7" borderId="0" pivotButton="0" quotePrefix="0" xfId="5"/>
    <xf numFmtId="0" fontId="51" fillId="5" borderId="0" pivotButton="0" quotePrefix="0" xfId="0"/>
    <xf numFmtId="0" fontId="51" fillId="3" borderId="0" applyAlignment="1" pivotButton="0" quotePrefix="0" xfId="0">
      <alignment horizontal="left" indent="1"/>
    </xf>
    <xf numFmtId="166" fontId="51" fillId="3" borderId="0" applyAlignment="1" pivotButton="0" quotePrefix="0" xfId="0">
      <alignment horizontal="right"/>
    </xf>
    <xf numFmtId="166" fontId="51" fillId="0" borderId="6" applyAlignment="1" pivotButton="0" quotePrefix="0" xfId="0">
      <alignment horizontal="right"/>
    </xf>
    <xf numFmtId="166" fontId="51" fillId="3" borderId="6" applyAlignment="1" pivotButton="0" quotePrefix="0" xfId="0">
      <alignment horizontal="right"/>
    </xf>
    <xf numFmtId="166" fontId="51" fillId="0" borderId="10" applyAlignment="1" pivotButton="0" quotePrefix="0" xfId="0">
      <alignment horizontal="right"/>
    </xf>
    <xf numFmtId="166" fontId="51" fillId="3" borderId="10" applyAlignment="1" pivotButton="0" quotePrefix="0" xfId="0">
      <alignment horizontal="right"/>
    </xf>
    <xf numFmtId="0" fontId="51" fillId="5" borderId="10" pivotButton="0" quotePrefix="0" xfId="0"/>
    <xf numFmtId="0" fontId="50" fillId="2" borderId="6" pivotButton="0" quotePrefix="0" xfId="54"/>
    <xf numFmtId="0" fontId="101" fillId="0" borderId="0" applyAlignment="1" pivotButton="0" quotePrefix="0" xfId="54">
      <alignment horizontal="left"/>
    </xf>
    <xf numFmtId="0" fontId="102" fillId="0" borderId="0" applyAlignment="1" pivotButton="0" quotePrefix="0" xfId="54">
      <alignment horizontal="left"/>
    </xf>
    <xf numFmtId="0" fontId="103" fillId="0" borderId="0" applyAlignment="1" pivotButton="0" quotePrefix="0" xfId="54">
      <alignment horizontal="left"/>
    </xf>
    <xf numFmtId="0" fontId="50" fillId="2" borderId="0" pivotButton="0" quotePrefix="0" xfId="2"/>
    <xf numFmtId="0" fontId="104" fillId="0" borderId="0" applyAlignment="1" pivotButton="0" quotePrefix="0" xfId="54">
      <alignment horizontal="left"/>
    </xf>
    <xf numFmtId="0" fontId="150" fillId="0" borderId="0" applyAlignment="1" pivotButton="0" quotePrefix="0" xfId="8">
      <alignment horizontal="left"/>
    </xf>
    <xf numFmtId="0" fontId="50" fillId="0" borderId="0" pivotButton="0" quotePrefix="0" xfId="5"/>
    <xf numFmtId="166" fontId="114" fillId="0" borderId="0" applyAlignment="1" pivotButton="0" quotePrefix="0" xfId="8">
      <alignment horizontal="right"/>
    </xf>
    <xf numFmtId="0" fontId="178" fillId="2" borderId="24" applyAlignment="1" pivotButton="0" quotePrefix="0" xfId="0">
      <alignment vertical="center"/>
    </xf>
    <xf numFmtId="0" fontId="178" fillId="2" borderId="5" applyAlignment="1" pivotButton="0" quotePrefix="0" xfId="0">
      <alignment vertical="center"/>
    </xf>
    <xf numFmtId="0" fontId="178" fillId="2" borderId="16" applyAlignment="1" pivotButton="0" quotePrefix="0" xfId="0">
      <alignment vertical="center"/>
    </xf>
    <xf numFmtId="0" fontId="50" fillId="0" borderId="0" pivotButton="0" quotePrefix="0" xfId="0"/>
    <xf numFmtId="0" fontId="97" fillId="2" borderId="0" pivotButton="0" quotePrefix="0" xfId="2"/>
    <xf numFmtId="0" fontId="97" fillId="0" borderId="0" pivotButton="0" quotePrefix="0" xfId="5"/>
    <xf numFmtId="14" fontId="50" fillId="0" borderId="0" applyAlignment="1" pivotButton="0" quotePrefix="0" xfId="0">
      <alignment horizontal="left"/>
    </xf>
    <xf numFmtId="0" fontId="50" fillId="0" borderId="0" applyAlignment="1" pivotButton="0" quotePrefix="0" xfId="0">
      <alignment horizontal="left"/>
    </xf>
    <xf numFmtId="166" fontId="50" fillId="0" borderId="0" applyAlignment="1" pivotButton="0" quotePrefix="0" xfId="0">
      <alignment horizontal="right"/>
    </xf>
    <xf numFmtId="0" fontId="50" fillId="0" borderId="2" applyAlignment="1" pivotButton="0" quotePrefix="0" xfId="0">
      <alignment horizontal="left"/>
    </xf>
    <xf numFmtId="166" fontId="50" fillId="0" borderId="6" applyAlignment="1" pivotButton="0" quotePrefix="0" xfId="0">
      <alignment horizontal="right"/>
    </xf>
    <xf numFmtId="166" fontId="50" fillId="0" borderId="10" applyAlignment="1" pivotButton="0" quotePrefix="0" xfId="0">
      <alignment horizontal="right"/>
    </xf>
    <xf numFmtId="14" fontId="50" fillId="0" borderId="57" applyAlignment="1" pivotButton="0" quotePrefix="0" xfId="0">
      <alignment horizontal="left"/>
    </xf>
    <xf numFmtId="0" fontId="50" fillId="0" borderId="57" applyAlignment="1" pivotButton="0" quotePrefix="0" xfId="0">
      <alignment horizontal="left"/>
    </xf>
    <xf numFmtId="166" fontId="50" fillId="0" borderId="57" applyAlignment="1" pivotButton="0" quotePrefix="0" xfId="0">
      <alignment horizontal="right"/>
    </xf>
    <xf numFmtId="0" fontId="50" fillId="0" borderId="53" applyAlignment="1" pivotButton="0" quotePrefix="0" xfId="0">
      <alignment horizontal="left"/>
    </xf>
    <xf numFmtId="166" fontId="50" fillId="0" borderId="53" applyAlignment="1" pivotButton="0" quotePrefix="0" xfId="0">
      <alignment horizontal="right"/>
    </xf>
    <xf numFmtId="166" fontId="50" fillId="0" borderId="2" applyAlignment="1" pivotButton="0" quotePrefix="0" xfId="0">
      <alignment horizontal="right"/>
    </xf>
    <xf numFmtId="0" fontId="50" fillId="0" borderId="57" pivotButton="0" quotePrefix="0" xfId="0"/>
    <xf numFmtId="0" fontId="50" fillId="0" borderId="53" pivotButton="0" quotePrefix="0" xfId="0"/>
    <xf numFmtId="0" fontId="50" fillId="0" borderId="2" pivotButton="0" quotePrefix="0" xfId="0"/>
    <xf numFmtId="0" fontId="50" fillId="0" borderId="0" applyAlignment="1" pivotButton="0" quotePrefix="0" xfId="0">
      <alignment horizontal="left" indent="1"/>
    </xf>
    <xf numFmtId="167" fontId="100" fillId="0" borderId="6" applyAlignment="1" pivotButton="0" quotePrefix="0" xfId="0">
      <alignment horizontal="right"/>
    </xf>
    <xf numFmtId="167" fontId="100" fillId="0" borderId="10" applyAlignment="1" pivotButton="0" quotePrefix="0" xfId="0">
      <alignment horizontal="right"/>
    </xf>
    <xf numFmtId="166" fontId="50" fillId="0" borderId="112" applyAlignment="1" pivotButton="0" quotePrefix="0" xfId="0">
      <alignment horizontal="right"/>
    </xf>
    <xf numFmtId="166" fontId="50" fillId="0" borderId="72" applyAlignment="1" pivotButton="0" quotePrefix="0" xfId="0">
      <alignment horizontal="right"/>
    </xf>
    <xf numFmtId="0" fontId="49" fillId="0" borderId="0" pivotButton="0" quotePrefix="0" xfId="0"/>
    <xf numFmtId="41" fontId="49" fillId="0" borderId="0" applyAlignment="1" pivotButton="0" quotePrefix="0" xfId="0">
      <alignment horizontal="right"/>
    </xf>
    <xf numFmtId="41" fontId="49" fillId="0" borderId="10" applyAlignment="1" pivotButton="0" quotePrefix="0" xfId="0">
      <alignment horizontal="right"/>
    </xf>
    <xf numFmtId="41" fontId="49" fillId="0" borderId="6" applyAlignment="1" pivotButton="0" quotePrefix="0" xfId="0">
      <alignment horizontal="right"/>
    </xf>
    <xf numFmtId="0" fontId="49" fillId="0" borderId="0" applyAlignment="1" pivotButton="0" quotePrefix="0" xfId="0">
      <alignment horizontal="left" indent="2"/>
    </xf>
    <xf numFmtId="0" fontId="49" fillId="0" borderId="4" applyAlignment="1" pivotButton="0" quotePrefix="0" xfId="0">
      <alignment horizontal="left" indent="2"/>
    </xf>
    <xf numFmtId="0" fontId="49" fillId="0" borderId="4" pivotButton="0" quotePrefix="0" xfId="0"/>
    <xf numFmtId="41" fontId="49" fillId="0" borderId="4" applyAlignment="1" pivotButton="0" quotePrefix="0" xfId="0">
      <alignment horizontal="right"/>
    </xf>
    <xf numFmtId="41" fontId="49" fillId="0" borderId="11" applyAlignment="1" pivotButton="0" quotePrefix="0" xfId="0">
      <alignment horizontal="right"/>
    </xf>
    <xf numFmtId="41" fontId="49" fillId="0" borderId="7" applyAlignment="1" pivotButton="0" quotePrefix="0" xfId="0">
      <alignment horizontal="right"/>
    </xf>
    <xf numFmtId="0" fontId="49" fillId="0" borderId="0" applyAlignment="1" pivotButton="0" quotePrefix="0" xfId="0">
      <alignment horizontal="left" indent="1"/>
    </xf>
    <xf numFmtId="0" fontId="49" fillId="2" borderId="0" applyAlignment="1" pivotButton="0" quotePrefix="0" xfId="0">
      <alignment horizontal="left"/>
    </xf>
    <xf numFmtId="0" fontId="49" fillId="0" borderId="0" applyAlignment="1" pivotButton="0" quotePrefix="0" xfId="0">
      <alignment horizontal="left"/>
    </xf>
    <xf numFmtId="166" fontId="69" fillId="5" borderId="0" applyAlignment="1" pivotButton="0" quotePrefix="0" xfId="1">
      <alignment horizontal="right"/>
    </xf>
    <xf numFmtId="166" fontId="69" fillId="5" borderId="69" applyAlignment="1" pivotButton="0" quotePrefix="0" xfId="1">
      <alignment horizontal="right"/>
    </xf>
    <xf numFmtId="166" fontId="69" fillId="5" borderId="37" applyAlignment="1" pivotButton="0" quotePrefix="0" xfId="1">
      <alignment horizontal="right"/>
    </xf>
    <xf numFmtId="166" fontId="69" fillId="5" borderId="4" applyAlignment="1" pivotButton="0" quotePrefix="0" xfId="1">
      <alignment horizontal="right"/>
    </xf>
    <xf numFmtId="166" fontId="69" fillId="5" borderId="70" applyAlignment="1" pivotButton="0" quotePrefix="0" xfId="1">
      <alignment horizontal="right"/>
    </xf>
    <xf numFmtId="166" fontId="69" fillId="5" borderId="39" applyAlignment="1" pivotButton="0" quotePrefix="0" xfId="1">
      <alignment horizontal="right"/>
    </xf>
    <xf numFmtId="165" fontId="109" fillId="0" borderId="0" pivotButton="0" quotePrefix="0" xfId="38"/>
    <xf numFmtId="165" fontId="109" fillId="0" borderId="10" pivotButton="0" quotePrefix="0" xfId="38"/>
    <xf numFmtId="165" fontId="109" fillId="0" borderId="6" pivotButton="0" quotePrefix="0" xfId="38"/>
    <xf numFmtId="165" fontId="109" fillId="0" borderId="4" pivotButton="0" quotePrefix="0" xfId="38"/>
    <xf numFmtId="165" fontId="109" fillId="0" borderId="11" pivotButton="0" quotePrefix="0" xfId="38"/>
    <xf numFmtId="165" fontId="109" fillId="0" borderId="7" pivotButton="0" quotePrefix="0" xfId="38"/>
    <xf numFmtId="165" fontId="113" fillId="0" borderId="0" applyAlignment="1" pivotButton="0" quotePrefix="0" xfId="36">
      <alignment horizontal="right"/>
    </xf>
    <xf numFmtId="165" fontId="113" fillId="0" borderId="10" applyAlignment="1" pivotButton="0" quotePrefix="0" xfId="36">
      <alignment horizontal="right"/>
    </xf>
    <xf numFmtId="165" fontId="113" fillId="0" borderId="6" applyAlignment="1" pivotButton="0" quotePrefix="0" xfId="36">
      <alignment horizontal="right"/>
    </xf>
    <xf numFmtId="165" fontId="110" fillId="5" borderId="3" applyAlignment="1" pivotButton="0" quotePrefix="0" xfId="36">
      <alignment horizontal="right" vertical="center"/>
    </xf>
    <xf numFmtId="165" fontId="110" fillId="5" borderId="27" applyAlignment="1" pivotButton="0" quotePrefix="0" xfId="36">
      <alignment horizontal="right" vertical="center"/>
    </xf>
    <xf numFmtId="165" fontId="110" fillId="5" borderId="49" applyAlignment="1" pivotButton="0" quotePrefix="0" xfId="36">
      <alignment horizontal="right" vertical="center"/>
    </xf>
    <xf numFmtId="0" fontId="126" fillId="2" borderId="0" applyAlignment="1" pivotButton="0" quotePrefix="0" xfId="37">
      <alignment vertical="center"/>
    </xf>
    <xf numFmtId="0" fontId="126" fillId="2" borderId="6" applyAlignment="1" pivotButton="0" quotePrefix="0" xfId="37">
      <alignment vertical="center"/>
    </xf>
    <xf numFmtId="167" fontId="113" fillId="0" borderId="0" applyAlignment="1" pivotButton="0" quotePrefix="0" xfId="37">
      <alignment horizontal="right"/>
    </xf>
    <xf numFmtId="0" fontId="107" fillId="5" borderId="2" applyAlignment="1" pivotButton="0" quotePrefix="0" xfId="37">
      <alignment vertical="center"/>
    </xf>
    <xf numFmtId="0" fontId="172" fillId="17" borderId="0" applyAlignment="1" pivotButton="0" quotePrefix="0" xfId="36">
      <alignment horizontal="centerContinuous"/>
    </xf>
    <xf numFmtId="0" fontId="177" fillId="17" borderId="0" applyAlignment="1" pivotButton="0" quotePrefix="0" xfId="36">
      <alignment horizontal="centerContinuous"/>
    </xf>
    <xf numFmtId="0" fontId="177" fillId="17" borderId="28" applyAlignment="1" pivotButton="0" quotePrefix="0" xfId="36">
      <alignment horizontal="centerContinuous"/>
    </xf>
    <xf numFmtId="17" fontId="108" fillId="17" borderId="34" applyAlignment="1" pivotButton="0" quotePrefix="0" xfId="32">
      <alignment horizontal="right"/>
    </xf>
    <xf numFmtId="17" fontId="108" fillId="17" borderId="35" applyAlignment="1" pivotButton="0" quotePrefix="0" xfId="32">
      <alignment horizontal="right"/>
    </xf>
    <xf numFmtId="17" fontId="108" fillId="17" borderId="34" applyAlignment="1" pivotButton="0" quotePrefix="0" xfId="43">
      <alignment horizontal="right"/>
    </xf>
    <xf numFmtId="17" fontId="108" fillId="17" borderId="35" applyAlignment="1" pivotButton="0" quotePrefix="0" xfId="43">
      <alignment horizontal="right"/>
    </xf>
    <xf numFmtId="17" fontId="108" fillId="17" borderId="34" applyAlignment="1" pivotButton="0" quotePrefix="0" xfId="43">
      <alignment horizontal="right" wrapText="1"/>
    </xf>
    <xf numFmtId="17" fontId="108" fillId="17" borderId="85" applyAlignment="1" pivotButton="0" quotePrefix="0" xfId="43">
      <alignment horizontal="right" wrapText="1"/>
    </xf>
    <xf numFmtId="1" fontId="99" fillId="0" borderId="0" pivotButton="0" quotePrefix="0" xfId="4"/>
    <xf numFmtId="166" fontId="70" fillId="0" borderId="0" pivotButton="0" quotePrefix="0" xfId="0"/>
    <xf numFmtId="166" fontId="48" fillId="0" borderId="0" applyAlignment="1" pivotButton="0" quotePrefix="0" xfId="0">
      <alignment horizontal="right"/>
    </xf>
    <xf numFmtId="0" fontId="48" fillId="0" borderId="0" applyAlignment="1" pivotButton="0" quotePrefix="0" xfId="0">
      <alignment horizontal="left" indent="1"/>
    </xf>
    <xf numFmtId="166" fontId="48" fillId="0" borderId="6" applyAlignment="1" pivotButton="0" quotePrefix="0" xfId="0">
      <alignment horizontal="right"/>
    </xf>
    <xf numFmtId="166" fontId="48" fillId="0" borderId="10" applyAlignment="1" pivotButton="0" quotePrefix="0" xfId="0">
      <alignment horizontal="right"/>
    </xf>
    <xf numFmtId="0" fontId="48" fillId="0" borderId="0" applyAlignment="1" pivotButton="0" quotePrefix="0" xfId="0">
      <alignment horizontal="left" indent="2"/>
    </xf>
    <xf numFmtId="0" fontId="48" fillId="3" borderId="4" applyAlignment="1" pivotButton="0" quotePrefix="0" xfId="0">
      <alignment horizontal="left" indent="2"/>
    </xf>
    <xf numFmtId="166" fontId="48" fillId="3" borderId="4" applyAlignment="1" pivotButton="0" quotePrefix="0" xfId="0">
      <alignment horizontal="right"/>
    </xf>
    <xf numFmtId="166" fontId="48" fillId="3" borderId="11" applyAlignment="1" pivotButton="0" quotePrefix="0" xfId="0">
      <alignment horizontal="right"/>
    </xf>
    <xf numFmtId="166" fontId="48" fillId="3" borderId="7" applyAlignment="1" pivotButton="0" quotePrefix="0" xfId="0">
      <alignment horizontal="right"/>
    </xf>
    <xf numFmtId="49" fontId="179" fillId="0" borderId="0" pivotButton="0" quotePrefix="0" xfId="5"/>
    <xf numFmtId="0" fontId="110" fillId="5" borderId="0" applyAlignment="1" pivotButton="0" quotePrefix="0" xfId="0">
      <alignment vertical="center"/>
    </xf>
    <xf numFmtId="166" fontId="110" fillId="5" borderId="0" applyAlignment="1" pivotButton="0" quotePrefix="0" xfId="0">
      <alignment horizontal="right" vertical="center"/>
    </xf>
    <xf numFmtId="0" fontId="105" fillId="3" borderId="1" applyAlignment="1" pivotButton="0" quotePrefix="0" xfId="0">
      <alignment horizontal="left" indent="1"/>
    </xf>
    <xf numFmtId="0" fontId="105" fillId="3" borderId="1" applyAlignment="1" pivotButton="0" quotePrefix="0" xfId="0">
      <alignment horizontal="left"/>
    </xf>
    <xf numFmtId="164" fontId="105" fillId="3" borderId="1" pivotButton="0" quotePrefix="0" xfId="0"/>
    <xf numFmtId="164" fontId="105" fillId="0" borderId="1" pivotButton="0" quotePrefix="0" xfId="0"/>
    <xf numFmtId="164" fontId="105" fillId="0" borderId="17" pivotButton="0" quotePrefix="0" xfId="0"/>
    <xf numFmtId="164" fontId="105" fillId="0" borderId="23" pivotButton="0" quotePrefix="0" xfId="0"/>
    <xf numFmtId="41" fontId="106" fillId="4" borderId="0" applyAlignment="1" pivotButton="0" quotePrefix="0" xfId="0">
      <alignment horizontal="left"/>
    </xf>
    <xf numFmtId="41" fontId="51" fillId="0" borderId="0" applyAlignment="1" pivotButton="0" quotePrefix="0" xfId="0">
      <alignment horizontal="left" indent="2"/>
    </xf>
    <xf numFmtId="41" fontId="69" fillId="3" borderId="4" pivotButton="0" quotePrefix="0" xfId="0"/>
    <xf numFmtId="41" fontId="51" fillId="0" borderId="0" applyAlignment="1" pivotButton="0" quotePrefix="0" xfId="0">
      <alignment horizontal="left" indent="1"/>
    </xf>
    <xf numFmtId="0" fontId="118" fillId="0" borderId="0" pivotButton="0" quotePrefix="0" xfId="1"/>
    <xf numFmtId="15" fontId="106" fillId="4" borderId="12" applyAlignment="1" pivotButton="0" quotePrefix="0" xfId="1">
      <alignment horizontal="centerContinuous"/>
    </xf>
    <xf numFmtId="15" fontId="106" fillId="4" borderId="68" applyAlignment="1" pivotButton="0" quotePrefix="0" xfId="1">
      <alignment horizontal="right"/>
    </xf>
    <xf numFmtId="0" fontId="47" fillId="0" borderId="0" pivotButton="0" quotePrefix="0" xfId="0"/>
    <xf numFmtId="166" fontId="47" fillId="3" borderId="11" applyAlignment="1" pivotButton="0" quotePrefix="0" xfId="0">
      <alignment horizontal="right"/>
    </xf>
    <xf numFmtId="166" fontId="47" fillId="3" borderId="4" applyAlignment="1" pivotButton="0" quotePrefix="0" xfId="0">
      <alignment horizontal="right"/>
    </xf>
    <xf numFmtId="0" fontId="48" fillId="0" borderId="0" applyAlignment="1" pivotButton="0" quotePrefix="0" xfId="0">
      <alignment horizontal="left" indent="3"/>
    </xf>
    <xf numFmtId="166" fontId="48" fillId="3" borderId="10" applyAlignment="1" pivotButton="0" quotePrefix="0" xfId="0">
      <alignment horizontal="right"/>
    </xf>
    <xf numFmtId="166" fontId="48" fillId="3" borderId="6" applyAlignment="1" pivotButton="0" quotePrefix="0" xfId="0">
      <alignment horizontal="right"/>
    </xf>
    <xf numFmtId="0" fontId="48" fillId="3" borderId="4" applyAlignment="1" pivotButton="0" quotePrefix="0" xfId="0">
      <alignment horizontal="left" indent="3"/>
    </xf>
    <xf numFmtId="166" fontId="48" fillId="3" borderId="0" applyAlignment="1" pivotButton="0" quotePrefix="0" xfId="0">
      <alignment horizontal="right"/>
    </xf>
    <xf numFmtId="166" fontId="48" fillId="5" borderId="0" applyAlignment="1" pivotButton="0" quotePrefix="0" xfId="0">
      <alignment horizontal="right"/>
    </xf>
    <xf numFmtId="166" fontId="48" fillId="5" borderId="10" applyAlignment="1" pivotButton="0" quotePrefix="0" xfId="0">
      <alignment horizontal="right"/>
    </xf>
    <xf numFmtId="166" fontId="48" fillId="5" borderId="4" applyAlignment="1" pivotButton="0" quotePrefix="0" xfId="0">
      <alignment horizontal="right"/>
    </xf>
    <xf numFmtId="166" fontId="48" fillId="5" borderId="11" applyAlignment="1" pivotButton="0" quotePrefix="0" xfId="0">
      <alignment horizontal="right"/>
    </xf>
    <xf numFmtId="0" fontId="47" fillId="0" borderId="0" applyAlignment="1" pivotButton="0" quotePrefix="0" xfId="0">
      <alignment horizontal="left" indent="2"/>
    </xf>
    <xf numFmtId="0" fontId="70" fillId="0" borderId="1" pivotButton="0" quotePrefix="0" xfId="0"/>
    <xf numFmtId="166" fontId="48" fillId="0" borderId="1" applyAlignment="1" pivotButton="0" quotePrefix="0" xfId="0">
      <alignment horizontal="right"/>
    </xf>
    <xf numFmtId="166" fontId="48" fillId="0" borderId="17" applyAlignment="1" pivotButton="0" quotePrefix="0" xfId="0">
      <alignment horizontal="right"/>
    </xf>
    <xf numFmtId="166" fontId="48" fillId="0" borderId="23" applyAlignment="1" pivotButton="0" quotePrefix="0" xfId="0">
      <alignment horizontal="right"/>
    </xf>
    <xf numFmtId="0" fontId="47" fillId="3" borderId="4" applyAlignment="1" pivotButton="0" quotePrefix="0" xfId="0">
      <alignment horizontal="left" indent="2"/>
    </xf>
    <xf numFmtId="0" fontId="47" fillId="0" borderId="0" applyAlignment="1" pivotButton="0" quotePrefix="0" xfId="0">
      <alignment horizontal="left" indent="1"/>
    </xf>
    <xf numFmtId="0" fontId="47" fillId="3" borderId="0" applyAlignment="1" pivotButton="0" quotePrefix="0" xfId="0">
      <alignment horizontal="left" indent="2"/>
    </xf>
    <xf numFmtId="0" fontId="47" fillId="0" borderId="1" applyAlignment="1" pivotButton="0" quotePrefix="0" xfId="0">
      <alignment horizontal="left" indent="1"/>
    </xf>
    <xf numFmtId="166" fontId="47" fillId="0" borderId="10" applyAlignment="1" pivotButton="0" quotePrefix="0" xfId="0">
      <alignment horizontal="right"/>
    </xf>
    <xf numFmtId="166" fontId="47" fillId="0" borderId="11" applyAlignment="1" pivotButton="0" quotePrefix="0" xfId="0">
      <alignment horizontal="right"/>
    </xf>
    <xf numFmtId="166" fontId="47" fillId="0" borderId="0" applyAlignment="1" pivotButton="0" quotePrefix="0" xfId="0">
      <alignment horizontal="right"/>
    </xf>
    <xf numFmtId="166" fontId="47" fillId="0" borderId="4" applyAlignment="1" pivotButton="0" quotePrefix="0" xfId="0">
      <alignment horizontal="right"/>
    </xf>
    <xf numFmtId="17" fontId="106" fillId="17" borderId="15" applyAlignment="1" pivotButton="0" quotePrefix="0" xfId="0">
      <alignment horizontal="right" wrapText="1"/>
    </xf>
    <xf numFmtId="0" fontId="107" fillId="5" borderId="3" applyAlignment="1" pivotButton="0" quotePrefix="0" xfId="0">
      <alignment horizontal="right" vertical="center"/>
    </xf>
    <xf numFmtId="0" fontId="46" fillId="0" borderId="57" applyAlignment="1" pivotButton="0" quotePrefix="0" xfId="0">
      <alignment horizontal="left"/>
    </xf>
    <xf numFmtId="17" fontId="106" fillId="17" borderId="15" applyAlignment="1" pivotButton="0" quotePrefix="0" xfId="0">
      <alignment horizontal="left" wrapText="1"/>
    </xf>
    <xf numFmtId="193" fontId="69" fillId="0" borderId="0" applyAlignment="1" pivotButton="0" quotePrefix="0" xfId="0">
      <alignment horizontal="left"/>
    </xf>
    <xf numFmtId="194" fontId="69" fillId="0" borderId="0" applyAlignment="1" pivotButton="0" quotePrefix="0" xfId="0">
      <alignment horizontal="left"/>
    </xf>
    <xf numFmtId="191" fontId="69" fillId="0" borderId="0" applyAlignment="1" pivotButton="0" quotePrefix="0" xfId="0">
      <alignment horizontal="left"/>
    </xf>
    <xf numFmtId="0" fontId="46" fillId="0" borderId="0" pivotButton="0" quotePrefix="0" xfId="0"/>
    <xf numFmtId="166" fontId="46" fillId="0" borderId="0" applyAlignment="1" pivotButton="0" quotePrefix="0" xfId="0">
      <alignment horizontal="right"/>
    </xf>
    <xf numFmtId="0" fontId="105" fillId="3" borderId="0" applyAlignment="1" pivotButton="0" quotePrefix="0" xfId="5">
      <alignment horizontal="left" vertical="center" indent="2"/>
    </xf>
    <xf numFmtId="0" fontId="105" fillId="3" borderId="4" applyAlignment="1" pivotButton="0" quotePrefix="0" xfId="5">
      <alignment horizontal="left" vertical="center" indent="2"/>
    </xf>
    <xf numFmtId="15" fontId="106" fillId="4" borderId="28" applyAlignment="1" pivotButton="0" quotePrefix="0" xfId="0">
      <alignment horizontal="right"/>
    </xf>
    <xf numFmtId="49" fontId="107" fillId="5" borderId="1" applyAlignment="1" applyProtection="1" pivotButton="0" quotePrefix="0" xfId="5">
      <alignment horizontal="left" vertical="center"/>
      <protection locked="0" hidden="0"/>
    </xf>
    <xf numFmtId="169" fontId="107" fillId="5" borderId="1" applyAlignment="1" applyProtection="1" pivotButton="0" quotePrefix="0" xfId="5">
      <alignment horizontal="right" vertical="center"/>
      <protection locked="0" hidden="0"/>
    </xf>
    <xf numFmtId="172" fontId="107" fillId="5" borderId="1" applyAlignment="1" applyProtection="1" pivotButton="0" quotePrefix="0" xfId="5">
      <alignment horizontal="right" vertical="center"/>
      <protection locked="0" hidden="0"/>
    </xf>
    <xf numFmtId="172" fontId="117" fillId="5" borderId="0" pivotButton="0" quotePrefix="0" xfId="8"/>
    <xf numFmtId="172" fontId="117" fillId="5" borderId="10" pivotButton="0" quotePrefix="0" xfId="8"/>
    <xf numFmtId="0" fontId="97" fillId="4" borderId="28" applyAlignment="1" pivotButton="0" quotePrefix="0" xfId="5">
      <alignment horizontal="right"/>
    </xf>
    <xf numFmtId="0" fontId="97" fillId="4" borderId="54" applyAlignment="1" pivotButton="0" quotePrefix="0" xfId="5">
      <alignment horizontal="right"/>
    </xf>
    <xf numFmtId="0" fontId="97" fillId="4" borderId="54" applyAlignment="1" pivotButton="0" quotePrefix="0" xfId="5">
      <alignment horizontal="right" wrapText="1"/>
    </xf>
    <xf numFmtId="0" fontId="97" fillId="4" borderId="55" applyAlignment="1" pivotButton="0" quotePrefix="0" xfId="5">
      <alignment horizontal="right" wrapText="1"/>
    </xf>
    <xf numFmtId="0" fontId="45" fillId="0" borderId="0" pivotButton="0" quotePrefix="0" xfId="0"/>
    <xf numFmtId="0" fontId="45" fillId="0" borderId="0" applyAlignment="1" pivotButton="0" quotePrefix="0" xfId="0">
      <alignment horizontal="left" indent="1"/>
    </xf>
    <xf numFmtId="0" fontId="90" fillId="0" borderId="0" applyAlignment="1" pivotButton="0" quotePrefix="0" xfId="0">
      <alignment horizontal="left" indent="1"/>
    </xf>
    <xf numFmtId="166" fontId="90" fillId="0" borderId="0" pivotButton="0" quotePrefix="0" xfId="0"/>
    <xf numFmtId="166" fontId="45" fillId="0" borderId="0" applyAlignment="1" pivotButton="0" quotePrefix="0" xfId="0">
      <alignment horizontal="right"/>
    </xf>
    <xf numFmtId="0" fontId="45" fillId="2" borderId="0" applyAlignment="1" pivotButton="0" quotePrefix="0" xfId="0">
      <alignment horizontal="left"/>
    </xf>
    <xf numFmtId="166" fontId="45" fillId="5" borderId="0" applyAlignment="1" pivotButton="0" quotePrefix="0" xfId="0">
      <alignment horizontal="right"/>
    </xf>
    <xf numFmtId="166" fontId="45" fillId="5" borderId="6" applyAlignment="1" pivotButton="0" quotePrefix="0" xfId="0">
      <alignment horizontal="right"/>
    </xf>
    <xf numFmtId="166" fontId="45" fillId="5" borderId="4" applyAlignment="1" pivotButton="0" quotePrefix="0" xfId="0">
      <alignment horizontal="right"/>
    </xf>
    <xf numFmtId="166" fontId="45" fillId="5" borderId="7" applyAlignment="1" pivotButton="0" quotePrefix="0" xfId="0">
      <alignment horizontal="right"/>
    </xf>
    <xf numFmtId="166" fontId="45" fillId="0" borderId="10" applyAlignment="1" pivotButton="0" quotePrefix="0" xfId="0">
      <alignment horizontal="right"/>
    </xf>
    <xf numFmtId="166" fontId="45" fillId="0" borderId="6" applyAlignment="1" pivotButton="0" quotePrefix="0" xfId="0">
      <alignment horizontal="right"/>
    </xf>
    <xf numFmtId="0" fontId="105" fillId="5" borderId="4" applyAlignment="1" pivotButton="0" quotePrefix="0" xfId="0">
      <alignment horizontal="left"/>
    </xf>
    <xf numFmtId="17" fontId="170" fillId="4" borderId="68" applyAlignment="1" pivotButton="0" quotePrefix="0" xfId="38">
      <alignment horizontal="right"/>
    </xf>
    <xf numFmtId="0" fontId="97" fillId="4" borderId="50" applyAlignment="1" pivotButton="0" quotePrefix="0" xfId="36">
      <alignment horizontal="centerContinuous"/>
    </xf>
    <xf numFmtId="0" fontId="114" fillId="0" borderId="0" applyAlignment="1" pivotButton="0" quotePrefix="0" xfId="37">
      <alignment horizontal="left" indent="5"/>
    </xf>
    <xf numFmtId="0" fontId="114" fillId="0" borderId="4" applyAlignment="1" pivotButton="0" quotePrefix="0" xfId="37">
      <alignment horizontal="left" indent="5"/>
    </xf>
    <xf numFmtId="167" fontId="113" fillId="3" borderId="4" applyAlignment="1" pivotButton="0" quotePrefix="0" xfId="37">
      <alignment horizontal="right"/>
    </xf>
    <xf numFmtId="0" fontId="97" fillId="4" borderId="12" applyAlignment="1" pivotButton="0" quotePrefix="0" xfId="36">
      <alignment horizontal="centerContinuous"/>
    </xf>
    <xf numFmtId="177" fontId="97" fillId="4" borderId="0" pivotButton="0" quotePrefix="0" xfId="0"/>
    <xf numFmtId="0" fontId="66" fillId="0" borderId="0" applyAlignment="1" pivotButton="0" quotePrefix="0" xfId="0">
      <alignment horizontal="left" indent="3"/>
    </xf>
    <xf numFmtId="185" fontId="69" fillId="3" borderId="11" applyAlignment="1" pivotButton="0" quotePrefix="0" xfId="0">
      <alignment horizontal="right"/>
    </xf>
    <xf numFmtId="185" fontId="69" fillId="3" borderId="4" applyAlignment="1" pivotButton="0" quotePrefix="0" xfId="0">
      <alignment horizontal="left" indent="3"/>
    </xf>
    <xf numFmtId="0" fontId="69" fillId="5" borderId="0" applyAlignment="1" pivotButton="0" quotePrefix="0" xfId="0">
      <alignment horizontal="left" indent="2"/>
    </xf>
    <xf numFmtId="0" fontId="106" fillId="2" borderId="47" applyAlignment="1" pivotButton="0" quotePrefix="0" xfId="0">
      <alignment vertical="center"/>
    </xf>
    <xf numFmtId="166" fontId="100" fillId="0" borderId="113" applyAlignment="1" pivotButton="0" quotePrefix="0" xfId="0">
      <alignment horizontal="right"/>
    </xf>
    <xf numFmtId="185" fontId="110" fillId="5" borderId="114" applyAlignment="1" pivotButton="0" quotePrefix="0" xfId="0">
      <alignment horizontal="right" vertical="center"/>
    </xf>
    <xf numFmtId="0" fontId="106" fillId="4" borderId="33" applyAlignment="1" pivotButton="0" quotePrefix="0" xfId="0">
      <alignment horizontal="right" wrapText="1"/>
    </xf>
    <xf numFmtId="0" fontId="113" fillId="5" borderId="0" pivotButton="0" quotePrefix="0" xfId="36"/>
    <xf numFmtId="166" fontId="113" fillId="5" borderId="0" applyAlignment="1" pivotButton="0" quotePrefix="0" xfId="36">
      <alignment horizontal="right"/>
    </xf>
    <xf numFmtId="0" fontId="97" fillId="4" borderId="111" applyAlignment="1" pivotButton="0" quotePrefix="0" xfId="36">
      <alignment horizontal="centerContinuous"/>
    </xf>
    <xf numFmtId="17" fontId="106" fillId="4" borderId="73" applyAlignment="1" pivotButton="0" quotePrefix="0" xfId="32">
      <alignment horizontal="right"/>
    </xf>
    <xf numFmtId="0" fontId="107" fillId="5" borderId="3" applyAlignment="1" pivotButton="0" quotePrefix="0" xfId="32">
      <alignment horizontal="left" vertical="center"/>
    </xf>
    <xf numFmtId="164" fontId="107" fillId="5" borderId="3" applyAlignment="1" pivotButton="0" quotePrefix="0" xfId="32">
      <alignment vertical="center"/>
    </xf>
    <xf numFmtId="164" fontId="107" fillId="5" borderId="27" applyAlignment="1" pivotButton="0" quotePrefix="0" xfId="32">
      <alignment vertical="center"/>
    </xf>
    <xf numFmtId="164" fontId="107" fillId="5" borderId="49" applyAlignment="1" pivotButton="0" quotePrefix="0" xfId="32">
      <alignment vertical="center"/>
    </xf>
    <xf numFmtId="165" fontId="110" fillId="5" borderId="3" applyAlignment="1" pivotButton="0" quotePrefix="0" xfId="32">
      <alignment vertical="center"/>
    </xf>
    <xf numFmtId="165" fontId="110" fillId="5" borderId="27" applyAlignment="1" pivotButton="0" quotePrefix="0" xfId="32">
      <alignment vertical="center"/>
    </xf>
    <xf numFmtId="165" fontId="110" fillId="5" borderId="49" applyAlignment="1" pivotButton="0" quotePrefix="0" xfId="32">
      <alignment vertical="center"/>
    </xf>
    <xf numFmtId="0" fontId="97" fillId="4" borderId="0" applyAlignment="1" pivotButton="0" quotePrefix="0" xfId="0">
      <alignment horizontal="left"/>
    </xf>
    <xf numFmtId="0" fontId="98" fillId="0" borderId="19" applyAlignment="1" pivotButton="0" quotePrefix="0" xfId="0">
      <alignment horizontal="left"/>
    </xf>
    <xf numFmtId="15" fontId="106" fillId="6" borderId="0" applyAlignment="1" pivotButton="0" quotePrefix="0" xfId="1">
      <alignment horizontal="right"/>
    </xf>
    <xf numFmtId="15" fontId="106" fillId="6" borderId="0" applyAlignment="1" pivotButton="0" quotePrefix="0" xfId="1">
      <alignment horizontal="right" wrapText="1"/>
    </xf>
    <xf numFmtId="15" fontId="106" fillId="6" borderId="33" applyAlignment="1" pivotButton="0" quotePrefix="0" xfId="1">
      <alignment horizontal="centerContinuous"/>
    </xf>
    <xf numFmtId="0" fontId="95" fillId="0" borderId="38" pivotButton="0" quotePrefix="0" xfId="1"/>
    <xf numFmtId="41" fontId="98" fillId="5" borderId="42" pivotButton="0" quotePrefix="0" xfId="1"/>
    <xf numFmtId="0" fontId="114" fillId="4" borderId="0" pivotButton="0" quotePrefix="0" xfId="37"/>
    <xf numFmtId="0" fontId="113" fillId="4" borderId="0" pivotButton="0" quotePrefix="0" xfId="37"/>
    <xf numFmtId="0" fontId="44" fillId="0" borderId="0" pivotButton="0" quotePrefix="0" xfId="0"/>
    <xf numFmtId="0" fontId="44" fillId="0" borderId="0" applyAlignment="1" pivotButton="0" quotePrefix="0" xfId="0">
      <alignment horizontal="left" indent="2"/>
    </xf>
    <xf numFmtId="0" fontId="44" fillId="0" borderId="4" applyAlignment="1" pivotButton="0" quotePrefix="0" xfId="0">
      <alignment horizontal="left" indent="2"/>
    </xf>
    <xf numFmtId="0" fontId="70" fillId="0" borderId="4" pivotButton="0" quotePrefix="0" xfId="0"/>
    <xf numFmtId="166" fontId="45" fillId="0" borderId="4" applyAlignment="1" pivotButton="0" quotePrefix="0" xfId="0">
      <alignment horizontal="right"/>
    </xf>
    <xf numFmtId="166" fontId="45" fillId="0" borderId="11" applyAlignment="1" pivotButton="0" quotePrefix="0" xfId="0">
      <alignment horizontal="right"/>
    </xf>
    <xf numFmtId="0" fontId="44" fillId="0" borderId="0" applyAlignment="1" pivotButton="0" quotePrefix="0" xfId="0">
      <alignment horizontal="left" indent="1"/>
    </xf>
    <xf numFmtId="166" fontId="45" fillId="5" borderId="40" applyAlignment="1" pivotButton="0" quotePrefix="0" xfId="0">
      <alignment horizontal="right"/>
    </xf>
    <xf numFmtId="0" fontId="114" fillId="3" borderId="76" pivotButton="0" quotePrefix="0" xfId="8"/>
    <xf numFmtId="0" fontId="44" fillId="0" borderId="0" pivotButton="0" quotePrefix="0" xfId="5"/>
    <xf numFmtId="169" fontId="69" fillId="0" borderId="0" pivotButton="0" quotePrefix="0" xfId="5"/>
    <xf numFmtId="0" fontId="106" fillId="4" borderId="0" applyAlignment="1" pivotButton="0" quotePrefix="0" xfId="5">
      <alignment horizontal="right" vertical="center"/>
    </xf>
    <xf numFmtId="0" fontId="106" fillId="4" borderId="0" applyAlignment="1" pivotButton="0" quotePrefix="0" xfId="5">
      <alignment horizontal="left" vertical="center"/>
    </xf>
    <xf numFmtId="166" fontId="69" fillId="0" borderId="0" applyAlignment="1" pivotButton="0" quotePrefix="0" xfId="5">
      <alignment horizontal="right"/>
    </xf>
    <xf numFmtId="167" fontId="100" fillId="0" borderId="0" applyAlignment="1" pivotButton="0" quotePrefix="0" xfId="5">
      <alignment horizontal="right"/>
    </xf>
    <xf numFmtId="0" fontId="43" fillId="0" borderId="0" pivotButton="0" quotePrefix="0" xfId="0"/>
    <xf numFmtId="0" fontId="107" fillId="5" borderId="0" applyAlignment="1" pivotButton="0" quotePrefix="0" xfId="27">
      <alignment horizontal="left" vertical="center"/>
    </xf>
    <xf numFmtId="164" fontId="107" fillId="5" borderId="0" applyAlignment="1" pivotButton="0" quotePrefix="0" xfId="27">
      <alignment vertical="center"/>
    </xf>
    <xf numFmtId="167" fontId="100" fillId="7" borderId="0" applyAlignment="1" pivotButton="0" quotePrefix="0" xfId="5">
      <alignment horizontal="right"/>
    </xf>
    <xf numFmtId="166" fontId="48" fillId="0" borderId="4" applyAlignment="1" pivotButton="0" quotePrefix="0" xfId="0">
      <alignment horizontal="right"/>
    </xf>
    <xf numFmtId="166" fontId="48" fillId="0" borderId="11" applyAlignment="1" pivotButton="0" quotePrefix="0" xfId="0">
      <alignment horizontal="right"/>
    </xf>
    <xf numFmtId="166" fontId="48" fillId="0" borderId="7" applyAlignment="1" pivotButton="0" quotePrefix="0" xfId="0">
      <alignment horizontal="right"/>
    </xf>
    <xf numFmtId="166" fontId="47" fillId="0" borderId="7" applyAlignment="1" pivotButton="0" quotePrefix="0" xfId="0">
      <alignment horizontal="right"/>
    </xf>
    <xf numFmtId="164" fontId="105" fillId="16" borderId="10" pivotButton="0" quotePrefix="0" xfId="0"/>
    <xf numFmtId="164" fontId="105" fillId="16" borderId="6" pivotButton="0" quotePrefix="0" xfId="0"/>
    <xf numFmtId="166" fontId="48" fillId="16" borderId="0" applyAlignment="1" pivotButton="0" quotePrefix="0" xfId="0">
      <alignment horizontal="right"/>
    </xf>
    <xf numFmtId="166" fontId="48" fillId="16" borderId="10" applyAlignment="1" pivotButton="0" quotePrefix="0" xfId="0">
      <alignment horizontal="right"/>
    </xf>
    <xf numFmtId="166" fontId="48" fillId="16" borderId="6" applyAlignment="1" pivotButton="0" quotePrefix="0" xfId="0">
      <alignment horizontal="right"/>
    </xf>
    <xf numFmtId="0" fontId="114" fillId="0" borderId="0" applyAlignment="1" pivotButton="0" quotePrefix="0" xfId="8">
      <alignment horizontal="left" indent="1"/>
    </xf>
    <xf numFmtId="0" fontId="97" fillId="17" borderId="0" applyAlignment="1" pivotButton="0" quotePrefix="0" xfId="8">
      <alignment horizontal="center" vertical="center"/>
    </xf>
    <xf numFmtId="0" fontId="114" fillId="3" borderId="2" pivotButton="0" quotePrefix="0" xfId="8"/>
    <xf numFmtId="0" fontId="114" fillId="3" borderId="8" pivotButton="0" quotePrefix="0" xfId="8"/>
    <xf numFmtId="0" fontId="114" fillId="3" borderId="9" pivotButton="0" quotePrefix="0" xfId="8"/>
    <xf numFmtId="0" fontId="114" fillId="0" borderId="0" applyAlignment="1" pivotButton="0" quotePrefix="0" xfId="8">
      <alignment horizontal="right"/>
    </xf>
    <xf numFmtId="0" fontId="114" fillId="0" borderId="10" applyAlignment="1" pivotButton="0" quotePrefix="0" xfId="8">
      <alignment horizontal="right"/>
    </xf>
    <xf numFmtId="0" fontId="114" fillId="0" borderId="6" applyAlignment="1" pivotButton="0" quotePrefix="0" xfId="8">
      <alignment horizontal="right"/>
    </xf>
    <xf numFmtId="0" fontId="114" fillId="0" borderId="0" applyAlignment="1" pivotButton="0" quotePrefix="0" xfId="8">
      <alignment horizontal="left" wrapText="1"/>
    </xf>
    <xf numFmtId="0" fontId="106" fillId="2" borderId="0" applyAlignment="1" pivotButton="0" quotePrefix="0" xfId="3">
      <alignment horizontal="left" vertical="center"/>
    </xf>
    <xf numFmtId="166" fontId="105" fillId="5" borderId="2" applyAlignment="1" pivotButton="0" quotePrefix="0" xfId="3">
      <alignment horizontal="left"/>
    </xf>
    <xf numFmtId="166" fontId="43" fillId="0" borderId="4" applyAlignment="1" pivotButton="0" quotePrefix="0" xfId="3">
      <alignment horizontal="left"/>
    </xf>
    <xf numFmtId="166" fontId="105" fillId="3" borderId="19" applyAlignment="1" pivotButton="0" quotePrefix="0" xfId="3">
      <alignment horizontal="left" wrapText="1"/>
    </xf>
    <xf numFmtId="176" fontId="176" fillId="3" borderId="0" applyAlignment="1" pivotButton="0" quotePrefix="0" xfId="3">
      <alignment horizontal="center" wrapText="1"/>
    </xf>
    <xf numFmtId="176" fontId="176" fillId="3" borderId="5" applyAlignment="1" pivotButton="0" quotePrefix="0" xfId="3">
      <alignment horizontal="center" wrapText="1"/>
    </xf>
    <xf numFmtId="166" fontId="114" fillId="0" borderId="10" applyAlignment="1" pivotButton="0" quotePrefix="0" xfId="5">
      <alignment horizontal="right" vertical="center"/>
    </xf>
    <xf numFmtId="0" fontId="43" fillId="0" borderId="0" applyAlignment="1" pivotButton="0" quotePrefix="0" xfId="0">
      <alignment horizontal="left" indent="1"/>
    </xf>
    <xf numFmtId="0" fontId="113" fillId="7" borderId="2" applyAlignment="1" pivotButton="0" quotePrefix="0" xfId="5">
      <alignment horizontal="left" vertical="center"/>
    </xf>
    <xf numFmtId="166" fontId="100" fillId="7" borderId="2" applyAlignment="1" pivotButton="0" quotePrefix="0" xfId="5">
      <alignment horizontal="right"/>
    </xf>
    <xf numFmtId="195" fontId="149" fillId="5" borderId="0" applyAlignment="1" pivotButton="0" quotePrefix="0" xfId="0">
      <alignment horizontal="center" vertical="center" wrapText="1" readingOrder="1"/>
    </xf>
    <xf numFmtId="195" fontId="148" fillId="2" borderId="0" applyAlignment="1" pivotButton="0" quotePrefix="0" xfId="0">
      <alignment horizontal="center" vertical="center" wrapText="1" readingOrder="1"/>
    </xf>
    <xf numFmtId="0" fontId="43" fillId="0" borderId="0" applyAlignment="1" pivotButton="0" quotePrefix="0" xfId="0">
      <alignment horizontal="left"/>
    </xf>
    <xf numFmtId="9" fontId="46" fillId="0" borderId="0" applyAlignment="1" pivotButton="0" quotePrefix="0" xfId="0">
      <alignment horizontal="right"/>
    </xf>
    <xf numFmtId="196" fontId="69" fillId="0" borderId="0" applyAlignment="1" pivotButton="0" quotePrefix="0" xfId="0">
      <alignment horizontal="left"/>
    </xf>
    <xf numFmtId="0" fontId="106" fillId="4" borderId="12" applyAlignment="1" pivotButton="0" quotePrefix="0" xfId="1">
      <alignment horizontal="centerContinuous"/>
    </xf>
    <xf numFmtId="176" fontId="97" fillId="4" borderId="100" applyAlignment="1" pivotButton="0" quotePrefix="0" xfId="3">
      <alignment horizontal="right" wrapText="1"/>
    </xf>
    <xf numFmtId="183" fontId="113" fillId="0" borderId="0" applyAlignment="1" pivotButton="0" quotePrefix="0" xfId="36">
      <alignment horizontal="right"/>
    </xf>
    <xf numFmtId="43" fontId="69" fillId="0" borderId="0" pivotButton="0" quotePrefix="0" xfId="38"/>
    <xf numFmtId="0" fontId="42" fillId="3" borderId="4" applyAlignment="1" pivotButton="0" quotePrefix="0" xfId="0">
      <alignment horizontal="left" indent="2"/>
    </xf>
    <xf numFmtId="0" fontId="42" fillId="0" borderId="0" pivotButton="0" quotePrefix="0" xfId="0"/>
    <xf numFmtId="166" fontId="42" fillId="0" borderId="0" applyAlignment="1" pivotButton="0" quotePrefix="0" xfId="0">
      <alignment horizontal="right"/>
    </xf>
    <xf numFmtId="0" fontId="42" fillId="0" borderId="1" pivotButton="0" quotePrefix="0" xfId="0"/>
    <xf numFmtId="0" fontId="93" fillId="0" borderId="1" pivotButton="0" quotePrefix="0" xfId="0"/>
    <xf numFmtId="166" fontId="42" fillId="0" borderId="1" applyAlignment="1" pivotButton="0" quotePrefix="0" xfId="0">
      <alignment horizontal="right"/>
    </xf>
    <xf numFmtId="167" fontId="100" fillId="0" borderId="4" applyAlignment="1" pivotButton="0" quotePrefix="0" xfId="0">
      <alignment horizontal="right"/>
    </xf>
    <xf numFmtId="0" fontId="100" fillId="0" borderId="4" pivotButton="0" quotePrefix="0" xfId="0"/>
    <xf numFmtId="17" fontId="106" fillId="6" borderId="51" applyAlignment="1" pivotButton="0" quotePrefix="0" xfId="0">
      <alignment horizontal="right" vertical="center" wrapText="1"/>
    </xf>
    <xf numFmtId="0" fontId="97" fillId="17" borderId="14" applyAlignment="1" pivotButton="0" quotePrefix="0" xfId="0">
      <alignment horizontal="center" vertical="center"/>
    </xf>
    <xf numFmtId="0" fontId="97" fillId="17" borderId="65" applyAlignment="1" pivotButton="0" quotePrefix="0" xfId="0">
      <alignment horizontal="center" vertical="center"/>
    </xf>
    <xf numFmtId="0" fontId="97" fillId="17" borderId="66" applyAlignment="1" pivotButton="0" quotePrefix="0" xfId="0">
      <alignment horizontal="center" vertical="center"/>
    </xf>
    <xf numFmtId="164" fontId="107" fillId="5" borderId="49" pivotButton="0" quotePrefix="0" xfId="0"/>
    <xf numFmtId="0" fontId="180" fillId="0" borderId="0" applyAlignment="1" pivotButton="0" quotePrefix="0" xfId="0">
      <alignment horizontal="left"/>
    </xf>
    <xf numFmtId="0" fontId="42" fillId="0" borderId="0" applyAlignment="1" pivotButton="0" quotePrefix="0" xfId="0">
      <alignment horizontal="left" indent="1"/>
    </xf>
    <xf numFmtId="0" fontId="42" fillId="0" borderId="2" applyAlignment="1" pivotButton="0" quotePrefix="0" xfId="0">
      <alignment horizontal="left" indent="1"/>
    </xf>
    <xf numFmtId="0" fontId="70" fillId="0" borderId="2" pivotButton="0" quotePrefix="0" xfId="0"/>
    <xf numFmtId="166" fontId="42" fillId="0" borderId="2" applyAlignment="1" pivotButton="0" quotePrefix="0" xfId="0">
      <alignment horizontal="right"/>
    </xf>
    <xf numFmtId="0" fontId="70" fillId="5" borderId="2" pivotButton="0" quotePrefix="0" xfId="0"/>
    <xf numFmtId="0" fontId="106" fillId="4" borderId="45" applyAlignment="1" pivotButton="0" quotePrefix="0" xfId="0">
      <alignment horizontal="left"/>
    </xf>
    <xf numFmtId="0" fontId="106" fillId="4" borderId="12" applyAlignment="1" pivotButton="0" quotePrefix="0" xfId="0">
      <alignment horizontal="centerContinuous"/>
    </xf>
    <xf numFmtId="41" fontId="42" fillId="0" borderId="0" pivotButton="0" quotePrefix="0" xfId="0"/>
    <xf numFmtId="41" fontId="42" fillId="0" borderId="2" pivotButton="0" quotePrefix="0" xfId="0"/>
    <xf numFmtId="41" fontId="69" fillId="0" borderId="2" pivotButton="0" quotePrefix="0" xfId="0"/>
    <xf numFmtId="41" fontId="69" fillId="0" borderId="10" pivotButton="0" quotePrefix="0" xfId="0"/>
    <xf numFmtId="41" fontId="69" fillId="0" borderId="9" pivotButton="0" quotePrefix="0" xfId="0"/>
    <xf numFmtId="0" fontId="105" fillId="3" borderId="0" applyAlignment="1" pivotButton="0" quotePrefix="0" xfId="0">
      <alignment horizontal="left" wrapText="1"/>
    </xf>
    <xf numFmtId="0" fontId="107" fillId="5" borderId="2" applyAlignment="1" pivotButton="0" quotePrefix="0" xfId="0">
      <alignment horizontal="left" wrapText="1"/>
    </xf>
    <xf numFmtId="164" fontId="107" fillId="5" borderId="2" applyAlignment="1" pivotButton="0" quotePrefix="0" xfId="0">
      <alignment vertical="center"/>
    </xf>
    <xf numFmtId="165" fontId="110" fillId="5" borderId="2" applyAlignment="1" pivotButton="0" quotePrefix="0" xfId="0">
      <alignment vertical="center"/>
    </xf>
    <xf numFmtId="165" fontId="110" fillId="5" borderId="8" applyAlignment="1" pivotButton="0" quotePrefix="0" xfId="0">
      <alignment vertical="center"/>
    </xf>
    <xf numFmtId="164" fontId="107" fillId="5" borderId="8" applyAlignment="1" pivotButton="0" quotePrefix="0" xfId="0">
      <alignment vertical="center"/>
    </xf>
    <xf numFmtId="184" fontId="100" fillId="5" borderId="0" applyAlignment="1" pivotButton="0" quotePrefix="0" xfId="0">
      <alignment horizontal="right"/>
    </xf>
    <xf numFmtId="184" fontId="100" fillId="5" borderId="10" applyAlignment="1" pivotButton="0" quotePrefix="0" xfId="0">
      <alignment horizontal="right"/>
    </xf>
    <xf numFmtId="184" fontId="100" fillId="5" borderId="6" applyAlignment="1" pivotButton="0" quotePrefix="0" xfId="0">
      <alignment horizontal="right"/>
    </xf>
    <xf numFmtId="0" fontId="117" fillId="3" borderId="4" applyAlignment="1" pivotButton="0" quotePrefix="0" xfId="0">
      <alignment horizontal="left"/>
    </xf>
    <xf numFmtId="0" fontId="105" fillId="0" borderId="0" applyAlignment="1" pivotButton="0" quotePrefix="0" xfId="39">
      <alignment horizontal="left" indent="4"/>
    </xf>
    <xf numFmtId="0" fontId="105" fillId="0" borderId="4" applyAlignment="1" pivotButton="0" quotePrefix="0" xfId="39">
      <alignment horizontal="left" indent="4"/>
    </xf>
    <xf numFmtId="0" fontId="105" fillId="0" borderId="0" applyAlignment="1" pivotButton="0" quotePrefix="0" xfId="39">
      <alignment horizontal="left" indent="3"/>
    </xf>
    <xf numFmtId="0" fontId="105" fillId="0" borderId="4" applyAlignment="1" pivotButton="0" quotePrefix="0" xfId="39">
      <alignment horizontal="left" indent="3"/>
    </xf>
    <xf numFmtId="0" fontId="105" fillId="0" borderId="4" applyAlignment="1" pivotButton="0" quotePrefix="0" xfId="39">
      <alignment horizontal="left" indent="2"/>
    </xf>
    <xf numFmtId="166" fontId="114" fillId="0" borderId="4" applyAlignment="1" pivotButton="0" quotePrefix="0" xfId="37">
      <alignment horizontal="right"/>
    </xf>
    <xf numFmtId="166" fontId="114" fillId="0" borderId="11" applyAlignment="1" pivotButton="0" quotePrefix="0" xfId="37">
      <alignment horizontal="right"/>
    </xf>
    <xf numFmtId="166" fontId="114" fillId="0" borderId="7" applyAlignment="1" pivotButton="0" quotePrefix="0" xfId="37">
      <alignment horizontal="right"/>
    </xf>
    <xf numFmtId="166" fontId="114" fillId="0" borderId="38" applyAlignment="1" pivotButton="0" quotePrefix="0" xfId="37">
      <alignment horizontal="right"/>
    </xf>
    <xf numFmtId="166" fontId="114" fillId="0" borderId="40" applyAlignment="1" pivotButton="0" quotePrefix="0" xfId="37">
      <alignment horizontal="right"/>
    </xf>
    <xf numFmtId="0" fontId="113" fillId="0" borderId="4" applyAlignment="1" pivotButton="0" quotePrefix="0" xfId="37">
      <alignment horizontal="left" indent="2"/>
    </xf>
    <xf numFmtId="0" fontId="114" fillId="0" borderId="4" applyAlignment="1" pivotButton="0" quotePrefix="0" xfId="37">
      <alignment horizontal="left" indent="2"/>
    </xf>
    <xf numFmtId="0" fontId="114" fillId="0" borderId="0" applyAlignment="1" pivotButton="0" quotePrefix="0" xfId="36">
      <alignment horizontal="left" indent="3"/>
    </xf>
    <xf numFmtId="166" fontId="114" fillId="0" borderId="38" applyAlignment="1" pivotButton="0" quotePrefix="0" xfId="36">
      <alignment horizontal="right"/>
    </xf>
    <xf numFmtId="0" fontId="114" fillId="0" borderId="4" applyAlignment="1" pivotButton="0" quotePrefix="0" xfId="36">
      <alignment horizontal="left" indent="3"/>
    </xf>
    <xf numFmtId="166" fontId="114" fillId="0" borderId="4" applyAlignment="1" pivotButton="0" quotePrefix="0" xfId="36">
      <alignment horizontal="right"/>
    </xf>
    <xf numFmtId="166" fontId="114" fillId="0" borderId="11" applyAlignment="1" pivotButton="0" quotePrefix="0" xfId="36">
      <alignment horizontal="right"/>
    </xf>
    <xf numFmtId="166" fontId="114" fillId="0" borderId="40" applyAlignment="1" pivotButton="0" quotePrefix="0" xfId="36">
      <alignment horizontal="right"/>
    </xf>
    <xf numFmtId="0" fontId="114" fillId="0" borderId="0" applyAlignment="1" pivotButton="0" quotePrefix="0" xfId="36">
      <alignment horizontal="left" indent="2"/>
    </xf>
    <xf numFmtId="0" fontId="114" fillId="0" borderId="4" applyAlignment="1" pivotButton="0" quotePrefix="0" xfId="36">
      <alignment horizontal="left" indent="2"/>
    </xf>
    <xf numFmtId="166" fontId="114" fillId="0" borderId="7" applyAlignment="1" pivotButton="0" quotePrefix="0" xfId="36">
      <alignment horizontal="right"/>
    </xf>
    <xf numFmtId="0" fontId="41" fillId="0" borderId="0" applyAlignment="1" pivotButton="0" quotePrefix="0" xfId="2">
      <alignment horizontal="left"/>
    </xf>
    <xf numFmtId="0" fontId="99" fillId="0" borderId="0" applyAlignment="1" pivotButton="0" quotePrefix="0" xfId="2">
      <alignment horizontal="left"/>
    </xf>
    <xf numFmtId="165" fontId="113" fillId="0" borderId="4" applyAlignment="1" pivotButton="0" quotePrefix="0" xfId="36">
      <alignment horizontal="right"/>
    </xf>
    <xf numFmtId="165" fontId="113" fillId="0" borderId="11" applyAlignment="1" pivotButton="0" quotePrefix="0" xfId="36">
      <alignment horizontal="right"/>
    </xf>
    <xf numFmtId="165" fontId="113" fillId="0" borderId="7" applyAlignment="1" pivotButton="0" quotePrefix="0" xfId="36">
      <alignment horizontal="right"/>
    </xf>
    <xf numFmtId="0" fontId="105" fillId="0" borderId="0" applyAlignment="1" pivotButton="0" quotePrefix="0" xfId="32">
      <alignment horizontal="left" indent="1"/>
    </xf>
    <xf numFmtId="164" fontId="105" fillId="0" borderId="0" pivotButton="0" quotePrefix="0" xfId="32"/>
    <xf numFmtId="164" fontId="105" fillId="0" borderId="10" pivotButton="0" quotePrefix="0" xfId="32"/>
    <xf numFmtId="164" fontId="105" fillId="0" borderId="6" pivotButton="0" quotePrefix="0" xfId="32"/>
    <xf numFmtId="165" fontId="109" fillId="0" borderId="10" pivotButton="0" quotePrefix="0" xfId="32"/>
    <xf numFmtId="165" fontId="109" fillId="0" borderId="6" pivotButton="0" quotePrefix="0" xfId="32"/>
    <xf numFmtId="0" fontId="105" fillId="0" borderId="0" applyAlignment="1" pivotButton="0" quotePrefix="0" xfId="32">
      <alignment horizontal="left" indent="3"/>
    </xf>
    <xf numFmtId="0" fontId="105" fillId="0" borderId="4" applyAlignment="1" pivotButton="0" quotePrefix="0" xfId="32">
      <alignment horizontal="left" indent="3"/>
    </xf>
    <xf numFmtId="164" fontId="105" fillId="0" borderId="4" pivotButton="0" quotePrefix="0" xfId="32"/>
    <xf numFmtId="164" fontId="105" fillId="0" borderId="11" pivotButton="0" quotePrefix="0" xfId="32"/>
    <xf numFmtId="164" fontId="105" fillId="0" borderId="7" pivotButton="0" quotePrefix="0" xfId="32"/>
    <xf numFmtId="165" fontId="109" fillId="0" borderId="11" pivotButton="0" quotePrefix="0" xfId="32"/>
    <xf numFmtId="165" fontId="109" fillId="0" borderId="7" pivotButton="0" quotePrefix="0" xfId="32"/>
    <xf numFmtId="0" fontId="105" fillId="0" borderId="0" applyAlignment="1" pivotButton="0" quotePrefix="0" xfId="32">
      <alignment horizontal="left" indent="2"/>
    </xf>
    <xf numFmtId="0" fontId="105" fillId="0" borderId="4" applyAlignment="1" pivotButton="0" quotePrefix="0" xfId="32">
      <alignment horizontal="left" indent="2"/>
    </xf>
    <xf numFmtId="0" fontId="107" fillId="0" borderId="0" applyAlignment="1" pivotButton="0" quotePrefix="0" xfId="32">
      <alignment horizontal="left" vertical="center"/>
    </xf>
    <xf numFmtId="164" fontId="107" fillId="0" borderId="0" applyAlignment="1" pivotButton="0" quotePrefix="0" xfId="32">
      <alignment vertical="center"/>
    </xf>
    <xf numFmtId="165" fontId="110" fillId="0" borderId="0" applyAlignment="1" pivotButton="0" quotePrefix="0" xfId="32">
      <alignment vertical="center"/>
    </xf>
    <xf numFmtId="0" fontId="106" fillId="4" borderId="73" applyAlignment="1" pivotButton="0" quotePrefix="0" xfId="0">
      <alignment horizontal="right"/>
    </xf>
    <xf numFmtId="0" fontId="106" fillId="4" borderId="12" applyAlignment="1" pivotButton="0" quotePrefix="0" xfId="0">
      <alignment horizontal="right"/>
    </xf>
    <xf numFmtId="0" fontId="106" fillId="4" borderId="33" applyAlignment="1" pivotButton="0" quotePrefix="0" xfId="0">
      <alignment horizontal="right"/>
    </xf>
    <xf numFmtId="0" fontId="106" fillId="4" borderId="33" applyAlignment="1" pivotButton="0" quotePrefix="0" xfId="0">
      <alignment horizontal="right" vertical="center" wrapText="1"/>
    </xf>
    <xf numFmtId="0" fontId="106" fillId="4" borderId="0" applyAlignment="1" pivotButton="0" quotePrefix="0" xfId="0">
      <alignment horizontal="right"/>
    </xf>
    <xf numFmtId="0" fontId="97" fillId="17" borderId="12" applyAlignment="1" pivotButton="0" quotePrefix="0" xfId="36">
      <alignment horizontal="centerContinuous"/>
    </xf>
    <xf numFmtId="17" fontId="106" fillId="17" borderId="73" applyAlignment="1" pivotButton="0" quotePrefix="0" xfId="32">
      <alignment horizontal="right"/>
    </xf>
    <xf numFmtId="0" fontId="172" fillId="17" borderId="12" applyAlignment="1" pivotButton="0" quotePrefix="0" xfId="36">
      <alignment horizontal="centerContinuous"/>
    </xf>
    <xf numFmtId="17" fontId="108" fillId="17" borderId="73" applyAlignment="1" pivotButton="0" quotePrefix="0" xfId="43">
      <alignment horizontal="right"/>
    </xf>
    <xf numFmtId="17" fontId="108" fillId="17" borderId="73" applyAlignment="1" pivotButton="0" quotePrefix="0" xfId="32">
      <alignment horizontal="right"/>
    </xf>
    <xf numFmtId="164" fontId="106" fillId="2" borderId="0" applyAlignment="1" pivotButton="0" quotePrefix="0" xfId="2">
      <alignment vertical="center"/>
    </xf>
    <xf numFmtId="17" fontId="106" fillId="4" borderId="15" applyAlignment="1" pivotButton="0" quotePrefix="0" xfId="2">
      <alignment horizontal="right"/>
    </xf>
    <xf numFmtId="17" fontId="106" fillId="6" borderId="15" applyAlignment="1" pivotButton="0" quotePrefix="0" xfId="2">
      <alignment horizontal="right"/>
    </xf>
    <xf numFmtId="17" fontId="106" fillId="12" borderId="15" applyAlignment="1" pivotButton="0" quotePrefix="0" xfId="2">
      <alignment horizontal="right"/>
    </xf>
    <xf numFmtId="17" fontId="106" fillId="6" borderId="12" applyAlignment="1" pivotButton="0" quotePrefix="0" xfId="2">
      <alignment horizontal="centerContinuous"/>
    </xf>
    <xf numFmtId="17" fontId="106" fillId="6" borderId="68" applyAlignment="1" pivotButton="0" quotePrefix="0" xfId="2">
      <alignment horizontal="right"/>
    </xf>
    <xf numFmtId="17" fontId="106" fillId="12" borderId="12" applyAlignment="1" pivotButton="0" quotePrefix="0" xfId="2">
      <alignment horizontal="centerContinuous"/>
    </xf>
    <xf numFmtId="17" fontId="106" fillId="12" borderId="68" applyAlignment="1" pivotButton="0" quotePrefix="0" xfId="2">
      <alignment horizontal="right"/>
    </xf>
    <xf numFmtId="17" fontId="106" fillId="4" borderId="12" applyAlignment="1" pivotButton="0" quotePrefix="0" xfId="2">
      <alignment horizontal="centerContinuous"/>
    </xf>
    <xf numFmtId="17" fontId="106" fillId="4" borderId="68" applyAlignment="1" pivotButton="0" quotePrefix="0" xfId="2">
      <alignment horizontal="right"/>
    </xf>
    <xf numFmtId="0" fontId="106" fillId="2" borderId="1" applyAlignment="1" pivotButton="0" quotePrefix="0" xfId="0">
      <alignment vertical="center"/>
    </xf>
    <xf numFmtId="0" fontId="114" fillId="0" borderId="4" pivotButton="0" quotePrefix="0" xfId="37"/>
    <xf numFmtId="164" fontId="105" fillId="0" borderId="0" applyAlignment="1" pivotButton="0" quotePrefix="0" xfId="0">
      <alignment horizontal="left"/>
    </xf>
    <xf numFmtId="164" fontId="105" fillId="0" borderId="4" applyAlignment="1" pivotButton="0" quotePrefix="0" xfId="0">
      <alignment horizontal="left"/>
    </xf>
    <xf numFmtId="164" fontId="105" fillId="0" borderId="5" pivotButton="0" quotePrefix="0" xfId="0"/>
    <xf numFmtId="164" fontId="105" fillId="0" borderId="78" pivotButton="0" quotePrefix="0" xfId="0"/>
    <xf numFmtId="17" fontId="106" fillId="6" borderId="68" applyAlignment="1" pivotButton="0" quotePrefix="0" xfId="0">
      <alignment horizontal="right"/>
    </xf>
    <xf numFmtId="0" fontId="106" fillId="4" borderId="12" applyAlignment="1" pivotButton="0" quotePrefix="0" xfId="37">
      <alignment horizontal="centerContinuous" vertical="center"/>
    </xf>
    <xf numFmtId="43" fontId="114" fillId="0" borderId="10" applyAlignment="1" pivotButton="0" quotePrefix="0" xfId="37">
      <alignment horizontal="right"/>
    </xf>
    <xf numFmtId="43" fontId="114" fillId="0" borderId="0" applyAlignment="1" pivotButton="0" quotePrefix="0" xfId="37">
      <alignment horizontal="right"/>
    </xf>
    <xf numFmtId="43" fontId="114" fillId="0" borderId="6" applyAlignment="1" pivotButton="0" quotePrefix="0" xfId="37">
      <alignment horizontal="right"/>
    </xf>
    <xf numFmtId="43" fontId="114" fillId="0" borderId="4" applyAlignment="1" pivotButton="0" quotePrefix="0" xfId="37">
      <alignment horizontal="right"/>
    </xf>
    <xf numFmtId="43" fontId="114" fillId="0" borderId="11" applyAlignment="1" pivotButton="0" quotePrefix="0" xfId="37">
      <alignment horizontal="right"/>
    </xf>
    <xf numFmtId="43" fontId="114" fillId="0" borderId="7" applyAlignment="1" pivotButton="0" quotePrefix="0" xfId="37">
      <alignment horizontal="right"/>
    </xf>
    <xf numFmtId="17" fontId="106" fillId="4" borderId="68" applyAlignment="1" pivotButton="0" quotePrefix="0" xfId="0">
      <alignment horizontal="right"/>
    </xf>
    <xf numFmtId="0" fontId="69" fillId="0" borderId="0" applyAlignment="1" pivotButton="0" quotePrefix="0" xfId="1">
      <alignment horizontal="center"/>
    </xf>
    <xf numFmtId="0" fontId="69" fillId="0" borderId="0" applyAlignment="1" pivotButton="0" quotePrefix="0" xfId="4">
      <alignment horizontal="center"/>
    </xf>
    <xf numFmtId="0" fontId="69" fillId="0" borderId="0" applyAlignment="1" pivotButton="0" quotePrefix="0" xfId="3">
      <alignment horizontal="center"/>
    </xf>
    <xf numFmtId="0" fontId="97" fillId="4" borderId="63" applyAlignment="1" pivotButton="0" quotePrefix="0" xfId="3">
      <alignment horizontal="center"/>
    </xf>
    <xf numFmtId="176" fontId="97" fillId="4" borderId="115" applyAlignment="1" pivotButton="0" quotePrefix="0" xfId="3">
      <alignment horizontal="center" wrapText="1"/>
    </xf>
    <xf numFmtId="166" fontId="107" fillId="3" borderId="0" applyAlignment="1" pivotButton="0" quotePrefix="0" xfId="3">
      <alignment horizontal="center" wrapText="1"/>
    </xf>
    <xf numFmtId="0" fontId="98" fillId="0" borderId="0" applyAlignment="1" pivotButton="0" quotePrefix="0" xfId="3">
      <alignment horizontal="center"/>
    </xf>
    <xf numFmtId="166" fontId="107" fillId="0" borderId="0" applyAlignment="1" pivotButton="0" quotePrefix="0" xfId="3">
      <alignment horizontal="center"/>
    </xf>
    <xf numFmtId="166" fontId="100" fillId="0" borderId="0" applyAlignment="1" pivotButton="0" quotePrefix="0" xfId="3">
      <alignment horizontal="center"/>
    </xf>
    <xf numFmtId="0" fontId="95" fillId="0" borderId="0" applyAlignment="1" pivotButton="0" quotePrefix="0" xfId="3">
      <alignment horizontal="center"/>
    </xf>
    <xf numFmtId="0" fontId="69" fillId="0" borderId="0" applyAlignment="1" pivotButton="0" quotePrefix="0" xfId="3">
      <alignment horizontal="left"/>
    </xf>
    <xf numFmtId="0" fontId="97" fillId="4" borderId="63" applyAlignment="1" pivotButton="0" quotePrefix="0" xfId="3">
      <alignment horizontal="left"/>
    </xf>
    <xf numFmtId="176" fontId="99" fillId="4" borderId="115" applyAlignment="1" pivotButton="0" quotePrefix="0" xfId="3">
      <alignment horizontal="left" wrapText="1"/>
    </xf>
    <xf numFmtId="166" fontId="105" fillId="0" borderId="0" applyAlignment="1" pivotButton="0" quotePrefix="0" xfId="3">
      <alignment horizontal="left"/>
    </xf>
    <xf numFmtId="166" fontId="100" fillId="0" borderId="0" applyAlignment="1" pivotButton="0" quotePrefix="0" xfId="3">
      <alignment horizontal="left"/>
    </xf>
    <xf numFmtId="0" fontId="95" fillId="0" borderId="0" applyAlignment="1" pivotButton="0" quotePrefix="0" xfId="3">
      <alignment horizontal="left"/>
    </xf>
    <xf numFmtId="17" fontId="106" fillId="4" borderId="12" applyAlignment="1" pivotButton="0" quotePrefix="0" xfId="27">
      <alignment horizontal="centerContinuous"/>
    </xf>
    <xf numFmtId="17" fontId="106" fillId="4" borderId="68" applyAlignment="1" pivotButton="0" quotePrefix="0" xfId="27">
      <alignment horizontal="right"/>
    </xf>
    <xf numFmtId="17" fontId="106" fillId="19" borderId="12" applyAlignment="1" pivotButton="0" quotePrefix="0" xfId="27">
      <alignment horizontal="centerContinuous"/>
    </xf>
    <xf numFmtId="17" fontId="106" fillId="19" borderId="68" applyAlignment="1" pivotButton="0" quotePrefix="0" xfId="27">
      <alignment horizontal="right"/>
    </xf>
    <xf numFmtId="17" fontId="106" fillId="6" borderId="12" applyAlignment="1" pivotButton="0" quotePrefix="0" xfId="27">
      <alignment horizontal="centerContinuous"/>
    </xf>
    <xf numFmtId="17" fontId="106" fillId="6" borderId="68" applyAlignment="1" pivotButton="0" quotePrefix="0" xfId="27">
      <alignment horizontal="right"/>
    </xf>
    <xf numFmtId="17" fontId="108" fillId="6" borderId="12" applyAlignment="1" pivotButton="0" quotePrefix="0" xfId="0">
      <alignment horizontal="centerContinuous"/>
    </xf>
    <xf numFmtId="17" fontId="108" fillId="6" borderId="68" applyAlignment="1" pivotButton="0" quotePrefix="0" xfId="0">
      <alignment horizontal="right"/>
    </xf>
    <xf numFmtId="0" fontId="105" fillId="0" borderId="0" applyAlignment="1" pivotButton="0" quotePrefix="0" xfId="27">
      <alignment horizontal="left" vertical="center" indent="2"/>
    </xf>
    <xf numFmtId="0" fontId="105" fillId="0" borderId="4" applyAlignment="1" pivotButton="0" quotePrefix="0" xfId="27">
      <alignment horizontal="left" vertical="center" indent="2"/>
    </xf>
    <xf numFmtId="0" fontId="105" fillId="0" borderId="4" applyAlignment="1" pivotButton="0" quotePrefix="0" xfId="27">
      <alignment horizontal="left" vertical="center"/>
    </xf>
    <xf numFmtId="0" fontId="105" fillId="0" borderId="0" applyAlignment="1" pivotButton="0" quotePrefix="0" xfId="27">
      <alignment horizontal="left" vertical="center"/>
    </xf>
    <xf numFmtId="0" fontId="106" fillId="2" borderId="0" applyAlignment="1" pivotButton="0" quotePrefix="0" xfId="56">
      <alignment vertical="center"/>
    </xf>
    <xf numFmtId="164" fontId="106" fillId="2" borderId="0" applyAlignment="1" pivotButton="0" quotePrefix="0" xfId="57">
      <alignment vertical="center"/>
    </xf>
    <xf numFmtId="0" fontId="106" fillId="4" borderId="0" pivotButton="0" quotePrefix="0" xfId="56"/>
    <xf numFmtId="0" fontId="152" fillId="0" borderId="0" applyAlignment="1" pivotButton="0" quotePrefix="0" xfId="2">
      <alignment horizontal="left"/>
    </xf>
    <xf numFmtId="177" fontId="106" fillId="4" borderId="45" applyAlignment="1" pivotButton="0" quotePrefix="0" xfId="57">
      <alignment horizontal="right"/>
    </xf>
    <xf numFmtId="177" fontId="106" fillId="4" borderId="68" applyAlignment="1" pivotButton="0" quotePrefix="0" xfId="57">
      <alignment horizontal="right"/>
    </xf>
    <xf numFmtId="17" fontId="106" fillId="4" borderId="68" applyAlignment="1" pivotButton="0" quotePrefix="0" xfId="57">
      <alignment horizontal="right"/>
    </xf>
    <xf numFmtId="17" fontId="106" fillId="4" borderId="36" applyAlignment="1" pivotButton="0" quotePrefix="0" xfId="57">
      <alignment horizontal="right"/>
    </xf>
    <xf numFmtId="17" fontId="106" fillId="4" borderId="36" applyAlignment="1" pivotButton="0" quotePrefix="0" xfId="57">
      <alignment horizontal="right" vertical="center" wrapText="1"/>
    </xf>
    <xf numFmtId="17" fontId="106" fillId="4" borderId="51" applyAlignment="1" pivotButton="0" quotePrefix="0" xfId="57">
      <alignment horizontal="right" vertical="center" wrapText="1"/>
    </xf>
    <xf numFmtId="17" fontId="108" fillId="17" borderId="34" applyAlignment="1" pivotButton="0" quotePrefix="0" xfId="56">
      <alignment horizontal="right"/>
    </xf>
    <xf numFmtId="17" fontId="108" fillId="17" borderId="35" applyAlignment="1" pivotButton="0" quotePrefix="0" xfId="56">
      <alignment horizontal="right"/>
    </xf>
    <xf numFmtId="17" fontId="108" fillId="17" borderId="73" applyAlignment="1" pivotButton="0" quotePrefix="0" xfId="56">
      <alignment horizontal="right"/>
    </xf>
    <xf numFmtId="17" fontId="108" fillId="17" borderId="34" applyAlignment="1" pivotButton="0" quotePrefix="0" xfId="56">
      <alignment horizontal="right" vertical="center" wrapText="1"/>
    </xf>
    <xf numFmtId="17" fontId="108" fillId="17" borderId="85" applyAlignment="1" pivotButton="0" quotePrefix="0" xfId="56">
      <alignment horizontal="right" vertical="center" wrapText="1"/>
    </xf>
    <xf numFmtId="167" fontId="109" fillId="0" borderId="0" applyAlignment="1" pivotButton="0" quotePrefix="0" xfId="57">
      <alignment horizontal="right"/>
    </xf>
    <xf numFmtId="167" fontId="110" fillId="5" borderId="3" applyAlignment="1" pivotButton="0" quotePrefix="0" xfId="37">
      <alignment horizontal="right" vertical="center"/>
    </xf>
    <xf numFmtId="167" fontId="110" fillId="5" borderId="27" applyAlignment="1" pivotButton="0" quotePrefix="0" xfId="37">
      <alignment horizontal="right" vertical="center"/>
    </xf>
    <xf numFmtId="167" fontId="110" fillId="5" borderId="49" applyAlignment="1" pivotButton="0" quotePrefix="0" xfId="37">
      <alignment horizontal="right" vertical="center"/>
    </xf>
    <xf numFmtId="0" fontId="128" fillId="0" borderId="0" applyAlignment="1" pivotButton="0" quotePrefix="0" xfId="2">
      <alignment horizontal="left"/>
    </xf>
    <xf numFmtId="0" fontId="106" fillId="4" borderId="0" applyAlignment="1" pivotButton="0" quotePrefix="0" xfId="37">
      <alignment horizontal="centerContinuous" vertical="center"/>
    </xf>
    <xf numFmtId="17" fontId="106" fillId="4" borderId="0" applyAlignment="1" pivotButton="0" quotePrefix="0" xfId="37">
      <alignment horizontal="left"/>
    </xf>
    <xf numFmtId="0" fontId="106" fillId="4" borderId="28" applyAlignment="1" pivotButton="0" quotePrefix="0" xfId="37">
      <alignment horizontal="centerContinuous" vertical="center"/>
    </xf>
    <xf numFmtId="43" fontId="114" fillId="0" borderId="0" pivotButton="0" quotePrefix="0" xfId="37"/>
    <xf numFmtId="17" fontId="106" fillId="4" borderId="45" applyAlignment="1" pivotButton="0" quotePrefix="0" xfId="37">
      <alignment horizontal="right"/>
    </xf>
    <xf numFmtId="17" fontId="106" fillId="4" borderId="68" applyAlignment="1" pivotButton="0" quotePrefix="0" xfId="37">
      <alignment horizontal="right"/>
    </xf>
    <xf numFmtId="17" fontId="106" fillId="4" borderId="36" applyAlignment="1" pivotButton="0" quotePrefix="0" xfId="37">
      <alignment horizontal="right"/>
    </xf>
    <xf numFmtId="17" fontId="106" fillId="4" borderId="51" applyAlignment="1" pivotButton="0" quotePrefix="0" xfId="37">
      <alignment horizontal="right" wrapText="1"/>
    </xf>
    <xf numFmtId="0" fontId="106" fillId="4" borderId="50" applyAlignment="1" pivotButton="0" quotePrefix="0" xfId="37">
      <alignment horizontal="centerContinuous" vertical="center"/>
    </xf>
    <xf numFmtId="164" fontId="107" fillId="5" borderId="3" applyAlignment="1" pivotButton="0" quotePrefix="0" xfId="0">
      <alignment horizontal="left" vertical="center"/>
    </xf>
    <xf numFmtId="0" fontId="40" fillId="3" borderId="4" applyAlignment="1" pivotButton="0" quotePrefix="0" xfId="0">
      <alignment horizontal="left" indent="2"/>
    </xf>
    <xf numFmtId="0" fontId="40" fillId="0" borderId="0" applyAlignment="1" pivotButton="0" quotePrefix="0" xfId="0">
      <alignment horizontal="left" indent="1"/>
    </xf>
    <xf numFmtId="164" fontId="105" fillId="3" borderId="28" pivotButton="0" quotePrefix="0" xfId="0"/>
    <xf numFmtId="164" fontId="105" fillId="3" borderId="116" pivotButton="0" quotePrefix="0" xfId="0"/>
    <xf numFmtId="164" fontId="105" fillId="3" borderId="117" pivotButton="0" quotePrefix="0" xfId="0"/>
    <xf numFmtId="164" fontId="105" fillId="0" borderId="117" pivotButton="0" quotePrefix="0" xfId="0"/>
    <xf numFmtId="164" fontId="105" fillId="3" borderId="118" pivotButton="0" quotePrefix="0" xfId="0"/>
    <xf numFmtId="164" fontId="107" fillId="5" borderId="119" pivotButton="0" quotePrefix="0" xfId="0"/>
    <xf numFmtId="0" fontId="39" fillId="0" borderId="0" applyAlignment="1" pivotButton="0" quotePrefix="0" xfId="0">
      <alignment horizontal="left" indent="2"/>
    </xf>
    <xf numFmtId="0" fontId="39" fillId="3" borderId="4" applyAlignment="1" pivotButton="0" quotePrefix="0" xfId="0">
      <alignment horizontal="left" indent="2"/>
    </xf>
    <xf numFmtId="0" fontId="38" fillId="0" borderId="0" pivotButton="0" quotePrefix="0" xfId="51"/>
    <xf numFmtId="164" fontId="62" fillId="0" borderId="0" pivotButton="0" quotePrefix="0" xfId="51"/>
    <xf numFmtId="0" fontId="37" fillId="0" borderId="0" applyAlignment="1" pivotButton="0" quotePrefix="0" xfId="0">
      <alignment horizontal="left" indent="1"/>
    </xf>
    <xf numFmtId="0" fontId="37" fillId="0" borderId="4" applyAlignment="1" pivotButton="0" quotePrefix="0" xfId="1">
      <alignment horizontal="left" indent="1"/>
    </xf>
    <xf numFmtId="0" fontId="37" fillId="0" borderId="4" applyAlignment="1" pivotButton="0" quotePrefix="0" xfId="1">
      <alignment horizontal="left" indent="3"/>
    </xf>
    <xf numFmtId="0" fontId="37" fillId="0" borderId="4" applyAlignment="1" pivotButton="0" quotePrefix="0" xfId="1">
      <alignment horizontal="left" indent="4"/>
    </xf>
    <xf numFmtId="0" fontId="37" fillId="0" borderId="0" applyAlignment="1" pivotButton="0" quotePrefix="0" xfId="1">
      <alignment horizontal="left" indent="3"/>
    </xf>
    <xf numFmtId="0" fontId="36" fillId="2" borderId="0" pivotButton="0" quotePrefix="0" xfId="11"/>
    <xf numFmtId="0" fontId="36" fillId="2" borderId="0" pivotButton="0" quotePrefix="0" xfId="6"/>
    <xf numFmtId="0" fontId="106" fillId="2" borderId="1" applyAlignment="1" pivotButton="0" quotePrefix="0" xfId="37">
      <alignment horizontal="left" vertical="center"/>
    </xf>
    <xf numFmtId="164" fontId="106" fillId="2" borderId="1" applyAlignment="1" pivotButton="0" quotePrefix="0" xfId="37">
      <alignment vertical="center"/>
    </xf>
    <xf numFmtId="164" fontId="105" fillId="3" borderId="0" pivotButton="0" quotePrefix="0" xfId="37"/>
    <xf numFmtId="164" fontId="105" fillId="3" borderId="10" pivotButton="0" quotePrefix="0" xfId="37"/>
    <xf numFmtId="164" fontId="105" fillId="3" borderId="4" pivotButton="0" quotePrefix="0" xfId="37"/>
    <xf numFmtId="164" fontId="105" fillId="3" borderId="11" pivotButton="0" quotePrefix="0" xfId="37"/>
    <xf numFmtId="0" fontId="107" fillId="5" borderId="2" applyAlignment="1" pivotButton="0" quotePrefix="0" xfId="37">
      <alignment horizontal="left"/>
    </xf>
    <xf numFmtId="164" fontId="107" fillId="5" borderId="2" pivotButton="0" quotePrefix="0" xfId="37"/>
    <xf numFmtId="164" fontId="107" fillId="5" borderId="9" pivotButton="0" quotePrefix="0" xfId="37"/>
    <xf numFmtId="0" fontId="181" fillId="0" borderId="0" pivotButton="0" quotePrefix="0" xfId="4"/>
    <xf numFmtId="0" fontId="35" fillId="0" borderId="0" pivotButton="0" quotePrefix="0" xfId="0"/>
    <xf numFmtId="0" fontId="105" fillId="3" borderId="0" applyAlignment="1" pivotButton="0" quotePrefix="0" xfId="37">
      <alignment horizontal="left" indent="1"/>
    </xf>
    <xf numFmtId="0" fontId="105" fillId="3" borderId="4" applyAlignment="1" pivotButton="0" quotePrefix="0" xfId="37">
      <alignment horizontal="left" indent="1"/>
    </xf>
    <xf numFmtId="166" fontId="35" fillId="0" borderId="0" applyAlignment="1" pivotButton="0" quotePrefix="0" xfId="0">
      <alignment horizontal="right"/>
    </xf>
    <xf numFmtId="0" fontId="35" fillId="0" borderId="0" applyAlignment="1" pivotButton="0" quotePrefix="0" xfId="0">
      <alignment horizontal="left" indent="1"/>
    </xf>
    <xf numFmtId="0" fontId="70" fillId="0" borderId="0" applyAlignment="1" pivotButton="0" quotePrefix="0" xfId="0">
      <alignment horizontal="left" indent="1"/>
    </xf>
    <xf numFmtId="0" fontId="70" fillId="3" borderId="4" applyAlignment="1" pivotButton="0" quotePrefix="0" xfId="0">
      <alignment horizontal="left" indent="1"/>
    </xf>
    <xf numFmtId="166" fontId="35" fillId="3" borderId="4" applyAlignment="1" pivotButton="0" quotePrefix="0" xfId="0">
      <alignment horizontal="right"/>
    </xf>
    <xf numFmtId="0" fontId="107" fillId="5" borderId="0" applyAlignment="1" pivotButton="0" quotePrefix="0" xfId="0">
      <alignment horizontal="left" vertical="center"/>
    </xf>
    <xf numFmtId="164" fontId="107" fillId="5" borderId="0" applyAlignment="1" pivotButton="0" quotePrefix="0" xfId="0">
      <alignment vertical="center"/>
    </xf>
    <xf numFmtId="0" fontId="35" fillId="0" borderId="0" applyAlignment="1" pivotButton="0" quotePrefix="0" xfId="0">
      <alignment horizontal="left"/>
    </xf>
    <xf numFmtId="166" fontId="35" fillId="5" borderId="0" applyAlignment="1" pivotButton="0" quotePrefix="0" xfId="0">
      <alignment horizontal="right"/>
    </xf>
    <xf numFmtId="0" fontId="45" fillId="3" borderId="4" applyAlignment="1" pivotButton="0" quotePrefix="0" xfId="0">
      <alignment horizontal="left" indent="1"/>
    </xf>
    <xf numFmtId="166" fontId="35" fillId="16" borderId="4" applyAlignment="1" pivotButton="0" quotePrefix="0" xfId="0">
      <alignment horizontal="right"/>
    </xf>
    <xf numFmtId="166" fontId="35" fillId="0" borderId="6" applyAlignment="1" pivotButton="0" quotePrefix="0" xfId="0">
      <alignment horizontal="right"/>
    </xf>
    <xf numFmtId="166" fontId="35" fillId="3" borderId="7" applyAlignment="1" pivotButton="0" quotePrefix="0" xfId="0">
      <alignment horizontal="right"/>
    </xf>
    <xf numFmtId="166" fontId="35" fillId="5" borderId="10" applyAlignment="1" pivotButton="0" quotePrefix="0" xfId="0">
      <alignment horizontal="right"/>
    </xf>
    <xf numFmtId="166" fontId="35" fillId="0" borderId="10" applyAlignment="1" pivotButton="0" quotePrefix="0" xfId="0">
      <alignment horizontal="right"/>
    </xf>
    <xf numFmtId="166" fontId="35" fillId="3" borderId="11" applyAlignment="1" pivotButton="0" quotePrefix="0" xfId="0">
      <alignment horizontal="right"/>
    </xf>
    <xf numFmtId="166" fontId="35" fillId="16" borderId="7" applyAlignment="1" pivotButton="0" quotePrefix="0" xfId="0">
      <alignment horizontal="right"/>
    </xf>
    <xf numFmtId="166" fontId="35" fillId="16" borderId="11" applyAlignment="1" pivotButton="0" quotePrefix="0" xfId="0">
      <alignment horizontal="right"/>
    </xf>
    <xf numFmtId="167" fontId="113" fillId="0" borderId="0" applyAlignment="1" pivotButton="0" quotePrefix="0" xfId="8">
      <alignment horizontal="right"/>
    </xf>
    <xf numFmtId="166" fontId="60" fillId="0" borderId="2" applyAlignment="1" pivotButton="0" quotePrefix="0" xfId="0">
      <alignment horizontal="right"/>
    </xf>
    <xf numFmtId="166" fontId="35" fillId="0" borderId="0" applyAlignment="1" pivotButton="0" quotePrefix="0" xfId="0">
      <alignment horizontal="left"/>
    </xf>
    <xf numFmtId="166" fontId="35" fillId="0" borderId="2" applyAlignment="1" pivotButton="0" quotePrefix="0" xfId="0">
      <alignment horizontal="left"/>
    </xf>
    <xf numFmtId="0" fontId="107" fillId="5" borderId="3" applyAlignment="1" pivotButton="0" quotePrefix="0" xfId="51">
      <alignment horizontal="left" vertical="center"/>
    </xf>
    <xf numFmtId="164" fontId="107" fillId="5" borderId="3" applyAlignment="1" pivotButton="0" quotePrefix="0" xfId="51">
      <alignment vertical="center"/>
    </xf>
    <xf numFmtId="164" fontId="107" fillId="5" borderId="27" applyAlignment="1" pivotButton="0" quotePrefix="0" xfId="51">
      <alignment vertical="center"/>
    </xf>
    <xf numFmtId="164" fontId="107" fillId="5" borderId="49" applyAlignment="1" pivotButton="0" quotePrefix="0" xfId="51">
      <alignment vertical="center"/>
    </xf>
    <xf numFmtId="166" fontId="35" fillId="0" borderId="0" applyAlignment="1" pivotButton="0" quotePrefix="0" xfId="51">
      <alignment horizontal="right"/>
    </xf>
    <xf numFmtId="166" fontId="35" fillId="3" borderId="4" applyAlignment="1" pivotButton="0" quotePrefix="0" xfId="51">
      <alignment horizontal="right"/>
    </xf>
    <xf numFmtId="166" fontId="35" fillId="3" borderId="7" applyAlignment="1" pivotButton="0" quotePrefix="0" xfId="51">
      <alignment horizontal="right"/>
    </xf>
    <xf numFmtId="166" fontId="35" fillId="0" borderId="6" applyAlignment="1" pivotButton="0" quotePrefix="0" xfId="51">
      <alignment horizontal="right"/>
    </xf>
    <xf numFmtId="166" fontId="35" fillId="3" borderId="11" applyAlignment="1" pivotButton="0" quotePrefix="0" xfId="51">
      <alignment horizontal="right"/>
    </xf>
    <xf numFmtId="166" fontId="35" fillId="0" borderId="10" applyAlignment="1" pivotButton="0" quotePrefix="0" xfId="51">
      <alignment horizontal="right"/>
    </xf>
    <xf numFmtId="0" fontId="106" fillId="4" borderId="73" applyAlignment="1" pivotButton="0" quotePrefix="0" xfId="1">
      <alignment horizontal="right" wrapText="1"/>
    </xf>
    <xf numFmtId="0" fontId="106" fillId="4" borderId="35" applyAlignment="1" pivotButton="0" quotePrefix="0" xfId="1">
      <alignment horizontal="right" wrapText="1"/>
    </xf>
    <xf numFmtId="0" fontId="106" fillId="4" borderId="34" applyAlignment="1" pivotButton="0" quotePrefix="0" xfId="1">
      <alignment horizontal="right" wrapText="1"/>
    </xf>
    <xf numFmtId="0" fontId="106" fillId="4" borderId="34" applyAlignment="1" pivotButton="0" quotePrefix="0" xfId="1">
      <alignment horizontal="right" vertical="center" wrapText="1"/>
    </xf>
    <xf numFmtId="0" fontId="106" fillId="4" borderId="35" applyAlignment="1" pivotButton="0" quotePrefix="0" xfId="1">
      <alignment horizontal="right" vertical="center" wrapText="1"/>
    </xf>
    <xf numFmtId="0" fontId="106" fillId="4" borderId="120" applyAlignment="1" pivotButton="0" quotePrefix="0" xfId="1">
      <alignment horizontal="right" wrapText="1"/>
    </xf>
    <xf numFmtId="0" fontId="34" fillId="0" borderId="0" pivotButton="0" quotePrefix="0" xfId="0"/>
    <xf numFmtId="0" fontId="34" fillId="2" borderId="0" applyAlignment="1" pivotButton="0" quotePrefix="0" xfId="0">
      <alignment horizontal="left"/>
    </xf>
    <xf numFmtId="0" fontId="34" fillId="0" borderId="0" applyAlignment="1" pivotButton="0" quotePrefix="0" xfId="0">
      <alignment horizontal="left"/>
    </xf>
    <xf numFmtId="166" fontId="100" fillId="3" borderId="0" applyAlignment="1" pivotButton="0" quotePrefix="0" xfId="0">
      <alignment horizontal="right"/>
    </xf>
    <xf numFmtId="0" fontId="0" fillId="3" borderId="0" pivotButton="0" quotePrefix="0" xfId="0"/>
    <xf numFmtId="164" fontId="105" fillId="0" borderId="0" applyAlignment="1" pivotButton="0" quotePrefix="0" xfId="0">
      <alignment horizontal="left" indent="1"/>
    </xf>
    <xf numFmtId="164" fontId="105" fillId="0" borderId="10" applyAlignment="1" pivotButton="0" quotePrefix="0" xfId="0">
      <alignment horizontal="left" indent="1"/>
    </xf>
    <xf numFmtId="164" fontId="105" fillId="0" borderId="6" applyAlignment="1" pivotButton="0" quotePrefix="0" xfId="0">
      <alignment horizontal="left" indent="1"/>
    </xf>
    <xf numFmtId="0" fontId="0" fillId="0" borderId="0" applyAlignment="1" pivotButton="0" quotePrefix="0" xfId="0">
      <alignment horizontal="left" indent="1"/>
    </xf>
    <xf numFmtId="164" fontId="94" fillId="0" borderId="0" pivotButton="0" quotePrefix="0" xfId="0"/>
    <xf numFmtId="0" fontId="33" fillId="0" borderId="0" pivotButton="0" quotePrefix="0" xfId="0"/>
    <xf numFmtId="0" fontId="170" fillId="4" borderId="0" pivotButton="0" quotePrefix="0" xfId="39"/>
    <xf numFmtId="17" fontId="170" fillId="4" borderId="36" applyAlignment="1" pivotButton="0" quotePrefix="0" xfId="38">
      <alignment horizontal="right" wrapText="1"/>
    </xf>
    <xf numFmtId="0" fontId="164" fillId="0" borderId="0" pivotButton="0" quotePrefix="0" xfId="38"/>
    <xf numFmtId="0" fontId="107" fillId="5" borderId="1" applyAlignment="1" pivotButton="0" quotePrefix="0" xfId="5">
      <alignment vertical="center"/>
    </xf>
    <xf numFmtId="168" fontId="107" fillId="5" borderId="1" applyAlignment="1" pivotButton="0" quotePrefix="0" xfId="5">
      <alignment horizontal="right" vertical="center"/>
    </xf>
    <xf numFmtId="168" fontId="107" fillId="5" borderId="23" applyAlignment="1" pivotButton="0" quotePrefix="0" xfId="5">
      <alignment horizontal="right" vertical="center"/>
    </xf>
    <xf numFmtId="17" fontId="106" fillId="4" borderId="121" applyAlignment="1" pivotButton="0" quotePrefix="0" xfId="0">
      <alignment horizontal="centerContinuous"/>
    </xf>
    <xf numFmtId="0" fontId="106" fillId="4" borderId="35" applyAlignment="1" pivotButton="0" quotePrefix="0" xfId="0">
      <alignment horizontal="right"/>
    </xf>
    <xf numFmtId="0" fontId="106" fillId="4" borderId="54" applyAlignment="1" pivotButton="0" quotePrefix="0" xfId="0">
      <alignment horizontal="right"/>
    </xf>
    <xf numFmtId="0" fontId="32" fillId="0" borderId="0" pivotButton="0" quotePrefix="0" xfId="0"/>
    <xf numFmtId="0" fontId="31" fillId="2" borderId="0" pivotButton="0" quotePrefix="0" xfId="11"/>
    <xf numFmtId="0" fontId="31" fillId="2" borderId="0" pivotButton="0" quotePrefix="0" xfId="6"/>
    <xf numFmtId="0" fontId="31" fillId="7" borderId="0" pivotButton="0" quotePrefix="0" xfId="5"/>
    <xf numFmtId="41" fontId="128" fillId="0" borderId="0" pivotButton="0" quotePrefix="0" xfId="0"/>
    <xf numFmtId="197" fontId="114" fillId="0" borderId="0" applyAlignment="1" pivotButton="0" quotePrefix="0" xfId="27">
      <alignment vertical="center"/>
    </xf>
    <xf numFmtId="166" fontId="114" fillId="0" borderId="0" applyAlignment="1" pivotButton="0" quotePrefix="0" xfId="27">
      <alignment vertical="center"/>
    </xf>
    <xf numFmtId="166" fontId="105" fillId="3" borderId="0" applyAlignment="1" pivotButton="0" quotePrefix="0" xfId="27">
      <alignment horizontal="right" vertical="center"/>
    </xf>
    <xf numFmtId="166" fontId="105" fillId="3" borderId="10" applyAlignment="1" pivotButton="0" quotePrefix="0" xfId="27">
      <alignment horizontal="right" vertical="center"/>
    </xf>
    <xf numFmtId="166" fontId="105" fillId="3" borderId="6" applyAlignment="1" pivotButton="0" quotePrefix="0" xfId="27">
      <alignment horizontal="right" vertical="center"/>
    </xf>
    <xf numFmtId="166" fontId="105" fillId="3" borderId="4" applyAlignment="1" pivotButton="0" quotePrefix="0" xfId="27">
      <alignment horizontal="right" vertical="center"/>
    </xf>
    <xf numFmtId="166" fontId="105" fillId="3" borderId="11" applyAlignment="1" pivotButton="0" quotePrefix="0" xfId="27">
      <alignment horizontal="right" vertical="center"/>
    </xf>
    <xf numFmtId="166" fontId="105" fillId="3" borderId="7" applyAlignment="1" pivotButton="0" quotePrefix="0" xfId="27">
      <alignment horizontal="right" vertical="center"/>
    </xf>
    <xf numFmtId="166" fontId="107" fillId="5" borderId="2" applyAlignment="1" pivotButton="0" quotePrefix="0" xfId="27">
      <alignment horizontal="right" vertical="center"/>
    </xf>
    <xf numFmtId="166" fontId="107" fillId="5" borderId="9" applyAlignment="1" pivotButton="0" quotePrefix="0" xfId="27">
      <alignment horizontal="right" vertical="center"/>
    </xf>
    <xf numFmtId="166" fontId="107" fillId="5" borderId="8" applyAlignment="1" pivotButton="0" quotePrefix="0" xfId="27">
      <alignment horizontal="right" vertical="center"/>
    </xf>
    <xf numFmtId="0" fontId="29" fillId="0" borderId="0" applyAlignment="1" pivotButton="0" quotePrefix="0" xfId="1">
      <alignment horizontal="left" indent="2"/>
    </xf>
    <xf numFmtId="0" fontId="114" fillId="0" borderId="0" applyAlignment="1" pivotButton="0" quotePrefix="0" xfId="27">
      <alignment horizontal="left" vertical="center" indent="2"/>
    </xf>
    <xf numFmtId="0" fontId="114" fillId="3" borderId="4" applyAlignment="1" pivotButton="0" quotePrefix="0" xfId="27">
      <alignment horizontal="left" vertical="center" indent="2"/>
    </xf>
    <xf numFmtId="0" fontId="114" fillId="3" borderId="4" applyAlignment="1" pivotButton="0" quotePrefix="0" xfId="27">
      <alignment horizontal="left" vertical="center"/>
    </xf>
    <xf numFmtId="166" fontId="114" fillId="3" borderId="4" applyAlignment="1" pivotButton="0" quotePrefix="0" xfId="27">
      <alignment vertical="center"/>
    </xf>
    <xf numFmtId="0" fontId="29" fillId="0" borderId="0" pivotButton="0" quotePrefix="0" xfId="2"/>
    <xf numFmtId="0" fontId="29" fillId="0" borderId="0" applyAlignment="1" pivotButton="0" quotePrefix="0" xfId="2">
      <alignment horizontal="left"/>
    </xf>
    <xf numFmtId="0" fontId="29" fillId="2" borderId="0" applyAlignment="1" pivotButton="0" quotePrefix="0" xfId="2">
      <alignment horizontal="left"/>
    </xf>
    <xf numFmtId="41" fontId="29" fillId="0" borderId="0" applyAlignment="1" pivotButton="0" quotePrefix="0" xfId="2">
      <alignment horizontal="right"/>
    </xf>
    <xf numFmtId="184" fontId="98" fillId="0" borderId="72" pivotButton="0" quotePrefix="0" xfId="2"/>
    <xf numFmtId="41" fontId="107" fillId="5" borderId="3" applyAlignment="1" pivotButton="0" quotePrefix="0" xfId="2">
      <alignment horizontal="right" vertical="center"/>
    </xf>
    <xf numFmtId="41" fontId="107" fillId="5" borderId="49" applyAlignment="1" pivotButton="0" quotePrefix="0" xfId="2">
      <alignment horizontal="right" vertical="center"/>
    </xf>
    <xf numFmtId="41" fontId="107" fillId="5" borderId="27" applyAlignment="1" pivotButton="0" quotePrefix="0" xfId="2">
      <alignment horizontal="right" vertical="center"/>
    </xf>
    <xf numFmtId="0" fontId="107" fillId="5" borderId="3" applyAlignment="1" pivotButton="0" quotePrefix="0" xfId="2">
      <alignment vertical="center"/>
    </xf>
    <xf numFmtId="41" fontId="29" fillId="0" borderId="6" applyAlignment="1" pivotButton="0" quotePrefix="0" xfId="2">
      <alignment horizontal="right"/>
    </xf>
    <xf numFmtId="41" fontId="29" fillId="0" borderId="10" applyAlignment="1" pivotButton="0" quotePrefix="0" xfId="2">
      <alignment horizontal="right"/>
    </xf>
    <xf numFmtId="41" fontId="29" fillId="5" borderId="0" applyAlignment="1" pivotButton="0" quotePrefix="0" xfId="2">
      <alignment horizontal="right"/>
    </xf>
    <xf numFmtId="0" fontId="29" fillId="0" borderId="0" applyAlignment="1" pivotButton="0" quotePrefix="0" xfId="2">
      <alignment horizontal="left" indent="1"/>
    </xf>
    <xf numFmtId="41" fontId="29" fillId="0" borderId="4" applyAlignment="1" pivotButton="0" quotePrefix="0" xfId="2">
      <alignment horizontal="right"/>
    </xf>
    <xf numFmtId="41" fontId="29" fillId="0" borderId="11" applyAlignment="1" pivotButton="0" quotePrefix="0" xfId="2">
      <alignment horizontal="right"/>
    </xf>
    <xf numFmtId="0" fontId="29" fillId="0" borderId="4" pivotButton="0" quotePrefix="0" xfId="2"/>
    <xf numFmtId="0" fontId="29" fillId="0" borderId="4" applyAlignment="1" pivotButton="0" quotePrefix="0" xfId="2">
      <alignment horizontal="left" indent="2"/>
    </xf>
    <xf numFmtId="41" fontId="100" fillId="5" borderId="0" applyAlignment="1" pivotButton="0" quotePrefix="0" xfId="2">
      <alignment horizontal="right"/>
    </xf>
    <xf numFmtId="41" fontId="100" fillId="5" borderId="6" applyAlignment="1" pivotButton="0" quotePrefix="0" xfId="2">
      <alignment horizontal="right"/>
    </xf>
    <xf numFmtId="41" fontId="100" fillId="5" borderId="10" applyAlignment="1" pivotButton="0" quotePrefix="0" xfId="2">
      <alignment horizontal="right"/>
    </xf>
    <xf numFmtId="0" fontId="100" fillId="5" borderId="0" pivotButton="0" quotePrefix="0" xfId="2"/>
    <xf numFmtId="0" fontId="100" fillId="5" borderId="0" applyAlignment="1" pivotButton="0" quotePrefix="0" xfId="2">
      <alignment horizontal="left" indent="2"/>
    </xf>
    <xf numFmtId="0" fontId="29" fillId="0" borderId="0" applyAlignment="1" pivotButton="0" quotePrefix="0" xfId="2">
      <alignment horizontal="left" indent="2"/>
    </xf>
    <xf numFmtId="41" fontId="29" fillId="5" borderId="10" applyAlignment="1" pivotButton="0" quotePrefix="0" xfId="2">
      <alignment horizontal="right"/>
    </xf>
    <xf numFmtId="17" fontId="106" fillId="4" borderId="15" applyAlignment="1" pivotButton="0" quotePrefix="0" xfId="2">
      <alignment horizontal="right" vertical="center" wrapText="1"/>
    </xf>
    <xf numFmtId="41" fontId="29" fillId="16" borderId="0" pivotButton="0" quotePrefix="0" xfId="2"/>
    <xf numFmtId="0" fontId="29" fillId="16" borderId="0" pivotButton="0" quotePrefix="0" xfId="2"/>
    <xf numFmtId="0" fontId="106" fillId="2" borderId="0" applyAlignment="1" pivotButton="0" quotePrefix="0" xfId="2">
      <alignment horizontal="left" vertical="center"/>
    </xf>
    <xf numFmtId="0" fontId="105" fillId="0" borderId="0" applyAlignment="1" pivotButton="0" quotePrefix="0" xfId="0">
      <alignment horizontal="left" indent="4"/>
    </xf>
    <xf numFmtId="0" fontId="105" fillId="0" borderId="4" applyAlignment="1" pivotButton="0" quotePrefix="0" xfId="0">
      <alignment horizontal="left" indent="4"/>
    </xf>
    <xf numFmtId="164" fontId="105" fillId="0" borderId="16" pivotButton="0" quotePrefix="0" xfId="0"/>
    <xf numFmtId="165" fontId="109" fillId="0" borderId="5" pivotButton="0" quotePrefix="0" xfId="0"/>
    <xf numFmtId="165" fontId="109" fillId="0" borderId="78" pivotButton="0" quotePrefix="0" xfId="0"/>
    <xf numFmtId="165" fontId="109" fillId="0" borderId="16" pivotButton="0" quotePrefix="0" xfId="0"/>
    <xf numFmtId="15" fontId="97" fillId="6" borderId="85" applyAlignment="1" pivotButton="0" quotePrefix="0" xfId="5">
      <alignment horizontal="right" vertical="center" wrapText="1"/>
    </xf>
    <xf numFmtId="166" fontId="28" fillId="0" borderId="0" applyAlignment="1" pivotButton="0" quotePrefix="0" xfId="5">
      <alignment horizontal="right"/>
    </xf>
    <xf numFmtId="0" fontId="113" fillId="5" borderId="2" applyAlignment="1" applyProtection="1" pivotButton="0" quotePrefix="0" xfId="4">
      <alignment horizontal="left"/>
      <protection locked="0" hidden="0"/>
    </xf>
    <xf numFmtId="166" fontId="113" fillId="5" borderId="2" applyAlignment="1" pivotButton="0" quotePrefix="0" xfId="4">
      <alignment horizontal="right"/>
    </xf>
    <xf numFmtId="167" fontId="113" fillId="5" borderId="2" applyAlignment="1" pivotButton="0" quotePrefix="0" xfId="4">
      <alignment horizontal="right"/>
    </xf>
    <xf numFmtId="0" fontId="109" fillId="0" borderId="0" applyAlignment="1" applyProtection="1" pivotButton="0" quotePrefix="0" xfId="4">
      <alignment horizontal="left"/>
      <protection locked="0" hidden="0"/>
    </xf>
    <xf numFmtId="166" fontId="109" fillId="0" borderId="19" applyAlignment="1" pivotButton="0" quotePrefix="0" xfId="4">
      <alignment horizontal="left" vertical="top"/>
    </xf>
    <xf numFmtId="167" fontId="109" fillId="0" borderId="0" applyAlignment="1" pivotButton="0" quotePrefix="0" xfId="4">
      <alignment horizontal="right"/>
    </xf>
    <xf numFmtId="167" fontId="109" fillId="0" borderId="6" applyAlignment="1" pivotButton="0" quotePrefix="0" xfId="4">
      <alignment horizontal="right"/>
    </xf>
    <xf numFmtId="167" fontId="109" fillId="0" borderId="9" applyAlignment="1" pivotButton="0" quotePrefix="0" xfId="4">
      <alignment horizontal="right"/>
    </xf>
    <xf numFmtId="166" fontId="109" fillId="5" borderId="0" applyAlignment="1" pivotButton="0" quotePrefix="0" xfId="4">
      <alignment horizontal="right"/>
    </xf>
    <xf numFmtId="166" fontId="109" fillId="5" borderId="0" applyAlignment="1" pivotButton="0" quotePrefix="0" xfId="4">
      <alignment horizontal="right" wrapText="1"/>
    </xf>
    <xf numFmtId="167" fontId="109" fillId="0" borderId="0" applyAlignment="1" pivotButton="0" quotePrefix="0" xfId="4">
      <alignment horizontal="right" wrapText="1"/>
    </xf>
    <xf numFmtId="166" fontId="42" fillId="5" borderId="1" applyAlignment="1" pivotButton="0" quotePrefix="0" xfId="0">
      <alignment horizontal="right"/>
    </xf>
    <xf numFmtId="166" fontId="98" fillId="5" borderId="0" applyAlignment="1" pivotButton="0" quotePrefix="0" xfId="0">
      <alignment horizontal="right"/>
    </xf>
    <xf numFmtId="167" fontId="100" fillId="5" borderId="4" applyAlignment="1" pivotButton="0" quotePrefix="0" xfId="0">
      <alignment horizontal="right"/>
    </xf>
    <xf numFmtId="17" fontId="106" fillId="4" borderId="51" applyAlignment="1" pivotButton="0" quotePrefix="0" xfId="37">
      <alignment horizontal="right" vertical="center" wrapText="1"/>
    </xf>
    <xf numFmtId="17" fontId="108" fillId="6" borderId="60" applyAlignment="1" pivotButton="0" quotePrefix="0" xfId="0">
      <alignment horizontal="right" wrapText="1"/>
    </xf>
    <xf numFmtId="0" fontId="108" fillId="6" borderId="60" applyAlignment="1" pivotButton="0" quotePrefix="0" xfId="0">
      <alignment horizontal="right" wrapText="1"/>
    </xf>
    <xf numFmtId="0" fontId="106" fillId="4" borderId="59" applyAlignment="1" pivotButton="0" quotePrefix="0" xfId="0">
      <alignment horizontal="right" wrapText="1"/>
    </xf>
    <xf numFmtId="17" fontId="106" fillId="4" borderId="55" applyAlignment="1" pivotButton="0" quotePrefix="0" xfId="0">
      <alignment horizontal="right"/>
    </xf>
    <xf numFmtId="0" fontId="27" fillId="0" borderId="0" pivotButton="0" quotePrefix="0" xfId="61"/>
    <xf numFmtId="0" fontId="100" fillId="0" borderId="0" pivotButton="0" quotePrefix="0" xfId="61"/>
    <xf numFmtId="0" fontId="100" fillId="0" borderId="0" applyAlignment="1" pivotButton="0" quotePrefix="0" xfId="61">
      <alignment horizontal="left"/>
    </xf>
    <xf numFmtId="0" fontId="27" fillId="2" borderId="0" pivotButton="0" quotePrefix="0" xfId="11"/>
    <xf numFmtId="0" fontId="104" fillId="0" borderId="0" pivotButton="0" quotePrefix="0" xfId="15"/>
    <xf numFmtId="41" fontId="27" fillId="0" borderId="0" pivotButton="0" quotePrefix="0" xfId="61"/>
    <xf numFmtId="0" fontId="27" fillId="2" borderId="0" pivotButton="0" quotePrefix="0" xfId="61"/>
    <xf numFmtId="0" fontId="106" fillId="2" borderId="1" applyAlignment="1" pivotButton="0" quotePrefix="0" xfId="61">
      <alignment horizontal="left" vertical="center"/>
    </xf>
    <xf numFmtId="164" fontId="106" fillId="2" borderId="1" applyAlignment="1" pivotButton="0" quotePrefix="0" xfId="61">
      <alignment vertical="center"/>
    </xf>
    <xf numFmtId="0" fontId="106" fillId="4" borderId="0" applyAlignment="1" pivotButton="0" quotePrefix="0" xfId="61">
      <alignment horizontal="left"/>
    </xf>
    <xf numFmtId="17" fontId="106" fillId="4" borderId="0" applyAlignment="1" pivotButton="0" quotePrefix="0" xfId="61">
      <alignment horizontal="right"/>
    </xf>
    <xf numFmtId="17" fontId="106" fillId="4" borderId="28" applyAlignment="1" pivotButton="0" quotePrefix="0" xfId="61">
      <alignment horizontal="right"/>
    </xf>
    <xf numFmtId="17" fontId="106" fillId="4" borderId="54" applyAlignment="1" pivotButton="0" quotePrefix="0" xfId="61">
      <alignment horizontal="right"/>
    </xf>
    <xf numFmtId="17" fontId="106" fillId="4" borderId="55" applyAlignment="1" pivotButton="0" quotePrefix="0" xfId="61">
      <alignment horizontal="right"/>
    </xf>
    <xf numFmtId="17" fontId="106" fillId="6" borderId="55" applyAlignment="1" pivotButton="0" quotePrefix="0" xfId="61">
      <alignment horizontal="right" wrapText="1"/>
    </xf>
    <xf numFmtId="0" fontId="105" fillId="3" borderId="0" applyAlignment="1" pivotButton="0" quotePrefix="0" xfId="61">
      <alignment horizontal="left" indent="2"/>
    </xf>
    <xf numFmtId="164" fontId="105" fillId="3" borderId="0" pivotButton="0" quotePrefix="0" xfId="61"/>
    <xf numFmtId="164" fontId="105" fillId="3" borderId="69" pivotButton="0" quotePrefix="0" xfId="61"/>
    <xf numFmtId="165" fontId="109" fillId="3" borderId="0" pivotButton="0" quotePrefix="0" xfId="61"/>
    <xf numFmtId="0" fontId="105" fillId="3" borderId="4" applyAlignment="1" pivotButton="0" quotePrefix="0" xfId="61">
      <alignment horizontal="left" indent="2"/>
    </xf>
    <xf numFmtId="164" fontId="105" fillId="3" borderId="4" pivotButton="0" quotePrefix="0" xfId="61"/>
    <xf numFmtId="164" fontId="105" fillId="3" borderId="70" pivotButton="0" quotePrefix="0" xfId="61"/>
    <xf numFmtId="165" fontId="109" fillId="3" borderId="4" pivotButton="0" quotePrefix="0" xfId="61"/>
    <xf numFmtId="0" fontId="105" fillId="3" borderId="0" applyAlignment="1" pivotButton="0" quotePrefix="0" xfId="61">
      <alignment horizontal="left" indent="1"/>
    </xf>
    <xf numFmtId="0" fontId="105" fillId="3" borderId="4" applyAlignment="1" pivotButton="0" quotePrefix="0" xfId="61">
      <alignment horizontal="left" indent="1"/>
    </xf>
    <xf numFmtId="0" fontId="98" fillId="2" borderId="0" pivotButton="0" quotePrefix="0" xfId="61"/>
    <xf numFmtId="0" fontId="98" fillId="0" borderId="0" pivotButton="0" quotePrefix="0" xfId="61"/>
    <xf numFmtId="0" fontId="107" fillId="3" borderId="0" applyAlignment="1" pivotButton="0" quotePrefix="0" xfId="61">
      <alignment horizontal="left"/>
    </xf>
    <xf numFmtId="164" fontId="107" fillId="3" borderId="0" pivotButton="0" quotePrefix="0" xfId="61"/>
    <xf numFmtId="164" fontId="107" fillId="3" borderId="69" pivotButton="0" quotePrefix="0" xfId="61"/>
    <xf numFmtId="165" fontId="110" fillId="3" borderId="0" pivotButton="0" quotePrefix="0" xfId="61"/>
    <xf numFmtId="0" fontId="118" fillId="3" borderId="0" applyAlignment="1" pivotButton="0" quotePrefix="0" xfId="61">
      <alignment horizontal="left"/>
    </xf>
    <xf numFmtId="0" fontId="105" fillId="3" borderId="4" applyAlignment="1" pivotButton="0" quotePrefix="0" xfId="61">
      <alignment horizontal="left"/>
    </xf>
    <xf numFmtId="15" fontId="107" fillId="5" borderId="0" applyAlignment="1" pivotButton="0" quotePrefix="0" xfId="61">
      <alignment horizontal="left"/>
    </xf>
    <xf numFmtId="164" fontId="107" fillId="5" borderId="0" pivotButton="0" quotePrefix="0" xfId="61"/>
    <xf numFmtId="164" fontId="107" fillId="5" borderId="69" pivotButton="0" quotePrefix="0" xfId="61"/>
    <xf numFmtId="165" fontId="110" fillId="5" borderId="0" pivotButton="0" quotePrefix="0" xfId="61"/>
    <xf numFmtId="0" fontId="100" fillId="2" borderId="0" pivotButton="0" quotePrefix="0" xfId="61"/>
    <xf numFmtId="15" fontId="109" fillId="0" borderId="2" applyAlignment="1" pivotButton="0" quotePrefix="0" xfId="61">
      <alignment horizontal="left"/>
    </xf>
    <xf numFmtId="164" fontId="109" fillId="0" borderId="2" pivotButton="0" quotePrefix="0" xfId="61"/>
    <xf numFmtId="165" fontId="109" fillId="0" borderId="2" pivotButton="0" quotePrefix="0" xfId="61"/>
    <xf numFmtId="165" fontId="109" fillId="0" borderId="74" pivotButton="0" quotePrefix="0" xfId="61"/>
    <xf numFmtId="0" fontId="107" fillId="0" borderId="0" applyAlignment="1" pivotButton="0" quotePrefix="0" xfId="61">
      <alignment horizontal="left"/>
    </xf>
    <xf numFmtId="164" fontId="107" fillId="0" borderId="0" pivotButton="0" quotePrefix="0" xfId="61"/>
    <xf numFmtId="165" fontId="110" fillId="0" borderId="0" pivotButton="0" quotePrefix="0" xfId="61"/>
    <xf numFmtId="0" fontId="109" fillId="0" borderId="0" applyAlignment="1" pivotButton="0" quotePrefix="0" xfId="61">
      <alignment horizontal="left"/>
    </xf>
    <xf numFmtId="164" fontId="109" fillId="0" borderId="0" pivotButton="0" quotePrefix="0" xfId="61"/>
    <xf numFmtId="165" fontId="109" fillId="0" borderId="0" pivotButton="0" quotePrefix="0" xfId="61"/>
    <xf numFmtId="164" fontId="109" fillId="15" borderId="0" pivotButton="0" quotePrefix="0" xfId="61"/>
    <xf numFmtId="0" fontId="27" fillId="2" borderId="0" applyAlignment="1" pivotButton="0" quotePrefix="0" xfId="61">
      <alignment horizontal="right"/>
    </xf>
    <xf numFmtId="0" fontId="27" fillId="0" borderId="0" applyAlignment="1" pivotButton="0" quotePrefix="0" xfId="61">
      <alignment horizontal="left"/>
    </xf>
    <xf numFmtId="164" fontId="106" fillId="2" borderId="1" applyAlignment="1" pivotButton="0" quotePrefix="0" xfId="61">
      <alignment horizontal="left" vertical="center"/>
    </xf>
    <xf numFmtId="17" fontId="106" fillId="4" borderId="0" applyAlignment="1" pivotButton="0" quotePrefix="0" xfId="61">
      <alignment horizontal="left" wrapText="1"/>
    </xf>
    <xf numFmtId="17" fontId="106" fillId="4" borderId="0" applyAlignment="1" pivotButton="0" quotePrefix="0" xfId="61">
      <alignment horizontal="left"/>
    </xf>
    <xf numFmtId="164" fontId="105" fillId="3" borderId="0" applyAlignment="1" pivotButton="0" quotePrefix="0" xfId="61">
      <alignment horizontal="left"/>
    </xf>
    <xf numFmtId="164" fontId="105" fillId="3" borderId="4" applyAlignment="1" pivotButton="0" quotePrefix="0" xfId="61">
      <alignment horizontal="left"/>
    </xf>
    <xf numFmtId="164" fontId="107" fillId="3" borderId="0" applyAlignment="1" pivotButton="0" quotePrefix="0" xfId="61">
      <alignment horizontal="left"/>
    </xf>
    <xf numFmtId="164" fontId="107" fillId="5" borderId="0" applyAlignment="1" pivotButton="0" quotePrefix="0" xfId="61">
      <alignment horizontal="left"/>
    </xf>
    <xf numFmtId="164" fontId="109" fillId="0" borderId="2" applyAlignment="1" pivotButton="0" quotePrefix="0" xfId="61">
      <alignment horizontal="left"/>
    </xf>
    <xf numFmtId="15" fontId="107" fillId="0" borderId="0" applyAlignment="1" pivotButton="0" quotePrefix="0" xfId="61">
      <alignment horizontal="left"/>
    </xf>
    <xf numFmtId="164" fontId="107" fillId="0" borderId="0" applyAlignment="1" pivotButton="0" quotePrefix="0" xfId="61">
      <alignment horizontal="left"/>
    </xf>
    <xf numFmtId="15" fontId="109" fillId="0" borderId="0" applyAlignment="1" pivotButton="0" quotePrefix="0" xfId="61">
      <alignment horizontal="left"/>
    </xf>
    <xf numFmtId="164" fontId="109" fillId="0" borderId="0" applyAlignment="1" pivotButton="0" quotePrefix="0" xfId="61">
      <alignment horizontal="left"/>
    </xf>
    <xf numFmtId="0" fontId="27" fillId="0" borderId="0" pivotButton="0" quotePrefix="0" xfId="0"/>
    <xf numFmtId="0" fontId="27" fillId="2" borderId="0" applyAlignment="1" pivotButton="0" quotePrefix="0" xfId="0">
      <alignment horizontal="left"/>
    </xf>
    <xf numFmtId="0" fontId="27" fillId="0" borderId="0" applyAlignment="1" pivotButton="0" quotePrefix="0" xfId="0">
      <alignment horizontal="left"/>
    </xf>
    <xf numFmtId="15" fontId="105" fillId="3" borderId="0" applyAlignment="1" pivotButton="0" quotePrefix="0" xfId="0">
      <alignment horizontal="left"/>
    </xf>
    <xf numFmtId="15" fontId="105" fillId="0" borderId="2" applyAlignment="1" pivotButton="0" quotePrefix="0" xfId="0">
      <alignment horizontal="left"/>
    </xf>
    <xf numFmtId="17" fontId="106" fillId="4" borderId="54" applyAlignment="1" pivotButton="0" quotePrefix="0" xfId="0">
      <alignment horizontal="right"/>
    </xf>
    <xf numFmtId="164" fontId="105" fillId="0" borderId="74" pivotButton="0" quotePrefix="0" xfId="0"/>
    <xf numFmtId="165" fontId="109" fillId="0" borderId="2" pivotButton="0" quotePrefix="0" xfId="0"/>
    <xf numFmtId="165" fontId="109" fillId="0" borderId="9" pivotButton="0" quotePrefix="0" xfId="0"/>
    <xf numFmtId="17" fontId="106" fillId="6" borderId="122" applyAlignment="1" pivotButton="0" quotePrefix="0" xfId="0">
      <alignment horizontal="centerContinuous"/>
    </xf>
    <xf numFmtId="17" fontId="106" fillId="6" borderId="54" applyAlignment="1" pivotButton="0" quotePrefix="0" xfId="0">
      <alignment horizontal="right"/>
    </xf>
    <xf numFmtId="17" fontId="106" fillId="6" borderId="55" applyAlignment="1" pivotButton="0" quotePrefix="0" xfId="0">
      <alignment horizontal="right"/>
    </xf>
    <xf numFmtId="164" fontId="105" fillId="5" borderId="0" pivotButton="0" quotePrefix="1" xfId="0"/>
    <xf numFmtId="164" fontId="105" fillId="5" borderId="4" pivotButton="0" quotePrefix="1" xfId="0"/>
    <xf numFmtId="41" fontId="95" fillId="5" borderId="4" pivotButton="0" quotePrefix="1" xfId="1"/>
    <xf numFmtId="41" fontId="95" fillId="5" borderId="0" pivotButton="0" quotePrefix="1" xfId="1"/>
    <xf numFmtId="41" fontId="95" fillId="0" borderId="0" pivotButton="0" quotePrefix="1" xfId="1"/>
    <xf numFmtId="41" fontId="95" fillId="0" borderId="4" pivotButton="0" quotePrefix="1" xfId="1"/>
    <xf numFmtId="166" fontId="98" fillId="0" borderId="0" applyAlignment="1" pivotButton="0" quotePrefix="1" xfId="0">
      <alignment horizontal="right"/>
    </xf>
    <xf numFmtId="0" fontId="26" fillId="0" borderId="0" pivotButton="0" quotePrefix="0" xfId="0"/>
    <xf numFmtId="164" fontId="182" fillId="2" borderId="0" applyAlignment="1" pivotButton="0" quotePrefix="0" xfId="0">
      <alignment vertical="center"/>
    </xf>
    <xf numFmtId="0" fontId="186" fillId="0" borderId="0" pivotButton="0" quotePrefix="0" xfId="0"/>
    <xf numFmtId="0" fontId="25" fillId="2" borderId="0" applyAlignment="1" pivotButton="0" quotePrefix="0" xfId="62">
      <alignment horizontal="left"/>
    </xf>
    <xf numFmtId="0" fontId="101" fillId="0" borderId="0" applyAlignment="1" pivotButton="0" quotePrefix="0" xfId="62">
      <alignment horizontal="left"/>
    </xf>
    <xf numFmtId="0" fontId="25" fillId="0" borderId="0" pivotButton="0" quotePrefix="0" xfId="62"/>
    <xf numFmtId="0" fontId="25" fillId="0" borderId="0" applyAlignment="1" pivotButton="0" quotePrefix="0" xfId="62">
      <alignment horizontal="left"/>
    </xf>
    <xf numFmtId="41" fontId="25" fillId="0" borderId="0" pivotButton="0" quotePrefix="0" xfId="62"/>
    <xf numFmtId="41" fontId="100" fillId="0" borderId="0" pivotButton="0" quotePrefix="0" xfId="62"/>
    <xf numFmtId="0" fontId="102" fillId="0" borderId="0" applyAlignment="1" pivotButton="0" quotePrefix="0" xfId="62">
      <alignment horizontal="left"/>
    </xf>
    <xf numFmtId="0" fontId="103" fillId="0" borderId="0" applyAlignment="1" pivotButton="0" quotePrefix="0" xfId="62">
      <alignment horizontal="left"/>
    </xf>
    <xf numFmtId="0" fontId="104" fillId="0" borderId="0" applyAlignment="1" pivotButton="0" quotePrefix="0" xfId="62">
      <alignment horizontal="left"/>
    </xf>
    <xf numFmtId="0" fontId="111" fillId="2" borderId="0" applyAlignment="1" pivotButton="0" quotePrefix="0" xfId="62">
      <alignment horizontal="left"/>
    </xf>
    <xf numFmtId="0" fontId="111" fillId="0" borderId="0" applyAlignment="1" pivotButton="0" quotePrefix="0" xfId="62">
      <alignment horizontal="left"/>
    </xf>
    <xf numFmtId="0" fontId="111" fillId="0" borderId="0" pivotButton="0" quotePrefix="0" xfId="62"/>
    <xf numFmtId="41" fontId="111" fillId="0" borderId="0" pivotButton="0" quotePrefix="0" xfId="62"/>
    <xf numFmtId="0" fontId="186" fillId="0" borderId="0" pivotButton="0" quotePrefix="0" xfId="25"/>
    <xf numFmtId="17" fontId="182" fillId="4" borderId="0" applyAlignment="1" pivotButton="0" quotePrefix="0" xfId="0">
      <alignment horizontal="centerContinuous"/>
    </xf>
    <xf numFmtId="17" fontId="182" fillId="4" borderId="45" applyAlignment="1" pivotButton="0" quotePrefix="0" xfId="0">
      <alignment horizontal="centerContinuous"/>
    </xf>
    <xf numFmtId="164" fontId="183" fillId="3" borderId="10" pivotButton="0" quotePrefix="0" xfId="0"/>
    <xf numFmtId="164" fontId="183" fillId="3" borderId="11" pivotButton="0" quotePrefix="0" xfId="0"/>
    <xf numFmtId="164" fontId="184" fillId="5" borderId="9" pivotButton="0" quotePrefix="0" xfId="0"/>
    <xf numFmtId="41" fontId="185" fillId="0" borderId="0" pivotButton="0" quotePrefix="0" xfId="0"/>
    <xf numFmtId="0" fontId="182" fillId="4" borderId="34" applyAlignment="1" pivotButton="0" quotePrefix="0" xfId="1">
      <alignment horizontal="right" wrapText="1"/>
    </xf>
    <xf numFmtId="0" fontId="37" fillId="0" borderId="0" applyAlignment="1" pivotButton="0" quotePrefix="0" xfId="1">
      <alignment horizontal="left" indent="1"/>
    </xf>
    <xf numFmtId="0" fontId="95" fillId="3" borderId="4" applyAlignment="1" pivotButton="0" quotePrefix="0" xfId="1">
      <alignment horizontal="left" indent="1"/>
    </xf>
    <xf numFmtId="167" fontId="100" fillId="0" borderId="0" applyAlignment="1" pivotButton="0" quotePrefix="0" xfId="1">
      <alignment horizontal="right"/>
    </xf>
    <xf numFmtId="164" fontId="107" fillId="5" borderId="0" pivotButton="0" quotePrefix="0" xfId="0"/>
    <xf numFmtId="15" fontId="106" fillId="6" borderId="36" applyAlignment="1" pivotButton="0" quotePrefix="0" xfId="1">
      <alignment horizontal="right" wrapText="1"/>
    </xf>
    <xf numFmtId="17" fontId="106" fillId="6" borderId="45" applyAlignment="1" pivotButton="0" quotePrefix="0" xfId="32">
      <alignment horizontal="right"/>
    </xf>
    <xf numFmtId="0" fontId="23" fillId="0" borderId="0" applyAlignment="1" pivotButton="0" quotePrefix="0" xfId="30">
      <alignment horizontal="left"/>
    </xf>
    <xf numFmtId="0" fontId="105" fillId="0" borderId="1" applyAlignment="1" pivotButton="0" quotePrefix="0" xfId="30">
      <alignment horizontal="left" vertical="center"/>
    </xf>
    <xf numFmtId="164" fontId="105" fillId="0" borderId="1" applyAlignment="1" pivotButton="0" quotePrefix="0" xfId="30">
      <alignment vertical="center"/>
    </xf>
    <xf numFmtId="164" fontId="105" fillId="0" borderId="47" applyAlignment="1" pivotButton="0" quotePrefix="0" xfId="30">
      <alignment vertical="center"/>
    </xf>
    <xf numFmtId="0" fontId="23" fillId="0" borderId="0" pivotButton="0" quotePrefix="0" xfId="30"/>
    <xf numFmtId="167" fontId="109" fillId="0" borderId="1" applyAlignment="1" pivotButton="0" quotePrefix="0" xfId="30">
      <alignment horizontal="right" vertical="center"/>
    </xf>
    <xf numFmtId="17" fontId="106" fillId="4" borderId="0" applyAlignment="1" pivotButton="0" quotePrefix="0" xfId="27">
      <alignment horizontal="centerContinuous"/>
    </xf>
    <xf numFmtId="17" fontId="106" fillId="6" borderId="0" applyAlignment="1" pivotButton="0" quotePrefix="0" xfId="27">
      <alignment horizontal="centerContinuous"/>
    </xf>
    <xf numFmtId="17" fontId="106" fillId="6" borderId="45" applyAlignment="1" pivotButton="0" quotePrefix="0" xfId="27">
      <alignment horizontal="right"/>
    </xf>
    <xf numFmtId="17" fontId="106" fillId="19" borderId="0" applyAlignment="1" pivotButton="0" quotePrefix="0" xfId="27">
      <alignment horizontal="centerContinuous"/>
    </xf>
    <xf numFmtId="17" fontId="106" fillId="19" borderId="45" applyAlignment="1" pivotButton="0" quotePrefix="0" xfId="27">
      <alignment horizontal="right"/>
    </xf>
    <xf numFmtId="17" fontId="106" fillId="4" borderId="0" applyAlignment="1" pivotButton="0" quotePrefix="0" xfId="52">
      <alignment horizontal="centerContinuous" wrapText="1"/>
    </xf>
    <xf numFmtId="17" fontId="106" fillId="4" borderId="45" applyAlignment="1" pivotButton="0" quotePrefix="0" xfId="52">
      <alignment horizontal="right"/>
    </xf>
    <xf numFmtId="0" fontId="97" fillId="4" borderId="14" applyAlignment="1" pivotButton="0" quotePrefix="0" xfId="36">
      <alignment horizontal="centerContinuous"/>
    </xf>
    <xf numFmtId="0" fontId="97" fillId="4" borderId="63" applyAlignment="1" pivotButton="0" quotePrefix="0" xfId="36">
      <alignment horizontal="centerContinuous"/>
    </xf>
    <xf numFmtId="17" fontId="106" fillId="17" borderId="35" applyAlignment="1" pivotButton="0" quotePrefix="0" xfId="32">
      <alignment horizontal="right" wrapText="1"/>
    </xf>
    <xf numFmtId="0" fontId="23" fillId="0" borderId="0" pivotButton="0" quotePrefix="0" xfId="2"/>
    <xf numFmtId="0" fontId="23" fillId="0" borderId="0" applyAlignment="1" pivotButton="0" quotePrefix="0" xfId="63">
      <alignment horizontal="left"/>
    </xf>
    <xf numFmtId="0" fontId="105" fillId="0" borderId="0" applyAlignment="1" pivotButton="0" quotePrefix="0" xfId="63">
      <alignment horizontal="left"/>
    </xf>
    <xf numFmtId="0" fontId="145" fillId="0" borderId="0" applyAlignment="1" pivotButton="0" quotePrefix="0" xfId="63">
      <alignment horizontal="left"/>
    </xf>
    <xf numFmtId="0" fontId="144" fillId="0" borderId="0" applyAlignment="1" pivotButton="0" quotePrefix="0" xfId="63">
      <alignment horizontal="left"/>
    </xf>
    <xf numFmtId="0" fontId="118" fillId="0" borderId="0" pivotButton="0" quotePrefix="0" xfId="63"/>
    <xf numFmtId="0" fontId="23" fillId="0" borderId="0" applyAlignment="1" pivotButton="0" quotePrefix="0" xfId="2">
      <alignment horizontal="left"/>
    </xf>
    <xf numFmtId="0" fontId="23" fillId="2" borderId="0" applyAlignment="1" pivotButton="0" quotePrefix="0" xfId="2">
      <alignment horizontal="left"/>
    </xf>
    <xf numFmtId="0" fontId="23" fillId="0" borderId="84" applyAlignment="1" pivotButton="0" quotePrefix="0" xfId="63">
      <alignment horizontal="left"/>
    </xf>
    <xf numFmtId="0" fontId="105" fillId="0" borderId="83" applyAlignment="1" pivotButton="0" quotePrefix="0" xfId="63">
      <alignment horizontal="left"/>
    </xf>
    <xf numFmtId="0" fontId="23" fillId="0" borderId="82" applyAlignment="1" pivotButton="0" quotePrefix="0" xfId="63">
      <alignment horizontal="left"/>
    </xf>
    <xf numFmtId="0" fontId="105" fillId="0" borderId="81" applyAlignment="1" pivotButton="0" quotePrefix="0" xfId="63">
      <alignment horizontal="left"/>
    </xf>
    <xf numFmtId="165" fontId="109" fillId="0" borderId="0" pivotButton="0" quotePrefix="0" xfId="2"/>
    <xf numFmtId="0" fontId="145" fillId="0" borderId="82" applyAlignment="1" pivotButton="0" quotePrefix="0" xfId="63">
      <alignment horizontal="left"/>
    </xf>
    <xf numFmtId="0" fontId="144" fillId="0" borderId="81" applyAlignment="1" pivotButton="0" quotePrefix="0" xfId="63">
      <alignment horizontal="left"/>
    </xf>
    <xf numFmtId="17" fontId="106" fillId="12" borderId="33" applyAlignment="1" pivotButton="0" quotePrefix="0" xfId="2">
      <alignment horizontal="right" wrapText="1"/>
    </xf>
    <xf numFmtId="17" fontId="106" fillId="6" borderId="33" applyAlignment="1" pivotButton="0" quotePrefix="0" xfId="2">
      <alignment horizontal="right" wrapText="1"/>
    </xf>
    <xf numFmtId="17" fontId="106" fillId="4" borderId="33" applyAlignment="1" pivotButton="0" quotePrefix="0" xfId="2">
      <alignment horizontal="right" wrapText="1"/>
    </xf>
    <xf numFmtId="0" fontId="23" fillId="0" borderId="80" applyAlignment="1" pivotButton="0" quotePrefix="0" xfId="63">
      <alignment horizontal="left"/>
    </xf>
    <xf numFmtId="0" fontId="118" fillId="3" borderId="79" pivotButton="0" quotePrefix="0" xfId="63"/>
    <xf numFmtId="0" fontId="103" fillId="0" borderId="0" applyAlignment="1" pivotButton="0" quotePrefix="0" xfId="63">
      <alignment horizontal="left"/>
    </xf>
    <xf numFmtId="41" fontId="69" fillId="5" borderId="4" applyAlignment="1" pivotButton="0" quotePrefix="0" xfId="0">
      <alignment horizontal="right"/>
    </xf>
    <xf numFmtId="0" fontId="106" fillId="6" borderId="12" applyAlignment="1" pivotButton="0" quotePrefix="0" xfId="1">
      <alignment horizontal="centerContinuous"/>
    </xf>
    <xf numFmtId="171" fontId="97" fillId="6" borderId="68" applyAlignment="1" pivotButton="0" quotePrefix="0" xfId="1">
      <alignment horizontal="right"/>
    </xf>
    <xf numFmtId="41" fontId="56" fillId="0" borderId="7" pivotButton="0" quotePrefix="0" xfId="1"/>
    <xf numFmtId="169" fontId="107" fillId="3" borderId="1" applyAlignment="1" pivotButton="0" quotePrefix="0" xfId="5">
      <alignment horizontal="right" vertical="center"/>
    </xf>
    <xf numFmtId="0" fontId="105" fillId="22" borderId="0" applyAlignment="1" pivotButton="0" quotePrefix="0" xfId="0">
      <alignment horizontal="left" indent="2"/>
    </xf>
    <xf numFmtId="0" fontId="105" fillId="22" borderId="0" applyAlignment="1" pivotButton="0" quotePrefix="0" xfId="0">
      <alignment horizontal="left"/>
    </xf>
    <xf numFmtId="41" fontId="22" fillId="0" borderId="0" pivotButton="0" quotePrefix="0" xfId="64"/>
    <xf numFmtId="0" fontId="22" fillId="0" borderId="0" applyAlignment="1" pivotButton="0" quotePrefix="0" xfId="64">
      <alignment horizontal="left"/>
    </xf>
    <xf numFmtId="0" fontId="22" fillId="0" borderId="0" pivotButton="0" quotePrefix="0" xfId="64"/>
    <xf numFmtId="0" fontId="22" fillId="2" borderId="0" pivotButton="0" quotePrefix="0" xfId="6"/>
    <xf numFmtId="0" fontId="22" fillId="7" borderId="0" pivotButton="0" quotePrefix="0" xfId="5"/>
    <xf numFmtId="41" fontId="100" fillId="0" borderId="0" pivotButton="0" quotePrefix="0" xfId="64"/>
    <xf numFmtId="0" fontId="100" fillId="0" borderId="0" applyAlignment="1" pivotButton="0" quotePrefix="0" xfId="64">
      <alignment horizontal="left"/>
    </xf>
    <xf numFmtId="0" fontId="100" fillId="0" borderId="0" pivotButton="0" quotePrefix="0" xfId="64"/>
    <xf numFmtId="164" fontId="107" fillId="5" borderId="42" pivotButton="0" quotePrefix="0" xfId="64"/>
    <xf numFmtId="164" fontId="107" fillId="5" borderId="2" pivotButton="0" quotePrefix="0" xfId="64"/>
    <xf numFmtId="164" fontId="107" fillId="5" borderId="8" pivotButton="0" quotePrefix="0" xfId="64"/>
    <xf numFmtId="164" fontId="107" fillId="5" borderId="9" pivotButton="0" quotePrefix="0" xfId="64"/>
    <xf numFmtId="164" fontId="107" fillId="5" borderId="2" applyAlignment="1" pivotButton="0" quotePrefix="0" xfId="64">
      <alignment horizontal="left"/>
    </xf>
    <xf numFmtId="0" fontId="107" fillId="5" borderId="2" applyAlignment="1" pivotButton="0" quotePrefix="0" xfId="64">
      <alignment horizontal="left"/>
    </xf>
    <xf numFmtId="164" fontId="105" fillId="0" borderId="40" pivotButton="0" quotePrefix="0" xfId="64"/>
    <xf numFmtId="164" fontId="105" fillId="0" borderId="4" pivotButton="0" quotePrefix="0" xfId="64"/>
    <xf numFmtId="164" fontId="105" fillId="0" borderId="7" pivotButton="0" quotePrefix="0" xfId="64"/>
    <xf numFmtId="15" fontId="105" fillId="0" borderId="0" applyAlignment="1" pivotButton="0" quotePrefix="0" xfId="64">
      <alignment horizontal="left"/>
    </xf>
    <xf numFmtId="164" fontId="105" fillId="0" borderId="38" pivotButton="0" quotePrefix="0" xfId="64"/>
    <xf numFmtId="164" fontId="105" fillId="0" borderId="0" pivotButton="0" quotePrefix="0" xfId="64"/>
    <xf numFmtId="164" fontId="105" fillId="0" borderId="6" pivotButton="0" quotePrefix="0" xfId="64"/>
    <xf numFmtId="164" fontId="105" fillId="0" borderId="10" pivotButton="0" quotePrefix="0" xfId="64"/>
    <xf numFmtId="164" fontId="105" fillId="0" borderId="0" applyAlignment="1" pivotButton="0" quotePrefix="0" xfId="64">
      <alignment horizontal="left"/>
    </xf>
    <xf numFmtId="0" fontId="105" fillId="0" borderId="0" applyAlignment="1" pivotButton="0" quotePrefix="0" xfId="64">
      <alignment horizontal="left" indent="1"/>
    </xf>
    <xf numFmtId="15" fontId="22" fillId="0" borderId="0" pivotButton="0" quotePrefix="0" xfId="64"/>
    <xf numFmtId="15" fontId="106" fillId="6" borderId="15" applyAlignment="1" pivotButton="0" quotePrefix="0" xfId="64">
      <alignment horizontal="right" wrapText="1"/>
    </xf>
    <xf numFmtId="15" fontId="106" fillId="6" borderId="33" applyAlignment="1" pivotButton="0" quotePrefix="0" xfId="64">
      <alignment horizontal="right"/>
    </xf>
    <xf numFmtId="15" fontId="106" fillId="6" borderId="12" applyAlignment="1" pivotButton="0" quotePrefix="0" xfId="64">
      <alignment horizontal="right"/>
    </xf>
    <xf numFmtId="15" fontId="106" fillId="6" borderId="0" applyAlignment="1" pivotButton="0" quotePrefix="0" xfId="64">
      <alignment horizontal="right"/>
    </xf>
    <xf numFmtId="15" fontId="106" fillId="4" borderId="15" applyAlignment="1" pivotButton="0" quotePrefix="0" xfId="64">
      <alignment horizontal="right" wrapText="1"/>
    </xf>
    <xf numFmtId="15" fontId="106" fillId="4" borderId="33" applyAlignment="1" pivotButton="0" quotePrefix="0" xfId="64">
      <alignment horizontal="right"/>
    </xf>
    <xf numFmtId="15" fontId="106" fillId="4" borderId="12" applyAlignment="1" pivotButton="0" quotePrefix="0" xfId="64">
      <alignment horizontal="right"/>
    </xf>
    <xf numFmtId="15" fontId="106" fillId="4" borderId="0" applyAlignment="1" pivotButton="0" quotePrefix="0" xfId="64">
      <alignment horizontal="right"/>
    </xf>
    <xf numFmtId="15" fontId="106" fillId="4" borderId="51" applyAlignment="1" pivotButton="0" quotePrefix="0" xfId="64">
      <alignment horizontal="right" wrapText="1"/>
    </xf>
    <xf numFmtId="15" fontId="106" fillId="4" borderId="0" applyAlignment="1" pivotButton="0" quotePrefix="0" xfId="64">
      <alignment horizontal="right" wrapText="1"/>
    </xf>
    <xf numFmtId="15" fontId="106" fillId="4" borderId="36" applyAlignment="1" pivotButton="0" quotePrefix="0" xfId="64">
      <alignment horizontal="right" wrapText="1"/>
    </xf>
    <xf numFmtId="0" fontId="106" fillId="4" borderId="0" applyAlignment="1" pivotButton="0" quotePrefix="0" xfId="64">
      <alignment horizontal="left"/>
    </xf>
    <xf numFmtId="15" fontId="115" fillId="0" borderId="0" pivotButton="0" quotePrefix="0" xfId="5"/>
    <xf numFmtId="15" fontId="22" fillId="2" borderId="0" pivotButton="0" quotePrefix="0" xfId="6"/>
    <xf numFmtId="17" fontId="106" fillId="6" borderId="15" applyAlignment="1" pivotButton="0" quotePrefix="0" xfId="64">
      <alignment wrapText="1"/>
    </xf>
    <xf numFmtId="17" fontId="106" fillId="6" borderId="13" applyAlignment="1" pivotButton="0" quotePrefix="0" xfId="64">
      <alignment horizontal="centerContinuous" wrapText="1"/>
    </xf>
    <xf numFmtId="17" fontId="106" fillId="6" borderId="13" applyAlignment="1" pivotButton="0" quotePrefix="0" xfId="64">
      <alignment horizontal="centerContinuous"/>
    </xf>
    <xf numFmtId="17" fontId="106" fillId="6" borderId="14" applyAlignment="1" pivotButton="0" quotePrefix="0" xfId="64">
      <alignment horizontal="centerContinuous"/>
    </xf>
    <xf numFmtId="17" fontId="106" fillId="4" borderId="15" applyAlignment="1" pivotButton="0" quotePrefix="0" xfId="64">
      <alignment wrapText="1"/>
    </xf>
    <xf numFmtId="17" fontId="106" fillId="4" borderId="13" applyAlignment="1" pivotButton="0" quotePrefix="0" xfId="64">
      <alignment horizontal="centerContinuous" wrapText="1"/>
    </xf>
    <xf numFmtId="17" fontId="106" fillId="4" borderId="13" applyAlignment="1" pivotButton="0" quotePrefix="0" xfId="64">
      <alignment horizontal="centerContinuous"/>
    </xf>
    <xf numFmtId="17" fontId="106" fillId="4" borderId="14" applyAlignment="1" pivotButton="0" quotePrefix="0" xfId="64">
      <alignment horizontal="centerContinuous"/>
    </xf>
    <xf numFmtId="17" fontId="106" fillId="4" borderId="15" applyAlignment="1" pivotButton="0" quotePrefix="0" xfId="64">
      <alignment horizontal="centerContinuous" wrapText="1"/>
    </xf>
    <xf numFmtId="17" fontId="106" fillId="4" borderId="0" applyAlignment="1" pivotButton="0" quotePrefix="0" xfId="64">
      <alignment wrapText="1"/>
    </xf>
    <xf numFmtId="17" fontId="106" fillId="4" borderId="0" applyAlignment="1" pivotButton="0" quotePrefix="0" xfId="64">
      <alignment horizontal="left"/>
    </xf>
    <xf numFmtId="164" fontId="106" fillId="2" borderId="0" applyAlignment="1" pivotButton="0" quotePrefix="0" xfId="64">
      <alignment vertical="center"/>
    </xf>
    <xf numFmtId="164" fontId="106" fillId="2" borderId="0" applyAlignment="1" pivotButton="0" quotePrefix="0" xfId="64">
      <alignment horizontal="left" vertical="center"/>
    </xf>
    <xf numFmtId="0" fontId="106" fillId="2" borderId="0" applyAlignment="1" pivotButton="0" quotePrefix="0" xfId="64">
      <alignment horizontal="left" vertical="center"/>
    </xf>
    <xf numFmtId="0" fontId="22" fillId="2" borderId="0" pivotButton="0" quotePrefix="0" xfId="11"/>
    <xf numFmtId="0" fontId="105" fillId="3" borderId="0" applyAlignment="1" pivotButton="0" quotePrefix="0" xfId="0">
      <alignment horizontal="left" vertical="center" indent="1"/>
    </xf>
    <xf numFmtId="164" fontId="105" fillId="3" borderId="0" applyAlignment="1" pivotButton="0" quotePrefix="0" xfId="0">
      <alignment vertical="center"/>
    </xf>
    <xf numFmtId="164" fontId="105" fillId="3" borderId="6" applyAlignment="1" pivotButton="0" quotePrefix="0" xfId="0">
      <alignment vertical="center"/>
    </xf>
    <xf numFmtId="165" fontId="109" fillId="3" borderId="0" applyAlignment="1" pivotButton="0" quotePrefix="0" xfId="0">
      <alignment vertical="center"/>
    </xf>
    <xf numFmtId="165" fontId="109" fillId="3" borderId="6" applyAlignment="1" pivotButton="0" quotePrefix="0" xfId="0">
      <alignment vertical="center"/>
    </xf>
    <xf numFmtId="165" fontId="109" fillId="3" borderId="4" applyAlignment="1" pivotButton="0" quotePrefix="0" xfId="0">
      <alignment vertical="center"/>
    </xf>
    <xf numFmtId="165" fontId="109" fillId="3" borderId="7" applyAlignment="1" pivotButton="0" quotePrefix="0" xfId="0">
      <alignment vertical="center"/>
    </xf>
    <xf numFmtId="0" fontId="105" fillId="3" borderId="0" applyAlignment="1" pivotButton="0" quotePrefix="0" xfId="0">
      <alignment horizontal="left" vertical="center"/>
    </xf>
    <xf numFmtId="0" fontId="105" fillId="3" borderId="4" applyAlignment="1" pivotButton="0" quotePrefix="0" xfId="0">
      <alignment horizontal="left" vertical="center"/>
    </xf>
    <xf numFmtId="15" fontId="105" fillId="3" borderId="0" applyAlignment="1" pivotButton="0" quotePrefix="0" xfId="0">
      <alignment vertical="center"/>
    </xf>
    <xf numFmtId="15" fontId="105" fillId="3" borderId="4" applyAlignment="1" pivotButton="0" quotePrefix="0" xfId="0">
      <alignment vertical="center"/>
    </xf>
    <xf numFmtId="166" fontId="100" fillId="3" borderId="0" applyAlignment="1" pivotButton="0" quotePrefix="0" xfId="2">
      <alignment horizontal="right"/>
    </xf>
    <xf numFmtId="0" fontId="107" fillId="5" borderId="2" applyAlignment="1" pivotButton="0" quotePrefix="0" xfId="37">
      <alignment horizontal="left" vertical="center"/>
    </xf>
    <xf numFmtId="166" fontId="107" fillId="5" borderId="9" applyAlignment="1" pivotButton="0" quotePrefix="0" xfId="37">
      <alignment horizontal="right" vertical="center"/>
    </xf>
    <xf numFmtId="166" fontId="107" fillId="5" borderId="8" applyAlignment="1" pivotButton="0" quotePrefix="0" xfId="37">
      <alignment horizontal="right" vertical="center"/>
    </xf>
    <xf numFmtId="43" fontId="107" fillId="5" borderId="2" applyAlignment="1" pivotButton="0" quotePrefix="0" xfId="37">
      <alignment horizontal="right" vertical="center"/>
    </xf>
    <xf numFmtId="43" fontId="107" fillId="5" borderId="9" applyAlignment="1" pivotButton="0" quotePrefix="0" xfId="37">
      <alignment horizontal="right" vertical="center"/>
    </xf>
    <xf numFmtId="43" fontId="107" fillId="5" borderId="8" applyAlignment="1" pivotButton="0" quotePrefix="0" xfId="37">
      <alignment horizontal="right" vertical="center"/>
    </xf>
    <xf numFmtId="0" fontId="114" fillId="0" borderId="4" applyAlignment="1" pivotButton="0" quotePrefix="0" xfId="37">
      <alignment horizontal="left" indent="1"/>
    </xf>
    <xf numFmtId="0" fontId="114" fillId="22" borderId="0" applyAlignment="1" pivotButton="0" quotePrefix="0" xfId="0">
      <alignment horizontal="left" vertical="center" indent="1"/>
    </xf>
    <xf numFmtId="0" fontId="105" fillId="22" borderId="0" applyAlignment="1" pivotButton="0" quotePrefix="0" xfId="51">
      <alignment horizontal="left" indent="2"/>
    </xf>
    <xf numFmtId="164" fontId="105" fillId="3" borderId="6" pivotButton="0" quotePrefix="0" xfId="37"/>
    <xf numFmtId="164" fontId="105" fillId="3" borderId="7" pivotButton="0" quotePrefix="0" xfId="37"/>
    <xf numFmtId="164" fontId="107" fillId="5" borderId="8" pivotButton="0" quotePrefix="0" xfId="37"/>
    <xf numFmtId="17" fontId="106" fillId="6" borderId="0" applyAlignment="1" pivotButton="0" quotePrefix="0" xfId="52">
      <alignment horizontal="centerContinuous" wrapText="1"/>
    </xf>
    <xf numFmtId="17" fontId="106" fillId="6" borderId="45" applyAlignment="1" pivotButton="0" quotePrefix="0" xfId="52">
      <alignment horizontal="right"/>
    </xf>
    <xf numFmtId="0" fontId="105" fillId="15" borderId="0" applyAlignment="1" pivotButton="0" quotePrefix="0" xfId="32">
      <alignment horizontal="left" indent="2"/>
    </xf>
    <xf numFmtId="0" fontId="105" fillId="15" borderId="0" applyAlignment="1" pivotButton="0" quotePrefix="0" xfId="32">
      <alignment horizontal="left" indent="3"/>
    </xf>
    <xf numFmtId="0" fontId="105" fillId="15" borderId="4" applyAlignment="1" pivotButton="0" quotePrefix="0" xfId="32">
      <alignment horizontal="left" indent="3"/>
    </xf>
    <xf numFmtId="0" fontId="105" fillId="15" borderId="0" applyAlignment="1" pivotButton="0" quotePrefix="0" xfId="53">
      <alignment horizontal="left" indent="2"/>
    </xf>
    <xf numFmtId="0" fontId="105" fillId="15" borderId="0" applyAlignment="1" pivotButton="0" quotePrefix="0" xfId="53">
      <alignment horizontal="left" indent="3"/>
    </xf>
    <xf numFmtId="166" fontId="21" fillId="0" borderId="0" applyAlignment="1" pivotButton="0" quotePrefix="0" xfId="0">
      <alignment horizontal="right"/>
    </xf>
    <xf numFmtId="166" fontId="21" fillId="0" borderId="10" applyAlignment="1" pivotButton="0" quotePrefix="0" xfId="0">
      <alignment horizontal="right"/>
    </xf>
    <xf numFmtId="166" fontId="21" fillId="0" borderId="6" applyAlignment="1" pivotButton="0" quotePrefix="0" xfId="0">
      <alignment horizontal="right"/>
    </xf>
    <xf numFmtId="172" fontId="78" fillId="0" borderId="0" pivotButton="0" quotePrefix="0" xfId="38"/>
    <xf numFmtId="166" fontId="105" fillId="0" borderId="0" applyAlignment="1" pivotButton="0" quotePrefix="0" xfId="39">
      <alignment horizontal="right"/>
    </xf>
    <xf numFmtId="172" fontId="109" fillId="0" borderId="0" pivotButton="0" quotePrefix="0" xfId="38"/>
    <xf numFmtId="0" fontId="21" fillId="0" borderId="0" pivotButton="0" quotePrefix="0" xfId="0"/>
    <xf numFmtId="0" fontId="20" fillId="2" borderId="0" applyAlignment="1" pivotButton="0" quotePrefix="0" xfId="0">
      <alignment horizontal="left"/>
    </xf>
    <xf numFmtId="0" fontId="107" fillId="5" borderId="0" applyAlignment="1" pivotButton="0" quotePrefix="0" xfId="0">
      <alignment vertical="center"/>
    </xf>
    <xf numFmtId="166" fontId="107" fillId="5" borderId="0" applyAlignment="1" pivotButton="0" quotePrefix="0" xfId="0">
      <alignment horizontal="right" vertical="center"/>
    </xf>
    <xf numFmtId="0" fontId="20" fillId="0" borderId="0" pivotButton="0" quotePrefix="0" xfId="0"/>
    <xf numFmtId="0" fontId="109" fillId="5" borderId="0" applyAlignment="1" pivotButton="0" quotePrefix="0" xfId="0">
      <alignment horizontal="left" vertical="center"/>
    </xf>
    <xf numFmtId="0" fontId="109" fillId="5" borderId="0" applyAlignment="1" pivotButton="0" quotePrefix="0" xfId="0">
      <alignment vertical="center"/>
    </xf>
    <xf numFmtId="166" fontId="109" fillId="5" borderId="0" applyAlignment="1" pivotButton="0" quotePrefix="0" xfId="0">
      <alignment horizontal="right" vertical="center"/>
    </xf>
    <xf numFmtId="0" fontId="20" fillId="0" borderId="0" applyAlignment="1" pivotButton="0" quotePrefix="0" xfId="0">
      <alignment horizontal="left" indent="2"/>
    </xf>
    <xf numFmtId="166" fontId="20" fillId="0" borderId="0" applyAlignment="1" pivotButton="0" quotePrefix="0" xfId="0">
      <alignment horizontal="right"/>
    </xf>
    <xf numFmtId="166" fontId="20" fillId="0" borderId="10" applyAlignment="1" pivotButton="0" quotePrefix="0" xfId="0">
      <alignment horizontal="right"/>
    </xf>
    <xf numFmtId="0" fontId="20" fillId="3" borderId="4" applyAlignment="1" pivotButton="0" quotePrefix="0" xfId="0">
      <alignment horizontal="left" indent="2"/>
    </xf>
    <xf numFmtId="0" fontId="20" fillId="3" borderId="4" pivotButton="0" quotePrefix="0" xfId="0"/>
    <xf numFmtId="166" fontId="20" fillId="3" borderId="4" applyAlignment="1" pivotButton="0" quotePrefix="0" xfId="0">
      <alignment horizontal="right"/>
    </xf>
    <xf numFmtId="166" fontId="20" fillId="3" borderId="11" applyAlignment="1" pivotButton="0" quotePrefix="0" xfId="0">
      <alignment horizontal="right"/>
    </xf>
    <xf numFmtId="0" fontId="20" fillId="0" borderId="0" applyAlignment="1" pivotButton="0" quotePrefix="0" xfId="0">
      <alignment horizontal="left" indent="1"/>
    </xf>
    <xf numFmtId="41" fontId="20" fillId="0" borderId="0" pivotButton="0" quotePrefix="0" xfId="0"/>
    <xf numFmtId="41" fontId="20" fillId="0" borderId="11" pivotButton="0" quotePrefix="0" xfId="0"/>
    <xf numFmtId="41" fontId="20" fillId="0" borderId="4" pivotButton="0" quotePrefix="0" xfId="0"/>
    <xf numFmtId="166" fontId="21" fillId="3" borderId="4" applyAlignment="1" pivotButton="0" quotePrefix="0" xfId="0">
      <alignment horizontal="right"/>
    </xf>
    <xf numFmtId="166" fontId="21" fillId="3" borderId="7" applyAlignment="1" pivotButton="0" quotePrefix="0" xfId="0">
      <alignment horizontal="right"/>
    </xf>
    <xf numFmtId="166" fontId="21" fillId="3" borderId="11" applyAlignment="1" pivotButton="0" quotePrefix="0" xfId="0">
      <alignment horizontal="right"/>
    </xf>
    <xf numFmtId="0" fontId="19" fillId="0" borderId="0" applyAlignment="1" pivotButton="0" quotePrefix="0" xfId="0">
      <alignment horizontal="left" indent="1"/>
    </xf>
    <xf numFmtId="0" fontId="19" fillId="0" borderId="0" applyAlignment="1" pivotButton="0" quotePrefix="0" xfId="0">
      <alignment horizontal="left"/>
    </xf>
    <xf numFmtId="166" fontId="45" fillId="3" borderId="10" applyAlignment="1" pivotButton="0" quotePrefix="0" xfId="0">
      <alignment horizontal="right"/>
    </xf>
    <xf numFmtId="166" fontId="45" fillId="3" borderId="0" applyAlignment="1" pivotButton="0" quotePrefix="0" xfId="0">
      <alignment horizontal="right"/>
    </xf>
    <xf numFmtId="166" fontId="45" fillId="3" borderId="6" applyAlignment="1" pivotButton="0" quotePrefix="0" xfId="0">
      <alignment horizontal="right"/>
    </xf>
    <xf numFmtId="0" fontId="19" fillId="3" borderId="4" applyAlignment="1" pivotButton="0" quotePrefix="0" xfId="0">
      <alignment horizontal="left" indent="1"/>
    </xf>
    <xf numFmtId="0" fontId="45" fillId="3" borderId="4" pivotButton="0" quotePrefix="0" xfId="0"/>
    <xf numFmtId="166" fontId="45" fillId="3" borderId="4" applyAlignment="1" pivotButton="0" quotePrefix="0" xfId="0">
      <alignment horizontal="right"/>
    </xf>
    <xf numFmtId="166" fontId="45" fillId="3" borderId="11" applyAlignment="1" pivotButton="0" quotePrefix="0" xfId="0">
      <alignment horizontal="right"/>
    </xf>
    <xf numFmtId="166" fontId="45" fillId="3" borderId="7" applyAlignment="1" pivotButton="0" quotePrefix="0" xfId="0">
      <alignment horizontal="right"/>
    </xf>
    <xf numFmtId="0" fontId="45" fillId="3" borderId="0" pivotButton="0" quotePrefix="0" xfId="0"/>
    <xf numFmtId="0" fontId="19" fillId="0" borderId="0" applyAlignment="1" pivotButton="0" quotePrefix="0" xfId="0">
      <alignment horizontal="left" indent="2"/>
    </xf>
    <xf numFmtId="0" fontId="19" fillId="3" borderId="4" applyAlignment="1" pivotButton="0" quotePrefix="0" xfId="0">
      <alignment horizontal="left" indent="2"/>
    </xf>
    <xf numFmtId="0" fontId="129" fillId="0" borderId="0" pivotButton="0" quotePrefix="0" xfId="0"/>
    <xf numFmtId="0" fontId="19" fillId="0" borderId="0" pivotButton="0" quotePrefix="0" xfId="0"/>
    <xf numFmtId="166" fontId="19" fillId="0" borderId="0" applyAlignment="1" pivotButton="0" quotePrefix="0" xfId="0">
      <alignment horizontal="right"/>
    </xf>
    <xf numFmtId="166" fontId="19" fillId="0" borderId="0" pivotButton="0" quotePrefix="0" xfId="0"/>
    <xf numFmtId="0" fontId="19" fillId="3" borderId="4" pivotButton="0" quotePrefix="0" xfId="0"/>
    <xf numFmtId="166" fontId="19" fillId="3" borderId="4" applyAlignment="1" pivotButton="0" quotePrefix="0" xfId="0">
      <alignment horizontal="right"/>
    </xf>
    <xf numFmtId="0" fontId="19" fillId="3" borderId="0" applyAlignment="1" pivotButton="0" quotePrefix="0" xfId="0">
      <alignment horizontal="left" indent="2"/>
    </xf>
    <xf numFmtId="0" fontId="19" fillId="3" borderId="5" applyAlignment="1" pivotButton="0" quotePrefix="0" xfId="0">
      <alignment horizontal="left" indent="1"/>
    </xf>
    <xf numFmtId="0" fontId="45" fillId="3" borderId="5" pivotButton="0" quotePrefix="0" xfId="0"/>
    <xf numFmtId="166" fontId="45" fillId="3" borderId="5" applyAlignment="1" pivotButton="0" quotePrefix="0" xfId="0">
      <alignment horizontal="right"/>
    </xf>
    <xf numFmtId="166" fontId="45" fillId="3" borderId="78" applyAlignment="1" pivotButton="0" quotePrefix="0" xfId="0">
      <alignment horizontal="right"/>
    </xf>
    <xf numFmtId="166" fontId="45" fillId="3" borderId="16" applyAlignment="1" pivotButton="0" quotePrefix="0" xfId="0">
      <alignment horizontal="right"/>
    </xf>
    <xf numFmtId="166" fontId="24" fillId="3" borderId="0" applyAlignment="1" pivotButton="0" quotePrefix="0" xfId="1">
      <alignment horizontal="right"/>
    </xf>
    <xf numFmtId="167" fontId="100" fillId="3" borderId="0" applyAlignment="1" pivotButton="0" quotePrefix="0" xfId="1">
      <alignment horizontal="right"/>
    </xf>
    <xf numFmtId="164" fontId="105" fillId="5" borderId="0" pivotButton="0" quotePrefix="0" xfId="23"/>
    <xf numFmtId="164" fontId="105" fillId="5" borderId="6" pivotButton="0" quotePrefix="0" xfId="23"/>
    <xf numFmtId="164" fontId="105" fillId="5" borderId="4" pivotButton="0" quotePrefix="0" xfId="23"/>
    <xf numFmtId="164" fontId="105" fillId="5" borderId="7" pivotButton="0" quotePrefix="0" xfId="23"/>
    <xf numFmtId="0" fontId="19" fillId="0" borderId="29" applyAlignment="1" pivotButton="0" quotePrefix="0" xfId="0">
      <alignment vertical="center" wrapText="1"/>
    </xf>
    <xf numFmtId="17" fontId="108" fillId="6" borderId="0" applyAlignment="1" pivotButton="0" quotePrefix="0" xfId="0">
      <alignment horizontal="centerContinuous" wrapText="1"/>
    </xf>
    <xf numFmtId="164" fontId="23" fillId="0" borderId="0" pivotButton="0" quotePrefix="0" xfId="2"/>
    <xf numFmtId="0" fontId="187" fillId="0" borderId="0" pivotButton="0" quotePrefix="0" xfId="0"/>
    <xf numFmtId="164" fontId="188" fillId="2" borderId="0" applyAlignment="1" pivotButton="0" quotePrefix="0" xfId="0">
      <alignment vertical="center"/>
    </xf>
    <xf numFmtId="17" fontId="188" fillId="6" borderId="14" applyAlignment="1" pivotButton="0" quotePrefix="0" xfId="0">
      <alignment horizontal="centerContinuous" wrapText="1"/>
    </xf>
    <xf numFmtId="17" fontId="188" fillId="6" borderId="51" applyAlignment="1" pivotButton="0" quotePrefix="0" xfId="0">
      <alignment horizontal="right" wrapText="1"/>
    </xf>
    <xf numFmtId="166" fontId="187" fillId="5" borderId="0" applyAlignment="1" pivotButton="0" quotePrefix="0" xfId="0">
      <alignment horizontal="right"/>
    </xf>
    <xf numFmtId="166" fontId="187" fillId="0" borderId="0" applyAlignment="1" pivotButton="0" quotePrefix="0" xfId="0">
      <alignment horizontal="right"/>
    </xf>
    <xf numFmtId="166" fontId="187" fillId="3" borderId="4" applyAlignment="1" pivotButton="0" quotePrefix="0" xfId="0">
      <alignment horizontal="right"/>
    </xf>
    <xf numFmtId="166" fontId="189" fillId="5" borderId="3" applyAlignment="1" pivotButton="0" quotePrefix="0" xfId="0">
      <alignment horizontal="right" vertical="center"/>
    </xf>
    <xf numFmtId="164" fontId="190" fillId="3" borderId="0" pivotButton="0" quotePrefix="0" xfId="0"/>
    <xf numFmtId="164" fontId="190" fillId="3" borderId="4" pivotButton="0" quotePrefix="0" xfId="0"/>
    <xf numFmtId="164" fontId="189" fillId="5" borderId="3" applyAlignment="1" pivotButton="0" quotePrefix="0" xfId="0">
      <alignment vertical="center"/>
    </xf>
    <xf numFmtId="164" fontId="189" fillId="5" borderId="0" applyAlignment="1" pivotButton="0" quotePrefix="0" xfId="0">
      <alignment vertical="center"/>
    </xf>
    <xf numFmtId="164" fontId="189" fillId="5" borderId="3" pivotButton="0" quotePrefix="0" xfId="0"/>
    <xf numFmtId="164" fontId="190" fillId="5" borderId="4" pivotButton="0" quotePrefix="0" xfId="0"/>
    <xf numFmtId="17" fontId="188" fillId="6" borderId="51" applyAlignment="1" pivotButton="0" quotePrefix="0" xfId="0">
      <alignment horizontal="right" vertical="center" wrapText="1"/>
    </xf>
    <xf numFmtId="0" fontId="18" fillId="3" borderId="0" applyAlignment="1" pivotButton="0" quotePrefix="0" xfId="0">
      <alignment horizontal="left" indent="2"/>
    </xf>
    <xf numFmtId="0" fontId="18" fillId="0" borderId="0" applyAlignment="1" pivotButton="0" quotePrefix="0" xfId="0">
      <alignment horizontal="left"/>
    </xf>
    <xf numFmtId="0" fontId="17" fillId="0" borderId="0" applyAlignment="1" pivotButton="0" quotePrefix="0" xfId="1">
      <alignment horizontal="left" indent="2"/>
    </xf>
    <xf numFmtId="166" fontId="16" fillId="0" borderId="0" applyAlignment="1" pivotButton="0" quotePrefix="0" xfId="0">
      <alignment horizontal="right"/>
    </xf>
    <xf numFmtId="166" fontId="16" fillId="0" borderId="6" applyAlignment="1" pivotButton="0" quotePrefix="0" xfId="0">
      <alignment horizontal="right"/>
    </xf>
    <xf numFmtId="166" fontId="16" fillId="0" borderId="10" applyAlignment="1" pivotButton="0" quotePrefix="0" xfId="0">
      <alignment horizontal="right"/>
    </xf>
    <xf numFmtId="0" fontId="16" fillId="0" borderId="0" applyAlignment="1" pivotButton="0" quotePrefix="0" xfId="0">
      <alignment horizontal="left" indent="1"/>
    </xf>
    <xf numFmtId="17" fontId="108" fillId="6" borderId="15" applyAlignment="1" pivotButton="0" quotePrefix="0" xfId="0">
      <alignment horizontal="right" vertical="center" wrapText="1"/>
    </xf>
    <xf numFmtId="17" fontId="106" fillId="6" borderId="33" applyAlignment="1" pivotButton="0" quotePrefix="0" xfId="0">
      <alignment horizontal="right" vertical="center" wrapText="1"/>
    </xf>
    <xf numFmtId="17" fontId="106" fillId="6" borderId="15" applyAlignment="1" pivotButton="0" quotePrefix="0" xfId="0">
      <alignment horizontal="right" vertical="center" wrapText="1"/>
    </xf>
    <xf numFmtId="0" fontId="0" fillId="3" borderId="4" pivotButton="0" quotePrefix="0" xfId="0"/>
    <xf numFmtId="17" fontId="108" fillId="17" borderId="85" applyAlignment="1" pivotButton="0" quotePrefix="0" xfId="32">
      <alignment horizontal="right" vertical="center" wrapText="1"/>
    </xf>
    <xf numFmtId="17" fontId="108" fillId="17" borderId="34" applyAlignment="1" pivotButton="0" quotePrefix="0" xfId="32">
      <alignment horizontal="right" vertical="center" wrapText="1"/>
    </xf>
    <xf numFmtId="17" fontId="170" fillId="4" borderId="51" applyAlignment="1" pivotButton="0" quotePrefix="0" xfId="38">
      <alignment horizontal="right" vertical="center" wrapText="1"/>
    </xf>
    <xf numFmtId="17" fontId="170" fillId="4" borderId="36" applyAlignment="1" pivotButton="0" quotePrefix="0" xfId="38">
      <alignment horizontal="right" vertical="center" wrapText="1"/>
    </xf>
    <xf numFmtId="0" fontId="106" fillId="4" borderId="0" applyAlignment="1" pivotButton="0" quotePrefix="0" xfId="0">
      <alignment horizontal="right" vertical="center" wrapText="1"/>
    </xf>
    <xf numFmtId="41" fontId="63" fillId="0" borderId="10" pivotButton="0" quotePrefix="0" xfId="0"/>
    <xf numFmtId="41" fontId="63" fillId="0" borderId="11" pivotButton="0" quotePrefix="0" xfId="0"/>
    <xf numFmtId="0" fontId="106" fillId="4" borderId="35" applyAlignment="1" pivotButton="0" quotePrefix="0" xfId="0">
      <alignment horizontal="right" vertical="center" wrapText="1"/>
    </xf>
    <xf numFmtId="0" fontId="191" fillId="0" borderId="0" pivotButton="0" quotePrefix="0" xfId="0"/>
    <xf numFmtId="0" fontId="14" fillId="2" borderId="0" applyAlignment="1" pivotButton="0" quotePrefix="0" xfId="30">
      <alignment horizontal="left"/>
    </xf>
    <xf numFmtId="0" fontId="14" fillId="0" borderId="0" applyAlignment="1" pivotButton="0" quotePrefix="0" xfId="30">
      <alignment horizontal="left"/>
    </xf>
    <xf numFmtId="0" fontId="14" fillId="0" borderId="0" pivotButton="0" quotePrefix="0" xfId="30"/>
    <xf numFmtId="164" fontId="105" fillId="0" borderId="16" applyAlignment="1" pivotButton="0" quotePrefix="0" xfId="27">
      <alignment vertical="center"/>
    </xf>
    <xf numFmtId="0" fontId="13" fillId="2" borderId="0" pivotButton="0" quotePrefix="0" xfId="6"/>
    <xf numFmtId="17" fontId="106" fillId="4" borderId="59" applyAlignment="1" pivotButton="0" quotePrefix="0" xfId="0">
      <alignment horizontal="right" wrapText="1"/>
    </xf>
    <xf numFmtId="171" fontId="97" fillId="6" borderId="100" applyAlignment="1" pivotButton="0" quotePrefix="0" xfId="1">
      <alignment horizontal="right"/>
    </xf>
    <xf numFmtId="169" fontId="69" fillId="0" borderId="4" pivotButton="0" quotePrefix="0" xfId="5"/>
    <xf numFmtId="0" fontId="44" fillId="0" borderId="2" pivotButton="0" quotePrefix="0" xfId="5"/>
    <xf numFmtId="169" fontId="69" fillId="0" borderId="2" pivotButton="0" quotePrefix="0" xfId="5"/>
    <xf numFmtId="0" fontId="106" fillId="2" borderId="4" applyAlignment="1" pivotButton="0" quotePrefix="0" xfId="5">
      <alignment vertical="center"/>
    </xf>
    <xf numFmtId="172" fontId="100" fillId="0" borderId="10" pivotButton="0" quotePrefix="0" xfId="0"/>
    <xf numFmtId="0" fontId="114" fillId="0" borderId="10" applyAlignment="1" pivotButton="0" quotePrefix="0" xfId="27">
      <alignment vertical="center"/>
    </xf>
    <xf numFmtId="0" fontId="12" fillId="0" borderId="29" applyAlignment="1" pivotButton="0" quotePrefix="0" xfId="0">
      <alignment horizontal="left" vertical="center" wrapText="1"/>
    </xf>
    <xf numFmtId="17" fontId="106" fillId="4" borderId="0" applyAlignment="1" pivotButton="0" quotePrefix="0" xfId="64">
      <alignment horizontal="centerContinuous" wrapText="1"/>
    </xf>
    <xf numFmtId="17" fontId="106" fillId="4" borderId="12" applyAlignment="1" pivotButton="0" quotePrefix="0" xfId="64">
      <alignment horizontal="centerContinuous" wrapText="1"/>
    </xf>
    <xf numFmtId="15" fontId="106" fillId="4" borderId="68" applyAlignment="1" pivotButton="0" quotePrefix="0" xfId="64">
      <alignment horizontal="right" wrapText="1"/>
    </xf>
    <xf numFmtId="17" fontId="106" fillId="4" borderId="14" applyAlignment="1" pivotButton="0" quotePrefix="0" xfId="64">
      <alignment horizontal="centerContinuous" wrapText="1"/>
    </xf>
    <xf numFmtId="0" fontId="105" fillId="0" borderId="4" applyAlignment="1" pivotButton="0" quotePrefix="0" xfId="64">
      <alignment horizontal="left" indent="1"/>
    </xf>
    <xf numFmtId="164" fontId="105" fillId="0" borderId="4" applyAlignment="1" pivotButton="0" quotePrefix="0" xfId="64">
      <alignment horizontal="left"/>
    </xf>
    <xf numFmtId="15" fontId="105" fillId="0" borderId="4" applyAlignment="1" pivotButton="0" quotePrefix="0" xfId="64">
      <alignment horizontal="left"/>
    </xf>
    <xf numFmtId="164" fontId="105" fillId="0" borderId="11" pivotButton="0" quotePrefix="0" xfId="64"/>
    <xf numFmtId="0" fontId="105" fillId="0" borderId="0" applyAlignment="1" pivotButton="0" quotePrefix="0" xfId="64">
      <alignment horizontal="left"/>
    </xf>
    <xf numFmtId="0" fontId="105" fillId="0" borderId="4" applyAlignment="1" pivotButton="0" quotePrefix="0" xfId="64">
      <alignment horizontal="left"/>
    </xf>
    <xf numFmtId="166" fontId="12" fillId="5" borderId="0" applyAlignment="1" pivotButton="0" quotePrefix="0" xfId="0">
      <alignment horizontal="right"/>
    </xf>
    <xf numFmtId="166" fontId="12" fillId="5" borderId="10" applyAlignment="1" pivotButton="0" quotePrefix="0" xfId="0">
      <alignment horizontal="right"/>
    </xf>
    <xf numFmtId="166" fontId="12" fillId="5" borderId="4" applyAlignment="1" pivotButton="0" quotePrefix="0" xfId="0">
      <alignment horizontal="right"/>
    </xf>
    <xf numFmtId="166" fontId="12" fillId="5" borderId="11" applyAlignment="1" pivotButton="0" quotePrefix="0" xfId="0">
      <alignment horizontal="right"/>
    </xf>
    <xf numFmtId="41" fontId="29" fillId="0" borderId="7" applyAlignment="1" pivotButton="0" quotePrefix="0" xfId="2">
      <alignment horizontal="right"/>
    </xf>
    <xf numFmtId="0" fontId="12" fillId="0" borderId="0" pivotButton="0" quotePrefix="0" xfId="0"/>
    <xf numFmtId="0" fontId="15" fillId="0" borderId="0" pivotButton="0" quotePrefix="0" xfId="0"/>
    <xf numFmtId="164" fontId="80" fillId="0" borderId="0" applyAlignment="1" pivotButton="0" quotePrefix="0" xfId="32">
      <alignment vertical="top"/>
    </xf>
    <xf numFmtId="168" fontId="107" fillId="5" borderId="3" applyAlignment="1" pivotButton="0" quotePrefix="0" xfId="33">
      <alignment horizontal="left" vertical="top"/>
    </xf>
    <xf numFmtId="0" fontId="106" fillId="4" borderId="0" applyAlignment="1" pivotButton="0" quotePrefix="0" xfId="4">
      <alignment horizontal="left" vertical="center"/>
    </xf>
    <xf numFmtId="0" fontId="97" fillId="4" borderId="59" applyAlignment="1" pivotButton="0" quotePrefix="0" xfId="4">
      <alignment horizontal="right" wrapText="1"/>
    </xf>
    <xf numFmtId="0" fontId="97" fillId="4" borderId="60" applyAlignment="1" pivotButton="0" quotePrefix="0" xfId="4">
      <alignment horizontal="right" wrapText="1"/>
    </xf>
    <xf numFmtId="17" fontId="97" fillId="4" borderId="60" applyAlignment="1" pivotButton="0" quotePrefix="0" xfId="4">
      <alignment horizontal="right" wrapText="1"/>
    </xf>
    <xf numFmtId="17" fontId="97" fillId="4" borderId="61" applyAlignment="1" pivotButton="0" quotePrefix="0" xfId="4">
      <alignment horizontal="right" wrapText="1"/>
    </xf>
    <xf numFmtId="0" fontId="97" fillId="17" borderId="59" applyAlignment="1" pivotButton="0" quotePrefix="0" xfId="4">
      <alignment horizontal="right" wrapText="1"/>
    </xf>
    <xf numFmtId="0" fontId="97" fillId="17" borderId="60" applyAlignment="1" pivotButton="0" quotePrefix="0" xfId="4">
      <alignment horizontal="right" wrapText="1"/>
    </xf>
    <xf numFmtId="17" fontId="97" fillId="17" borderId="60" applyAlignment="1" pivotButton="0" quotePrefix="0" xfId="4">
      <alignment horizontal="right" wrapText="1"/>
    </xf>
    <xf numFmtId="17" fontId="97" fillId="17" borderId="61" applyAlignment="1" pivotButton="0" quotePrefix="0" xfId="4">
      <alignment horizontal="right" wrapText="1"/>
    </xf>
    <xf numFmtId="166" fontId="105" fillId="5" borderId="0" applyAlignment="1" pivotButton="0" quotePrefix="0" xfId="4">
      <alignment horizontal="right"/>
    </xf>
    <xf numFmtId="0" fontId="107" fillId="5" borderId="0" applyAlignment="1" pivotButton="0" quotePrefix="0" xfId="4">
      <alignment horizontal="right"/>
    </xf>
    <xf numFmtId="166" fontId="105" fillId="5" borderId="4" applyAlignment="1" pivotButton="0" quotePrefix="0" xfId="4">
      <alignment horizontal="right" vertical="center"/>
    </xf>
    <xf numFmtId="167" fontId="109" fillId="5" borderId="0" applyAlignment="1" pivotButton="0" quotePrefix="0" xfId="4">
      <alignment horizontal="right"/>
    </xf>
    <xf numFmtId="166" fontId="107" fillId="5" borderId="0" applyAlignment="1" pivotButton="0" quotePrefix="0" xfId="4">
      <alignment horizontal="right" vertical="center"/>
    </xf>
    <xf numFmtId="169" fontId="105" fillId="5" borderId="4" applyAlignment="1" pivotButton="0" quotePrefix="0" xfId="4">
      <alignment horizontal="right" vertical="center"/>
    </xf>
    <xf numFmtId="166" fontId="105" fillId="5" borderId="0" applyAlignment="1" pivotButton="0" quotePrefix="0" xfId="4">
      <alignment horizontal="right" vertical="center" wrapText="1"/>
    </xf>
    <xf numFmtId="166" fontId="105" fillId="5" borderId="4" applyAlignment="1" pivotButton="0" quotePrefix="0" xfId="4">
      <alignment horizontal="right" vertical="center" wrapText="1"/>
    </xf>
    <xf numFmtId="0" fontId="106" fillId="4" borderId="0" applyAlignment="1" pivotButton="0" quotePrefix="0" xfId="4">
      <alignment horizontal="centerContinuous" vertical="center"/>
    </xf>
    <xf numFmtId="0" fontId="106" fillId="17" borderId="0" applyAlignment="1" pivotButton="0" quotePrefix="0" xfId="4">
      <alignment horizontal="centerContinuous" vertical="center"/>
    </xf>
    <xf numFmtId="166" fontId="168" fillId="5" borderId="0" applyAlignment="1" pivotButton="0" quotePrefix="0" xfId="4">
      <alignment horizontal="right" vertical="center"/>
    </xf>
    <xf numFmtId="167" fontId="109" fillId="5" borderId="0" applyAlignment="1" pivotButton="0" quotePrefix="0" xfId="4">
      <alignment horizontal="right" wrapText="1"/>
    </xf>
    <xf numFmtId="0" fontId="11" fillId="0" borderId="0" applyAlignment="1" pivotButton="0" quotePrefix="0" xfId="0">
      <alignment horizontal="left"/>
    </xf>
    <xf numFmtId="43" fontId="0" fillId="0" borderId="0" pivotButton="0" quotePrefix="0" xfId="0"/>
    <xf numFmtId="198" fontId="10" fillId="0" borderId="0" applyAlignment="1" pivotButton="0" quotePrefix="0" xfId="0">
      <alignment horizontal="right"/>
    </xf>
    <xf numFmtId="198" fontId="114" fillId="0" borderId="0" applyAlignment="1" pivotButton="0" quotePrefix="0" xfId="37">
      <alignment horizontal="right"/>
    </xf>
    <xf numFmtId="0" fontId="9" fillId="0" borderId="0" pivotButton="0" quotePrefix="0" xfId="0"/>
    <xf numFmtId="185" fontId="69" fillId="5" borderId="4" applyAlignment="1" pivotButton="0" quotePrefix="0" xfId="0">
      <alignment horizontal="right"/>
    </xf>
    <xf numFmtId="185" fontId="69" fillId="5" borderId="7" applyAlignment="1" pivotButton="0" quotePrefix="0" xfId="0">
      <alignment horizontal="right"/>
    </xf>
    <xf numFmtId="186" fontId="69" fillId="5" borderId="4" applyAlignment="1" pivotButton="0" quotePrefix="0" xfId="0">
      <alignment horizontal="right"/>
    </xf>
    <xf numFmtId="186" fontId="69" fillId="5" borderId="7" applyAlignment="1" pivotButton="0" quotePrefix="0" xfId="0">
      <alignment horizontal="right"/>
    </xf>
    <xf numFmtId="166" fontId="69" fillId="5" borderId="4" applyAlignment="1" pivotButton="0" quotePrefix="0" xfId="0">
      <alignment horizontal="right"/>
    </xf>
    <xf numFmtId="166" fontId="69" fillId="5" borderId="7" applyAlignment="1" pivotButton="0" quotePrefix="0" xfId="0">
      <alignment horizontal="right"/>
    </xf>
    <xf numFmtId="198" fontId="113" fillId="0" borderId="0" applyAlignment="1" pivotButton="0" quotePrefix="0" xfId="0">
      <alignment horizontal="right"/>
    </xf>
    <xf numFmtId="198" fontId="113" fillId="0" borderId="0" applyAlignment="1" pivotButton="0" quotePrefix="0" xfId="37">
      <alignment horizontal="right"/>
    </xf>
    <xf numFmtId="15" fontId="106" fillId="4" borderId="51" applyAlignment="1" pivotButton="0" quotePrefix="0" xfId="32">
      <alignment horizontal="right" wrapText="1"/>
    </xf>
    <xf numFmtId="17" fontId="106" fillId="4" borderId="0" applyAlignment="1" pivotButton="0" quotePrefix="0" xfId="52">
      <alignment horizontal="right" vertical="center" wrapText="1"/>
    </xf>
    <xf numFmtId="0" fontId="9" fillId="0" borderId="4" applyAlignment="1" pivotButton="0" quotePrefix="0" xfId="1">
      <alignment horizontal="left" indent="2"/>
    </xf>
    <xf numFmtId="0" fontId="118" fillId="3" borderId="0" applyAlignment="1" pivotButton="0" quotePrefix="0" xfId="0">
      <alignment vertical="center"/>
    </xf>
    <xf numFmtId="0" fontId="9" fillId="2" borderId="0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199" fontId="109" fillId="3" borderId="0" applyAlignment="1" pivotButton="0" quotePrefix="0" xfId="0">
      <alignment horizontal="right"/>
    </xf>
    <xf numFmtId="199" fontId="109" fillId="3" borderId="10" applyAlignment="1" pivotButton="0" quotePrefix="0" xfId="0">
      <alignment horizontal="right"/>
    </xf>
    <xf numFmtId="199" fontId="109" fillId="3" borderId="6" applyAlignment="1" pivotButton="0" quotePrefix="0" xfId="0">
      <alignment horizontal="right"/>
    </xf>
    <xf numFmtId="199" fontId="110" fillId="5" borderId="3" applyAlignment="1" pivotButton="0" quotePrefix="0" xfId="0">
      <alignment horizontal="right" vertical="center"/>
    </xf>
    <xf numFmtId="199" fontId="110" fillId="5" borderId="27" applyAlignment="1" pivotButton="0" quotePrefix="0" xfId="0">
      <alignment horizontal="right" vertical="center"/>
    </xf>
    <xf numFmtId="199" fontId="110" fillId="5" borderId="49" applyAlignment="1" pivotButton="0" quotePrefix="0" xfId="0">
      <alignment horizontal="right" vertical="center"/>
    </xf>
    <xf numFmtId="17" fontId="106" fillId="23" borderId="14" applyAlignment="1" pivotButton="0" quotePrefix="0" xfId="0">
      <alignment horizontal="centerContinuous"/>
    </xf>
    <xf numFmtId="17" fontId="106" fillId="23" borderId="13" applyAlignment="1" pivotButton="0" quotePrefix="0" xfId="0">
      <alignment horizontal="centerContinuous"/>
    </xf>
    <xf numFmtId="17" fontId="106" fillId="23" borderId="0" applyAlignment="1" pivotButton="0" quotePrefix="0" xfId="0">
      <alignment horizontal="right"/>
    </xf>
    <xf numFmtId="17" fontId="106" fillId="23" borderId="12" applyAlignment="1" pivotButton="0" quotePrefix="0" xfId="0">
      <alignment horizontal="right"/>
    </xf>
    <xf numFmtId="17" fontId="106" fillId="23" borderId="33" applyAlignment="1" pivotButton="0" quotePrefix="0" xfId="0">
      <alignment horizontal="right"/>
    </xf>
    <xf numFmtId="17" fontId="106" fillId="17" borderId="14" applyAlignment="1" pivotButton="0" quotePrefix="0" xfId="0">
      <alignment horizontal="centerContinuous"/>
    </xf>
    <xf numFmtId="17" fontId="106" fillId="17" borderId="13" applyAlignment="1" pivotButton="0" quotePrefix="0" xfId="0">
      <alignment horizontal="centerContinuous"/>
    </xf>
    <xf numFmtId="17" fontId="106" fillId="17" borderId="0" applyAlignment="1" pivotButton="0" quotePrefix="0" xfId="0">
      <alignment horizontal="right"/>
    </xf>
    <xf numFmtId="17" fontId="106" fillId="17" borderId="12" applyAlignment="1" pivotButton="0" quotePrefix="0" xfId="0">
      <alignment horizontal="right"/>
    </xf>
    <xf numFmtId="17" fontId="106" fillId="17" borderId="33" applyAlignment="1" pivotButton="0" quotePrefix="0" xfId="0">
      <alignment horizontal="right"/>
    </xf>
    <xf numFmtId="17" fontId="106" fillId="17" borderId="68" applyAlignment="1" pivotButton="0" quotePrefix="0" xfId="30">
      <alignment horizontal="right" wrapText="1"/>
    </xf>
    <xf numFmtId="167" fontId="109" fillId="3" borderId="23" applyAlignment="1" pivotButton="0" quotePrefix="0" xfId="30">
      <alignment horizontal="right"/>
    </xf>
    <xf numFmtId="167" fontId="109" fillId="3" borderId="6" applyAlignment="1" pivotButton="0" quotePrefix="0" xfId="30">
      <alignment horizontal="right"/>
    </xf>
    <xf numFmtId="167" fontId="109" fillId="3" borderId="7" applyAlignment="1" pivotButton="0" quotePrefix="0" xfId="30">
      <alignment horizontal="right"/>
    </xf>
    <xf numFmtId="167" fontId="109" fillId="0" borderId="23" applyAlignment="1" pivotButton="0" quotePrefix="0" xfId="30">
      <alignment horizontal="right" vertical="center"/>
    </xf>
    <xf numFmtId="167" fontId="110" fillId="5" borderId="49" applyAlignment="1" pivotButton="0" quotePrefix="0" xfId="30">
      <alignment horizontal="right" vertical="center"/>
    </xf>
    <xf numFmtId="0" fontId="105" fillId="0" borderId="0" applyAlignment="1" pivotButton="0" quotePrefix="0" xfId="30">
      <alignment horizontal="left" indent="2"/>
    </xf>
    <xf numFmtId="0" fontId="105" fillId="0" borderId="4" applyAlignment="1" pivotButton="0" quotePrefix="0" xfId="30">
      <alignment horizontal="left" indent="2"/>
    </xf>
    <xf numFmtId="17" fontId="106" fillId="4" borderId="33" applyAlignment="1" pivotButton="0" quotePrefix="0" xfId="0">
      <alignment horizontal="right" vertical="center" wrapText="1"/>
    </xf>
    <xf numFmtId="17" fontId="106" fillId="4" borderId="0" applyAlignment="1" pivotButton="0" quotePrefix="0" xfId="0">
      <alignment horizontal="right" vertical="center" wrapText="1"/>
    </xf>
    <xf numFmtId="0" fontId="150" fillId="0" borderId="0" applyAlignment="1" pivotButton="0" quotePrefix="0" xfId="1">
      <alignment horizontal="left"/>
    </xf>
    <xf numFmtId="0" fontId="169" fillId="0" borderId="0" applyAlignment="1" pivotButton="0" quotePrefix="0" xfId="8">
      <alignment horizontal="left"/>
    </xf>
    <xf numFmtId="0" fontId="150" fillId="3" borderId="0" applyAlignment="1" pivotButton="0" quotePrefix="0" xfId="8">
      <alignment horizontal="left"/>
    </xf>
    <xf numFmtId="0" fontId="150" fillId="0" borderId="0" pivotButton="0" quotePrefix="0" xfId="5"/>
    <xf numFmtId="0" fontId="150" fillId="3" borderId="0" pivotButton="0" quotePrefix="0" xfId="5"/>
    <xf numFmtId="0" fontId="8" fillId="0" borderId="0" pivotButton="0" quotePrefix="0" xfId="0"/>
    <xf numFmtId="0" fontId="8" fillId="0" borderId="0" pivotButton="0" quotePrefix="0" xfId="1"/>
    <xf numFmtId="0" fontId="107" fillId="0" borderId="1" applyAlignment="1" pivotButton="0" quotePrefix="0" xfId="0">
      <alignment horizontal="left" vertical="center"/>
    </xf>
    <xf numFmtId="164" fontId="107" fillId="0" borderId="1" applyAlignment="1" pivotButton="0" quotePrefix="0" xfId="0">
      <alignment vertical="center"/>
    </xf>
    <xf numFmtId="164" fontId="107" fillId="0" borderId="17" applyAlignment="1" pivotButton="0" quotePrefix="0" xfId="0">
      <alignment vertical="center"/>
    </xf>
    <xf numFmtId="164" fontId="107" fillId="0" borderId="23" applyAlignment="1" pivotButton="0" quotePrefix="0" xfId="0">
      <alignment vertical="center"/>
    </xf>
    <xf numFmtId="198" fontId="105" fillId="3" borderId="0" applyAlignment="1" pivotButton="0" quotePrefix="0" xfId="0">
      <alignment horizontal="right"/>
    </xf>
    <xf numFmtId="0" fontId="105" fillId="0" borderId="0" applyAlignment="1" pivotButton="0" quotePrefix="0" xfId="0">
      <alignment horizontal="left" vertical="center" indent="1"/>
    </xf>
    <xf numFmtId="198" fontId="107" fillId="5" borderId="3" applyAlignment="1" pivotButton="0" quotePrefix="0" xfId="0">
      <alignment horizontal="right" vertical="center"/>
    </xf>
    <xf numFmtId="198" fontId="105" fillId="3" borderId="6" applyAlignment="1" pivotButton="0" quotePrefix="0" xfId="0">
      <alignment horizontal="right"/>
    </xf>
    <xf numFmtId="198" fontId="107" fillId="5" borderId="49" applyAlignment="1" pivotButton="0" quotePrefix="0" xfId="0">
      <alignment horizontal="right" vertical="center"/>
    </xf>
    <xf numFmtId="198" fontId="105" fillId="3" borderId="10" applyAlignment="1" pivotButton="0" quotePrefix="0" xfId="0">
      <alignment horizontal="right"/>
    </xf>
    <xf numFmtId="198" fontId="107" fillId="5" borderId="27" applyAlignment="1" pivotButton="0" quotePrefix="0" xfId="0">
      <alignment horizontal="right" vertical="center"/>
    </xf>
    <xf numFmtId="0" fontId="192" fillId="3" borderId="0" applyAlignment="1" pivotButton="0" quotePrefix="0" xfId="0">
      <alignment vertical="center"/>
    </xf>
    <xf numFmtId="0" fontId="0" fillId="24" borderId="0" pivotButton="0" quotePrefix="0" xfId="0"/>
    <xf numFmtId="0" fontId="193" fillId="0" borderId="0" pivotButton="0" quotePrefix="0" xfId="0"/>
    <xf numFmtId="198" fontId="100" fillId="0" borderId="0" applyAlignment="1" pivotButton="0" quotePrefix="0" xfId="0">
      <alignment horizontal="right"/>
    </xf>
    <xf numFmtId="198" fontId="194" fillId="0" borderId="0" applyAlignment="1" pivotButton="0" quotePrefix="0" xfId="0">
      <alignment horizontal="right"/>
    </xf>
    <xf numFmtId="17" fontId="106" fillId="17" borderId="33" applyAlignment="1" pivotButton="0" quotePrefix="0" xfId="0">
      <alignment horizontal="right" vertical="center" wrapText="1"/>
    </xf>
    <xf numFmtId="17" fontId="106" fillId="23" borderId="33" applyAlignment="1" pivotButton="0" quotePrefix="0" xfId="0">
      <alignment horizontal="right" vertical="center" wrapText="1"/>
    </xf>
    <xf numFmtId="17" fontId="106" fillId="12" borderId="33" applyAlignment="1" pivotButton="0" quotePrefix="0" xfId="0">
      <alignment horizontal="right" vertical="center" wrapText="1"/>
    </xf>
    <xf numFmtId="0" fontId="129" fillId="0" borderId="0" pivotButton="0" quotePrefix="0" xfId="1"/>
    <xf numFmtId="41" fontId="129" fillId="0" borderId="0" pivotButton="0" quotePrefix="0" xfId="1"/>
    <xf numFmtId="0" fontId="105" fillId="0" borderId="4" applyAlignment="1" pivotButton="0" quotePrefix="0" xfId="0">
      <alignment horizontal="left" vertical="center" indent="1"/>
    </xf>
    <xf numFmtId="199" fontId="100" fillId="3" borderId="123" applyAlignment="1" pivotButton="0" quotePrefix="0" xfId="1">
      <alignment horizontal="right"/>
    </xf>
    <xf numFmtId="198" fontId="105" fillId="0" borderId="0" applyAlignment="1" pivotButton="0" quotePrefix="0" xfId="0">
      <alignment horizontal="right" vertical="center"/>
    </xf>
    <xf numFmtId="198" fontId="105" fillId="0" borderId="10" applyAlignment="1" pivotButton="0" quotePrefix="0" xfId="0">
      <alignment horizontal="right" vertical="center"/>
    </xf>
    <xf numFmtId="198" fontId="105" fillId="0" borderId="6" applyAlignment="1" pivotButton="0" quotePrefix="0" xfId="0">
      <alignment horizontal="right" vertical="center"/>
    </xf>
    <xf numFmtId="198" fontId="105" fillId="0" borderId="4" applyAlignment="1" pivotButton="0" quotePrefix="0" xfId="0">
      <alignment horizontal="right" vertical="center"/>
    </xf>
    <xf numFmtId="198" fontId="105" fillId="0" borderId="11" applyAlignment="1" pivotButton="0" quotePrefix="0" xfId="0">
      <alignment horizontal="right" vertical="center"/>
    </xf>
    <xf numFmtId="198" fontId="105" fillId="0" borderId="7" applyAlignment="1" pivotButton="0" quotePrefix="0" xfId="0">
      <alignment horizontal="right" vertical="center"/>
    </xf>
    <xf numFmtId="198" fontId="105" fillId="0" borderId="0" applyAlignment="1" pivotButton="0" quotePrefix="0" xfId="0">
      <alignment horizontal="right"/>
    </xf>
    <xf numFmtId="198" fontId="105" fillId="0" borderId="10" applyAlignment="1" pivotButton="0" quotePrefix="0" xfId="0">
      <alignment horizontal="right"/>
    </xf>
    <xf numFmtId="198" fontId="105" fillId="0" borderId="6" applyAlignment="1" pivotButton="0" quotePrefix="0" xfId="0">
      <alignment horizontal="right"/>
    </xf>
    <xf numFmtId="0" fontId="95" fillId="0" borderId="0" applyAlignment="1" pivotButton="0" quotePrefix="0" xfId="1">
      <alignment horizontal="left" wrapText="1"/>
    </xf>
    <xf numFmtId="0" fontId="69" fillId="0" borderId="0" applyAlignment="1" pivotButton="0" quotePrefix="0" xfId="4">
      <alignment horizontal="left" wrapText="1"/>
    </xf>
    <xf numFmtId="0" fontId="69" fillId="0" borderId="0" applyAlignment="1" pivotButton="0" quotePrefix="0" xfId="5">
      <alignment horizontal="left" wrapText="1"/>
    </xf>
    <xf numFmtId="0" fontId="106" fillId="2" borderId="0" applyAlignment="1" pivotButton="0" quotePrefix="0" xfId="5">
      <alignment horizontal="left" vertical="center" wrapText="1"/>
    </xf>
    <xf numFmtId="0" fontId="97" fillId="4" borderId="62" applyAlignment="1" pivotButton="0" quotePrefix="0" xfId="5">
      <alignment horizontal="left" wrapText="1"/>
    </xf>
    <xf numFmtId="15" fontId="97" fillId="4" borderId="85" applyAlignment="1" pivotButton="0" quotePrefix="0" xfId="5">
      <alignment horizontal="left" wrapText="1"/>
    </xf>
    <xf numFmtId="41" fontId="95" fillId="0" borderId="0" applyAlignment="1" pivotButton="0" quotePrefix="0" xfId="1">
      <alignment horizontal="left" wrapText="1"/>
    </xf>
    <xf numFmtId="41" fontId="95" fillId="0" borderId="4" applyAlignment="1" pivotButton="0" quotePrefix="0" xfId="1">
      <alignment horizontal="left" wrapText="1"/>
    </xf>
    <xf numFmtId="169" fontId="113" fillId="0" borderId="4" applyAlignment="1" pivotButton="0" quotePrefix="0" xfId="8">
      <alignment horizontal="left" wrapText="1"/>
    </xf>
    <xf numFmtId="0" fontId="114" fillId="3" borderId="2" applyAlignment="1" pivotButton="0" quotePrefix="0" xfId="8">
      <alignment horizontal="left" wrapText="1"/>
    </xf>
    <xf numFmtId="41" fontId="95" fillId="0" borderId="123" pivotButton="0" quotePrefix="0" xfId="1"/>
    <xf numFmtId="0" fontId="7" fillId="0" borderId="0" applyAlignment="1" pivotButton="0" quotePrefix="0" xfId="1">
      <alignment horizontal="left" indent="1"/>
    </xf>
    <xf numFmtId="0" fontId="8" fillId="0" borderId="0" applyAlignment="1" pivotButton="0" quotePrefix="0" xfId="1">
      <alignment horizontal="left" indent="1"/>
    </xf>
    <xf numFmtId="41" fontId="98" fillId="0" borderId="0" pivotButton="0" quotePrefix="0" xfId="1"/>
    <xf numFmtId="41" fontId="98" fillId="0" borderId="0" applyAlignment="1" pivotButton="0" quotePrefix="0" xfId="1">
      <alignment wrapText="1"/>
    </xf>
    <xf numFmtId="0" fontId="195" fillId="0" borderId="0" pivotButton="0" quotePrefix="0" xfId="1"/>
    <xf numFmtId="41" fontId="100" fillId="3" borderId="0" pivotButton="0" quotePrefix="0" xfId="0"/>
    <xf numFmtId="164" fontId="105" fillId="0" borderId="69" pivotButton="0" quotePrefix="0" xfId="0"/>
    <xf numFmtId="0" fontId="100" fillId="3" borderId="0" pivotButton="0" quotePrefix="0" xfId="0"/>
    <xf numFmtId="198" fontId="100" fillId="3" borderId="0" applyAlignment="1" pivotButton="0" quotePrefix="0" xfId="0">
      <alignment horizontal="right"/>
    </xf>
    <xf numFmtId="164" fontId="105" fillId="0" borderId="28" pivotButton="0" quotePrefix="0" xfId="0"/>
    <xf numFmtId="0" fontId="6" fillId="0" borderId="0" pivotButton="0" quotePrefix="0" xfId="61"/>
    <xf numFmtId="164" fontId="105" fillId="0" borderId="70" pivotButton="0" quotePrefix="0" xfId="0"/>
    <xf numFmtId="0" fontId="118" fillId="3" borderId="0" applyAlignment="1" pivotButton="0" quotePrefix="0" xfId="4">
      <alignment horizontal="left" vertical="center" indent="1"/>
    </xf>
    <xf numFmtId="0" fontId="5" fillId="0" borderId="53" applyAlignment="1" pivotButton="0" quotePrefix="0" xfId="0">
      <alignment vertical="center" wrapText="1"/>
    </xf>
    <xf numFmtId="0" fontId="105" fillId="3" borderId="4" applyAlignment="1" pivotButton="0" quotePrefix="0" xfId="1">
      <alignment horizontal="left"/>
    </xf>
    <xf numFmtId="177" fontId="106" fillId="4" borderId="0" applyAlignment="1" pivotButton="0" quotePrefix="0" xfId="27">
      <alignment horizontal="right"/>
    </xf>
    <xf numFmtId="177" fontId="106" fillId="4" borderId="12" applyAlignment="1" pivotButton="0" quotePrefix="0" xfId="27">
      <alignment horizontal="right"/>
    </xf>
    <xf numFmtId="0" fontId="105" fillId="0" borderId="0" applyAlignment="1" pivotButton="0" quotePrefix="0" xfId="30">
      <alignment horizontal="left"/>
    </xf>
    <xf numFmtId="0" fontId="105" fillId="0" borderId="0" applyAlignment="1" pivotButton="0" quotePrefix="0" xfId="30">
      <alignment horizontal="left" indent="3"/>
    </xf>
    <xf numFmtId="0" fontId="105" fillId="0" borderId="4" applyAlignment="1" pivotButton="0" quotePrefix="0" xfId="30">
      <alignment horizontal="left" indent="3"/>
    </xf>
    <xf numFmtId="0" fontId="105" fillId="0" borderId="4" applyAlignment="1" pivotButton="0" quotePrefix="0" xfId="30">
      <alignment horizontal="left"/>
    </xf>
    <xf numFmtId="0" fontId="105" fillId="0" borderId="0" applyAlignment="1" pivotButton="0" quotePrefix="0" xfId="30">
      <alignment horizontal="left" indent="1"/>
    </xf>
    <xf numFmtId="0" fontId="105" fillId="0" borderId="4" applyAlignment="1" pivotButton="0" quotePrefix="0" xfId="30">
      <alignment horizontal="left" indent="1"/>
    </xf>
    <xf numFmtId="0" fontId="105" fillId="0" borderId="0" applyAlignment="1" pivotButton="0" quotePrefix="0" xfId="30">
      <alignment horizontal="left" indent="4"/>
    </xf>
    <xf numFmtId="164" fontId="105" fillId="0" borderId="0" pivotButton="0" quotePrefix="0" xfId="30"/>
    <xf numFmtId="0" fontId="105" fillId="0" borderId="4" applyAlignment="1" pivotButton="0" quotePrefix="0" xfId="30">
      <alignment horizontal="left" indent="4"/>
    </xf>
    <xf numFmtId="164" fontId="105" fillId="0" borderId="4" pivotButton="0" quotePrefix="0" xfId="30"/>
    <xf numFmtId="0" fontId="105" fillId="0" borderId="5" applyAlignment="1" pivotButton="0" quotePrefix="0" xfId="30">
      <alignment horizontal="left" indent="2"/>
    </xf>
    <xf numFmtId="0" fontId="105" fillId="0" borderId="5" applyAlignment="1" pivotButton="0" quotePrefix="0" xfId="30">
      <alignment horizontal="left"/>
    </xf>
    <xf numFmtId="164" fontId="105" fillId="0" borderId="5" pivotButton="0" quotePrefix="0" xfId="30"/>
    <xf numFmtId="164" fontId="5" fillId="0" borderId="0" applyAlignment="1" pivotButton="0" quotePrefix="0" xfId="0">
      <alignment wrapText="1"/>
    </xf>
    <xf numFmtId="0" fontId="5" fillId="0" borderId="4" pivotButton="0" quotePrefix="0" xfId="5"/>
    <xf numFmtId="164" fontId="105" fillId="0" borderId="37" pivotButton="0" quotePrefix="0" xfId="0"/>
    <xf numFmtId="164" fontId="105" fillId="0" borderId="39" pivotButton="0" quotePrefix="0" xfId="0"/>
    <xf numFmtId="0" fontId="106" fillId="4" borderId="68" applyAlignment="1" pivotButton="0" quotePrefix="0" xfId="0">
      <alignment horizontal="left" vertical="center" wrapText="1"/>
    </xf>
    <xf numFmtId="0" fontId="4" fillId="0" borderId="0" pivotButton="0" quotePrefix="0" xfId="0"/>
    <xf numFmtId="41" fontId="12" fillId="0" borderId="0" applyAlignment="1" pivotButton="0" quotePrefix="0" xfId="0">
      <alignment horizontal="left" indent="4"/>
    </xf>
    <xf numFmtId="197" fontId="105" fillId="3" borderId="0" pivotButton="0" quotePrefix="0" xfId="0"/>
    <xf numFmtId="0" fontId="3" fillId="0" borderId="0" applyAlignment="1" pivotButton="0" quotePrefix="0" xfId="0">
      <alignment horizontal="left" indent="2"/>
    </xf>
    <xf numFmtId="0" fontId="3" fillId="0" borderId="4" applyAlignment="1" pivotButton="0" quotePrefix="0" xfId="0">
      <alignment horizontal="left" indent="2"/>
    </xf>
    <xf numFmtId="0" fontId="3" fillId="0" borderId="0" applyAlignment="1" pivotButton="0" quotePrefix="0" xfId="0">
      <alignment horizontal="left" indent="1"/>
    </xf>
    <xf numFmtId="0" fontId="3" fillId="0" borderId="0" applyAlignment="1" pivotButton="0" quotePrefix="0" xfId="0">
      <alignment horizontal="left"/>
    </xf>
    <xf numFmtId="0" fontId="3" fillId="0" borderId="0" pivotButton="0" quotePrefix="0" xfId="0"/>
    <xf numFmtId="0" fontId="3" fillId="0" borderId="4" applyAlignment="1" pivotButton="0" quotePrefix="0" xfId="1">
      <alignment horizontal="left" indent="2"/>
    </xf>
    <xf numFmtId="0" fontId="3" fillId="0" borderId="0" applyAlignment="1" pivotButton="0" quotePrefix="0" xfId="1">
      <alignment horizontal="left" indent="2"/>
    </xf>
    <xf numFmtId="0" fontId="97" fillId="17" borderId="14" applyAlignment="1" pivotButton="0" quotePrefix="0" xfId="3">
      <alignment horizontal="center" vertical="center"/>
    </xf>
    <xf numFmtId="0" fontId="100" fillId="3" borderId="4" applyAlignment="1" pivotButton="0" quotePrefix="0" xfId="1">
      <alignment horizontal="left"/>
    </xf>
    <xf numFmtId="41" fontId="100" fillId="3" borderId="4" pivotButton="0" quotePrefix="0" xfId="1"/>
    <xf numFmtId="49" fontId="110" fillId="3" borderId="0" applyAlignment="1" applyProtection="1" pivotButton="0" quotePrefix="0" xfId="5">
      <alignment horizontal="left" vertical="center"/>
      <protection locked="0" hidden="0"/>
    </xf>
    <xf numFmtId="169" fontId="109" fillId="3" borderId="0" applyAlignment="1" applyProtection="1" pivotButton="0" quotePrefix="0" xfId="5">
      <alignment horizontal="right" vertical="center"/>
      <protection locked="0" hidden="0"/>
    </xf>
    <xf numFmtId="0" fontId="100" fillId="3" borderId="0" pivotButton="0" quotePrefix="0" xfId="3"/>
    <xf numFmtId="166" fontId="100" fillId="3" borderId="0" pivotButton="0" quotePrefix="0" xfId="3"/>
    <xf numFmtId="0" fontId="97" fillId="4" borderId="0" applyAlignment="1" pivotButton="0" quotePrefix="0" xfId="3">
      <alignment vertical="center"/>
    </xf>
    <xf numFmtId="176" fontId="97" fillId="4" borderId="35" applyAlignment="1" pivotButton="0" quotePrefix="0" xfId="3">
      <alignment horizontal="right" vertical="center" wrapText="1"/>
    </xf>
    <xf numFmtId="176" fontId="97" fillId="4" borderId="95" applyAlignment="1" pivotButton="0" quotePrefix="0" xfId="3">
      <alignment horizontal="right" vertical="center" wrapText="1"/>
    </xf>
    <xf numFmtId="176" fontId="97" fillId="4" borderId="85" applyAlignment="1" pivotButton="0" quotePrefix="0" xfId="3">
      <alignment horizontal="right" vertical="center" wrapText="1"/>
    </xf>
    <xf numFmtId="0" fontId="107" fillId="5" borderId="2" applyAlignment="1" pivotButton="0" quotePrefix="0" xfId="3">
      <alignment vertical="center"/>
    </xf>
    <xf numFmtId="166" fontId="107" fillId="5" borderId="2" applyAlignment="1" pivotButton="0" quotePrefix="0" xfId="3">
      <alignment horizontal="right" vertical="center"/>
    </xf>
    <xf numFmtId="0" fontId="3" fillId="0" borderId="0" applyAlignment="1" pivotButton="0" quotePrefix="0" xfId="3">
      <alignment horizontal="left" indent="1"/>
    </xf>
    <xf numFmtId="41" fontId="3" fillId="0" borderId="0" pivotButton="0" quotePrefix="0" xfId="0"/>
    <xf numFmtId="41" fontId="3" fillId="0" borderId="0" applyAlignment="1" pivotButton="0" quotePrefix="0" xfId="0">
      <alignment horizontal="left" indent="4"/>
    </xf>
    <xf numFmtId="41" fontId="3" fillId="0" borderId="4" applyAlignment="1" pivotButton="0" quotePrefix="0" xfId="0">
      <alignment horizontal="left" indent="4"/>
    </xf>
    <xf numFmtId="0" fontId="107" fillId="5" borderId="3" applyAlignment="1" applyProtection="1" pivotButton="0" quotePrefix="0" xfId="4">
      <alignment vertical="center"/>
      <protection locked="0" hidden="0"/>
    </xf>
    <xf numFmtId="166" fontId="107" fillId="5" borderId="3" applyAlignment="1" pivotButton="0" quotePrefix="0" xfId="4">
      <alignment vertical="center"/>
    </xf>
    <xf numFmtId="0" fontId="100" fillId="3" borderId="0" pivotButton="0" quotePrefix="0" xfId="1"/>
    <xf numFmtId="0" fontId="100" fillId="3" borderId="0" applyAlignment="1" pivotButton="0" quotePrefix="0" xfId="1">
      <alignment horizontal="left"/>
    </xf>
    <xf numFmtId="41" fontId="100" fillId="3" borderId="0" pivotButton="0" quotePrefix="0" xfId="1"/>
    <xf numFmtId="0" fontId="100" fillId="0" borderId="0" applyAlignment="1" pivotButton="0" quotePrefix="0" xfId="1">
      <alignment horizontal="left" indent="1"/>
    </xf>
    <xf numFmtId="0" fontId="100" fillId="3" borderId="4" applyAlignment="1" pivotButton="0" quotePrefix="0" xfId="1">
      <alignment horizontal="left" indent="1"/>
    </xf>
    <xf numFmtId="0" fontId="118" fillId="3" borderId="0" applyAlignment="1" pivotButton="0" quotePrefix="0" xfId="1">
      <alignment vertical="center"/>
    </xf>
    <xf numFmtId="0" fontId="95" fillId="3" borderId="0" pivotButton="0" quotePrefix="0" xfId="1"/>
    <xf numFmtId="0" fontId="95" fillId="3" borderId="0" applyAlignment="1" pivotButton="0" quotePrefix="0" xfId="1">
      <alignment horizontal="left"/>
    </xf>
    <xf numFmtId="41" fontId="95" fillId="3" borderId="0" pivotButton="0" quotePrefix="0" xfId="1"/>
    <xf numFmtId="184" fontId="100" fillId="18" borderId="0" applyAlignment="1" pivotButton="0" quotePrefix="0" xfId="0">
      <alignment horizontal="right"/>
    </xf>
    <xf numFmtId="165" fontId="113" fillId="5" borderId="0" applyAlignment="1" pivotButton="0" quotePrefix="0" xfId="36">
      <alignment horizontal="right"/>
    </xf>
    <xf numFmtId="165" fontId="113" fillId="5" borderId="10" applyAlignment="1" pivotButton="0" quotePrefix="0" xfId="36">
      <alignment horizontal="right"/>
    </xf>
    <xf numFmtId="165" fontId="113" fillId="5" borderId="6" applyAlignment="1" pivotButton="0" quotePrefix="0" xfId="36">
      <alignment horizontal="right"/>
    </xf>
    <xf numFmtId="172" fontId="114" fillId="5" borderId="0" applyAlignment="1" pivotButton="0" quotePrefix="0" xfId="36">
      <alignment horizontal="right"/>
    </xf>
    <xf numFmtId="172" fontId="114" fillId="5" borderId="10" applyAlignment="1" pivotButton="0" quotePrefix="0" xfId="36">
      <alignment horizontal="right"/>
    </xf>
    <xf numFmtId="0" fontId="113" fillId="0" borderId="0" applyAlignment="1" pivotButton="0" quotePrefix="0" xfId="36">
      <alignment horizontal="left" indent="1"/>
    </xf>
    <xf numFmtId="182" fontId="114" fillId="0" borderId="10" pivotButton="0" quotePrefix="0" xfId="37"/>
    <xf numFmtId="182" fontId="114" fillId="0" borderId="6" pivotButton="0" quotePrefix="0" xfId="37"/>
    <xf numFmtId="0" fontId="110" fillId="5" borderId="3" applyAlignment="1" pivotButton="0" quotePrefix="0" xfId="37">
      <alignment vertical="center"/>
    </xf>
    <xf numFmtId="182" fontId="107" fillId="5" borderId="3" applyAlignment="1" pivotButton="0" quotePrefix="0" xfId="37">
      <alignment vertical="center"/>
    </xf>
    <xf numFmtId="182" fontId="107" fillId="5" borderId="27" applyAlignment="1" pivotButton="0" quotePrefix="0" xfId="37">
      <alignment vertical="center"/>
    </xf>
    <xf numFmtId="182" fontId="107" fillId="5" borderId="49" applyAlignment="1" pivotButton="0" quotePrefix="0" xfId="37">
      <alignment vertical="center"/>
    </xf>
    <xf numFmtId="182" fontId="114" fillId="5" borderId="0" pivotButton="0" quotePrefix="0" xfId="37"/>
    <xf numFmtId="182" fontId="114" fillId="5" borderId="10" pivotButton="0" quotePrefix="0" xfId="37"/>
    <xf numFmtId="182" fontId="114" fillId="5" borderId="6" pivotButton="0" quotePrefix="0" xfId="37"/>
    <xf numFmtId="167" fontId="113" fillId="5" borderId="0" applyAlignment="1" pivotButton="0" quotePrefix="0" xfId="37">
      <alignment horizontal="right"/>
    </xf>
    <xf numFmtId="167" fontId="113" fillId="5" borderId="10" applyAlignment="1" pivotButton="0" quotePrefix="0" xfId="37">
      <alignment horizontal="right"/>
    </xf>
    <xf numFmtId="167" fontId="113" fillId="5" borderId="6" applyAlignment="1" pivotButton="0" quotePrefix="0" xfId="37">
      <alignment horizontal="right"/>
    </xf>
    <xf numFmtId="0" fontId="69" fillId="3" borderId="0" applyAlignment="1" pivotButton="0" quotePrefix="0" xfId="3">
      <alignment horizontal="left" indent="1"/>
    </xf>
    <xf numFmtId="166" fontId="69" fillId="3" borderId="0" applyAlignment="1" pivotButton="0" quotePrefix="0" xfId="3">
      <alignment horizontal="right"/>
    </xf>
    <xf numFmtId="166" fontId="98" fillId="3" borderId="0" applyAlignment="1" pivotButton="0" quotePrefix="0" xfId="3">
      <alignment horizontal="center"/>
    </xf>
    <xf numFmtId="0" fontId="97" fillId="17" borderId="51" applyAlignment="1" pivotButton="0" quotePrefix="0" xfId="3">
      <alignment horizontal="center" vertical="center"/>
    </xf>
    <xf numFmtId="0" fontId="69" fillId="0" borderId="0" applyAlignment="1" pivotButton="0" quotePrefix="0" xfId="3">
      <alignment horizontal="left" indent="1"/>
    </xf>
    <xf numFmtId="166" fontId="107" fillId="5" borderId="3" applyAlignment="1" pivotButton="0" quotePrefix="0" xfId="3">
      <alignment horizontal="center" vertical="center"/>
    </xf>
    <xf numFmtId="0" fontId="107" fillId="5" borderId="3" applyAlignment="1" pivotButton="0" quotePrefix="0" xfId="3">
      <alignment vertical="center"/>
    </xf>
    <xf numFmtId="166" fontId="107" fillId="5" borderId="3" applyAlignment="1" pivotButton="0" quotePrefix="0" xfId="3">
      <alignment horizontal="right" vertical="center"/>
    </xf>
    <xf numFmtId="0" fontId="100" fillId="0" borderId="0" applyAlignment="1" pivotButton="0" quotePrefix="0" xfId="3">
      <alignment horizontal="left"/>
    </xf>
    <xf numFmtId="41" fontId="12" fillId="0" borderId="0" applyAlignment="1" pivotButton="0" quotePrefix="0" xfId="0">
      <alignment horizontal="left" indent="2"/>
    </xf>
    <xf numFmtId="41" fontId="3" fillId="0" borderId="0" applyAlignment="1" pivotButton="0" quotePrefix="0" xfId="0">
      <alignment horizontal="left" indent="2"/>
    </xf>
    <xf numFmtId="41" fontId="3" fillId="0" borderId="4" applyAlignment="1" pivotButton="0" quotePrefix="0" xfId="0">
      <alignment horizontal="left" indent="2"/>
    </xf>
    <xf numFmtId="41" fontId="51" fillId="3" borderId="4" applyAlignment="1" pivotButton="0" quotePrefix="0" xfId="0">
      <alignment horizontal="left" indent="1"/>
    </xf>
    <xf numFmtId="17" fontId="108" fillId="4" borderId="12" applyAlignment="1" pivotButton="0" quotePrefix="0" xfId="0">
      <alignment horizontal="right"/>
    </xf>
    <xf numFmtId="166" fontId="105" fillId="3" borderId="19" applyAlignment="1" pivotButton="0" quotePrefix="0" xfId="3">
      <alignment horizontal="left" vertical="top" wrapText="1"/>
    </xf>
    <xf numFmtId="166" fontId="43" fillId="3" borderId="0" applyAlignment="1" pivotButton="0" quotePrefix="0" xfId="3">
      <alignment horizontal="left" vertical="top" wrapText="1"/>
    </xf>
    <xf numFmtId="166" fontId="105" fillId="5" borderId="2" applyAlignment="1" pivotButton="0" quotePrefix="0" xfId="3">
      <alignment horizontal="left" vertical="top"/>
    </xf>
    <xf numFmtId="0" fontId="43" fillId="0" borderId="0" applyAlignment="1" pivotButton="0" quotePrefix="0" xfId="3">
      <alignment horizontal="left" vertical="top"/>
    </xf>
    <xf numFmtId="41" fontId="95" fillId="0" borderId="0" applyAlignment="1" pivotButton="0" quotePrefix="0" xfId="1">
      <alignment horizontal="left" vertical="top" wrapText="1"/>
    </xf>
    <xf numFmtId="41" fontId="69" fillId="0" borderId="0" applyAlignment="1" pivotButton="0" quotePrefix="0" xfId="1">
      <alignment horizontal="left" vertical="top" wrapText="1"/>
    </xf>
    <xf numFmtId="41" fontId="95" fillId="0" borderId="4" applyAlignment="1" pivotButton="0" quotePrefix="0" xfId="1">
      <alignment horizontal="left" vertical="top" wrapText="1"/>
    </xf>
    <xf numFmtId="0" fontId="58" fillId="0" borderId="0" applyAlignment="1" pivotButton="0" quotePrefix="0" xfId="1">
      <alignment vertical="top" wrapText="1"/>
    </xf>
    <xf numFmtId="41" fontId="95" fillId="3" borderId="4" applyAlignment="1" pivotButton="0" quotePrefix="0" xfId="1">
      <alignment horizontal="left" vertical="top" wrapText="1"/>
    </xf>
    <xf numFmtId="41" fontId="95" fillId="3" borderId="0" applyAlignment="1" pivotButton="0" quotePrefix="0" xfId="1">
      <alignment horizontal="left" vertical="top" wrapText="1"/>
    </xf>
    <xf numFmtId="169" fontId="107" fillId="5" borderId="0" applyAlignment="1" pivotButton="0" quotePrefix="0" xfId="5">
      <alignment horizontal="left" vertical="top" wrapText="1"/>
    </xf>
    <xf numFmtId="169" fontId="105" fillId="3" borderId="0" applyAlignment="1" pivotButton="0" quotePrefix="0" xfId="5">
      <alignment horizontal="left" vertical="top" wrapText="1"/>
    </xf>
    <xf numFmtId="167" fontId="109" fillId="5" borderId="0" applyAlignment="1" pivotButton="0" quotePrefix="0" xfId="5">
      <alignment horizontal="left" vertical="top" wrapText="1"/>
    </xf>
    <xf numFmtId="166" fontId="105" fillId="3" borderId="0" applyAlignment="1" pivotButton="0" quotePrefix="1" xfId="5">
      <alignment horizontal="left" vertical="top" wrapText="1"/>
    </xf>
    <xf numFmtId="166" fontId="105" fillId="3" borderId="4" applyAlignment="1" pivotButton="0" quotePrefix="1" xfId="5">
      <alignment horizontal="left" vertical="top" wrapText="1"/>
    </xf>
    <xf numFmtId="169" fontId="105" fillId="3" borderId="0" applyAlignment="1" pivotButton="0" quotePrefix="1" xfId="5">
      <alignment horizontal="left" vertical="top" wrapText="1"/>
    </xf>
    <xf numFmtId="169" fontId="105" fillId="3" borderId="4" applyAlignment="1" pivotButton="0" quotePrefix="0" xfId="5">
      <alignment horizontal="left" vertical="top" wrapText="1"/>
    </xf>
    <xf numFmtId="166" fontId="105" fillId="3" borderId="0" applyAlignment="1" pivotButton="0" quotePrefix="0" xfId="5">
      <alignment horizontal="left" vertical="top" wrapText="1"/>
    </xf>
    <xf numFmtId="167" fontId="109" fillId="5" borderId="2" applyAlignment="1" pivotButton="0" quotePrefix="0" xfId="5">
      <alignment horizontal="left" vertical="top" wrapText="1"/>
    </xf>
    <xf numFmtId="0" fontId="114" fillId="0" borderId="0" applyAlignment="1" pivotButton="0" quotePrefix="0" xfId="8">
      <alignment horizontal="left" vertical="top" wrapText="1"/>
    </xf>
    <xf numFmtId="169" fontId="109" fillId="3" borderId="1" applyAlignment="1" applyProtection="1" pivotButton="0" quotePrefix="0" xfId="5">
      <alignment horizontal="left" vertical="top" wrapText="1"/>
      <protection locked="0" hidden="0"/>
    </xf>
    <xf numFmtId="169" fontId="109" fillId="3" borderId="0" applyAlignment="1" applyProtection="1" pivotButton="0" quotePrefix="0" xfId="5">
      <alignment horizontal="left" vertical="top" wrapText="1"/>
      <protection locked="0" hidden="0"/>
    </xf>
    <xf numFmtId="0" fontId="2" fillId="0" borderId="0" applyAlignment="1" pivotButton="0" quotePrefix="0" xfId="0">
      <alignment horizontal="left"/>
    </xf>
    <xf numFmtId="0" fontId="45" fillId="0" borderId="0" applyAlignment="1" pivotButton="0" quotePrefix="0" xfId="0">
      <alignment horizontal="left"/>
    </xf>
    <xf numFmtId="0" fontId="20" fillId="0" borderId="0" applyAlignment="1" pivotButton="0" quotePrefix="0" xfId="0">
      <alignment horizontal="left"/>
    </xf>
    <xf numFmtId="17" fontId="108" fillId="6" borderId="15" applyAlignment="1" pivotButton="0" quotePrefix="0" xfId="0">
      <alignment horizontal="right" wrapText="1"/>
    </xf>
    <xf numFmtId="17" fontId="106" fillId="6" borderId="15" applyAlignment="1" pivotButton="0" quotePrefix="0" xfId="27">
      <alignment horizontal="right" wrapText="1"/>
    </xf>
    <xf numFmtId="17" fontId="106" fillId="19" borderId="15" applyAlignment="1" pivotButton="0" quotePrefix="0" xfId="27">
      <alignment horizontal="right" wrapText="1"/>
    </xf>
    <xf numFmtId="0" fontId="69" fillId="2" borderId="0" applyAlignment="1" pivotButton="0" quotePrefix="0" xfId="0">
      <alignment horizontal="left" wrapText="1"/>
    </xf>
    <xf numFmtId="0" fontId="106" fillId="4" borderId="28" applyAlignment="1" pivotButton="0" quotePrefix="0" xfId="0">
      <alignment horizontal="left" wrapText="1"/>
    </xf>
    <xf numFmtId="0" fontId="106" fillId="4" borderId="54" applyAlignment="1" pivotButton="0" quotePrefix="0" xfId="0">
      <alignment horizontal="left" wrapText="1"/>
    </xf>
    <xf numFmtId="0" fontId="142" fillId="10" borderId="0" applyAlignment="1" pivotButton="0" quotePrefix="0" xfId="0">
      <alignment horizontal="left"/>
    </xf>
    <xf numFmtId="200" fontId="139" fillId="10" borderId="0" applyAlignment="1" pivotButton="0" quotePrefix="0" xfId="0">
      <alignment horizontal="left"/>
    </xf>
    <xf numFmtId="200" fontId="139" fillId="10" borderId="0" applyAlignment="1" pivotButton="0" quotePrefix="0" xfId="0">
      <alignment horizontal="left"/>
    </xf>
    <xf numFmtId="189" fontId="95" fillId="0" borderId="0" pivotButton="0" quotePrefix="0" xfId="47"/>
    <xf numFmtId="181" fontId="100" fillId="7" borderId="0" pivotButton="0" quotePrefix="0" xfId="4"/>
    <xf numFmtId="178" fontId="126" fillId="2" borderId="0" applyAlignment="1" pivotButton="0" quotePrefix="0" xfId="0">
      <alignment vertical="center"/>
    </xf>
    <xf numFmtId="178" fontId="126" fillId="4" borderId="0" applyAlignment="1" pivotButton="0" quotePrefix="0" xfId="0">
      <alignment vertical="center"/>
    </xf>
    <xf numFmtId="174" fontId="105" fillId="3" borderId="0" pivotButton="0" quotePrefix="0" xfId="0"/>
    <xf numFmtId="174" fontId="105" fillId="3" borderId="4" pivotButton="0" quotePrefix="0" xfId="0"/>
    <xf numFmtId="174" fontId="69" fillId="0" borderId="0" applyAlignment="1" pivotButton="0" quotePrefix="0" xfId="0">
      <alignment horizontal="left"/>
    </xf>
    <xf numFmtId="174" fontId="107" fillId="3" borderId="0" pivotButton="0" quotePrefix="0" xfId="0"/>
    <xf numFmtId="174" fontId="107" fillId="5" borderId="2" pivotButton="0" quotePrefix="0" xfId="0"/>
    <xf numFmtId="174" fontId="69" fillId="0" borderId="0" pivotButton="0" quotePrefix="0" xfId="0"/>
    <xf numFmtId="174" fontId="100" fillId="0" borderId="0" pivotButton="0" quotePrefix="0" xfId="0"/>
    <xf numFmtId="184" fontId="100" fillId="5" borderId="0" applyAlignment="1" pivotButton="0" quotePrefix="0" xfId="0">
      <alignment horizontal="right"/>
    </xf>
    <xf numFmtId="184" fontId="100" fillId="5" borderId="10" applyAlignment="1" pivotButton="0" quotePrefix="0" xfId="0">
      <alignment horizontal="right"/>
    </xf>
    <xf numFmtId="184" fontId="100" fillId="5" borderId="6" applyAlignment="1" pivotButton="0" quotePrefix="0" xfId="0">
      <alignment horizontal="right"/>
    </xf>
    <xf numFmtId="184" fontId="100" fillId="18" borderId="0" applyAlignment="1" pivotButton="0" quotePrefix="0" xfId="0">
      <alignment horizontal="right"/>
    </xf>
    <xf numFmtId="184" fontId="98" fillId="0" borderId="72" pivotButton="0" quotePrefix="0" xfId="0"/>
    <xf numFmtId="187" fontId="69" fillId="0" borderId="0" applyAlignment="1" pivotButton="0" quotePrefix="0" xfId="0">
      <alignment horizontal="right"/>
    </xf>
    <xf numFmtId="191" fontId="69" fillId="0" borderId="0" applyAlignment="1" pivotButton="0" quotePrefix="0" xfId="0">
      <alignment horizontal="left"/>
    </xf>
    <xf numFmtId="187" fontId="100" fillId="5" borderId="0" applyAlignment="1" pivotButton="0" quotePrefix="0" xfId="0">
      <alignment horizontal="right"/>
    </xf>
    <xf numFmtId="187" fontId="100" fillId="5" borderId="10" applyAlignment="1" pivotButton="0" quotePrefix="0" xfId="0">
      <alignment horizontal="right"/>
    </xf>
    <xf numFmtId="187" fontId="100" fillId="5" borderId="6" applyAlignment="1" pivotButton="0" quotePrefix="0" xfId="0">
      <alignment horizontal="right"/>
    </xf>
    <xf numFmtId="187" fontId="100" fillId="5" borderId="4" applyAlignment="1" pivotButton="0" quotePrefix="0" xfId="0">
      <alignment horizontal="right"/>
    </xf>
    <xf numFmtId="187" fontId="100" fillId="5" borderId="11" applyAlignment="1" pivotButton="0" quotePrefix="0" xfId="0">
      <alignment horizontal="right"/>
    </xf>
    <xf numFmtId="187" fontId="100" fillId="5" borderId="7" applyAlignment="1" pivotButton="0" quotePrefix="0" xfId="0">
      <alignment horizontal="right"/>
    </xf>
    <xf numFmtId="189" fontId="127" fillId="0" borderId="72" pivotButton="0" quotePrefix="0" xfId="0"/>
    <xf numFmtId="181" fontId="100" fillId="0" borderId="0" applyAlignment="1" pivotButton="0" quotePrefix="0" xfId="0">
      <alignment horizontal="right"/>
    </xf>
    <xf numFmtId="192" fontId="127" fillId="0" borderId="72" pivotButton="0" quotePrefix="0" xfId="0"/>
    <xf numFmtId="177" fontId="170" fillId="4" borderId="45" applyAlignment="1" pivotButton="0" quotePrefix="0" xfId="38">
      <alignment horizontal="right"/>
    </xf>
    <xf numFmtId="177" fontId="170" fillId="4" borderId="68" applyAlignment="1" pivotButton="0" quotePrefix="0" xfId="38">
      <alignment horizontal="right"/>
    </xf>
    <xf numFmtId="172" fontId="105" fillId="0" borderId="0" pivotButton="0" quotePrefix="0" xfId="38"/>
    <xf numFmtId="172" fontId="105" fillId="0" borderId="10" pivotButton="0" quotePrefix="0" xfId="38"/>
    <xf numFmtId="172" fontId="105" fillId="0" borderId="6" pivotButton="0" quotePrefix="0" xfId="38"/>
    <xf numFmtId="172" fontId="105" fillId="0" borderId="4" pivotButton="0" quotePrefix="0" xfId="38"/>
    <xf numFmtId="172" fontId="105" fillId="0" borderId="11" pivotButton="0" quotePrefix="0" xfId="38"/>
    <xf numFmtId="172" fontId="105" fillId="0" borderId="7" pivotButton="0" quotePrefix="0" xfId="38"/>
    <xf numFmtId="172" fontId="109" fillId="0" borderId="0" pivotButton="0" quotePrefix="0" xfId="38"/>
    <xf numFmtId="172" fontId="114" fillId="0" borderId="0" applyAlignment="1" pivotButton="0" quotePrefix="0" xfId="36">
      <alignment horizontal="right"/>
    </xf>
    <xf numFmtId="172" fontId="114" fillId="0" borderId="10" applyAlignment="1" pivotButton="0" quotePrefix="0" xfId="36">
      <alignment horizontal="right"/>
    </xf>
    <xf numFmtId="172" fontId="114" fillId="0" borderId="6" applyAlignment="1" pivotButton="0" quotePrefix="0" xfId="36">
      <alignment horizontal="right"/>
    </xf>
    <xf numFmtId="172" fontId="114" fillId="5" borderId="0" applyAlignment="1" pivotButton="0" quotePrefix="0" xfId="36">
      <alignment horizontal="right"/>
    </xf>
    <xf numFmtId="172" fontId="114" fillId="5" borderId="10" applyAlignment="1" pivotButton="0" quotePrefix="0" xfId="36">
      <alignment horizontal="right"/>
    </xf>
    <xf numFmtId="172" fontId="107" fillId="5" borderId="3" applyAlignment="1" pivotButton="0" quotePrefix="0" xfId="36">
      <alignment horizontal="right" vertical="center"/>
    </xf>
    <xf numFmtId="172" fontId="107" fillId="5" borderId="27" applyAlignment="1" pivotButton="0" quotePrefix="0" xfId="36">
      <alignment horizontal="right" vertical="center"/>
    </xf>
    <xf numFmtId="172" fontId="107" fillId="5" borderId="49" applyAlignment="1" pivotButton="0" quotePrefix="0" xfId="36">
      <alignment horizontal="right" vertical="center"/>
    </xf>
    <xf numFmtId="172" fontId="78" fillId="0" borderId="0" pivotButton="0" quotePrefix="0" xfId="38"/>
    <xf numFmtId="182" fontId="114" fillId="0" borderId="0" pivotButton="0" quotePrefix="0" xfId="37"/>
    <xf numFmtId="182" fontId="114" fillId="0" borderId="10" pivotButton="0" quotePrefix="0" xfId="37"/>
    <xf numFmtId="182" fontId="114" fillId="0" borderId="6" pivotButton="0" quotePrefix="0" xfId="37"/>
    <xf numFmtId="182" fontId="114" fillId="5" borderId="0" pivotButton="0" quotePrefix="0" xfId="37"/>
    <xf numFmtId="182" fontId="114" fillId="5" borderId="10" pivotButton="0" quotePrefix="0" xfId="37"/>
    <xf numFmtId="182" fontId="114" fillId="5" borderId="6" pivotButton="0" quotePrefix="0" xfId="37"/>
    <xf numFmtId="182" fontId="107" fillId="5" borderId="3" applyAlignment="1" pivotButton="0" quotePrefix="0" xfId="37">
      <alignment vertical="center"/>
    </xf>
    <xf numFmtId="182" fontId="107" fillId="5" borderId="27" applyAlignment="1" pivotButton="0" quotePrefix="0" xfId="37">
      <alignment vertical="center"/>
    </xf>
    <xf numFmtId="182" fontId="107" fillId="5" borderId="49" applyAlignment="1" pivotButton="0" quotePrefix="0" xfId="37">
      <alignment vertical="center"/>
    </xf>
    <xf numFmtId="182" fontId="113" fillId="0" borderId="0" pivotButton="0" quotePrefix="0" xfId="37"/>
    <xf numFmtId="177" fontId="97" fillId="4" borderId="0" pivotButton="0" quotePrefix="0" xfId="0"/>
    <xf numFmtId="177" fontId="97" fillId="4" borderId="12" pivotButton="0" quotePrefix="0" xfId="0"/>
    <xf numFmtId="185" fontId="70" fillId="0" borderId="0" pivotButton="0" quotePrefix="0" xfId="0"/>
    <xf numFmtId="185" fontId="69" fillId="2" borderId="0" applyAlignment="1" pivotButton="0" quotePrefix="0" xfId="0">
      <alignment horizontal="left"/>
    </xf>
    <xf numFmtId="185" fontId="69" fillId="0" borderId="0" applyAlignment="1" pivotButton="0" quotePrefix="0" xfId="0">
      <alignment horizontal="left"/>
    </xf>
    <xf numFmtId="185" fontId="69" fillId="3" borderId="4" applyAlignment="1" pivotButton="0" quotePrefix="0" xfId="0">
      <alignment horizontal="left" indent="3"/>
    </xf>
    <xf numFmtId="185" fontId="69" fillId="3" borderId="4" applyAlignment="1" pivotButton="0" quotePrefix="0" xfId="0">
      <alignment horizontal="right"/>
    </xf>
    <xf numFmtId="185" fontId="69" fillId="3" borderId="11" applyAlignment="1" pivotButton="0" quotePrefix="0" xfId="0">
      <alignment horizontal="right"/>
    </xf>
    <xf numFmtId="185" fontId="69" fillId="5" borderId="4" applyAlignment="1" pivotButton="0" quotePrefix="0" xfId="0">
      <alignment horizontal="right"/>
    </xf>
    <xf numFmtId="185" fontId="69" fillId="5" borderId="7" applyAlignment="1" pivotButton="0" quotePrefix="0" xfId="0">
      <alignment horizontal="right"/>
    </xf>
    <xf numFmtId="186" fontId="70" fillId="0" borderId="0" pivotButton="0" quotePrefix="0" xfId="0"/>
    <xf numFmtId="186" fontId="69" fillId="2" borderId="0" applyAlignment="1" pivotButton="0" quotePrefix="0" xfId="0">
      <alignment horizontal="left"/>
    </xf>
    <xf numFmtId="186" fontId="69" fillId="0" borderId="0" applyAlignment="1" pivotButton="0" quotePrefix="0" xfId="0">
      <alignment horizontal="left"/>
    </xf>
    <xf numFmtId="186" fontId="69" fillId="3" borderId="4" applyAlignment="1" pivotButton="0" quotePrefix="0" xfId="0">
      <alignment horizontal="left" indent="3"/>
    </xf>
    <xf numFmtId="186" fontId="69" fillId="0" borderId="4" applyAlignment="1" pivotButton="0" quotePrefix="0" xfId="0">
      <alignment horizontal="right"/>
    </xf>
    <xf numFmtId="186" fontId="69" fillId="0" borderId="11" applyAlignment="1" pivotButton="0" quotePrefix="0" xfId="0">
      <alignment horizontal="right"/>
    </xf>
    <xf numFmtId="186" fontId="69" fillId="5" borderId="4" applyAlignment="1" pivotButton="0" quotePrefix="0" xfId="0">
      <alignment horizontal="right"/>
    </xf>
    <xf numFmtId="186" fontId="69" fillId="5" borderId="7" applyAlignment="1" pivotButton="0" quotePrefix="0" xfId="0">
      <alignment horizontal="right"/>
    </xf>
    <xf numFmtId="186" fontId="69" fillId="3" borderId="4" applyAlignment="1" pivotButton="0" quotePrefix="0" xfId="0">
      <alignment horizontal="right"/>
    </xf>
    <xf numFmtId="185" fontId="110" fillId="5" borderId="3" applyAlignment="1" pivotButton="0" quotePrefix="0" xfId="0">
      <alignment horizontal="right" vertical="center"/>
    </xf>
    <xf numFmtId="185" fontId="110" fillId="5" borderId="114" applyAlignment="1" pivotButton="0" quotePrefix="0" xfId="0">
      <alignment horizontal="right" vertical="center"/>
    </xf>
    <xf numFmtId="172" fontId="100" fillId="0" borderId="0" pivotButton="0" quotePrefix="0" xfId="0"/>
    <xf numFmtId="172" fontId="100" fillId="15" borderId="0" pivotButton="0" quotePrefix="0" xfId="0"/>
    <xf numFmtId="187" fontId="69" fillId="20" borderId="58" applyAlignment="1" pivotButton="0" quotePrefix="0" xfId="0">
      <alignment horizontal="right"/>
    </xf>
    <xf numFmtId="187" fontId="69" fillId="20" borderId="10" applyAlignment="1" pivotButton="0" quotePrefix="0" xfId="0">
      <alignment horizontal="right"/>
    </xf>
    <xf numFmtId="187" fontId="69" fillId="20" borderId="97" applyAlignment="1" pivotButton="0" quotePrefix="0" xfId="0">
      <alignment horizontal="right"/>
    </xf>
    <xf numFmtId="180" fontId="114" fillId="0" borderId="0" applyAlignment="1" pivotButton="0" quotePrefix="0" xfId="31">
      <alignment horizontal="right" wrapText="1"/>
    </xf>
    <xf numFmtId="177" fontId="106" fillId="4" borderId="45" applyAlignment="1" pivotButton="0" quotePrefix="0" xfId="57">
      <alignment horizontal="right"/>
    </xf>
    <xf numFmtId="177" fontId="106" fillId="4" borderId="68" applyAlignment="1" pivotButton="0" quotePrefix="0" xfId="57">
      <alignment horizontal="right"/>
    </xf>
    <xf numFmtId="182" fontId="117" fillId="0" borderId="0" pivotButton="0" quotePrefix="0" xfId="37"/>
    <xf numFmtId="184" fontId="98" fillId="0" borderId="72" pivotButton="0" quotePrefix="0" xfId="2"/>
    <xf numFmtId="176" fontId="97" fillId="4" borderId="28" applyAlignment="1" pivotButton="0" quotePrefix="0" xfId="3">
      <alignment horizontal="right" wrapText="1"/>
    </xf>
    <xf numFmtId="176" fontId="97" fillId="4" borderId="54" applyAlignment="1" pivotButton="0" quotePrefix="0" xfId="3">
      <alignment horizontal="right" wrapText="1"/>
    </xf>
    <xf numFmtId="176" fontId="97" fillId="4" borderId="55" applyAlignment="1" pivotButton="0" quotePrefix="0" xfId="3">
      <alignment horizontal="right" wrapText="1"/>
    </xf>
    <xf numFmtId="176" fontId="97" fillId="4" borderId="100" applyAlignment="1" pivotButton="0" quotePrefix="0" xfId="3">
      <alignment horizontal="right" wrapText="1"/>
    </xf>
    <xf numFmtId="172" fontId="100" fillId="0" borderId="0" applyAlignment="1" pivotButton="0" quotePrefix="0" xfId="1">
      <alignment horizontal="left"/>
    </xf>
    <xf numFmtId="172" fontId="114" fillId="0" borderId="0" pivotButton="0" quotePrefix="0" xfId="8"/>
    <xf numFmtId="172" fontId="114" fillId="0" borderId="10" pivotButton="0" quotePrefix="0" xfId="8"/>
    <xf numFmtId="172" fontId="114" fillId="3" borderId="4" pivotButton="0" quotePrefix="0" xfId="8"/>
    <xf numFmtId="172" fontId="114" fillId="3" borderId="11" pivotButton="0" quotePrefix="0" xfId="8"/>
    <xf numFmtId="172" fontId="114" fillId="0" borderId="4" pivotButton="0" quotePrefix="0" xfId="8"/>
    <xf numFmtId="172" fontId="114" fillId="0" borderId="11" pivotButton="0" quotePrefix="0" xfId="8"/>
    <xf numFmtId="172" fontId="105" fillId="3" borderId="0" applyAlignment="1" applyProtection="1" pivotButton="0" quotePrefix="0" xfId="5">
      <alignment horizontal="right" vertical="center"/>
      <protection locked="0" hidden="0"/>
    </xf>
    <xf numFmtId="172" fontId="107" fillId="5" borderId="1" applyAlignment="1" applyProtection="1" pivotButton="0" quotePrefix="0" xfId="5">
      <alignment horizontal="right" vertical="center"/>
      <protection locked="0" hidden="0"/>
    </xf>
    <xf numFmtId="172" fontId="117" fillId="5" borderId="0" pivotButton="0" quotePrefix="0" xfId="8"/>
    <xf numFmtId="172" fontId="117" fillId="5" borderId="10" pivotButton="0" quotePrefix="0" xfId="8"/>
    <xf numFmtId="172" fontId="117" fillId="5" borderId="2" pivotButton="0" quotePrefix="0" xfId="8"/>
    <xf numFmtId="172" fontId="117" fillId="5" borderId="9" pivotButton="0" quotePrefix="0" xfId="8"/>
    <xf numFmtId="176" fontId="97" fillId="4" borderId="35" applyAlignment="1" pivotButton="0" quotePrefix="0" xfId="3">
      <alignment horizontal="right" vertical="center" wrapText="1"/>
    </xf>
    <xf numFmtId="176" fontId="97" fillId="4" borderId="95" applyAlignment="1" pivotButton="0" quotePrefix="0" xfId="3">
      <alignment horizontal="right" vertical="center" wrapText="1"/>
    </xf>
    <xf numFmtId="176" fontId="97" fillId="4" borderId="85" applyAlignment="1" pivotButton="0" quotePrefix="0" xfId="3">
      <alignment horizontal="right" vertical="center" wrapText="1"/>
    </xf>
    <xf numFmtId="176" fontId="97" fillId="4" borderId="115" applyAlignment="1" pivotButton="0" quotePrefix="0" xfId="3">
      <alignment horizontal="center" wrapText="1"/>
    </xf>
    <xf numFmtId="176" fontId="99" fillId="4" borderId="115" applyAlignment="1" pivotButton="0" quotePrefix="0" xfId="3">
      <alignment horizontal="left" wrapText="1"/>
    </xf>
    <xf numFmtId="176" fontId="107" fillId="3" borderId="0" applyAlignment="1" pivotButton="0" quotePrefix="0" xfId="3">
      <alignment horizontal="center" wrapText="1"/>
    </xf>
    <xf numFmtId="176" fontId="107" fillId="3" borderId="4" applyAlignment="1" pivotButton="0" quotePrefix="0" xfId="3">
      <alignment horizontal="center" wrapText="1"/>
    </xf>
    <xf numFmtId="176" fontId="176" fillId="3" borderId="0" applyAlignment="1" pivotButton="0" quotePrefix="0" xfId="3">
      <alignment horizontal="center" wrapText="1"/>
    </xf>
    <xf numFmtId="176" fontId="176" fillId="3" borderId="5" applyAlignment="1" pivotButton="0" quotePrefix="0" xfId="3">
      <alignment horizontal="center" wrapText="1"/>
    </xf>
    <xf numFmtId="191" fontId="0" fillId="0" borderId="0" pivotButton="0" quotePrefix="0" xfId="0"/>
    <xf numFmtId="188" fontId="69" fillId="0" borderId="0" pivotButton="0" quotePrefix="0" xfId="0"/>
    <xf numFmtId="190" fontId="114" fillId="0" borderId="0" applyAlignment="1" pivotButton="0" quotePrefix="0" xfId="32">
      <alignment vertical="top"/>
    </xf>
    <xf numFmtId="172" fontId="113" fillId="2" borderId="0" applyAlignment="1" pivotButton="0" quotePrefix="0" xfId="27">
      <alignment horizontal="left" vertical="center"/>
    </xf>
    <xf numFmtId="172" fontId="113" fillId="0" borderId="0" applyAlignment="1" pivotButton="0" quotePrefix="0" xfId="27">
      <alignment vertical="center"/>
    </xf>
    <xf numFmtId="172" fontId="113" fillId="0" borderId="0" applyAlignment="1" pivotButton="0" quotePrefix="0" xfId="27">
      <alignment horizontal="left" vertical="center"/>
    </xf>
    <xf numFmtId="172" fontId="105" fillId="3" borderId="0" pivotButton="0" quotePrefix="0" xfId="0"/>
    <xf numFmtId="172" fontId="105" fillId="3" borderId="4" pivotButton="0" quotePrefix="0" xfId="0"/>
    <xf numFmtId="172" fontId="107" fillId="5" borderId="2" pivotButton="0" quotePrefix="0" xfId="0"/>
    <xf numFmtId="172" fontId="100" fillId="2" borderId="0" applyAlignment="1" pivotButton="0" quotePrefix="0" xfId="0">
      <alignment horizontal="left"/>
    </xf>
    <xf numFmtId="172" fontId="100" fillId="0" borderId="0" applyAlignment="1" pivotButton="0" quotePrefix="0" xfId="0">
      <alignment horizontal="left"/>
    </xf>
    <xf numFmtId="172" fontId="100" fillId="3" borderId="4" pivotButton="0" quotePrefix="0" xfId="0"/>
    <xf numFmtId="172" fontId="100" fillId="0" borderId="0" pivotButton="0" quotePrefix="0" xfId="30"/>
    <xf numFmtId="172" fontId="100" fillId="0" borderId="10" pivotButton="0" quotePrefix="0" xfId="0"/>
    <xf numFmtId="172" fontId="69" fillId="0" borderId="0" pivotButton="0" quotePrefix="0" xfId="0"/>
    <xf numFmtId="172" fontId="100" fillId="0" borderId="0" pivotButton="0" quotePrefix="0" xfId="1"/>
    <xf numFmtId="172" fontId="69" fillId="0" borderId="0" applyAlignment="1" pivotButton="0" quotePrefix="0" xfId="0">
      <alignment horizontal="left"/>
    </xf>
    <xf numFmtId="173" fontId="105" fillId="3" borderId="19" applyAlignment="1" pivotButton="0" quotePrefix="0" xfId="0">
      <alignment horizontal="left" vertical="center" wrapText="1"/>
    </xf>
    <xf numFmtId="188" fontId="114" fillId="0" borderId="0" applyAlignment="1" pivotButton="0" quotePrefix="0" xfId="27">
      <alignment vertical="center"/>
    </xf>
    <xf numFmtId="188" fontId="113" fillId="0" borderId="0" applyAlignment="1" pivotButton="0" quotePrefix="0" xfId="27">
      <alignment vertical="center"/>
    </xf>
    <xf numFmtId="175" fontId="95" fillId="0" borderId="0" pivotButton="0" quotePrefix="0" xfId="1"/>
    <xf numFmtId="175" fontId="69" fillId="0" borderId="0" pivotButton="0" quotePrefix="0" xfId="1"/>
    <xf numFmtId="177" fontId="106" fillId="4" borderId="0" applyAlignment="1" pivotButton="0" quotePrefix="0" xfId="27">
      <alignment horizontal="right"/>
    </xf>
    <xf numFmtId="177" fontId="106" fillId="4" borderId="12" applyAlignment="1" pivotButton="0" quotePrefix="0" xfId="27">
      <alignment horizontal="right"/>
    </xf>
    <xf numFmtId="187" fontId="105" fillId="0" borderId="0" applyAlignment="1" pivotButton="0" quotePrefix="0" xfId="27">
      <alignment horizontal="right"/>
    </xf>
    <xf numFmtId="187" fontId="105" fillId="0" borderId="0" applyAlignment="1" pivotButton="0" quotePrefix="0" xfId="27">
      <alignment horizontal="right" vertical="center"/>
    </xf>
    <xf numFmtId="187" fontId="105" fillId="0" borderId="10" applyAlignment="1" pivotButton="0" quotePrefix="0" xfId="27">
      <alignment horizontal="right" vertical="center"/>
    </xf>
    <xf numFmtId="187" fontId="105" fillId="0" borderId="0" applyAlignment="1" pivotButton="0" quotePrefix="0" xfId="27">
      <alignment vertical="center"/>
    </xf>
    <xf numFmtId="187" fontId="105" fillId="0" borderId="10" applyAlignment="1" pivotButton="0" quotePrefix="0" xfId="27">
      <alignment vertical="center"/>
    </xf>
    <xf numFmtId="187" fontId="105" fillId="0" borderId="6" applyAlignment="1" pivotButton="0" quotePrefix="0" xfId="27">
      <alignment vertical="center"/>
    </xf>
    <xf numFmtId="177" fontId="87" fillId="0" borderId="0" applyAlignment="1" pivotButton="0" quotePrefix="0" xfId="23">
      <alignment wrapText="1"/>
    </xf>
    <xf numFmtId="172" fontId="87" fillId="0" borderId="0" pivotButton="0" quotePrefix="0" xfId="23"/>
    <xf numFmtId="177" fontId="87" fillId="0" borderId="0" pivotButton="0" quotePrefix="0" xfId="23"/>
    <xf numFmtId="172" fontId="100" fillId="0" borderId="0" pivotButton="0" quotePrefix="0" xfId="50"/>
    <xf numFmtId="172" fontId="100" fillId="9" borderId="0" pivotButton="0" quotePrefix="0" xfId="50"/>
    <xf numFmtId="172" fontId="100" fillId="0" borderId="0" applyAlignment="1" pivotButton="0" quotePrefix="0" xfId="50">
      <alignment horizontal="left"/>
    </xf>
    <xf numFmtId="172" fontId="105" fillId="3" borderId="2" applyAlignment="1" pivotButton="0" quotePrefix="0" xfId="50">
      <alignment horizontal="left"/>
    </xf>
    <xf numFmtId="172" fontId="105" fillId="3" borderId="2" pivotButton="0" quotePrefix="0" xfId="50"/>
    <xf numFmtId="180" fontId="105" fillId="3" borderId="0" applyAlignment="1" pivotButton="0" quotePrefix="0" xfId="50">
      <alignment horizontal="right"/>
    </xf>
    <xf numFmtId="180" fontId="105" fillId="3" borderId="2" applyAlignment="1" pivotButton="0" quotePrefix="0" xfId="50">
      <alignment horizontal="right"/>
    </xf>
    <xf numFmtId="174" fontId="0" fillId="0" borderId="0" pivotButton="0" quotePrefix="0" xfId="0"/>
    <xf numFmtId="0" fontId="196" fillId="0" borderId="0" pivotButton="0" quotePrefix="0" xfId="0"/>
    <xf numFmtId="0" fontId="197" fillId="0" borderId="0" pivotButton="0" quotePrefix="0" xfId="0"/>
    <xf numFmtId="0" fontId="198" fillId="25" borderId="0" pivotButton="0" quotePrefix="0" xfId="0"/>
    <xf numFmtId="0" fontId="0" fillId="26" borderId="0" pivotButton="0" quotePrefix="0" xfId="0"/>
    <xf numFmtId="0" fontId="198" fillId="25" borderId="124" applyAlignment="1" pivotButton="0" quotePrefix="0" xfId="0">
      <alignment horizontal="center" vertical="center" wrapText="1"/>
    </xf>
    <xf numFmtId="0" fontId="0" fillId="0" borderId="124" pivotButton="0" quotePrefix="0" xfId="0"/>
    <xf numFmtId="0" fontId="0" fillId="27" borderId="124" pivotButton="0" quotePrefix="0" xfId="0"/>
    <xf numFmtId="201" fontId="0" fillId="27" borderId="124" pivotButton="0" quotePrefix="0" xfId="0"/>
    <xf numFmtId="17" fontId="198" fillId="25" borderId="124" applyAlignment="1" pivotButton="0" quotePrefix="0" xfId="0">
      <alignment horizontal="center" vertical="center"/>
    </xf>
    <xf numFmtId="0" fontId="198" fillId="25" borderId="124" applyAlignment="1" pivotButton="0" quotePrefix="0" xfId="0">
      <alignment horizontal="center" vertical="center"/>
    </xf>
    <xf numFmtId="201" fontId="0" fillId="27" borderId="124" pivotButton="0" quotePrefix="0" xfId="0"/>
    <xf numFmtId="0" fontId="199" fillId="0" borderId="0" pivotButton="0" quotePrefix="0" xfId="0"/>
    <xf numFmtId="0" fontId="200" fillId="0" borderId="0" pivotButton="0" quotePrefix="0" xfId="0"/>
    <xf numFmtId="0" fontId="201" fillId="0" borderId="0" pivotButton="0" quotePrefix="0" xfId="0"/>
    <xf numFmtId="0" fontId="202" fillId="25" borderId="0" pivotButton="0" quotePrefix="0" xfId="0"/>
    <xf numFmtId="0" fontId="200" fillId="26" borderId="0" pivotButton="0" quotePrefix="0" xfId="0"/>
    <xf numFmtId="0" fontId="202" fillId="25" borderId="124" applyAlignment="1" pivotButton="0" quotePrefix="0" xfId="0">
      <alignment horizontal="center" vertical="center" wrapText="1"/>
    </xf>
    <xf numFmtId="0" fontId="200" fillId="0" borderId="124" pivotButton="0" quotePrefix="0" xfId="0"/>
    <xf numFmtId="0" fontId="200" fillId="27" borderId="124" pivotButton="0" quotePrefix="0" xfId="0"/>
    <xf numFmtId="201" fontId="200" fillId="27" borderId="124" pivotButton="0" quotePrefix="0" xfId="0"/>
    <xf numFmtId="17" fontId="202" fillId="25" borderId="124" applyAlignment="1" pivotButton="0" quotePrefix="0" xfId="0">
      <alignment horizontal="center" vertical="center"/>
    </xf>
    <xf numFmtId="0" fontId="202" fillId="25" borderId="124" applyAlignment="1" pivotButton="0" quotePrefix="0" xfId="0">
      <alignment horizontal="center" vertical="center"/>
    </xf>
    <xf numFmtId="0" fontId="203" fillId="0" borderId="0" pivotButton="0" quotePrefix="0" xfId="0"/>
    <xf numFmtId="0" fontId="204" fillId="0" borderId="0" pivotButton="0" quotePrefix="0" xfId="0"/>
    <xf numFmtId="0" fontId="205" fillId="0" borderId="0" pivotButton="0" quotePrefix="0" xfId="0"/>
    <xf numFmtId="0" fontId="206" fillId="25" borderId="0" pivotButton="0" quotePrefix="0" xfId="0"/>
    <xf numFmtId="0" fontId="204" fillId="26" borderId="0" pivotButton="0" quotePrefix="0" xfId="0"/>
    <xf numFmtId="0" fontId="206" fillId="25" borderId="124" applyAlignment="1" pivotButton="0" quotePrefix="0" xfId="0">
      <alignment horizontal="center" vertical="center" wrapText="1"/>
    </xf>
    <xf numFmtId="0" fontId="204" fillId="0" borderId="124" pivotButton="0" quotePrefix="0" xfId="0"/>
    <xf numFmtId="0" fontId="204" fillId="27" borderId="124" pivotButton="0" quotePrefix="0" xfId="0"/>
    <xf numFmtId="201" fontId="204" fillId="27" borderId="124" pivotButton="0" quotePrefix="0" xfId="0"/>
    <xf numFmtId="17" fontId="206" fillId="25" borderId="124" applyAlignment="1" pivotButton="0" quotePrefix="0" xfId="0">
      <alignment horizontal="center" vertical="center"/>
    </xf>
    <xf numFmtId="0" fontId="206" fillId="25" borderId="124" applyAlignment="1" pivotButton="0" quotePrefix="0" xfId="0">
      <alignment horizontal="center" vertical="center"/>
    </xf>
    <xf numFmtId="0" fontId="208" fillId="0" borderId="0" pivotButton="0" quotePrefix="0" xfId="0"/>
    <xf numFmtId="0" fontId="208" fillId="26" borderId="0" pivotButton="0" quotePrefix="0" xfId="0"/>
    <xf numFmtId="0" fontId="208" fillId="0" borderId="124" pivotButton="0" quotePrefix="0" xfId="0"/>
    <xf numFmtId="0" fontId="208" fillId="27" borderId="124" pivotButton="0" quotePrefix="0" xfId="0"/>
    <xf numFmtId="201" fontId="208" fillId="27" borderId="124" pivotButton="0" quotePrefix="0" xfId="0"/>
    <xf numFmtId="0" fontId="207" fillId="0" borderId="124" pivotButton="0" quotePrefix="0" xfId="0"/>
    <xf numFmtId="0" fontId="206" fillId="0" borderId="0" pivotButton="0" quotePrefix="0" xfId="0"/>
    <xf numFmtId="0" fontId="207" fillId="28" borderId="124" pivotButton="0" quotePrefix="0" xfId="0"/>
    <xf numFmtId="0" fontId="206" fillId="25" borderId="0" applyAlignment="1" pivotButton="0" quotePrefix="0" xfId="0">
      <alignment horizontal="left" vertical="center"/>
    </xf>
    <xf numFmtId="0" fontId="207" fillId="27" borderId="0" pivotButton="0" quotePrefix="0" xfId="0"/>
    <xf numFmtId="0" fontId="206" fillId="25" borderId="124" pivotButton="0" quotePrefix="0" xfId="0"/>
    <xf numFmtId="0" fontId="207" fillId="27" borderId="124" pivotButton="0" quotePrefix="0" xfId="0"/>
    <xf numFmtId="0" fontId="208" fillId="29" borderId="124" pivotButton="0" quotePrefix="0" xfId="0"/>
    <xf numFmtId="0" fontId="209" fillId="30" borderId="0" applyAlignment="1" pivotButton="0" quotePrefix="0" xfId="0">
      <alignment horizontal="left" vertical="center"/>
    </xf>
    <xf numFmtId="0" fontId="211" fillId="32" borderId="125" pivotButton="0" quotePrefix="0" xfId="0"/>
    <xf numFmtId="0" fontId="210" fillId="0" borderId="0" pivotButton="0" quotePrefix="0" xfId="0"/>
    <xf numFmtId="0" fontId="209" fillId="30" borderId="125" applyAlignment="1" pivotButton="0" quotePrefix="0" xfId="0">
      <alignment horizontal="left" vertical="center"/>
    </xf>
    <xf numFmtId="0" fontId="209" fillId="30" borderId="125" applyAlignment="1" pivotButton="0" quotePrefix="0" xfId="0">
      <alignment horizontal="center" vertical="center"/>
    </xf>
    <xf numFmtId="17" fontId="209" fillId="31" borderId="125" applyAlignment="1" pivotButton="0" quotePrefix="0" xfId="0">
      <alignment horizontal="center" vertical="center"/>
    </xf>
    <xf numFmtId="0" fontId="209" fillId="31" borderId="125" applyAlignment="1" pivotButton="0" quotePrefix="0" xfId="0">
      <alignment horizontal="center" vertical="center"/>
    </xf>
    <xf numFmtId="0" fontId="212" fillId="30" borderId="124" pivotButton="0" quotePrefix="0" xfId="0"/>
    <xf numFmtId="202" fontId="208" fillId="27" borderId="124" pivotButton="0" quotePrefix="0" xfId="0"/>
    <xf numFmtId="202" fontId="207" fillId="0" borderId="124" pivotButton="0" quotePrefix="0" xfId="0"/>
    <xf numFmtId="202" fontId="208" fillId="0" borderId="124" pivotButton="0" quotePrefix="0" xfId="0"/>
    <xf numFmtId="0" fontId="208" fillId="0" borderId="125" pivotButton="0" quotePrefix="0" xfId="0"/>
    <xf numFmtId="202" fontId="208" fillId="0" borderId="125" pivotButton="0" quotePrefix="0" xfId="0"/>
    <xf numFmtId="202" fontId="208" fillId="29" borderId="124" pivotButton="0" quotePrefix="0" xfId="0"/>
    <xf numFmtId="202" fontId="207" fillId="27" borderId="124" pivotButton="0" quotePrefix="0" xfId="0"/>
    <xf numFmtId="0" fontId="206" fillId="33" borderId="0" pivotButton="0" quotePrefix="0" xfId="0"/>
    <xf numFmtId="0" fontId="208" fillId="34" borderId="0" pivotButton="0" quotePrefix="0" xfId="0"/>
    <xf numFmtId="0" fontId="206" fillId="33" borderId="124" applyAlignment="1" pivotButton="0" quotePrefix="0" xfId="0">
      <alignment horizontal="center" vertical="center" wrapText="1"/>
    </xf>
    <xf numFmtId="0" fontId="208" fillId="32" borderId="124" pivotButton="0" quotePrefix="0" xfId="0"/>
    <xf numFmtId="201" fontId="208" fillId="32" borderId="124" pivotButton="0" quotePrefix="0" xfId="0"/>
    <xf numFmtId="17" fontId="206" fillId="33" borderId="124" applyAlignment="1" pivotButton="0" quotePrefix="0" xfId="0">
      <alignment horizontal="center" vertical="center"/>
    </xf>
    <xf numFmtId="0" fontId="206" fillId="33" borderId="124" applyAlignment="1" pivotButton="0" quotePrefix="0" xfId="0">
      <alignment horizontal="center" vertical="center"/>
    </xf>
    <xf numFmtId="0" fontId="213" fillId="32" borderId="125" pivotButton="0" quotePrefix="0" xfId="0"/>
    <xf numFmtId="0" fontId="214" fillId="32" borderId="125" pivotButton="0" quotePrefix="0" xfId="0"/>
    <xf numFmtId="0" fontId="212" fillId="30" borderId="125" pivotButton="0" quotePrefix="0" xfId="0"/>
    <xf numFmtId="202" fontId="213" fillId="32" borderId="124" pivotButton="0" quotePrefix="0" xfId="0"/>
    <xf numFmtId="202" fontId="214" fillId="0" borderId="124" pivotButton="0" quotePrefix="0" xfId="0"/>
    <xf numFmtId="202" fontId="211" fillId="36" borderId="124" pivotButton="0" quotePrefix="0" xfId="0"/>
    <xf numFmtId="202" fontId="214" fillId="36" borderId="124" pivotButton="0" quotePrefix="0" xfId="0"/>
    <xf numFmtId="202" fontId="208" fillId="0" borderId="124" pivotButton="0" quotePrefix="0" xfId="0"/>
    <xf numFmtId="0" fontId="208" fillId="0" borderId="132" pivotButton="0" quotePrefix="0" xfId="0"/>
    <xf numFmtId="0" fontId="208" fillId="0" borderId="133" pivotButton="0" quotePrefix="0" xfId="0"/>
    <xf numFmtId="202" fontId="208" fillId="0" borderId="125" pivotButton="0" quotePrefix="0" xfId="0"/>
    <xf numFmtId="202" fontId="211" fillId="35" borderId="124" pivotButton="0" quotePrefix="0" xfId="0"/>
    <xf numFmtId="0" fontId="215" fillId="0" borderId="0" applyAlignment="1" pivotButton="0" quotePrefix="0" xfId="0">
      <alignment horizontal="left" vertical="center"/>
    </xf>
    <xf numFmtId="0" fontId="208" fillId="30" borderId="125" applyAlignment="1" pivotButton="0" quotePrefix="0" xfId="0">
      <alignment horizontal="left" vertical="center"/>
    </xf>
    <xf numFmtId="0" fontId="209" fillId="31" borderId="125" applyAlignment="1" pivotButton="0" quotePrefix="0" xfId="0">
      <alignment horizontal="left" vertical="center"/>
    </xf>
    <xf numFmtId="17" fontId="209" fillId="31" borderId="125" applyAlignment="1" pivotButton="0" quotePrefix="0" xfId="0">
      <alignment horizontal="left" vertical="center"/>
    </xf>
    <xf numFmtId="0" fontId="215" fillId="30" borderId="0" applyAlignment="1" pivotButton="0" quotePrefix="0" xfId="0">
      <alignment horizontal="left" vertical="center"/>
    </xf>
    <xf numFmtId="0" fontId="215" fillId="0" borderId="125" applyAlignment="1" pivotButton="0" quotePrefix="0" xfId="0">
      <alignment horizontal="left" vertical="center"/>
    </xf>
    <xf numFmtId="0" fontId="214" fillId="32" borderId="125" applyAlignment="1" pivotButton="0" quotePrefix="0" xfId="0">
      <alignment horizontal="left" vertical="center"/>
    </xf>
    <xf numFmtId="0" fontId="212" fillId="30" borderId="125" applyAlignment="1" pivotButton="0" quotePrefix="0" xfId="0">
      <alignment horizontal="left" vertical="center"/>
    </xf>
    <xf numFmtId="202" fontId="213" fillId="32" borderId="125" applyAlignment="1" pivotButton="0" quotePrefix="0" xfId="0">
      <alignment horizontal="left" vertical="center"/>
    </xf>
    <xf numFmtId="202" fontId="211" fillId="36" borderId="125" applyAlignment="1" pivotButton="0" quotePrefix="0" xfId="0">
      <alignment horizontal="left" vertical="center"/>
    </xf>
    <xf numFmtId="202" fontId="214" fillId="36" borderId="125" applyAlignment="1" pivotButton="0" quotePrefix="0" xfId="0">
      <alignment horizontal="left" vertical="center"/>
    </xf>
    <xf numFmtId="202" fontId="208" fillId="30" borderId="125" applyAlignment="1" pivotButton="0" quotePrefix="0" xfId="0">
      <alignment horizontal="left" vertical="center"/>
    </xf>
    <xf numFmtId="202" fontId="211" fillId="35" borderId="125" applyAlignment="1" pivotButton="0" quotePrefix="0" xfId="0">
      <alignment horizontal="left" vertical="center"/>
    </xf>
    <xf numFmtId="0" fontId="208" fillId="0" borderId="0" applyAlignment="1" pivotButton="0" quotePrefix="0" xfId="0">
      <alignment horizontal="left"/>
    </xf>
    <xf numFmtId="0" fontId="205" fillId="0" borderId="0" applyAlignment="1" pivotButton="0" quotePrefix="0" xfId="0">
      <alignment horizontal="left"/>
    </xf>
    <xf numFmtId="0" fontId="206" fillId="33" borderId="0" applyAlignment="1" pivotButton="0" quotePrefix="0" xfId="0">
      <alignment horizontal="left"/>
    </xf>
    <xf numFmtId="0" fontId="208" fillId="34" borderId="0" applyAlignment="1" pivotButton="0" quotePrefix="0" xfId="0">
      <alignment horizontal="left"/>
    </xf>
    <xf numFmtId="0" fontId="208" fillId="0" borderId="125" applyAlignment="1" pivotButton="0" quotePrefix="0" xfId="0">
      <alignment horizontal="left"/>
    </xf>
    <xf numFmtId="0" fontId="213" fillId="32" borderId="125" applyAlignment="1" pivotButton="0" quotePrefix="0" xfId="0">
      <alignment horizontal="left"/>
    </xf>
    <xf numFmtId="201" fontId="213" fillId="32" borderId="125" applyAlignment="1" pivotButton="0" quotePrefix="0" xfId="0">
      <alignment horizontal="left"/>
    </xf>
    <xf numFmtId="201" fontId="208" fillId="32" borderId="124" applyAlignment="1" pivotButton="0" quotePrefix="0" xfId="0">
      <alignment horizontal="left"/>
    </xf>
    <xf numFmtId="0" fontId="208" fillId="0" borderId="124" applyAlignment="1" pivotButton="0" quotePrefix="0" xfId="0">
      <alignment horizontal="left"/>
    </xf>
    <xf numFmtId="0" fontId="207" fillId="0" borderId="124" applyAlignment="1" pivotButton="0" quotePrefix="0" xfId="0">
      <alignment horizontal="left"/>
    </xf>
    <xf numFmtId="0" fontId="208" fillId="32" borderId="124" applyAlignment="1" pivotButton="0" quotePrefix="0" xfId="0">
      <alignment horizontal="left"/>
    </xf>
    <xf numFmtId="0" fontId="211" fillId="32" borderId="125" applyAlignment="1" pivotButton="0" quotePrefix="0" xfId="0">
      <alignment horizontal="left"/>
    </xf>
    <xf numFmtId="0" fontId="209" fillId="30" borderId="125" pivotButton="0" quotePrefix="0" xfId="0"/>
    <xf numFmtId="202" fontId="209" fillId="31" borderId="125" applyAlignment="1" pivotButton="0" quotePrefix="0" xfId="0">
      <alignment horizontal="left" vertical="center"/>
    </xf>
    <xf numFmtId="0" fontId="0" fillId="0" borderId="125" applyAlignment="1" pivotButton="0" quotePrefix="0" xfId="0">
      <alignment horizontal="left" vertical="center"/>
    </xf>
    <xf numFmtId="202" fontId="214" fillId="0" borderId="125" applyAlignment="1" pivotButton="0" quotePrefix="0" xfId="0">
      <alignment horizontal="left" vertical="center"/>
    </xf>
    <xf numFmtId="202" fontId="0" fillId="0" borderId="125" applyAlignment="1" pivotButton="0" quotePrefix="0" xfId="0">
      <alignment horizontal="left" vertical="center"/>
    </xf>
    <xf numFmtId="202" fontId="212" fillId="30" borderId="125" applyAlignment="1" pivotButton="0" quotePrefix="0" xfId="0">
      <alignment horizontal="left" vertical="center"/>
    </xf>
    <xf numFmtId="202" fontId="0" fillId="35" borderId="125" applyAlignment="1" pivotButton="0" quotePrefix="0" xfId="0">
      <alignment horizontal="left" vertical="center"/>
    </xf>
    <xf numFmtId="0" fontId="0" fillId="0" borderId="134" pivotButton="0" quotePrefix="0" xfId="0"/>
    <xf numFmtId="0" fontId="209" fillId="0" borderId="134" pivotButton="0" quotePrefix="0" xfId="0"/>
    <xf numFmtId="0" fontId="214" fillId="0" borderId="134" pivotButton="0" quotePrefix="0" xfId="0"/>
    <xf numFmtId="0" fontId="208" fillId="0" borderId="134" applyAlignment="1" pivotButton="0" quotePrefix="0" xfId="0">
      <alignment horizontal="left"/>
    </xf>
    <xf numFmtId="0" fontId="209" fillId="0" borderId="134" applyAlignment="1" pivotButton="0" quotePrefix="0" xfId="0">
      <alignment horizontal="left"/>
    </xf>
    <xf numFmtId="0" fontId="214" fillId="0" borderId="134" applyAlignment="1" pivotButton="0" quotePrefix="0" xfId="0">
      <alignment horizontal="left"/>
    </xf>
    <xf numFmtId="0" fontId="208" fillId="0" borderId="125" applyAlignment="1" pivotButton="0" quotePrefix="0" xfId="0">
      <alignment horizontal="left" vertical="center"/>
    </xf>
    <xf numFmtId="202" fontId="208" fillId="0" borderId="125" applyAlignment="1" pivotButton="0" quotePrefix="0" xfId="0">
      <alignment horizontal="left" vertical="center"/>
    </xf>
    <xf numFmtId="202" fontId="208" fillId="35" borderId="125" applyAlignment="1" pivotButton="0" quotePrefix="0" xfId="0">
      <alignment horizontal="left" vertical="center"/>
    </xf>
    <xf numFmtId="0" fontId="215" fillId="0" borderId="0" applyAlignment="1" pivotButton="0" quotePrefix="0" xfId="0">
      <alignment horizontal="left"/>
    </xf>
    <xf numFmtId="0" fontId="211" fillId="32" borderId="125" applyAlignment="1" pivotButton="0" quotePrefix="0" xfId="0">
      <alignment horizontal="left" vertical="center"/>
    </xf>
    <xf numFmtId="0" fontId="212" fillId="31" borderId="125" applyAlignment="1" pivotButton="0" quotePrefix="0" xfId="0">
      <alignment horizontal="left" vertical="center"/>
    </xf>
    <xf numFmtId="202" fontId="212" fillId="31" borderId="125" applyAlignment="1" pivotButton="0" quotePrefix="0" xfId="0">
      <alignment horizontal="left" vertical="center"/>
    </xf>
    <xf numFmtId="0" fontId="213" fillId="32" borderId="125" applyAlignment="1" pivotButton="0" quotePrefix="0" xfId="0">
      <alignment horizontal="left" vertical="center"/>
    </xf>
    <xf numFmtId="0" fontId="208" fillId="35" borderId="125" applyAlignment="1" pivotButton="0" quotePrefix="0" xfId="0">
      <alignment horizontal="left" vertical="center"/>
    </xf>
    <xf numFmtId="201" fontId="208" fillId="32" borderId="125" applyAlignment="1" pivotButton="0" quotePrefix="0" xfId="0">
      <alignment horizontal="left" vertical="center"/>
    </xf>
    <xf numFmtId="0" fontId="216" fillId="0" borderId="125" applyAlignment="1" pivotButton="0" quotePrefix="0" xfId="0">
      <alignment horizontal="left" vertical="center"/>
    </xf>
    <xf numFmtId="0" fontId="216" fillId="0" borderId="134" applyAlignment="1" pivotButton="0" quotePrefix="0" xfId="0">
      <alignment horizontal="left" vertical="center"/>
    </xf>
    <xf numFmtId="201" fontId="216" fillId="0" borderId="134" applyAlignment="1" pivotButton="0" quotePrefix="0" xfId="0">
      <alignment horizontal="left" vertical="center"/>
    </xf>
    <xf numFmtId="0" fontId="203" fillId="0" borderId="125" applyAlignment="1" pivotButton="0" quotePrefix="0" xfId="0">
      <alignment horizontal="left" vertical="center"/>
    </xf>
    <xf numFmtId="0" fontId="216" fillId="33" borderId="125" applyAlignment="1" pivotButton="0" quotePrefix="0" xfId="0">
      <alignment horizontal="left" vertical="center"/>
    </xf>
    <xf numFmtId="0" fontId="216" fillId="34" borderId="125" applyAlignment="1" pivotButton="0" quotePrefix="0" xfId="0">
      <alignment horizontal="left" vertical="center"/>
    </xf>
    <xf numFmtId="0" fontId="212" fillId="0" borderId="134" applyAlignment="1" pivotButton="0" quotePrefix="0" xfId="0">
      <alignment horizontal="left" vertical="center"/>
    </xf>
    <xf numFmtId="202" fontId="216" fillId="35" borderId="125" applyAlignment="1" pivotButton="0" quotePrefix="0" xfId="0">
      <alignment horizontal="left" vertical="center"/>
    </xf>
    <xf numFmtId="202" fontId="216" fillId="0" borderId="134" applyAlignment="1" pivotButton="0" quotePrefix="0" xfId="0">
      <alignment horizontal="left" vertical="center"/>
    </xf>
    <xf numFmtId="0" fontId="217" fillId="0" borderId="0" applyAlignment="1" pivotButton="0" quotePrefix="0" xfId="0">
      <alignment horizontal="left" vertical="center"/>
    </xf>
    <xf numFmtId="0" fontId="209" fillId="30" borderId="134" applyAlignment="1" pivotButton="0" quotePrefix="0" xfId="0">
      <alignment horizontal="left" vertical="center"/>
    </xf>
    <xf numFmtId="0" fontId="212" fillId="30" borderId="134" applyAlignment="1" pivotButton="0" quotePrefix="0" xfId="0">
      <alignment horizontal="left" vertical="center"/>
    </xf>
    <xf numFmtId="202" fontId="212" fillId="30" borderId="134" applyAlignment="1" pivotButton="0" quotePrefix="0" xfId="0">
      <alignment horizontal="left" vertical="center"/>
    </xf>
    <xf numFmtId="202" fontId="215" fillId="35" borderId="125" applyAlignment="1" pivotButton="0" quotePrefix="0" xfId="0">
      <alignment horizontal="left" vertical="center"/>
    </xf>
    <xf numFmtId="0" fontId="21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</cellXfs>
  <cellStyles count="66">
    <cellStyle name="Normal" xfId="0" builtinId="0"/>
    <cellStyle name="Normal 2" xfId="1"/>
    <cellStyle name="Normal 2 2 2" xfId="2"/>
    <cellStyle name="Normal 2 2" xfId="3"/>
    <cellStyle name="Normal 2 3 2 2 2 2" xfId="4"/>
    <cellStyle name="Normal 2 2 3" xfId="5"/>
    <cellStyle name="Normal 2 2 2 3" xfId="6"/>
    <cellStyle name="Comma 2 2 3" xfId="7"/>
    <cellStyle name="Normal 2 3 3" xfId="8"/>
    <cellStyle name="Normal 3 2" xfId="9"/>
    <cellStyle name="Percent 2" xfId="10"/>
    <cellStyle name="Normal 2 2 2 5 2 6 3 3" xfId="11"/>
    <cellStyle name="Normal 2 3 2 2 2 2 2 3 2 2 3 3" xfId="12"/>
    <cellStyle name="Normal 3" xfId="13"/>
    <cellStyle name="Normal 4" xfId="14"/>
    <cellStyle name="Normal 2 3 2 2 2 2 2 5 2 6" xfId="15"/>
    <cellStyle name="Normal 2 5" xfId="16"/>
    <cellStyle name="Normal 6 2 2" xfId="17"/>
    <cellStyle name="Normal 2 3 2" xfId="18"/>
    <cellStyle name="Hyperlink 2" xfId="19"/>
    <cellStyle name="Normal 5" xfId="20"/>
    <cellStyle name="Normal 6" xfId="21"/>
    <cellStyle name="Normal 3 7" xfId="22"/>
    <cellStyle name="Normal 7" xfId="23"/>
    <cellStyle name="Normal 2 3" xfId="24"/>
    <cellStyle name="Normal 2 4" xfId="25"/>
    <cellStyle name="Comma 2" xfId="26"/>
    <cellStyle name="Normal 8" xfId="27"/>
    <cellStyle name="Normal 2 6" xfId="28"/>
    <cellStyle name="Comma 2 4" xfId="29"/>
    <cellStyle name="Normal 9" xfId="30"/>
    <cellStyle name="Currency" xfId="31" builtinId="4"/>
    <cellStyle name="Normal 10" xfId="32"/>
    <cellStyle name="Comma 3" xfId="33"/>
    <cellStyle name="Normal 2 2 2 4 2 2" xfId="34"/>
    <cellStyle name="Normal 2 3 4" xfId="35"/>
    <cellStyle name="Normal 3 3" xfId="36"/>
    <cellStyle name="Normal 2 2 4" xfId="37"/>
    <cellStyle name="Normal 11" xfId="38"/>
    <cellStyle name="Normal 10 2" xfId="39"/>
    <cellStyle name="Normal 2 7" xfId="40"/>
    <cellStyle name="Normal 2 3 4 2" xfId="41"/>
    <cellStyle name="Normal 2 8" xfId="42"/>
    <cellStyle name="Normal 10 2 2" xfId="43"/>
    <cellStyle name="Normal 11 2" xfId="44"/>
    <cellStyle name="Normal 2 9" xfId="45"/>
    <cellStyle name="Normal 2 7 2" xfId="46"/>
    <cellStyle name="Percent" xfId="47" builtinId="5"/>
    <cellStyle name="Normal 12" xfId="48"/>
    <cellStyle name="Normal 2 6 2" xfId="49"/>
    <cellStyle name="Normal 12 2" xfId="50"/>
    <cellStyle name="Normal 13" xfId="51"/>
    <cellStyle name="Normal 12 2 2" xfId="52"/>
    <cellStyle name="Normal 7 2" xfId="53"/>
    <cellStyle name="Normal 2 10" xfId="54"/>
    <cellStyle name="Normal 2 3 4 3" xfId="55"/>
    <cellStyle name="Normal 10 2 3" xfId="56"/>
    <cellStyle name="Normal 11 3" xfId="57"/>
    <cellStyle name="Normal 14" xfId="58"/>
    <cellStyle name="Normal 13 2" xfId="59"/>
    <cellStyle name="Normal 2 11" xfId="60"/>
    <cellStyle name="Normal 2 12" xfId="61"/>
    <cellStyle name="Normal 2 13" xfId="62"/>
    <cellStyle name="Normal 2 3 4 3 2" xfId="63"/>
    <cellStyle name="Normal 14 2" xfId="64"/>
    <cellStyle name="Normal 2 14" xfId="6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zoomScale="100" zoomScaleNormal="100"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6" customWidth="1" min="3" max="3"/>
    <col width="16" customWidth="1" min="4" max="4"/>
    <col width="22" customWidth="1" min="5" max="5"/>
    <col width="18" customWidth="1" min="6" max="6"/>
    <col width="16" customWidth="1" min="7" max="7"/>
    <col width="16" customWidth="1" min="8" max="8"/>
  </cols>
  <sheetData>
    <row r="1" ht="24" customHeight="1">
      <c r="A1" s="3921" t="inlineStr">
        <is>
          <t>Cover</t>
        </is>
      </c>
    </row>
    <row r="2">
      <c r="A2" s="3978" t="inlineStr">
        <is>
          <t>Source: &lt;document_source&gt;</t>
        </is>
      </c>
    </row>
    <row r="4">
      <c r="A4" s="3983" t="inlineStr">
        <is>
          <t>Template dashboard with navigation and QC status-at-a-glance.</t>
        </is>
      </c>
    </row>
    <row r="7">
      <c r="A7" s="3979" t="inlineStr">
        <is>
          <t>Navigation</t>
        </is>
      </c>
      <c r="B7" s="3979" t="n"/>
      <c r="C7" s="3979" t="n"/>
      <c r="D7" s="3979" t="n"/>
      <c r="E7" s="3979" t="n"/>
      <c r="F7" s="3979" t="n"/>
      <c r="G7" s="3979" t="n"/>
      <c r="H7" s="3979" t="n"/>
    </row>
    <row r="8">
      <c r="A8" s="3923" t="inlineStr">
        <is>
          <t>Section</t>
        </is>
      </c>
      <c r="B8" s="3923" t="inlineStr">
        <is>
          <t>Go to sheet</t>
        </is>
      </c>
      <c r="C8" s="3923" t="inlineStr">
        <is>
          <t>Status</t>
        </is>
      </c>
      <c r="D8" s="3923" t="inlineStr">
        <is>
          <t>Notes</t>
        </is>
      </c>
      <c r="E8" s="3923" t="inlineStr">
        <is>
          <t>Last refresh</t>
        </is>
      </c>
      <c r="F8" s="3923" t="inlineStr">
        <is>
          <t>Owner</t>
        </is>
      </c>
      <c r="G8" s="3923" t="inlineStr">
        <is>
          <t>Priority</t>
        </is>
      </c>
      <c r="H8" s="3923" t="inlineStr">
        <is>
          <t>Complete</t>
        </is>
      </c>
    </row>
    <row r="9">
      <c r="A9" s="3959" t="inlineStr">
        <is>
          <t>Control</t>
        </is>
      </c>
      <c r="B9" s="3959" t="inlineStr">
        <is>
          <t>Go to Control | Setup</t>
        </is>
      </c>
      <c r="C9" s="3959" t="inlineStr">
        <is>
          <t>PENDING</t>
        </is>
      </c>
      <c r="D9" s="3959" t="inlineStr">
        <is>
          <t>Template controls and periods</t>
        </is>
      </c>
      <c r="E9" s="3959" t="inlineStr">
        <is>
          <t>&lt;last_refresh&gt;</t>
        </is>
      </c>
      <c r="F9" s="3959" t="inlineStr">
        <is>
          <t>&lt;preparer&gt;</t>
        </is>
      </c>
      <c r="G9" s="3959" t="inlineStr">
        <is>
          <t>Core</t>
        </is>
      </c>
      <c r="H9" s="3959" t="b">
        <v>0</v>
      </c>
    </row>
    <row r="10">
      <c r="A10" s="3959" t="inlineStr">
        <is>
          <t>Financials</t>
        </is>
      </c>
      <c r="B10" s="3959" t="inlineStr">
        <is>
          <t>Go to Combined | IS</t>
        </is>
      </c>
      <c r="C10" s="3959" t="inlineStr">
        <is>
          <t>PENDING</t>
        </is>
      </c>
      <c r="D10" s="3959" t="inlineStr">
        <is>
          <t>IS/BS/CF scaffolds</t>
        </is>
      </c>
      <c r="E10" s="3959" t="inlineStr">
        <is>
          <t>&lt;last_refresh&gt;</t>
        </is>
      </c>
      <c r="F10" s="3959" t="inlineStr">
        <is>
          <t>&lt;preparer&gt;</t>
        </is>
      </c>
      <c r="G10" s="3959" t="inlineStr">
        <is>
          <t>Core</t>
        </is>
      </c>
      <c r="H10" s="3959" t="b">
        <v>0</v>
      </c>
    </row>
    <row r="11">
      <c r="A11" s="3959" t="inlineStr">
        <is>
          <t>QofE</t>
        </is>
      </c>
      <c r="B11" s="3959" t="inlineStr">
        <is>
          <t>Go to QofE | Summary</t>
        </is>
      </c>
      <c r="C11" s="3959" t="inlineStr">
        <is>
          <t>PENDING</t>
        </is>
      </c>
      <c r="D11" s="3959" t="inlineStr">
        <is>
          <t>QofE summary and detail</t>
        </is>
      </c>
      <c r="E11" s="3959" t="inlineStr">
        <is>
          <t>&lt;last_refresh&gt;</t>
        </is>
      </c>
      <c r="F11" s="3959" t="inlineStr">
        <is>
          <t>&lt;preparer&gt;</t>
        </is>
      </c>
      <c r="G11" s="3959" t="inlineStr">
        <is>
          <t>Core</t>
        </is>
      </c>
      <c r="H11" s="3959" t="b">
        <v>0</v>
      </c>
    </row>
    <row r="12">
      <c r="A12" s="3959" t="inlineStr">
        <is>
          <t>NWC</t>
        </is>
      </c>
      <c r="B12" s="3959" t="inlineStr">
        <is>
          <t>Go to NWC | Summary</t>
        </is>
      </c>
      <c r="C12" s="3959" t="inlineStr">
        <is>
          <t>PENDING</t>
        </is>
      </c>
      <c r="D12" s="3959" t="inlineStr">
        <is>
          <t>NWC summary/detail/days</t>
        </is>
      </c>
      <c r="E12" s="3959" t="inlineStr">
        <is>
          <t>&lt;last_refresh&gt;</t>
        </is>
      </c>
      <c r="F12" s="3959" t="inlineStr">
        <is>
          <t>&lt;preparer&gt;</t>
        </is>
      </c>
      <c r="G12" s="3959" t="inlineStr">
        <is>
          <t>Core</t>
        </is>
      </c>
      <c r="H12" s="3959" t="b">
        <v>0</v>
      </c>
    </row>
    <row r="13">
      <c r="A13" s="3959" t="inlineStr">
        <is>
          <t>Net debt</t>
        </is>
      </c>
      <c r="B13" s="3959" t="inlineStr">
        <is>
          <t>Go to Net_debt</t>
        </is>
      </c>
      <c r="C13" s="3959" t="inlineStr">
        <is>
          <t>PENDING</t>
        </is>
      </c>
      <c r="D13" s="3959" t="inlineStr">
        <is>
          <t>Net debt scaffold</t>
        </is>
      </c>
      <c r="E13" s="3959" t="inlineStr">
        <is>
          <t>&lt;last_refresh&gt;</t>
        </is>
      </c>
      <c r="F13" s="3959" t="inlineStr">
        <is>
          <t>&lt;preparer&gt;</t>
        </is>
      </c>
      <c r="G13" s="3959" t="inlineStr">
        <is>
          <t>Core</t>
        </is>
      </c>
      <c r="H13" s="3959" t="b">
        <v>0</v>
      </c>
    </row>
    <row r="14">
      <c r="A14" s="3959" t="inlineStr">
        <is>
          <t>Recons</t>
        </is>
      </c>
      <c r="B14" s="3959" t="inlineStr">
        <is>
          <t>Go to Recons</t>
        </is>
      </c>
      <c r="C14" s="3959" t="inlineStr">
        <is>
          <t>PENDING</t>
        </is>
      </c>
      <c r="D14" s="3959" t="inlineStr">
        <is>
          <t>Cross-tab reconciliations</t>
        </is>
      </c>
      <c r="E14" s="3959" t="inlineStr">
        <is>
          <t>&lt;last_refresh&gt;</t>
        </is>
      </c>
      <c r="F14" s="3959" t="inlineStr">
        <is>
          <t>&lt;preparer&gt;</t>
        </is>
      </c>
      <c r="G14" s="3959" t="inlineStr">
        <is>
          <t>Core</t>
        </is>
      </c>
      <c r="H14" s="3959" t="b">
        <v>0</v>
      </c>
    </row>
    <row r="15">
      <c r="A15" s="3959" t="inlineStr">
        <is>
          <t>Agings</t>
        </is>
      </c>
      <c r="B15" s="3959" t="inlineStr">
        <is>
          <t>Go to Agings</t>
        </is>
      </c>
      <c r="C15" s="3959" t="inlineStr">
        <is>
          <t>PENDING</t>
        </is>
      </c>
      <c r="D15" s="3959" t="inlineStr">
        <is>
          <t>AR/AP aging tie-outs</t>
        </is>
      </c>
      <c r="E15" s="3959" t="inlineStr">
        <is>
          <t>&lt;last_refresh&gt;</t>
        </is>
      </c>
      <c r="F15" s="3959" t="inlineStr">
        <is>
          <t>&lt;preparer&gt;</t>
        </is>
      </c>
      <c r="G15" s="3959" t="inlineStr">
        <is>
          <t>Core</t>
        </is>
      </c>
      <c r="H15" s="3959" t="b">
        <v>0</v>
      </c>
    </row>
    <row r="16">
      <c r="A16" s="3959" t="inlineStr">
        <is>
          <t>Modules</t>
        </is>
      </c>
      <c r="B16" s="3959" t="inlineStr">
        <is>
          <t>Go to Personnel</t>
        </is>
      </c>
      <c r="C16" s="3959" t="inlineStr">
        <is>
          <t>PENDING</t>
        </is>
      </c>
      <c r="D16" s="3959" t="inlineStr">
        <is>
          <t>Base module library tabs</t>
        </is>
      </c>
      <c r="E16" s="3959" t="inlineStr">
        <is>
          <t>&lt;last_refresh&gt;</t>
        </is>
      </c>
      <c r="F16" s="3959" t="inlineStr">
        <is>
          <t>&lt;preparer&gt;</t>
        </is>
      </c>
      <c r="G16" s="3959" t="inlineStr">
        <is>
          <t>Core</t>
        </is>
      </c>
      <c r="H16" s="3959" t="b">
        <v>0</v>
      </c>
    </row>
    <row r="20">
      <c r="A20" s="3979" t="inlineStr">
        <is>
          <t>Workbook QC</t>
        </is>
      </c>
      <c r="B20" s="3979" t="n"/>
      <c r="C20" s="3979" t="n"/>
      <c r="D20" s="3979" t="n"/>
      <c r="E20" s="3979" t="n"/>
      <c r="F20" s="3979" t="n"/>
      <c r="G20" s="3979" t="n"/>
      <c r="H20" s="3979" t="n"/>
    </row>
    <row r="21">
      <c r="A21" s="3959" t="inlineStr">
        <is>
          <t>Overall QC status</t>
        </is>
      </c>
      <c r="B21" s="3961" t="inlineStr">
        <is>
          <t>See Control | QC!B4</t>
        </is>
      </c>
      <c r="C21" s="3959" t="n"/>
      <c r="D21" s="3959" t="n"/>
      <c r="E21" s="3959" t="n"/>
      <c r="F21" s="3959" t="n"/>
      <c r="G21" s="3959" t="n"/>
      <c r="H21" s="3959" t="n"/>
    </row>
    <row r="22">
      <c r="A22" s="3959" t="inlineStr">
        <is>
          <t>Open check count</t>
        </is>
      </c>
      <c r="B22" s="3961" t="inlineStr">
        <is>
          <t>Count FALSE in Control | QC!G9:G200</t>
        </is>
      </c>
      <c r="C22" s="3959" t="n"/>
      <c r="D22" s="3959" t="n"/>
      <c r="E22" s="3959" t="n"/>
      <c r="F22" s="3959" t="n"/>
      <c r="G22" s="3959" t="n"/>
      <c r="H22" s="3959" t="n"/>
    </row>
    <row r="23">
      <c r="A23" s="3959" t="inlineStr">
        <is>
          <t>Last source used</t>
        </is>
      </c>
      <c r="B23" s="3959" t="inlineStr">
        <is>
          <t>&lt;document_source&gt;</t>
        </is>
      </c>
      <c r="C23" s="3959" t="n"/>
      <c r="D23" s="3959" t="n"/>
      <c r="E23" s="3959" t="n"/>
      <c r="F23" s="3959" t="n"/>
      <c r="G23" s="3959" t="n"/>
      <c r="H23" s="3959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9"/>
  <sheetViews>
    <sheetView showGridLines="0" zoomScale="100" zoomScaleNormal="10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14" customWidth="1" min="4" max="4"/>
    <col width="8" customWidth="1" min="5" max="5"/>
    <col width="10" customWidth="1" min="6" max="6"/>
    <col width="12" customWidth="1" min="7" max="7"/>
    <col width="10" customWidth="1" min="8" max="8"/>
    <col width="10" customWidth="1" min="9" max="9"/>
  </cols>
  <sheetData>
    <row r="1" ht="24" customHeight="1">
      <c r="A1" s="3921" t="inlineStr">
        <is>
          <t>Control | Setup</t>
        </is>
      </c>
      <c r="B1" s="3934" t="n"/>
    </row>
    <row r="2">
      <c r="A2" s="3978" t="inlineStr">
        <is>
          <t>Source: &lt;document_source&gt;</t>
        </is>
      </c>
      <c r="B2" s="3934" t="n"/>
    </row>
    <row r="3">
      <c r="A3" s="3934" t="n"/>
      <c r="B3" s="3934" t="n"/>
    </row>
    <row r="4">
      <c r="A4" s="3936" t="inlineStr">
        <is>
          <t>Template Note</t>
        </is>
      </c>
      <c r="B4" s="3937" t="inlineStr">
        <is>
          <t>Pack A scaffold only: direct formulas/values, no Excel Tables, no required named ranges.</t>
        </is>
      </c>
    </row>
    <row r="5">
      <c r="A5" s="3934" t="n"/>
      <c r="B5" s="3934" t="n"/>
    </row>
    <row r="6">
      <c r="A6" s="3979" t="inlineStr">
        <is>
          <t>Control | Setup</t>
        </is>
      </c>
      <c r="B6" s="3980" t="n"/>
    </row>
    <row r="7">
      <c r="A7" s="3923" t="inlineStr">
        <is>
          <t>Field</t>
        </is>
      </c>
      <c r="B7" s="3923" t="inlineStr">
        <is>
          <t>Value</t>
        </is>
      </c>
    </row>
    <row r="8">
      <c r="A8" s="3938" t="inlineStr">
        <is>
          <t>Engagement / Target</t>
        </is>
      </c>
      <c r="B8" s="3939" t="inlineStr"/>
    </row>
    <row r="9">
      <c r="A9" s="3938" t="inlineStr">
        <is>
          <t>TemplateVersion</t>
        </is>
      </c>
      <c r="B9" s="3939" t="inlineStr">
        <is>
          <t>v1.0-packA</t>
        </is>
      </c>
    </row>
    <row r="10">
      <c r="A10" s="3938" t="inlineStr">
        <is>
          <t>Currency</t>
        </is>
      </c>
      <c r="B10" s="3939" t="inlineStr">
        <is>
          <t>USD</t>
        </is>
      </c>
    </row>
    <row r="11">
      <c r="A11" s="3938" t="inlineStr">
        <is>
          <t>Units</t>
        </is>
      </c>
      <c r="B11" s="3939" t="inlineStr">
        <is>
          <t>$000s</t>
        </is>
      </c>
    </row>
    <row r="12">
      <c r="A12" s="3938" t="inlineStr">
        <is>
          <t>FYEndMonth (1-12)</t>
        </is>
      </c>
      <c r="B12" s="3939" t="n">
        <v>12</v>
      </c>
    </row>
    <row r="13">
      <c r="A13" s="3938" t="inlineStr">
        <is>
          <t>LatestMonthEnd</t>
        </is>
      </c>
      <c r="B13" s="3940" t="inlineStr"/>
    </row>
    <row r="20">
      <c r="A20" s="3979" t="inlineStr">
        <is>
          <t>Control | Periods</t>
        </is>
      </c>
      <c r="B20" s="3980" t="n"/>
      <c r="C20" s="3980" t="n"/>
      <c r="D20" s="3980" t="n"/>
      <c r="E20" s="3980" t="n"/>
      <c r="F20" s="3980" t="n"/>
      <c r="G20" s="3980" t="n"/>
      <c r="H20" s="3980" t="n"/>
      <c r="I20" s="3980" t="n"/>
    </row>
    <row r="21">
      <c r="A21" s="3923" t="inlineStr">
        <is>
          <t>PeriodEndDate</t>
        </is>
      </c>
      <c r="B21" s="3923" t="inlineStr">
        <is>
          <t>PeriodKey</t>
        </is>
      </c>
      <c r="C21" s="3923" t="inlineStr">
        <is>
          <t>Label_Flow</t>
        </is>
      </c>
      <c r="D21" s="3923" t="inlineStr">
        <is>
          <t>Label_Snapshot</t>
        </is>
      </c>
      <c r="E21" s="3923" t="inlineStr">
        <is>
          <t>FY</t>
        </is>
      </c>
      <c r="F21" s="3923" t="inlineStr">
        <is>
          <t>IsFYEnd</t>
        </is>
      </c>
      <c r="G21" s="3923" t="inlineStr">
        <is>
          <t>IsInLast36M</t>
        </is>
      </c>
      <c r="H21" s="3923" t="inlineStr">
        <is>
          <t>IsTTMEnd</t>
        </is>
      </c>
      <c r="I21" s="3923" t="inlineStr">
        <is>
          <t>SortOrder</t>
        </is>
      </c>
    </row>
    <row r="22">
      <c r="A22" s="3968" t="n"/>
      <c r="B22" s="3959">
        <f>IF(A22="","",TEXT(A22,"yyyymm"))</f>
        <v/>
      </c>
      <c r="C22" s="3959">
        <f>IF(A22="","",TEXT(A22,"mmm-yy"))</f>
        <v/>
      </c>
      <c r="D22" s="3959">
        <f>IF(A22="","",TEXT(A22,"mmm-yy"))</f>
        <v/>
      </c>
      <c r="E22" s="3959">
        <f>IF(A22="","",YEAR(A22)+(MONTH(A22)&gt;$B$12))</f>
        <v/>
      </c>
      <c r="F22" s="3959">
        <f>IF(A22="","",MONTH(A22)=$B$12)</f>
        <v/>
      </c>
      <c r="G22" s="3959">
        <f>IF(OR(A22="",$B$13=""),"",AND(A22&lt;=$B$13,A22&gt;EOMONTH($B$13,-36)))</f>
        <v/>
      </c>
      <c r="H22" s="3959">
        <f>IF(OR(A22="",$B$13=""),"",A22=$B$13)</f>
        <v/>
      </c>
      <c r="I22" s="3959">
        <f>IF(A22="","",ROW()-21)</f>
        <v/>
      </c>
    </row>
    <row r="23">
      <c r="A23" s="3968" t="n"/>
      <c r="B23" s="3959">
        <f>IF(A23="","",TEXT(A23,"yyyymm"))</f>
        <v/>
      </c>
      <c r="C23" s="3959">
        <f>IF(A23="","",TEXT(A23,"mmm-yy"))</f>
        <v/>
      </c>
      <c r="D23" s="3959">
        <f>IF(A23="","",TEXT(A23,"mmm-yy"))</f>
        <v/>
      </c>
      <c r="E23" s="3959">
        <f>IF(A23="","",YEAR(A23)+(MONTH(A23)&gt;$B$12))</f>
        <v/>
      </c>
      <c r="F23" s="3959">
        <f>IF(A23="","",MONTH(A23)=$B$12)</f>
        <v/>
      </c>
      <c r="G23" s="3959">
        <f>IF(OR(A23="",$B$13=""),"",AND(A23&lt;=$B$13,A23&gt;EOMONTH($B$13,-36)))</f>
        <v/>
      </c>
      <c r="H23" s="3959">
        <f>IF(OR(A23="",$B$13=""),"",A23=$B$13)</f>
        <v/>
      </c>
      <c r="I23" s="3959">
        <f>IF(A23="","",ROW()-21)</f>
        <v/>
      </c>
    </row>
    <row r="24">
      <c r="A24" s="3968" t="n"/>
      <c r="B24" s="3959">
        <f>IF(A24="","",TEXT(A24,"yyyymm"))</f>
        <v/>
      </c>
      <c r="C24" s="3959">
        <f>IF(A24="","",TEXT(A24,"mmm-yy"))</f>
        <v/>
      </c>
      <c r="D24" s="3959">
        <f>IF(A24="","",TEXT(A24,"mmm-yy"))</f>
        <v/>
      </c>
      <c r="E24" s="3959">
        <f>IF(A24="","",YEAR(A24)+(MONTH(A24)&gt;$B$12))</f>
        <v/>
      </c>
      <c r="F24" s="3959">
        <f>IF(A24="","",MONTH(A24)=$B$12)</f>
        <v/>
      </c>
      <c r="G24" s="3959">
        <f>IF(OR(A24="",$B$13=""),"",AND(A24&lt;=$B$13,A24&gt;EOMONTH($B$13,-36)))</f>
        <v/>
      </c>
      <c r="H24" s="3959">
        <f>IF(OR(A24="",$B$13=""),"",A24=$B$13)</f>
        <v/>
      </c>
      <c r="I24" s="3959">
        <f>IF(A24="","",ROW()-21)</f>
        <v/>
      </c>
    </row>
    <row r="25">
      <c r="A25" s="3968" t="n"/>
      <c r="B25" s="3959">
        <f>IF(A25="","",TEXT(A25,"yyyymm"))</f>
        <v/>
      </c>
      <c r="C25" s="3959">
        <f>IF(A25="","",TEXT(A25,"mmm-yy"))</f>
        <v/>
      </c>
      <c r="D25" s="3959">
        <f>IF(A25="","",TEXT(A25,"mmm-yy"))</f>
        <v/>
      </c>
      <c r="E25" s="3959">
        <f>IF(A25="","",YEAR(A25)+(MONTH(A25)&gt;$B$12))</f>
        <v/>
      </c>
      <c r="F25" s="3959">
        <f>IF(A25="","",MONTH(A25)=$B$12)</f>
        <v/>
      </c>
      <c r="G25" s="3959">
        <f>IF(OR(A25="",$B$13=""),"",AND(A25&lt;=$B$13,A25&gt;EOMONTH($B$13,-36)))</f>
        <v/>
      </c>
      <c r="H25" s="3959">
        <f>IF(OR(A25="",$B$13=""),"",A25=$B$13)</f>
        <v/>
      </c>
      <c r="I25" s="3959">
        <f>IF(A25="","",ROW()-21)</f>
        <v/>
      </c>
    </row>
    <row r="26">
      <c r="A26" s="3968" t="n"/>
      <c r="B26" s="3959">
        <f>IF(A26="","",TEXT(A26,"yyyymm"))</f>
        <v/>
      </c>
      <c r="C26" s="3959">
        <f>IF(A26="","",TEXT(A26,"mmm-yy"))</f>
        <v/>
      </c>
      <c r="D26" s="3959">
        <f>IF(A26="","",TEXT(A26,"mmm-yy"))</f>
        <v/>
      </c>
      <c r="E26" s="3959">
        <f>IF(A26="","",YEAR(A26)+(MONTH(A26)&gt;$B$12))</f>
        <v/>
      </c>
      <c r="F26" s="3959">
        <f>IF(A26="","",MONTH(A26)=$B$12)</f>
        <v/>
      </c>
      <c r="G26" s="3959">
        <f>IF(OR(A26="",$B$13=""),"",AND(A26&lt;=$B$13,A26&gt;EOMONTH($B$13,-36)))</f>
        <v/>
      </c>
      <c r="H26" s="3959">
        <f>IF(OR(A26="",$B$13=""),"",A26=$B$13)</f>
        <v/>
      </c>
      <c r="I26" s="3959">
        <f>IF(A26="","",ROW()-21)</f>
        <v/>
      </c>
    </row>
    <row r="27">
      <c r="A27" s="3968" t="n"/>
      <c r="B27" s="3959">
        <f>IF(A27="","",TEXT(A27,"yyyymm"))</f>
        <v/>
      </c>
      <c r="C27" s="3959">
        <f>IF(A27="","",TEXT(A27,"mmm-yy"))</f>
        <v/>
      </c>
      <c r="D27" s="3959">
        <f>IF(A27="","",TEXT(A27,"mmm-yy"))</f>
        <v/>
      </c>
      <c r="E27" s="3959">
        <f>IF(A27="","",YEAR(A27)+(MONTH(A27)&gt;$B$12))</f>
        <v/>
      </c>
      <c r="F27" s="3959">
        <f>IF(A27="","",MONTH(A27)=$B$12)</f>
        <v/>
      </c>
      <c r="G27" s="3959">
        <f>IF(OR(A27="",$B$13=""),"",AND(A27&lt;=$B$13,A27&gt;EOMONTH($B$13,-36)))</f>
        <v/>
      </c>
      <c r="H27" s="3959">
        <f>IF(OR(A27="",$B$13=""),"",A27=$B$13)</f>
        <v/>
      </c>
      <c r="I27" s="3959">
        <f>IF(A27="","",ROW()-21)</f>
        <v/>
      </c>
    </row>
    <row r="28">
      <c r="A28" s="3968" t="n"/>
      <c r="B28" s="3959">
        <f>IF(A28="","",TEXT(A28,"yyyymm"))</f>
        <v/>
      </c>
      <c r="C28" s="3959">
        <f>IF(A28="","",TEXT(A28,"mmm-yy"))</f>
        <v/>
      </c>
      <c r="D28" s="3959">
        <f>IF(A28="","",TEXT(A28,"mmm-yy"))</f>
        <v/>
      </c>
      <c r="E28" s="3959">
        <f>IF(A28="","",YEAR(A28)+(MONTH(A28)&gt;$B$12))</f>
        <v/>
      </c>
      <c r="F28" s="3959">
        <f>IF(A28="","",MONTH(A28)=$B$12)</f>
        <v/>
      </c>
      <c r="G28" s="3959">
        <f>IF(OR(A28="",$B$13=""),"",AND(A28&lt;=$B$13,A28&gt;EOMONTH($B$13,-36)))</f>
        <v/>
      </c>
      <c r="H28" s="3959">
        <f>IF(OR(A28="",$B$13=""),"",A28=$B$13)</f>
        <v/>
      </c>
      <c r="I28" s="3959">
        <f>IF(A28="","",ROW()-21)</f>
        <v/>
      </c>
    </row>
    <row r="29">
      <c r="A29" s="3968" t="n"/>
      <c r="B29" s="3959">
        <f>IF(A29="","",TEXT(A29,"yyyymm"))</f>
        <v/>
      </c>
      <c r="C29" s="3959">
        <f>IF(A29="","",TEXT(A29,"mmm-yy"))</f>
        <v/>
      </c>
      <c r="D29" s="3959">
        <f>IF(A29="","",TEXT(A29,"mmm-yy"))</f>
        <v/>
      </c>
      <c r="E29" s="3959">
        <f>IF(A29="","",YEAR(A29)+(MONTH(A29)&gt;$B$12))</f>
        <v/>
      </c>
      <c r="F29" s="3959">
        <f>IF(A29="","",MONTH(A29)=$B$12)</f>
        <v/>
      </c>
      <c r="G29" s="3959">
        <f>IF(OR(A29="",$B$13=""),"",AND(A29&lt;=$B$13,A29&gt;EOMONTH($B$13,-36)))</f>
        <v/>
      </c>
      <c r="H29" s="3959">
        <f>IF(OR(A29="",$B$13=""),"",A29=$B$13)</f>
        <v/>
      </c>
      <c r="I29" s="3959">
        <f>IF(A29="","",ROW()-21)</f>
        <v/>
      </c>
    </row>
    <row r="30">
      <c r="A30" s="3968" t="n"/>
      <c r="B30" s="3959">
        <f>IF(A30="","",TEXT(A30,"yyyymm"))</f>
        <v/>
      </c>
      <c r="C30" s="3959">
        <f>IF(A30="","",TEXT(A30,"mmm-yy"))</f>
        <v/>
      </c>
      <c r="D30" s="3959">
        <f>IF(A30="","",TEXT(A30,"mmm-yy"))</f>
        <v/>
      </c>
      <c r="E30" s="3959">
        <f>IF(A30="","",YEAR(A30)+(MONTH(A30)&gt;$B$12))</f>
        <v/>
      </c>
      <c r="F30" s="3959">
        <f>IF(A30="","",MONTH(A30)=$B$12)</f>
        <v/>
      </c>
      <c r="G30" s="3959">
        <f>IF(OR(A30="",$B$13=""),"",AND(A30&lt;=$B$13,A30&gt;EOMONTH($B$13,-36)))</f>
        <v/>
      </c>
      <c r="H30" s="3959">
        <f>IF(OR(A30="",$B$13=""),"",A30=$B$13)</f>
        <v/>
      </c>
      <c r="I30" s="3959">
        <f>IF(A30="","",ROW()-21)</f>
        <v/>
      </c>
    </row>
    <row r="31">
      <c r="A31" s="3968" t="n"/>
      <c r="B31" s="3959">
        <f>IF(A31="","",TEXT(A31,"yyyymm"))</f>
        <v/>
      </c>
      <c r="C31" s="3959">
        <f>IF(A31="","",TEXT(A31,"mmm-yy"))</f>
        <v/>
      </c>
      <c r="D31" s="3959">
        <f>IF(A31="","",TEXT(A31,"mmm-yy"))</f>
        <v/>
      </c>
      <c r="E31" s="3959">
        <f>IF(A31="","",YEAR(A31)+(MONTH(A31)&gt;$B$12))</f>
        <v/>
      </c>
      <c r="F31" s="3959">
        <f>IF(A31="","",MONTH(A31)=$B$12)</f>
        <v/>
      </c>
      <c r="G31" s="3959">
        <f>IF(OR(A31="",$B$13=""),"",AND(A31&lt;=$B$13,A31&gt;EOMONTH($B$13,-36)))</f>
        <v/>
      </c>
      <c r="H31" s="3959">
        <f>IF(OR(A31="",$B$13=""),"",A31=$B$13)</f>
        <v/>
      </c>
      <c r="I31" s="3959">
        <f>IF(A31="","",ROW()-21)</f>
        <v/>
      </c>
    </row>
    <row r="32">
      <c r="A32" s="3968" t="n"/>
      <c r="B32" s="3959">
        <f>IF(A32="","",TEXT(A32,"yyyymm"))</f>
        <v/>
      </c>
      <c r="C32" s="3959">
        <f>IF(A32="","",TEXT(A32,"mmm-yy"))</f>
        <v/>
      </c>
      <c r="D32" s="3959">
        <f>IF(A32="","",TEXT(A32,"mmm-yy"))</f>
        <v/>
      </c>
      <c r="E32" s="3959">
        <f>IF(A32="","",YEAR(A32)+(MONTH(A32)&gt;$B$12))</f>
        <v/>
      </c>
      <c r="F32" s="3959">
        <f>IF(A32="","",MONTH(A32)=$B$12)</f>
        <v/>
      </c>
      <c r="G32" s="3959">
        <f>IF(OR(A32="",$B$13=""),"",AND(A32&lt;=$B$13,A32&gt;EOMONTH($B$13,-36)))</f>
        <v/>
      </c>
      <c r="H32" s="3959">
        <f>IF(OR(A32="",$B$13=""),"",A32=$B$13)</f>
        <v/>
      </c>
      <c r="I32" s="3959">
        <f>IF(A32="","",ROW()-21)</f>
        <v/>
      </c>
    </row>
    <row r="33">
      <c r="A33" s="3968" t="n"/>
      <c r="B33" s="3959">
        <f>IF(A33="","",TEXT(A33,"yyyymm"))</f>
        <v/>
      </c>
      <c r="C33" s="3959">
        <f>IF(A33="","",TEXT(A33,"mmm-yy"))</f>
        <v/>
      </c>
      <c r="D33" s="3959">
        <f>IF(A33="","",TEXT(A33,"mmm-yy"))</f>
        <v/>
      </c>
      <c r="E33" s="3959">
        <f>IF(A33="","",YEAR(A33)+(MONTH(A33)&gt;$B$12))</f>
        <v/>
      </c>
      <c r="F33" s="3959">
        <f>IF(A33="","",MONTH(A33)=$B$12)</f>
        <v/>
      </c>
      <c r="G33" s="3959">
        <f>IF(OR(A33="",$B$13=""),"",AND(A33&lt;=$B$13,A33&gt;EOMONTH($B$13,-36)))</f>
        <v/>
      </c>
      <c r="H33" s="3959">
        <f>IF(OR(A33="",$B$13=""),"",A33=$B$13)</f>
        <v/>
      </c>
      <c r="I33" s="3959">
        <f>IF(A33="","",ROW()-21)</f>
        <v/>
      </c>
    </row>
    <row r="34">
      <c r="A34" s="3968" t="n"/>
      <c r="B34" s="3959">
        <f>IF(A34="","",TEXT(A34,"yyyymm"))</f>
        <v/>
      </c>
      <c r="C34" s="3959">
        <f>IF(A34="","",TEXT(A34,"mmm-yy"))</f>
        <v/>
      </c>
      <c r="D34" s="3959">
        <f>IF(A34="","",TEXT(A34,"mmm-yy"))</f>
        <v/>
      </c>
      <c r="E34" s="3959">
        <f>IF(A34="","",YEAR(A34)+(MONTH(A34)&gt;$B$12))</f>
        <v/>
      </c>
      <c r="F34" s="3959">
        <f>IF(A34="","",MONTH(A34)=$B$12)</f>
        <v/>
      </c>
      <c r="G34" s="3959">
        <f>IF(OR(A34="",$B$13=""),"",AND(A34&lt;=$B$13,A34&gt;EOMONTH($B$13,-36)))</f>
        <v/>
      </c>
      <c r="H34" s="3959">
        <f>IF(OR(A34="",$B$13=""),"",A34=$B$13)</f>
        <v/>
      </c>
      <c r="I34" s="3959">
        <f>IF(A34="","",ROW()-21)</f>
        <v/>
      </c>
    </row>
    <row r="35">
      <c r="A35" s="3968" t="n"/>
      <c r="B35" s="3959">
        <f>IF(A35="","",TEXT(A35,"yyyymm"))</f>
        <v/>
      </c>
      <c r="C35" s="3959">
        <f>IF(A35="","",TEXT(A35,"mmm-yy"))</f>
        <v/>
      </c>
      <c r="D35" s="3959">
        <f>IF(A35="","",TEXT(A35,"mmm-yy"))</f>
        <v/>
      </c>
      <c r="E35" s="3959">
        <f>IF(A35="","",YEAR(A35)+(MONTH(A35)&gt;$B$12))</f>
        <v/>
      </c>
      <c r="F35" s="3959">
        <f>IF(A35="","",MONTH(A35)=$B$12)</f>
        <v/>
      </c>
      <c r="G35" s="3959">
        <f>IF(OR(A35="",$B$13=""),"",AND(A35&lt;=$B$13,A35&gt;EOMONTH($B$13,-36)))</f>
        <v/>
      </c>
      <c r="H35" s="3959">
        <f>IF(OR(A35="",$B$13=""),"",A35=$B$13)</f>
        <v/>
      </c>
      <c r="I35" s="3959">
        <f>IF(A35="","",ROW()-21)</f>
        <v/>
      </c>
    </row>
    <row r="36">
      <c r="A36" s="3968" t="n"/>
      <c r="B36" s="3959">
        <f>IF(A36="","",TEXT(A36,"yyyymm"))</f>
        <v/>
      </c>
      <c r="C36" s="3959">
        <f>IF(A36="","",TEXT(A36,"mmm-yy"))</f>
        <v/>
      </c>
      <c r="D36" s="3959">
        <f>IF(A36="","",TEXT(A36,"mmm-yy"))</f>
        <v/>
      </c>
      <c r="E36" s="3959">
        <f>IF(A36="","",YEAR(A36)+(MONTH(A36)&gt;$B$12))</f>
        <v/>
      </c>
      <c r="F36" s="3959">
        <f>IF(A36="","",MONTH(A36)=$B$12)</f>
        <v/>
      </c>
      <c r="G36" s="3959">
        <f>IF(OR(A36="",$B$13=""),"",AND(A36&lt;=$B$13,A36&gt;EOMONTH($B$13,-36)))</f>
        <v/>
      </c>
      <c r="H36" s="3959">
        <f>IF(OR(A36="",$B$13=""),"",A36=$B$13)</f>
        <v/>
      </c>
      <c r="I36" s="3959">
        <f>IF(A36="","",ROW()-21)</f>
        <v/>
      </c>
    </row>
    <row r="37">
      <c r="A37" s="3968" t="n"/>
      <c r="B37" s="3959">
        <f>IF(A37="","",TEXT(A37,"yyyymm"))</f>
        <v/>
      </c>
      <c r="C37" s="3959">
        <f>IF(A37="","",TEXT(A37,"mmm-yy"))</f>
        <v/>
      </c>
      <c r="D37" s="3959">
        <f>IF(A37="","",TEXT(A37,"mmm-yy"))</f>
        <v/>
      </c>
      <c r="E37" s="3959">
        <f>IF(A37="","",YEAR(A37)+(MONTH(A37)&gt;$B$12))</f>
        <v/>
      </c>
      <c r="F37" s="3959">
        <f>IF(A37="","",MONTH(A37)=$B$12)</f>
        <v/>
      </c>
      <c r="G37" s="3959">
        <f>IF(OR(A37="",$B$13=""),"",AND(A37&lt;=$B$13,A37&gt;EOMONTH($B$13,-36)))</f>
        <v/>
      </c>
      <c r="H37" s="3959">
        <f>IF(OR(A37="",$B$13=""),"",A37=$B$13)</f>
        <v/>
      </c>
      <c r="I37" s="3959">
        <f>IF(A37="","",ROW()-21)</f>
        <v/>
      </c>
    </row>
    <row r="38">
      <c r="A38" s="3968" t="n"/>
      <c r="B38" s="3959">
        <f>IF(A38="","",TEXT(A38,"yyyymm"))</f>
        <v/>
      </c>
      <c r="C38" s="3959">
        <f>IF(A38="","",TEXT(A38,"mmm-yy"))</f>
        <v/>
      </c>
      <c r="D38" s="3959">
        <f>IF(A38="","",TEXT(A38,"mmm-yy"))</f>
        <v/>
      </c>
      <c r="E38" s="3959">
        <f>IF(A38="","",YEAR(A38)+(MONTH(A38)&gt;$B$12))</f>
        <v/>
      </c>
      <c r="F38" s="3959">
        <f>IF(A38="","",MONTH(A38)=$B$12)</f>
        <v/>
      </c>
      <c r="G38" s="3959">
        <f>IF(OR(A38="",$B$13=""),"",AND(A38&lt;=$B$13,A38&gt;EOMONTH($B$13,-36)))</f>
        <v/>
      </c>
      <c r="H38" s="3959">
        <f>IF(OR(A38="",$B$13=""),"",A38=$B$13)</f>
        <v/>
      </c>
      <c r="I38" s="3959">
        <f>IF(A38="","",ROW()-21)</f>
        <v/>
      </c>
    </row>
    <row r="39">
      <c r="A39" s="3968" t="n"/>
      <c r="B39" s="3959">
        <f>IF(A39="","",TEXT(A39,"yyyymm"))</f>
        <v/>
      </c>
      <c r="C39" s="3959">
        <f>IF(A39="","",TEXT(A39,"mmm-yy"))</f>
        <v/>
      </c>
      <c r="D39" s="3959">
        <f>IF(A39="","",TEXT(A39,"mmm-yy"))</f>
        <v/>
      </c>
      <c r="E39" s="3959">
        <f>IF(A39="","",YEAR(A39)+(MONTH(A39)&gt;$B$12))</f>
        <v/>
      </c>
      <c r="F39" s="3959">
        <f>IF(A39="","",MONTH(A39)=$B$12)</f>
        <v/>
      </c>
      <c r="G39" s="3959">
        <f>IF(OR(A39="",$B$13=""),"",AND(A39&lt;=$B$13,A39&gt;EOMONTH($B$13,-36)))</f>
        <v/>
      </c>
      <c r="H39" s="3959">
        <f>IF(OR(A39="",$B$13=""),"",A39=$B$13)</f>
        <v/>
      </c>
      <c r="I39" s="3959">
        <f>IF(A39="","",ROW()-21)</f>
        <v/>
      </c>
    </row>
    <row r="40">
      <c r="A40" s="3968" t="n"/>
      <c r="B40" s="3959">
        <f>IF(A40="","",TEXT(A40,"yyyymm"))</f>
        <v/>
      </c>
      <c r="C40" s="3959">
        <f>IF(A40="","",TEXT(A40,"mmm-yy"))</f>
        <v/>
      </c>
      <c r="D40" s="3959">
        <f>IF(A40="","",TEXT(A40,"mmm-yy"))</f>
        <v/>
      </c>
      <c r="E40" s="3959">
        <f>IF(A40="","",YEAR(A40)+(MONTH(A40)&gt;$B$12))</f>
        <v/>
      </c>
      <c r="F40" s="3959">
        <f>IF(A40="","",MONTH(A40)=$B$12)</f>
        <v/>
      </c>
      <c r="G40" s="3959">
        <f>IF(OR(A40="",$B$13=""),"",AND(A40&lt;=$B$13,A40&gt;EOMONTH($B$13,-36)))</f>
        <v/>
      </c>
      <c r="H40" s="3959">
        <f>IF(OR(A40="",$B$13=""),"",A40=$B$13)</f>
        <v/>
      </c>
      <c r="I40" s="3959">
        <f>IF(A40="","",ROW()-21)</f>
        <v/>
      </c>
    </row>
    <row r="41">
      <c r="A41" s="3968" t="n"/>
      <c r="B41" s="3959">
        <f>IF(A41="","",TEXT(A41,"yyyymm"))</f>
        <v/>
      </c>
      <c r="C41" s="3959">
        <f>IF(A41="","",TEXT(A41,"mmm-yy"))</f>
        <v/>
      </c>
      <c r="D41" s="3959">
        <f>IF(A41="","",TEXT(A41,"mmm-yy"))</f>
        <v/>
      </c>
      <c r="E41" s="3959">
        <f>IF(A41="","",YEAR(A41)+(MONTH(A41)&gt;$B$12))</f>
        <v/>
      </c>
      <c r="F41" s="3959">
        <f>IF(A41="","",MONTH(A41)=$B$12)</f>
        <v/>
      </c>
      <c r="G41" s="3959">
        <f>IF(OR(A41="",$B$13=""),"",AND(A41&lt;=$B$13,A41&gt;EOMONTH($B$13,-36)))</f>
        <v/>
      </c>
      <c r="H41" s="3959">
        <f>IF(OR(A41="",$B$13=""),"",A41=$B$13)</f>
        <v/>
      </c>
      <c r="I41" s="3959">
        <f>IF(A41="","",ROW()-21)</f>
        <v/>
      </c>
    </row>
    <row r="42">
      <c r="A42" s="3968" t="n"/>
      <c r="B42" s="3959">
        <f>IF(A42="","",TEXT(A42,"yyyymm"))</f>
        <v/>
      </c>
      <c r="C42" s="3959">
        <f>IF(A42="","",TEXT(A42,"mmm-yy"))</f>
        <v/>
      </c>
      <c r="D42" s="3959">
        <f>IF(A42="","",TEXT(A42,"mmm-yy"))</f>
        <v/>
      </c>
      <c r="E42" s="3959">
        <f>IF(A42="","",YEAR(A42)+(MONTH(A42)&gt;$B$12))</f>
        <v/>
      </c>
      <c r="F42" s="3959">
        <f>IF(A42="","",MONTH(A42)=$B$12)</f>
        <v/>
      </c>
      <c r="G42" s="3959">
        <f>IF(OR(A42="",$B$13=""),"",AND(A42&lt;=$B$13,A42&gt;EOMONTH($B$13,-36)))</f>
        <v/>
      </c>
      <c r="H42" s="3959">
        <f>IF(OR(A42="",$B$13=""),"",A42=$B$13)</f>
        <v/>
      </c>
      <c r="I42" s="3959">
        <f>IF(A42="","",ROW()-21)</f>
        <v/>
      </c>
    </row>
    <row r="43">
      <c r="A43" s="3968" t="n"/>
      <c r="B43" s="3959">
        <f>IF(A43="","",TEXT(A43,"yyyymm"))</f>
        <v/>
      </c>
      <c r="C43" s="3959">
        <f>IF(A43="","",TEXT(A43,"mmm-yy"))</f>
        <v/>
      </c>
      <c r="D43" s="3959">
        <f>IF(A43="","",TEXT(A43,"mmm-yy"))</f>
        <v/>
      </c>
      <c r="E43" s="3959">
        <f>IF(A43="","",YEAR(A43)+(MONTH(A43)&gt;$B$12))</f>
        <v/>
      </c>
      <c r="F43" s="3959">
        <f>IF(A43="","",MONTH(A43)=$B$12)</f>
        <v/>
      </c>
      <c r="G43" s="3959">
        <f>IF(OR(A43="",$B$13=""),"",AND(A43&lt;=$B$13,A43&gt;EOMONTH($B$13,-36)))</f>
        <v/>
      </c>
      <c r="H43" s="3959">
        <f>IF(OR(A43="",$B$13=""),"",A43=$B$13)</f>
        <v/>
      </c>
      <c r="I43" s="3959">
        <f>IF(A43="","",ROW()-21)</f>
        <v/>
      </c>
    </row>
    <row r="44">
      <c r="A44" s="3968" t="n"/>
      <c r="B44" s="3959">
        <f>IF(A44="","",TEXT(A44,"yyyymm"))</f>
        <v/>
      </c>
      <c r="C44" s="3959">
        <f>IF(A44="","",TEXT(A44,"mmm-yy"))</f>
        <v/>
      </c>
      <c r="D44" s="3959">
        <f>IF(A44="","",TEXT(A44,"mmm-yy"))</f>
        <v/>
      </c>
      <c r="E44" s="3959">
        <f>IF(A44="","",YEAR(A44)+(MONTH(A44)&gt;$B$12))</f>
        <v/>
      </c>
      <c r="F44" s="3959">
        <f>IF(A44="","",MONTH(A44)=$B$12)</f>
        <v/>
      </c>
      <c r="G44" s="3959">
        <f>IF(OR(A44="",$B$13=""),"",AND(A44&lt;=$B$13,A44&gt;EOMONTH($B$13,-36)))</f>
        <v/>
      </c>
      <c r="H44" s="3959">
        <f>IF(OR(A44="",$B$13=""),"",A44=$B$13)</f>
        <v/>
      </c>
      <c r="I44" s="3959">
        <f>IF(A44="","",ROW()-21)</f>
        <v/>
      </c>
    </row>
    <row r="45">
      <c r="A45" s="3968" t="n"/>
      <c r="B45" s="3959">
        <f>IF(A45="","",TEXT(A45,"yyyymm"))</f>
        <v/>
      </c>
      <c r="C45" s="3959">
        <f>IF(A45="","",TEXT(A45,"mmm-yy"))</f>
        <v/>
      </c>
      <c r="D45" s="3959">
        <f>IF(A45="","",TEXT(A45,"mmm-yy"))</f>
        <v/>
      </c>
      <c r="E45" s="3959">
        <f>IF(A45="","",YEAR(A45)+(MONTH(A45)&gt;$B$12))</f>
        <v/>
      </c>
      <c r="F45" s="3959">
        <f>IF(A45="","",MONTH(A45)=$B$12)</f>
        <v/>
      </c>
      <c r="G45" s="3959">
        <f>IF(OR(A45="",$B$13=""),"",AND(A45&lt;=$B$13,A45&gt;EOMONTH($B$13,-36)))</f>
        <v/>
      </c>
      <c r="H45" s="3959">
        <f>IF(OR(A45="",$B$13=""),"",A45=$B$13)</f>
        <v/>
      </c>
      <c r="I45" s="3959">
        <f>IF(A45="","",ROW()-21)</f>
        <v/>
      </c>
    </row>
    <row r="46">
      <c r="A46" s="3968" t="n"/>
      <c r="B46" s="3959">
        <f>IF(A46="","",TEXT(A46,"yyyymm"))</f>
        <v/>
      </c>
      <c r="C46" s="3959">
        <f>IF(A46="","",TEXT(A46,"mmm-yy"))</f>
        <v/>
      </c>
      <c r="D46" s="3959">
        <f>IF(A46="","",TEXT(A46,"mmm-yy"))</f>
        <v/>
      </c>
      <c r="E46" s="3959">
        <f>IF(A46="","",YEAR(A46)+(MONTH(A46)&gt;$B$12))</f>
        <v/>
      </c>
      <c r="F46" s="3959">
        <f>IF(A46="","",MONTH(A46)=$B$12)</f>
        <v/>
      </c>
      <c r="G46" s="3959">
        <f>IF(OR(A46="",$B$13=""),"",AND(A46&lt;=$B$13,A46&gt;EOMONTH($B$13,-36)))</f>
        <v/>
      </c>
      <c r="H46" s="3959">
        <f>IF(OR(A46="",$B$13=""),"",A46=$B$13)</f>
        <v/>
      </c>
      <c r="I46" s="3959">
        <f>IF(A46="","",ROW()-21)</f>
        <v/>
      </c>
    </row>
    <row r="47">
      <c r="A47" s="3968" t="n"/>
      <c r="B47" s="3959">
        <f>IF(A47="","",TEXT(A47,"yyyymm"))</f>
        <v/>
      </c>
      <c r="C47" s="3959">
        <f>IF(A47="","",TEXT(A47,"mmm-yy"))</f>
        <v/>
      </c>
      <c r="D47" s="3959">
        <f>IF(A47="","",TEXT(A47,"mmm-yy"))</f>
        <v/>
      </c>
      <c r="E47" s="3959">
        <f>IF(A47="","",YEAR(A47)+(MONTH(A47)&gt;$B$12))</f>
        <v/>
      </c>
      <c r="F47" s="3959">
        <f>IF(A47="","",MONTH(A47)=$B$12)</f>
        <v/>
      </c>
      <c r="G47" s="3959">
        <f>IF(OR(A47="",$B$13=""),"",AND(A47&lt;=$B$13,A47&gt;EOMONTH($B$13,-36)))</f>
        <v/>
      </c>
      <c r="H47" s="3959">
        <f>IF(OR(A47="",$B$13=""),"",A47=$B$13)</f>
        <v/>
      </c>
      <c r="I47" s="3959">
        <f>IF(A47="","",ROW()-21)</f>
        <v/>
      </c>
    </row>
    <row r="48">
      <c r="A48" s="3968" t="n"/>
      <c r="B48" s="3959">
        <f>IF(A48="","",TEXT(A48,"yyyymm"))</f>
        <v/>
      </c>
      <c r="C48" s="3959">
        <f>IF(A48="","",TEXT(A48,"mmm-yy"))</f>
        <v/>
      </c>
      <c r="D48" s="3959">
        <f>IF(A48="","",TEXT(A48,"mmm-yy"))</f>
        <v/>
      </c>
      <c r="E48" s="3959">
        <f>IF(A48="","",YEAR(A48)+(MONTH(A48)&gt;$B$12))</f>
        <v/>
      </c>
      <c r="F48" s="3959">
        <f>IF(A48="","",MONTH(A48)=$B$12)</f>
        <v/>
      </c>
      <c r="G48" s="3959">
        <f>IF(OR(A48="",$B$13=""),"",AND(A48&lt;=$B$13,A48&gt;EOMONTH($B$13,-36)))</f>
        <v/>
      </c>
      <c r="H48" s="3959">
        <f>IF(OR(A48="",$B$13=""),"",A48=$B$13)</f>
        <v/>
      </c>
      <c r="I48" s="3959">
        <f>IF(A48="","",ROW()-21)</f>
        <v/>
      </c>
    </row>
    <row r="49">
      <c r="A49" s="3968" t="n"/>
      <c r="B49" s="3959">
        <f>IF(A49="","",TEXT(A49,"yyyymm"))</f>
        <v/>
      </c>
      <c r="C49" s="3959">
        <f>IF(A49="","",TEXT(A49,"mmm-yy"))</f>
        <v/>
      </c>
      <c r="D49" s="3959">
        <f>IF(A49="","",TEXT(A49,"mmm-yy"))</f>
        <v/>
      </c>
      <c r="E49" s="3959">
        <f>IF(A49="","",YEAR(A49)+(MONTH(A49)&gt;$B$12))</f>
        <v/>
      </c>
      <c r="F49" s="3959">
        <f>IF(A49="","",MONTH(A49)=$B$12)</f>
        <v/>
      </c>
      <c r="G49" s="3959">
        <f>IF(OR(A49="",$B$13=""),"",AND(A49&lt;=$B$13,A49&gt;EOMONTH($B$13,-36)))</f>
        <v/>
      </c>
      <c r="H49" s="3959">
        <f>IF(OR(A49="",$B$13=""),"",A49=$B$13)</f>
        <v/>
      </c>
      <c r="I49" s="3959">
        <f>IF(A49="","",ROW()-21)</f>
        <v/>
      </c>
    </row>
    <row r="50">
      <c r="A50" s="3968" t="n"/>
      <c r="B50" s="3959">
        <f>IF(A50="","",TEXT(A50,"yyyymm"))</f>
        <v/>
      </c>
      <c r="C50" s="3959">
        <f>IF(A50="","",TEXT(A50,"mmm-yy"))</f>
        <v/>
      </c>
      <c r="D50" s="3959">
        <f>IF(A50="","",TEXT(A50,"mmm-yy"))</f>
        <v/>
      </c>
      <c r="E50" s="3959">
        <f>IF(A50="","",YEAR(A50)+(MONTH(A50)&gt;$B$12))</f>
        <v/>
      </c>
      <c r="F50" s="3959">
        <f>IF(A50="","",MONTH(A50)=$B$12)</f>
        <v/>
      </c>
      <c r="G50" s="3959">
        <f>IF(OR(A50="",$B$13=""),"",AND(A50&lt;=$B$13,A50&gt;EOMONTH($B$13,-36)))</f>
        <v/>
      </c>
      <c r="H50" s="3959">
        <f>IF(OR(A50="",$B$13=""),"",A50=$B$13)</f>
        <v/>
      </c>
      <c r="I50" s="3959">
        <f>IF(A50="","",ROW()-21)</f>
        <v/>
      </c>
    </row>
    <row r="51">
      <c r="A51" s="3968" t="n"/>
      <c r="B51" s="3959">
        <f>IF(A51="","",TEXT(A51,"yyyymm"))</f>
        <v/>
      </c>
      <c r="C51" s="3959">
        <f>IF(A51="","",TEXT(A51,"mmm-yy"))</f>
        <v/>
      </c>
      <c r="D51" s="3959">
        <f>IF(A51="","",TEXT(A51,"mmm-yy"))</f>
        <v/>
      </c>
      <c r="E51" s="3959">
        <f>IF(A51="","",YEAR(A51)+(MONTH(A51)&gt;$B$12))</f>
        <v/>
      </c>
      <c r="F51" s="3959">
        <f>IF(A51="","",MONTH(A51)=$B$12)</f>
        <v/>
      </c>
      <c r="G51" s="3959">
        <f>IF(OR(A51="",$B$13=""),"",AND(A51&lt;=$B$13,A51&gt;EOMONTH($B$13,-36)))</f>
        <v/>
      </c>
      <c r="H51" s="3959">
        <f>IF(OR(A51="",$B$13=""),"",A51=$B$13)</f>
        <v/>
      </c>
      <c r="I51" s="3959">
        <f>IF(A51="","",ROW()-21)</f>
        <v/>
      </c>
    </row>
    <row r="52">
      <c r="A52" s="3968" t="n"/>
      <c r="B52" s="3959">
        <f>IF(A52="","",TEXT(A52,"yyyymm"))</f>
        <v/>
      </c>
      <c r="C52" s="3959">
        <f>IF(A52="","",TEXT(A52,"mmm-yy"))</f>
        <v/>
      </c>
      <c r="D52" s="3959">
        <f>IF(A52="","",TEXT(A52,"mmm-yy"))</f>
        <v/>
      </c>
      <c r="E52" s="3959">
        <f>IF(A52="","",YEAR(A52)+(MONTH(A52)&gt;$B$12))</f>
        <v/>
      </c>
      <c r="F52" s="3959">
        <f>IF(A52="","",MONTH(A52)=$B$12)</f>
        <v/>
      </c>
      <c r="G52" s="3959">
        <f>IF(OR(A52="",$B$13=""),"",AND(A52&lt;=$B$13,A52&gt;EOMONTH($B$13,-36)))</f>
        <v/>
      </c>
      <c r="H52" s="3959">
        <f>IF(OR(A52="",$B$13=""),"",A52=$B$13)</f>
        <v/>
      </c>
      <c r="I52" s="3959">
        <f>IF(A52="","",ROW()-21)</f>
        <v/>
      </c>
    </row>
    <row r="53">
      <c r="A53" s="3968" t="n"/>
      <c r="B53" s="3959">
        <f>IF(A53="","",TEXT(A53,"yyyymm"))</f>
        <v/>
      </c>
      <c r="C53" s="3959">
        <f>IF(A53="","",TEXT(A53,"mmm-yy"))</f>
        <v/>
      </c>
      <c r="D53" s="3959">
        <f>IF(A53="","",TEXT(A53,"mmm-yy"))</f>
        <v/>
      </c>
      <c r="E53" s="3959">
        <f>IF(A53="","",YEAR(A53)+(MONTH(A53)&gt;$B$12))</f>
        <v/>
      </c>
      <c r="F53" s="3959">
        <f>IF(A53="","",MONTH(A53)=$B$12)</f>
        <v/>
      </c>
      <c r="G53" s="3959">
        <f>IF(OR(A53="",$B$13=""),"",AND(A53&lt;=$B$13,A53&gt;EOMONTH($B$13,-36)))</f>
        <v/>
      </c>
      <c r="H53" s="3959">
        <f>IF(OR(A53="",$B$13=""),"",A53=$B$13)</f>
        <v/>
      </c>
      <c r="I53" s="3959">
        <f>IF(A53="","",ROW()-21)</f>
        <v/>
      </c>
    </row>
    <row r="54">
      <c r="A54" s="3968" t="n"/>
      <c r="B54" s="3959">
        <f>IF(A54="","",TEXT(A54,"yyyymm"))</f>
        <v/>
      </c>
      <c r="C54" s="3959">
        <f>IF(A54="","",TEXT(A54,"mmm-yy"))</f>
        <v/>
      </c>
      <c r="D54" s="3959">
        <f>IF(A54="","",TEXT(A54,"mmm-yy"))</f>
        <v/>
      </c>
      <c r="E54" s="3959">
        <f>IF(A54="","",YEAR(A54)+(MONTH(A54)&gt;$B$12))</f>
        <v/>
      </c>
      <c r="F54" s="3959">
        <f>IF(A54="","",MONTH(A54)=$B$12)</f>
        <v/>
      </c>
      <c r="G54" s="3959">
        <f>IF(OR(A54="",$B$13=""),"",AND(A54&lt;=$B$13,A54&gt;EOMONTH($B$13,-36)))</f>
        <v/>
      </c>
      <c r="H54" s="3959">
        <f>IF(OR(A54="",$B$13=""),"",A54=$B$13)</f>
        <v/>
      </c>
      <c r="I54" s="3959">
        <f>IF(A54="","",ROW()-21)</f>
        <v/>
      </c>
    </row>
    <row r="55">
      <c r="A55" s="3968" t="n"/>
      <c r="B55" s="3959">
        <f>IF(A55="","",TEXT(A55,"yyyymm"))</f>
        <v/>
      </c>
      <c r="C55" s="3959">
        <f>IF(A55="","",TEXT(A55,"mmm-yy"))</f>
        <v/>
      </c>
      <c r="D55" s="3959">
        <f>IF(A55="","",TEXT(A55,"mmm-yy"))</f>
        <v/>
      </c>
      <c r="E55" s="3959">
        <f>IF(A55="","",YEAR(A55)+(MONTH(A55)&gt;$B$12))</f>
        <v/>
      </c>
      <c r="F55" s="3959">
        <f>IF(A55="","",MONTH(A55)=$B$12)</f>
        <v/>
      </c>
      <c r="G55" s="3959">
        <f>IF(OR(A55="",$B$13=""),"",AND(A55&lt;=$B$13,A55&gt;EOMONTH($B$13,-36)))</f>
        <v/>
      </c>
      <c r="H55" s="3959">
        <f>IF(OR(A55="",$B$13=""),"",A55=$B$13)</f>
        <v/>
      </c>
      <c r="I55" s="3959">
        <f>IF(A55="","",ROW()-21)</f>
        <v/>
      </c>
    </row>
    <row r="56">
      <c r="A56" s="3968" t="n"/>
      <c r="B56" s="3959">
        <f>IF(A56="","",TEXT(A56,"yyyymm"))</f>
        <v/>
      </c>
      <c r="C56" s="3959">
        <f>IF(A56="","",TEXT(A56,"mmm-yy"))</f>
        <v/>
      </c>
      <c r="D56" s="3959">
        <f>IF(A56="","",TEXT(A56,"mmm-yy"))</f>
        <v/>
      </c>
      <c r="E56" s="3959">
        <f>IF(A56="","",YEAR(A56)+(MONTH(A56)&gt;$B$12))</f>
        <v/>
      </c>
      <c r="F56" s="3959">
        <f>IF(A56="","",MONTH(A56)=$B$12)</f>
        <v/>
      </c>
      <c r="G56" s="3959">
        <f>IF(OR(A56="",$B$13=""),"",AND(A56&lt;=$B$13,A56&gt;EOMONTH($B$13,-36)))</f>
        <v/>
      </c>
      <c r="H56" s="3959">
        <f>IF(OR(A56="",$B$13=""),"",A56=$B$13)</f>
        <v/>
      </c>
      <c r="I56" s="3959">
        <f>IF(A56="","",ROW()-21)</f>
        <v/>
      </c>
    </row>
    <row r="57">
      <c r="A57" s="3968" t="n"/>
      <c r="B57" s="3959">
        <f>IF(A57="","",TEXT(A57,"yyyymm"))</f>
        <v/>
      </c>
      <c r="C57" s="3959">
        <f>IF(A57="","",TEXT(A57,"mmm-yy"))</f>
        <v/>
      </c>
      <c r="D57" s="3959">
        <f>IF(A57="","",TEXT(A57,"mmm-yy"))</f>
        <v/>
      </c>
      <c r="E57" s="3959">
        <f>IF(A57="","",YEAR(A57)+(MONTH(A57)&gt;$B$12))</f>
        <v/>
      </c>
      <c r="F57" s="3959">
        <f>IF(A57="","",MONTH(A57)=$B$12)</f>
        <v/>
      </c>
      <c r="G57" s="3959">
        <f>IF(OR(A57="",$B$13=""),"",AND(A57&lt;=$B$13,A57&gt;EOMONTH($B$13,-36)))</f>
        <v/>
      </c>
      <c r="H57" s="3959">
        <f>IF(OR(A57="",$B$13=""),"",A57=$B$13)</f>
        <v/>
      </c>
      <c r="I57" s="3959">
        <f>IF(A57="","",ROW()-21)</f>
        <v/>
      </c>
    </row>
    <row r="58">
      <c r="A58" s="3968" t="n"/>
      <c r="B58" s="3959">
        <f>IF(A58="","",TEXT(A58,"yyyymm"))</f>
        <v/>
      </c>
      <c r="C58" s="3959">
        <f>IF(A58="","",TEXT(A58,"mmm-yy"))</f>
        <v/>
      </c>
      <c r="D58" s="3959">
        <f>IF(A58="","",TEXT(A58,"mmm-yy"))</f>
        <v/>
      </c>
      <c r="E58" s="3959">
        <f>IF(A58="","",YEAR(A58)+(MONTH(A58)&gt;$B$12))</f>
        <v/>
      </c>
      <c r="F58" s="3959">
        <f>IF(A58="","",MONTH(A58)=$B$12)</f>
        <v/>
      </c>
      <c r="G58" s="3959">
        <f>IF(OR(A58="",$B$13=""),"",AND(A58&lt;=$B$13,A58&gt;EOMONTH($B$13,-36)))</f>
        <v/>
      </c>
      <c r="H58" s="3959">
        <f>IF(OR(A58="",$B$13=""),"",A58=$B$13)</f>
        <v/>
      </c>
      <c r="I58" s="3959">
        <f>IF(A58="","",ROW()-21)</f>
        <v/>
      </c>
    </row>
    <row r="59">
      <c r="A59" s="3968" t="n"/>
      <c r="B59" s="3959">
        <f>IF(A59="","",TEXT(A59,"yyyymm"))</f>
        <v/>
      </c>
      <c r="C59" s="3959">
        <f>IF(A59="","",TEXT(A59,"mmm-yy"))</f>
        <v/>
      </c>
      <c r="D59" s="3959">
        <f>IF(A59="","",TEXT(A59,"mmm-yy"))</f>
        <v/>
      </c>
      <c r="E59" s="3959">
        <f>IF(A59="","",YEAR(A59)+(MONTH(A59)&gt;$B$12))</f>
        <v/>
      </c>
      <c r="F59" s="3959">
        <f>IF(A59="","",MONTH(A59)=$B$12)</f>
        <v/>
      </c>
      <c r="G59" s="3959">
        <f>IF(OR(A59="",$B$13=""),"",AND(A59&lt;=$B$13,A59&gt;EOMONTH($B$13,-36)))</f>
        <v/>
      </c>
      <c r="H59" s="3959">
        <f>IF(OR(A59="",$B$13=""),"",A59=$B$13)</f>
        <v/>
      </c>
      <c r="I59" s="3959">
        <f>IF(A59="","",ROW()-21)</f>
        <v/>
      </c>
    </row>
    <row r="60">
      <c r="A60" s="3968" t="n"/>
      <c r="B60" s="3959">
        <f>IF(A60="","",TEXT(A60,"yyyymm"))</f>
        <v/>
      </c>
      <c r="C60" s="3959">
        <f>IF(A60="","",TEXT(A60,"mmm-yy"))</f>
        <v/>
      </c>
      <c r="D60" s="3959">
        <f>IF(A60="","",TEXT(A60,"mmm-yy"))</f>
        <v/>
      </c>
      <c r="E60" s="3959">
        <f>IF(A60="","",YEAR(A60)+(MONTH(A60)&gt;$B$12))</f>
        <v/>
      </c>
      <c r="F60" s="3959">
        <f>IF(A60="","",MONTH(A60)=$B$12)</f>
        <v/>
      </c>
      <c r="G60" s="3959">
        <f>IF(OR(A60="",$B$13=""),"",AND(A60&lt;=$B$13,A60&gt;EOMONTH($B$13,-36)))</f>
        <v/>
      </c>
      <c r="H60" s="3959">
        <f>IF(OR(A60="",$B$13=""),"",A60=$B$13)</f>
        <v/>
      </c>
      <c r="I60" s="3959">
        <f>IF(A60="","",ROW()-21)</f>
        <v/>
      </c>
    </row>
    <row r="61">
      <c r="A61" s="3968" t="n"/>
      <c r="B61" s="3959">
        <f>IF(A61="","",TEXT(A61,"yyyymm"))</f>
        <v/>
      </c>
      <c r="C61" s="3959">
        <f>IF(A61="","",TEXT(A61,"mmm-yy"))</f>
        <v/>
      </c>
      <c r="D61" s="3959">
        <f>IF(A61="","",TEXT(A61,"mmm-yy"))</f>
        <v/>
      </c>
      <c r="E61" s="3959">
        <f>IF(A61="","",YEAR(A61)+(MONTH(A61)&gt;$B$12))</f>
        <v/>
      </c>
      <c r="F61" s="3959">
        <f>IF(A61="","",MONTH(A61)=$B$12)</f>
        <v/>
      </c>
      <c r="G61" s="3959">
        <f>IF(OR(A61="",$B$13=""),"",AND(A61&lt;=$B$13,A61&gt;EOMONTH($B$13,-36)))</f>
        <v/>
      </c>
      <c r="H61" s="3959">
        <f>IF(OR(A61="",$B$13=""),"",A61=$B$13)</f>
        <v/>
      </c>
      <c r="I61" s="3959">
        <f>IF(A61="","",ROW()-21)</f>
        <v/>
      </c>
    </row>
    <row r="62">
      <c r="A62" s="3968" t="n"/>
      <c r="B62" s="3959">
        <f>IF(A62="","",TEXT(A62,"yyyymm"))</f>
        <v/>
      </c>
      <c r="C62" s="3959">
        <f>IF(A62="","",TEXT(A62,"mmm-yy"))</f>
        <v/>
      </c>
      <c r="D62" s="3959">
        <f>IF(A62="","",TEXT(A62,"mmm-yy"))</f>
        <v/>
      </c>
      <c r="E62" s="3959">
        <f>IF(A62="","",YEAR(A62)+(MONTH(A62)&gt;$B$12))</f>
        <v/>
      </c>
      <c r="F62" s="3959">
        <f>IF(A62="","",MONTH(A62)=$B$12)</f>
        <v/>
      </c>
      <c r="G62" s="3959">
        <f>IF(OR(A62="",$B$13=""),"",AND(A62&lt;=$B$13,A62&gt;EOMONTH($B$13,-36)))</f>
        <v/>
      </c>
      <c r="H62" s="3959">
        <f>IF(OR(A62="",$B$13=""),"",A62=$B$13)</f>
        <v/>
      </c>
      <c r="I62" s="3959">
        <f>IF(A62="","",ROW()-21)</f>
        <v/>
      </c>
    </row>
    <row r="63">
      <c r="A63" s="3968" t="n"/>
      <c r="B63" s="3959">
        <f>IF(A63="","",TEXT(A63,"yyyymm"))</f>
        <v/>
      </c>
      <c r="C63" s="3959">
        <f>IF(A63="","",TEXT(A63,"mmm-yy"))</f>
        <v/>
      </c>
      <c r="D63" s="3959">
        <f>IF(A63="","",TEXT(A63,"mmm-yy"))</f>
        <v/>
      </c>
      <c r="E63" s="3959">
        <f>IF(A63="","",YEAR(A63)+(MONTH(A63)&gt;$B$12))</f>
        <v/>
      </c>
      <c r="F63" s="3959">
        <f>IF(A63="","",MONTH(A63)=$B$12)</f>
        <v/>
      </c>
      <c r="G63" s="3959">
        <f>IF(OR(A63="",$B$13=""),"",AND(A63&lt;=$B$13,A63&gt;EOMONTH($B$13,-36)))</f>
        <v/>
      </c>
      <c r="H63" s="3959">
        <f>IF(OR(A63="",$B$13=""),"",A63=$B$13)</f>
        <v/>
      </c>
      <c r="I63" s="3959">
        <f>IF(A63="","",ROW()-21)</f>
        <v/>
      </c>
    </row>
    <row r="64">
      <c r="A64" s="3968" t="n"/>
      <c r="B64" s="3959">
        <f>IF(A64="","",TEXT(A64,"yyyymm"))</f>
        <v/>
      </c>
      <c r="C64" s="3959">
        <f>IF(A64="","",TEXT(A64,"mmm-yy"))</f>
        <v/>
      </c>
      <c r="D64" s="3959">
        <f>IF(A64="","",TEXT(A64,"mmm-yy"))</f>
        <v/>
      </c>
      <c r="E64" s="3959">
        <f>IF(A64="","",YEAR(A64)+(MONTH(A64)&gt;$B$12))</f>
        <v/>
      </c>
      <c r="F64" s="3959">
        <f>IF(A64="","",MONTH(A64)=$B$12)</f>
        <v/>
      </c>
      <c r="G64" s="3959">
        <f>IF(OR(A64="",$B$13=""),"",AND(A64&lt;=$B$13,A64&gt;EOMONTH($B$13,-36)))</f>
        <v/>
      </c>
      <c r="H64" s="3959">
        <f>IF(OR(A64="",$B$13=""),"",A64=$B$13)</f>
        <v/>
      </c>
      <c r="I64" s="3959">
        <f>IF(A64="","",ROW()-21)</f>
        <v/>
      </c>
    </row>
    <row r="65">
      <c r="A65" s="3968" t="n"/>
      <c r="B65" s="3959">
        <f>IF(A65="","",TEXT(A65,"yyyymm"))</f>
        <v/>
      </c>
      <c r="C65" s="3959">
        <f>IF(A65="","",TEXT(A65,"mmm-yy"))</f>
        <v/>
      </c>
      <c r="D65" s="3959">
        <f>IF(A65="","",TEXT(A65,"mmm-yy"))</f>
        <v/>
      </c>
      <c r="E65" s="3959">
        <f>IF(A65="","",YEAR(A65)+(MONTH(A65)&gt;$B$12))</f>
        <v/>
      </c>
      <c r="F65" s="3959">
        <f>IF(A65="","",MONTH(A65)=$B$12)</f>
        <v/>
      </c>
      <c r="G65" s="3959">
        <f>IF(OR(A65="",$B$13=""),"",AND(A65&lt;=$B$13,A65&gt;EOMONTH($B$13,-36)))</f>
        <v/>
      </c>
      <c r="H65" s="3959">
        <f>IF(OR(A65="",$B$13=""),"",A65=$B$13)</f>
        <v/>
      </c>
      <c r="I65" s="3959">
        <f>IF(A65="","",ROW()-21)</f>
        <v/>
      </c>
    </row>
    <row r="66">
      <c r="A66" s="3968" t="n"/>
      <c r="B66" s="3959">
        <f>IF(A66="","",TEXT(A66,"yyyymm"))</f>
        <v/>
      </c>
      <c r="C66" s="3959">
        <f>IF(A66="","",TEXT(A66,"mmm-yy"))</f>
        <v/>
      </c>
      <c r="D66" s="3959">
        <f>IF(A66="","",TEXT(A66,"mmm-yy"))</f>
        <v/>
      </c>
      <c r="E66" s="3959">
        <f>IF(A66="","",YEAR(A66)+(MONTH(A66)&gt;$B$12))</f>
        <v/>
      </c>
      <c r="F66" s="3959">
        <f>IF(A66="","",MONTH(A66)=$B$12)</f>
        <v/>
      </c>
      <c r="G66" s="3959">
        <f>IF(OR(A66="",$B$13=""),"",AND(A66&lt;=$B$13,A66&gt;EOMONTH($B$13,-36)))</f>
        <v/>
      </c>
      <c r="H66" s="3959">
        <f>IF(OR(A66="",$B$13=""),"",A66=$B$13)</f>
        <v/>
      </c>
      <c r="I66" s="3959">
        <f>IF(A66="","",ROW()-21)</f>
        <v/>
      </c>
    </row>
    <row r="67">
      <c r="A67" s="3968" t="n"/>
      <c r="B67" s="3959">
        <f>IF(A67="","",TEXT(A67,"yyyymm"))</f>
        <v/>
      </c>
      <c r="C67" s="3959">
        <f>IF(A67="","",TEXT(A67,"mmm-yy"))</f>
        <v/>
      </c>
      <c r="D67" s="3959">
        <f>IF(A67="","",TEXT(A67,"mmm-yy"))</f>
        <v/>
      </c>
      <c r="E67" s="3959">
        <f>IF(A67="","",YEAR(A67)+(MONTH(A67)&gt;$B$12))</f>
        <v/>
      </c>
      <c r="F67" s="3959">
        <f>IF(A67="","",MONTH(A67)=$B$12)</f>
        <v/>
      </c>
      <c r="G67" s="3959">
        <f>IF(OR(A67="",$B$13=""),"",AND(A67&lt;=$B$13,A67&gt;EOMONTH($B$13,-36)))</f>
        <v/>
      </c>
      <c r="H67" s="3959">
        <f>IF(OR(A67="",$B$13=""),"",A67=$B$13)</f>
        <v/>
      </c>
      <c r="I67" s="3959">
        <f>IF(A67="","",ROW()-21)</f>
        <v/>
      </c>
    </row>
    <row r="68">
      <c r="A68" s="3968" t="n"/>
      <c r="B68" s="3959">
        <f>IF(A68="","",TEXT(A68,"yyyymm"))</f>
        <v/>
      </c>
      <c r="C68" s="3959">
        <f>IF(A68="","",TEXT(A68,"mmm-yy"))</f>
        <v/>
      </c>
      <c r="D68" s="3959">
        <f>IF(A68="","",TEXT(A68,"mmm-yy"))</f>
        <v/>
      </c>
      <c r="E68" s="3959">
        <f>IF(A68="","",YEAR(A68)+(MONTH(A68)&gt;$B$12))</f>
        <v/>
      </c>
      <c r="F68" s="3959">
        <f>IF(A68="","",MONTH(A68)=$B$12)</f>
        <v/>
      </c>
      <c r="G68" s="3959">
        <f>IF(OR(A68="",$B$13=""),"",AND(A68&lt;=$B$13,A68&gt;EOMONTH($B$13,-36)))</f>
        <v/>
      </c>
      <c r="H68" s="3959">
        <f>IF(OR(A68="",$B$13=""),"",A68=$B$13)</f>
        <v/>
      </c>
      <c r="I68" s="3959">
        <f>IF(A68="","",ROW()-21)</f>
        <v/>
      </c>
    </row>
    <row r="69">
      <c r="A69" s="3968" t="n"/>
      <c r="B69" s="3959">
        <f>IF(A69="","",TEXT(A69,"yyyymm"))</f>
        <v/>
      </c>
      <c r="C69" s="3959">
        <f>IF(A69="","",TEXT(A69,"mmm-yy"))</f>
        <v/>
      </c>
      <c r="D69" s="3959">
        <f>IF(A69="","",TEXT(A69,"mmm-yy"))</f>
        <v/>
      </c>
      <c r="E69" s="3959">
        <f>IF(A69="","",YEAR(A69)+(MONTH(A69)&gt;$B$12))</f>
        <v/>
      </c>
      <c r="F69" s="3959">
        <f>IF(A69="","",MONTH(A69)=$B$12)</f>
        <v/>
      </c>
      <c r="G69" s="3959">
        <f>IF(OR(A69="",$B$13=""),"",AND(A69&lt;=$B$13,A69&gt;EOMONTH($B$13,-36)))</f>
        <v/>
      </c>
      <c r="H69" s="3959">
        <f>IF(OR(A69="",$B$13=""),"",A69=$B$13)</f>
        <v/>
      </c>
      <c r="I69" s="3959">
        <f>IF(A69="","",ROW()-21)</f>
        <v/>
      </c>
    </row>
    <row r="70">
      <c r="A70" s="3971" t="n"/>
      <c r="B70" s="3970" t="n"/>
      <c r="C70" s="3970" t="n"/>
      <c r="D70" s="3970" t="n"/>
      <c r="E70" s="3970" t="n"/>
      <c r="F70" s="3970" t="n"/>
      <c r="G70" s="3970" t="n"/>
      <c r="H70" s="3970" t="n"/>
      <c r="I70" s="3970" t="n"/>
    </row>
    <row r="71">
      <c r="A71" s="3971" t="n"/>
      <c r="B71" s="3970" t="n"/>
      <c r="C71" s="3970" t="n"/>
      <c r="D71" s="3970" t="n"/>
      <c r="E71" s="3970" t="n"/>
      <c r="F71" s="3970" t="n"/>
      <c r="G71" s="3970" t="n"/>
      <c r="H71" s="3970" t="n"/>
      <c r="I71" s="3970" t="n"/>
    </row>
    <row r="72">
      <c r="A72" s="3971" t="n"/>
      <c r="B72" s="3970" t="n"/>
      <c r="C72" s="3970" t="n"/>
      <c r="D72" s="3970" t="n"/>
      <c r="E72" s="3970" t="n"/>
      <c r="F72" s="3970" t="n"/>
      <c r="G72" s="3970" t="n"/>
      <c r="H72" s="3970" t="n"/>
      <c r="I72" s="3970" t="n"/>
    </row>
    <row r="73">
      <c r="A73" s="3971" t="n"/>
      <c r="B73" s="3970" t="n"/>
      <c r="C73" s="3970" t="n"/>
      <c r="D73" s="3970" t="n"/>
      <c r="E73" s="3970" t="n"/>
      <c r="F73" s="3970" t="n"/>
      <c r="G73" s="3970" t="n"/>
      <c r="H73" s="3970" t="n"/>
      <c r="I73" s="3970" t="n"/>
    </row>
    <row r="74">
      <c r="A74" s="3971" t="n"/>
      <c r="B74" s="3970" t="n"/>
      <c r="C74" s="3970" t="n"/>
      <c r="D74" s="3970" t="n"/>
      <c r="E74" s="3970" t="n"/>
      <c r="F74" s="3970" t="n"/>
      <c r="G74" s="3970" t="n"/>
      <c r="H74" s="3970" t="n"/>
      <c r="I74" s="3970" t="n"/>
    </row>
    <row r="75">
      <c r="A75" s="3971" t="n"/>
      <c r="B75" s="3970" t="n"/>
      <c r="C75" s="3970" t="n"/>
      <c r="D75" s="3970" t="n"/>
      <c r="E75" s="3970" t="n"/>
      <c r="F75" s="3970" t="n"/>
      <c r="G75" s="3970" t="n"/>
      <c r="H75" s="3970" t="n"/>
      <c r="I75" s="3970" t="n"/>
    </row>
    <row r="76">
      <c r="A76" s="3971" t="n"/>
      <c r="B76" s="3970" t="n"/>
      <c r="C76" s="3970" t="n"/>
      <c r="D76" s="3970" t="n"/>
      <c r="E76" s="3970" t="n"/>
      <c r="F76" s="3970" t="n"/>
      <c r="G76" s="3970" t="n"/>
      <c r="H76" s="3970" t="n"/>
      <c r="I76" s="3970" t="n"/>
    </row>
    <row r="77">
      <c r="A77" s="3971" t="n"/>
      <c r="B77" s="3970" t="n"/>
      <c r="C77" s="3970" t="n"/>
      <c r="D77" s="3970" t="n"/>
      <c r="E77" s="3970" t="n"/>
      <c r="F77" s="3970" t="n"/>
      <c r="G77" s="3970" t="n"/>
      <c r="H77" s="3970" t="n"/>
      <c r="I77" s="3970" t="n"/>
    </row>
    <row r="78">
      <c r="A78" s="3971" t="n"/>
      <c r="B78" s="3970" t="n"/>
      <c r="C78" s="3970" t="n"/>
      <c r="D78" s="3970" t="n"/>
      <c r="E78" s="3970" t="n"/>
      <c r="F78" s="3970" t="n"/>
      <c r="G78" s="3970" t="n"/>
      <c r="H78" s="3970" t="n"/>
      <c r="I78" s="3970" t="n"/>
    </row>
    <row r="79">
      <c r="A79" s="3971" t="n"/>
      <c r="B79" s="3970" t="n"/>
      <c r="C79" s="3970" t="n"/>
      <c r="D79" s="3970" t="n"/>
      <c r="E79" s="3970" t="n"/>
      <c r="F79" s="3970" t="n"/>
      <c r="G79" s="3970" t="n"/>
      <c r="H79" s="3970" t="n"/>
      <c r="I79" s="3970" t="n"/>
    </row>
    <row r="80">
      <c r="A80" s="3971" t="n"/>
      <c r="B80" s="3970" t="n"/>
      <c r="C80" s="3970" t="n"/>
      <c r="D80" s="3970" t="n"/>
      <c r="E80" s="3970" t="n"/>
      <c r="F80" s="3970" t="n"/>
      <c r="G80" s="3970" t="n"/>
      <c r="H80" s="3970" t="n"/>
      <c r="I80" s="3970" t="n"/>
    </row>
    <row r="81">
      <c r="A81" s="3971" t="n"/>
      <c r="B81" s="3970" t="n"/>
      <c r="C81" s="3970" t="n"/>
      <c r="D81" s="3970" t="n"/>
      <c r="E81" s="3970" t="n"/>
      <c r="F81" s="3970" t="n"/>
      <c r="G81" s="3970" t="n"/>
      <c r="H81" s="3970" t="n"/>
      <c r="I81" s="3970" t="n"/>
    </row>
    <row r="82">
      <c r="A82" s="3971" t="n"/>
      <c r="B82" s="3970" t="n"/>
      <c r="C82" s="3970" t="n"/>
      <c r="D82" s="3970" t="n"/>
      <c r="E82" s="3970" t="n"/>
      <c r="F82" s="3970" t="n"/>
      <c r="G82" s="3970" t="n"/>
      <c r="H82" s="3970" t="n"/>
      <c r="I82" s="3970" t="n"/>
    </row>
    <row r="83">
      <c r="A83" s="3971" t="n"/>
      <c r="B83" s="3970" t="n"/>
      <c r="C83" s="3970" t="n"/>
      <c r="D83" s="3970" t="n"/>
      <c r="E83" s="3970" t="n"/>
      <c r="F83" s="3970" t="n"/>
      <c r="G83" s="3970" t="n"/>
      <c r="H83" s="3970" t="n"/>
      <c r="I83" s="3970" t="n"/>
    </row>
    <row r="84">
      <c r="A84" s="3971" t="n"/>
      <c r="B84" s="3970" t="n"/>
      <c r="C84" s="3970" t="n"/>
      <c r="D84" s="3970" t="n"/>
      <c r="E84" s="3970" t="n"/>
      <c r="F84" s="3970" t="n"/>
      <c r="G84" s="3970" t="n"/>
      <c r="H84" s="3970" t="n"/>
      <c r="I84" s="3970" t="n"/>
    </row>
    <row r="85">
      <c r="A85" s="3971" t="n"/>
      <c r="B85" s="3970" t="n"/>
      <c r="C85" s="3970" t="n"/>
      <c r="D85" s="3970" t="n"/>
      <c r="E85" s="3970" t="n"/>
      <c r="F85" s="3970" t="n"/>
      <c r="G85" s="3970" t="n"/>
      <c r="H85" s="3970" t="n"/>
      <c r="I85" s="3970" t="n"/>
    </row>
    <row r="86">
      <c r="A86" s="3971" t="n"/>
      <c r="B86" s="3970" t="n"/>
      <c r="C86" s="3970" t="n"/>
      <c r="D86" s="3970" t="n"/>
      <c r="E86" s="3970" t="n"/>
      <c r="F86" s="3970" t="n"/>
      <c r="G86" s="3970" t="n"/>
      <c r="H86" s="3970" t="n"/>
      <c r="I86" s="3970" t="n"/>
    </row>
    <row r="87">
      <c r="A87" s="3971" t="n"/>
      <c r="B87" s="3970" t="n"/>
      <c r="C87" s="3970" t="n"/>
      <c r="D87" s="3970" t="n"/>
      <c r="E87" s="3970" t="n"/>
      <c r="F87" s="3970" t="n"/>
      <c r="G87" s="3970" t="n"/>
      <c r="H87" s="3970" t="n"/>
      <c r="I87" s="3970" t="n"/>
    </row>
    <row r="88">
      <c r="A88" s="3971" t="n"/>
      <c r="B88" s="3970" t="n"/>
      <c r="C88" s="3970" t="n"/>
      <c r="D88" s="3970" t="n"/>
      <c r="E88" s="3970" t="n"/>
      <c r="F88" s="3970" t="n"/>
      <c r="G88" s="3970" t="n"/>
      <c r="H88" s="3970" t="n"/>
      <c r="I88" s="3970" t="n"/>
    </row>
    <row r="89">
      <c r="A89" s="3971" t="n"/>
      <c r="B89" s="3970" t="n"/>
      <c r="C89" s="3970" t="n"/>
      <c r="D89" s="3970" t="n"/>
      <c r="E89" s="3970" t="n"/>
      <c r="F89" s="3970" t="n"/>
      <c r="G89" s="3970" t="n"/>
      <c r="H89" s="3970" t="n"/>
      <c r="I89" s="3970" t="n"/>
    </row>
    <row r="90">
      <c r="A90" s="3971" t="n"/>
      <c r="B90" s="3970" t="n"/>
      <c r="C90" s="3970" t="n"/>
      <c r="D90" s="3970" t="n"/>
      <c r="E90" s="3970" t="n"/>
      <c r="F90" s="3970" t="n"/>
      <c r="G90" s="3970" t="n"/>
      <c r="H90" s="3970" t="n"/>
      <c r="I90" s="3970" t="n"/>
    </row>
    <row r="91">
      <c r="A91" s="3971" t="n"/>
      <c r="B91" s="3970" t="n"/>
      <c r="C91" s="3970" t="n"/>
      <c r="D91" s="3970" t="n"/>
      <c r="E91" s="3970" t="n"/>
      <c r="F91" s="3970" t="n"/>
      <c r="G91" s="3970" t="n"/>
      <c r="H91" s="3970" t="n"/>
      <c r="I91" s="3970" t="n"/>
    </row>
    <row r="92">
      <c r="A92" s="3971" t="n"/>
      <c r="B92" s="3970" t="n"/>
      <c r="C92" s="3970" t="n"/>
      <c r="D92" s="3970" t="n"/>
      <c r="E92" s="3970" t="n"/>
      <c r="F92" s="3970" t="n"/>
      <c r="G92" s="3970" t="n"/>
      <c r="H92" s="3970" t="n"/>
      <c r="I92" s="3970" t="n"/>
    </row>
    <row r="93">
      <c r="A93" s="3971" t="n"/>
      <c r="B93" s="3970" t="n"/>
      <c r="C93" s="3970" t="n"/>
      <c r="D93" s="3970" t="n"/>
      <c r="E93" s="3970" t="n"/>
      <c r="F93" s="3970" t="n"/>
      <c r="G93" s="3970" t="n"/>
      <c r="H93" s="3970" t="n"/>
      <c r="I93" s="3970" t="n"/>
    </row>
    <row r="94">
      <c r="A94" s="3971" t="n"/>
      <c r="B94" s="3970" t="n"/>
      <c r="C94" s="3970" t="n"/>
      <c r="D94" s="3970" t="n"/>
      <c r="E94" s="3970" t="n"/>
      <c r="F94" s="3970" t="n"/>
      <c r="G94" s="3970" t="n"/>
      <c r="H94" s="3970" t="n"/>
      <c r="I94" s="3970" t="n"/>
    </row>
    <row r="95">
      <c r="A95" s="3971" t="n"/>
      <c r="B95" s="3970" t="n"/>
      <c r="C95" s="3970" t="n"/>
      <c r="D95" s="3970" t="n"/>
      <c r="E95" s="3970" t="n"/>
      <c r="F95" s="3970" t="n"/>
      <c r="G95" s="3970" t="n"/>
      <c r="H95" s="3970" t="n"/>
      <c r="I95" s="3970" t="n"/>
    </row>
    <row r="96">
      <c r="A96" s="3971" t="n"/>
      <c r="B96" s="3970" t="n"/>
      <c r="C96" s="3970" t="n"/>
      <c r="D96" s="3970" t="n"/>
      <c r="E96" s="3970" t="n"/>
      <c r="F96" s="3970" t="n"/>
      <c r="G96" s="3970" t="n"/>
      <c r="H96" s="3970" t="n"/>
      <c r="I96" s="3970" t="n"/>
    </row>
    <row r="97">
      <c r="A97" s="3971" t="n"/>
      <c r="B97" s="3970" t="n"/>
      <c r="C97" s="3970" t="n"/>
      <c r="D97" s="3970" t="n"/>
      <c r="E97" s="3970" t="n"/>
      <c r="F97" s="3970" t="n"/>
      <c r="G97" s="3970" t="n"/>
      <c r="H97" s="3970" t="n"/>
      <c r="I97" s="3970" t="n"/>
    </row>
    <row r="98">
      <c r="A98" s="3971" t="n"/>
      <c r="B98" s="3970" t="n"/>
      <c r="C98" s="3970" t="n"/>
      <c r="D98" s="3970" t="n"/>
      <c r="E98" s="3970" t="n"/>
      <c r="F98" s="3970" t="n"/>
      <c r="G98" s="3970" t="n"/>
      <c r="H98" s="3970" t="n"/>
      <c r="I98" s="3970" t="n"/>
    </row>
    <row r="99">
      <c r="A99" s="3971" t="n"/>
      <c r="B99" s="3970" t="n"/>
      <c r="C99" s="3970" t="n"/>
      <c r="D99" s="3970" t="n"/>
      <c r="E99" s="3970" t="n"/>
      <c r="F99" s="3970" t="n"/>
      <c r="G99" s="3970" t="n"/>
      <c r="H99" s="3970" t="n"/>
      <c r="I99" s="3970" t="n"/>
    </row>
    <row r="100">
      <c r="A100" s="3971" t="n"/>
      <c r="B100" s="3970" t="n"/>
      <c r="C100" s="3970" t="n"/>
      <c r="D100" s="3970" t="n"/>
      <c r="E100" s="3970" t="n"/>
      <c r="F100" s="3970" t="n"/>
      <c r="G100" s="3970" t="n"/>
      <c r="H100" s="3970" t="n"/>
      <c r="I100" s="3970" t="n"/>
    </row>
    <row r="101">
      <c r="A101" s="3971" t="n"/>
      <c r="B101" s="3970" t="n"/>
      <c r="C101" s="3970" t="n"/>
      <c r="D101" s="3970" t="n"/>
      <c r="E101" s="3970" t="n"/>
      <c r="F101" s="3970" t="n"/>
      <c r="G101" s="3970" t="n"/>
      <c r="H101" s="3970" t="n"/>
      <c r="I101" s="3970" t="n"/>
    </row>
    <row r="102">
      <c r="A102" s="3971" t="n"/>
      <c r="B102" s="3970" t="n"/>
      <c r="C102" s="3970" t="n"/>
      <c r="D102" s="3970" t="n"/>
      <c r="E102" s="3970" t="n"/>
      <c r="F102" s="3970" t="n"/>
      <c r="G102" s="3970" t="n"/>
      <c r="H102" s="3970" t="n"/>
      <c r="I102" s="3970" t="n"/>
    </row>
    <row r="103">
      <c r="A103" s="3971" t="n"/>
      <c r="B103" s="3970" t="n"/>
      <c r="C103" s="3970" t="n"/>
      <c r="D103" s="3970" t="n"/>
      <c r="E103" s="3970" t="n"/>
      <c r="F103" s="3970" t="n"/>
      <c r="G103" s="3970" t="n"/>
      <c r="H103" s="3970" t="n"/>
      <c r="I103" s="3970" t="n"/>
    </row>
    <row r="104">
      <c r="A104" s="3971" t="n"/>
      <c r="B104" s="3970" t="n"/>
      <c r="C104" s="3970" t="n"/>
      <c r="D104" s="3970" t="n"/>
      <c r="E104" s="3970" t="n"/>
      <c r="F104" s="3970" t="n"/>
      <c r="G104" s="3970" t="n"/>
      <c r="H104" s="3970" t="n"/>
      <c r="I104" s="3970" t="n"/>
    </row>
    <row r="105">
      <c r="A105" s="3971" t="n"/>
      <c r="B105" s="3970" t="n"/>
      <c r="C105" s="3970" t="n"/>
      <c r="D105" s="3970" t="n"/>
      <c r="E105" s="3970" t="n"/>
      <c r="F105" s="3970" t="n"/>
      <c r="G105" s="3970" t="n"/>
      <c r="H105" s="3970" t="n"/>
      <c r="I105" s="3970" t="n"/>
    </row>
    <row r="106">
      <c r="A106" s="3971" t="n"/>
      <c r="B106" s="3970" t="n"/>
      <c r="C106" s="3970" t="n"/>
      <c r="D106" s="3970" t="n"/>
      <c r="E106" s="3970" t="n"/>
      <c r="F106" s="3970" t="n"/>
      <c r="G106" s="3970" t="n"/>
      <c r="H106" s="3970" t="n"/>
      <c r="I106" s="3970" t="n"/>
    </row>
    <row r="107">
      <c r="A107" s="3971" t="n"/>
      <c r="B107" s="3970" t="n"/>
      <c r="C107" s="3970" t="n"/>
      <c r="D107" s="3970" t="n"/>
      <c r="E107" s="3970" t="n"/>
      <c r="F107" s="3970" t="n"/>
      <c r="G107" s="3970" t="n"/>
      <c r="H107" s="3970" t="n"/>
      <c r="I107" s="3970" t="n"/>
    </row>
    <row r="108">
      <c r="A108" s="3971" t="n"/>
      <c r="B108" s="3970" t="n"/>
      <c r="C108" s="3970" t="n"/>
      <c r="D108" s="3970" t="n"/>
      <c r="E108" s="3970" t="n"/>
      <c r="F108" s="3970" t="n"/>
      <c r="G108" s="3970" t="n"/>
      <c r="H108" s="3970" t="n"/>
      <c r="I108" s="3970" t="n"/>
    </row>
    <row r="109">
      <c r="A109" s="3971" t="n"/>
      <c r="B109" s="3970" t="n"/>
      <c r="C109" s="3970" t="n"/>
      <c r="D109" s="3970" t="n"/>
      <c r="E109" s="3970" t="n"/>
      <c r="F109" s="3970" t="n"/>
      <c r="G109" s="3970" t="n"/>
      <c r="H109" s="3970" t="n"/>
      <c r="I109" s="3970" t="n"/>
    </row>
    <row r="110">
      <c r="A110" s="3971" t="n"/>
      <c r="B110" s="3970" t="n"/>
      <c r="C110" s="3970" t="n"/>
      <c r="D110" s="3970" t="n"/>
      <c r="E110" s="3970" t="n"/>
      <c r="F110" s="3970" t="n"/>
      <c r="G110" s="3970" t="n"/>
      <c r="H110" s="3970" t="n"/>
      <c r="I110" s="3970" t="n"/>
    </row>
    <row r="111">
      <c r="A111" s="3971" t="n"/>
      <c r="B111" s="3970" t="n"/>
      <c r="C111" s="3970" t="n"/>
      <c r="D111" s="3970" t="n"/>
      <c r="E111" s="3970" t="n"/>
      <c r="F111" s="3970" t="n"/>
      <c r="G111" s="3970" t="n"/>
      <c r="H111" s="3970" t="n"/>
      <c r="I111" s="3970" t="n"/>
    </row>
    <row r="112">
      <c r="A112" s="3971" t="n"/>
      <c r="B112" s="3970" t="n"/>
      <c r="C112" s="3970" t="n"/>
      <c r="D112" s="3970" t="n"/>
      <c r="E112" s="3970" t="n"/>
      <c r="F112" s="3970" t="n"/>
      <c r="G112" s="3970" t="n"/>
      <c r="H112" s="3970" t="n"/>
      <c r="I112" s="3970" t="n"/>
    </row>
    <row r="113">
      <c r="A113" s="3971" t="n"/>
      <c r="B113" s="3970" t="n"/>
      <c r="C113" s="3970" t="n"/>
      <c r="D113" s="3970" t="n"/>
      <c r="E113" s="3970" t="n"/>
      <c r="F113" s="3970" t="n"/>
      <c r="G113" s="3970" t="n"/>
      <c r="H113" s="3970" t="n"/>
      <c r="I113" s="3970" t="n"/>
    </row>
    <row r="114">
      <c r="A114" s="3971" t="n"/>
      <c r="B114" s="3970" t="n"/>
      <c r="C114" s="3970" t="n"/>
      <c r="D114" s="3970" t="n"/>
      <c r="E114" s="3970" t="n"/>
      <c r="F114" s="3970" t="n"/>
      <c r="G114" s="3970" t="n"/>
      <c r="H114" s="3970" t="n"/>
      <c r="I114" s="3970" t="n"/>
    </row>
    <row r="115">
      <c r="A115" s="3971" t="n"/>
      <c r="B115" s="3970" t="n"/>
      <c r="C115" s="3970" t="n"/>
      <c r="D115" s="3970" t="n"/>
      <c r="E115" s="3970" t="n"/>
      <c r="F115" s="3970" t="n"/>
      <c r="G115" s="3970" t="n"/>
      <c r="H115" s="3970" t="n"/>
      <c r="I115" s="3970" t="n"/>
    </row>
    <row r="116">
      <c r="A116" s="3971" t="n"/>
      <c r="B116" s="3970" t="n"/>
      <c r="C116" s="3970" t="n"/>
      <c r="D116" s="3970" t="n"/>
      <c r="E116" s="3970" t="n"/>
      <c r="F116" s="3970" t="n"/>
      <c r="G116" s="3970" t="n"/>
      <c r="H116" s="3970" t="n"/>
      <c r="I116" s="3970" t="n"/>
    </row>
    <row r="117">
      <c r="A117" s="3971" t="n"/>
      <c r="B117" s="3970" t="n"/>
      <c r="C117" s="3970" t="n"/>
      <c r="D117" s="3970" t="n"/>
      <c r="E117" s="3970" t="n"/>
      <c r="F117" s="3970" t="n"/>
      <c r="G117" s="3970" t="n"/>
      <c r="H117" s="3970" t="n"/>
      <c r="I117" s="3970" t="n"/>
    </row>
    <row r="118">
      <c r="A118" s="3971" t="n"/>
      <c r="B118" s="3970" t="n"/>
      <c r="C118" s="3970" t="n"/>
      <c r="D118" s="3970" t="n"/>
      <c r="E118" s="3970" t="n"/>
      <c r="F118" s="3970" t="n"/>
      <c r="G118" s="3970" t="n"/>
      <c r="H118" s="3970" t="n"/>
      <c r="I118" s="3970" t="n"/>
    </row>
    <row r="119">
      <c r="A119" s="3971" t="n"/>
      <c r="B119" s="3970" t="n"/>
      <c r="C119" s="3970" t="n"/>
      <c r="D119" s="3970" t="n"/>
      <c r="E119" s="3970" t="n"/>
      <c r="F119" s="3970" t="n"/>
      <c r="G119" s="3970" t="n"/>
      <c r="H119" s="3970" t="n"/>
      <c r="I119" s="3970" t="n"/>
    </row>
    <row r="120">
      <c r="A120" s="3971" t="n"/>
      <c r="B120" s="3970" t="n"/>
      <c r="C120" s="3970" t="n"/>
      <c r="D120" s="3970" t="n"/>
      <c r="E120" s="3970" t="n"/>
      <c r="F120" s="3970" t="n"/>
      <c r="G120" s="3970" t="n"/>
      <c r="H120" s="3970" t="n"/>
      <c r="I120" s="3970" t="n"/>
    </row>
    <row r="121">
      <c r="A121" s="3971" t="n"/>
      <c r="B121" s="3970" t="n"/>
      <c r="C121" s="3970" t="n"/>
      <c r="D121" s="3970" t="n"/>
      <c r="E121" s="3970" t="n"/>
      <c r="F121" s="3970" t="n"/>
      <c r="G121" s="3970" t="n"/>
      <c r="H121" s="3970" t="n"/>
      <c r="I121" s="3970" t="n"/>
    </row>
    <row r="122">
      <c r="A122" s="3971" t="n"/>
      <c r="B122" s="3970" t="n"/>
      <c r="C122" s="3970" t="n"/>
      <c r="D122" s="3970" t="n"/>
      <c r="E122" s="3970" t="n"/>
      <c r="F122" s="3970" t="n"/>
      <c r="G122" s="3970" t="n"/>
      <c r="H122" s="3970" t="n"/>
      <c r="I122" s="3970" t="n"/>
    </row>
    <row r="123">
      <c r="A123" s="3971" t="n"/>
      <c r="B123" s="3970" t="n"/>
      <c r="C123" s="3970" t="n"/>
      <c r="D123" s="3970" t="n"/>
      <c r="E123" s="3970" t="n"/>
      <c r="F123" s="3970" t="n"/>
      <c r="G123" s="3970" t="n"/>
      <c r="H123" s="3970" t="n"/>
      <c r="I123" s="3970" t="n"/>
    </row>
    <row r="124">
      <c r="A124" s="3971" t="n"/>
      <c r="B124" s="3970" t="n"/>
      <c r="C124" s="3970" t="n"/>
      <c r="D124" s="3970" t="n"/>
      <c r="E124" s="3970" t="n"/>
      <c r="F124" s="3970" t="n"/>
      <c r="G124" s="3970" t="n"/>
      <c r="H124" s="3970" t="n"/>
      <c r="I124" s="3970" t="n"/>
    </row>
    <row r="125">
      <c r="A125" s="3971" t="n"/>
      <c r="B125" s="3970" t="n"/>
      <c r="C125" s="3970" t="n"/>
      <c r="D125" s="3970" t="n"/>
      <c r="E125" s="3970" t="n"/>
      <c r="F125" s="3970" t="n"/>
      <c r="G125" s="3970" t="n"/>
      <c r="H125" s="3970" t="n"/>
      <c r="I125" s="3970" t="n"/>
    </row>
    <row r="126">
      <c r="A126" s="3971" t="n"/>
      <c r="B126" s="3970" t="n"/>
      <c r="C126" s="3970" t="n"/>
      <c r="D126" s="3970" t="n"/>
      <c r="E126" s="3970" t="n"/>
      <c r="F126" s="3970" t="n"/>
      <c r="G126" s="3970" t="n"/>
      <c r="H126" s="3970" t="n"/>
      <c r="I126" s="3970" t="n"/>
    </row>
    <row r="127">
      <c r="A127" s="3971" t="n"/>
      <c r="B127" s="3970" t="n"/>
      <c r="C127" s="3970" t="n"/>
      <c r="D127" s="3970" t="n"/>
      <c r="E127" s="3970" t="n"/>
      <c r="F127" s="3970" t="n"/>
      <c r="G127" s="3970" t="n"/>
      <c r="H127" s="3970" t="n"/>
      <c r="I127" s="3970" t="n"/>
    </row>
    <row r="128">
      <c r="A128" s="3971" t="n"/>
      <c r="B128" s="3970" t="n"/>
      <c r="C128" s="3970" t="n"/>
      <c r="D128" s="3970" t="n"/>
      <c r="E128" s="3970" t="n"/>
      <c r="F128" s="3970" t="n"/>
      <c r="G128" s="3970" t="n"/>
      <c r="H128" s="3970" t="n"/>
      <c r="I128" s="3970" t="n"/>
    </row>
    <row r="129">
      <c r="A129" s="3971" t="n"/>
      <c r="B129" s="3970" t="n"/>
      <c r="C129" s="3970" t="n"/>
      <c r="D129" s="3970" t="n"/>
      <c r="E129" s="3970" t="n"/>
      <c r="F129" s="3970" t="n"/>
      <c r="G129" s="3970" t="n"/>
      <c r="H129" s="3970" t="n"/>
      <c r="I129" s="3970" t="n"/>
    </row>
    <row r="130">
      <c r="A130" s="3971" t="n"/>
      <c r="B130" s="3970" t="n"/>
      <c r="C130" s="3970" t="n"/>
      <c r="D130" s="3970" t="n"/>
      <c r="E130" s="3970" t="n"/>
      <c r="F130" s="3970" t="n"/>
      <c r="G130" s="3970" t="n"/>
      <c r="H130" s="3970" t="n"/>
      <c r="I130" s="3970" t="n"/>
    </row>
    <row r="131">
      <c r="A131" s="3971" t="n"/>
      <c r="B131" s="3970" t="n"/>
      <c r="C131" s="3970" t="n"/>
      <c r="D131" s="3970" t="n"/>
      <c r="E131" s="3970" t="n"/>
      <c r="F131" s="3970" t="n"/>
      <c r="G131" s="3970" t="n"/>
      <c r="H131" s="3970" t="n"/>
      <c r="I131" s="3970" t="n"/>
    </row>
    <row r="132">
      <c r="A132" s="3971" t="n"/>
      <c r="B132" s="3970" t="n"/>
      <c r="C132" s="3970" t="n"/>
      <c r="D132" s="3970" t="n"/>
      <c r="E132" s="3970" t="n"/>
      <c r="F132" s="3970" t="n"/>
      <c r="G132" s="3970" t="n"/>
      <c r="H132" s="3970" t="n"/>
      <c r="I132" s="3970" t="n"/>
    </row>
    <row r="133">
      <c r="A133" s="3971" t="n"/>
      <c r="B133" s="3970" t="n"/>
      <c r="C133" s="3970" t="n"/>
      <c r="D133" s="3970" t="n"/>
      <c r="E133" s="3970" t="n"/>
      <c r="F133" s="3970" t="n"/>
      <c r="G133" s="3970" t="n"/>
      <c r="H133" s="3970" t="n"/>
      <c r="I133" s="3970" t="n"/>
    </row>
    <row r="134">
      <c r="A134" s="3971" t="n"/>
      <c r="B134" s="3970" t="n"/>
      <c r="C134" s="3970" t="n"/>
      <c r="D134" s="3970" t="n"/>
      <c r="E134" s="3970" t="n"/>
      <c r="F134" s="3970" t="n"/>
      <c r="G134" s="3970" t="n"/>
      <c r="H134" s="3970" t="n"/>
      <c r="I134" s="3970" t="n"/>
    </row>
    <row r="135">
      <c r="A135" s="3971" t="n"/>
      <c r="B135" s="3970" t="n"/>
      <c r="C135" s="3970" t="n"/>
      <c r="D135" s="3970" t="n"/>
      <c r="E135" s="3970" t="n"/>
      <c r="F135" s="3970" t="n"/>
      <c r="G135" s="3970" t="n"/>
      <c r="H135" s="3970" t="n"/>
      <c r="I135" s="3970" t="n"/>
    </row>
    <row r="136">
      <c r="A136" s="3971" t="n"/>
      <c r="B136" s="3970" t="n"/>
      <c r="C136" s="3970" t="n"/>
      <c r="D136" s="3970" t="n"/>
      <c r="E136" s="3970" t="n"/>
      <c r="F136" s="3970" t="n"/>
      <c r="G136" s="3970" t="n"/>
      <c r="H136" s="3970" t="n"/>
      <c r="I136" s="3970" t="n"/>
    </row>
    <row r="137">
      <c r="A137" s="3971" t="n"/>
      <c r="B137" s="3970" t="n"/>
      <c r="C137" s="3970" t="n"/>
      <c r="D137" s="3970" t="n"/>
      <c r="E137" s="3970" t="n"/>
      <c r="F137" s="3970" t="n"/>
      <c r="G137" s="3970" t="n"/>
      <c r="H137" s="3970" t="n"/>
      <c r="I137" s="3970" t="n"/>
    </row>
    <row r="138">
      <c r="A138" s="3971" t="n"/>
      <c r="B138" s="3970" t="n"/>
      <c r="C138" s="3970" t="n"/>
      <c r="D138" s="3970" t="n"/>
      <c r="E138" s="3970" t="n"/>
      <c r="F138" s="3970" t="n"/>
      <c r="G138" s="3970" t="n"/>
      <c r="H138" s="3970" t="n"/>
      <c r="I138" s="3970" t="n"/>
    </row>
    <row r="139">
      <c r="A139" s="3971" t="n"/>
      <c r="B139" s="3970" t="n"/>
      <c r="C139" s="3970" t="n"/>
      <c r="D139" s="3970" t="n"/>
      <c r="E139" s="3970" t="n"/>
      <c r="F139" s="3970" t="n"/>
      <c r="G139" s="3970" t="n"/>
      <c r="H139" s="3970" t="n"/>
      <c r="I139" s="3970" t="n"/>
    </row>
    <row r="140">
      <c r="A140" s="3971" t="n"/>
      <c r="B140" s="3970" t="n"/>
      <c r="C140" s="3970" t="n"/>
      <c r="D140" s="3970" t="n"/>
      <c r="E140" s="3970" t="n"/>
      <c r="F140" s="3970" t="n"/>
      <c r="G140" s="3970" t="n"/>
      <c r="H140" s="3970" t="n"/>
      <c r="I140" s="3970" t="n"/>
    </row>
    <row r="141">
      <c r="A141" s="3971" t="n"/>
      <c r="B141" s="3970" t="n"/>
      <c r="C141" s="3970" t="n"/>
      <c r="D141" s="3970" t="n"/>
      <c r="E141" s="3970" t="n"/>
      <c r="F141" s="3970" t="n"/>
      <c r="G141" s="3970" t="n"/>
      <c r="H141" s="3970" t="n"/>
      <c r="I141" s="3970" t="n"/>
    </row>
    <row r="142">
      <c r="A142" s="3970" t="n"/>
      <c r="B142" s="3970" t="n"/>
      <c r="C142" s="3970" t="n"/>
      <c r="D142" s="3970" t="n"/>
      <c r="E142" s="3970" t="n"/>
      <c r="F142" s="3970" t="n"/>
      <c r="G142" s="3970" t="n"/>
      <c r="H142" s="3970" t="n"/>
      <c r="I142" s="3970" t="n"/>
    </row>
    <row r="143">
      <c r="A143" s="3970" t="n"/>
      <c r="B143" s="3970" t="n"/>
      <c r="C143" s="3970" t="n"/>
      <c r="D143" s="3970" t="n"/>
      <c r="E143" s="3970" t="n"/>
      <c r="F143" s="3970" t="n"/>
      <c r="G143" s="3970" t="n"/>
      <c r="H143" s="3970" t="n"/>
      <c r="I143" s="3970" t="n"/>
    </row>
    <row r="144">
      <c r="A144" s="3970" t="n"/>
      <c r="B144" s="3970" t="n"/>
      <c r="C144" s="3970" t="n"/>
      <c r="D144" s="3970" t="n"/>
      <c r="E144" s="3970" t="n"/>
      <c r="F144" s="3970" t="n"/>
      <c r="G144" s="3970" t="n"/>
      <c r="H144" s="3970" t="n"/>
      <c r="I144" s="3970" t="n"/>
    </row>
    <row r="145">
      <c r="A145" s="3970" t="n"/>
      <c r="B145" s="3970" t="n"/>
      <c r="C145" s="3970" t="n"/>
      <c r="D145" s="3970" t="n"/>
      <c r="E145" s="3970" t="n"/>
      <c r="F145" s="3970" t="n"/>
      <c r="G145" s="3970" t="n"/>
      <c r="H145" s="3970" t="n"/>
      <c r="I145" s="3970" t="n"/>
    </row>
    <row r="146">
      <c r="A146" s="3970" t="n"/>
      <c r="B146" s="3970" t="n"/>
      <c r="C146" s="3970" t="n"/>
      <c r="D146" s="3970" t="n"/>
      <c r="E146" s="3970" t="n"/>
      <c r="F146" s="3970" t="n"/>
      <c r="G146" s="3970" t="n"/>
      <c r="H146" s="3970" t="n"/>
      <c r="I146" s="3970" t="n"/>
    </row>
    <row r="147">
      <c r="A147" s="3970" t="n"/>
      <c r="B147" s="3970" t="n"/>
      <c r="C147" s="3970" t="n"/>
      <c r="D147" s="3970" t="n"/>
      <c r="E147" s="3970" t="n"/>
      <c r="F147" s="3970" t="n"/>
      <c r="G147" s="3970" t="n"/>
      <c r="H147" s="3970" t="n"/>
      <c r="I147" s="3970" t="n"/>
    </row>
    <row r="148">
      <c r="A148" s="3970" t="n"/>
      <c r="B148" s="3970" t="n"/>
      <c r="C148" s="3970" t="n"/>
      <c r="D148" s="3970" t="n"/>
      <c r="E148" s="3970" t="n"/>
      <c r="F148" s="3970" t="n"/>
      <c r="G148" s="3970" t="n"/>
      <c r="H148" s="3970" t="n"/>
      <c r="I148" s="3970" t="n"/>
    </row>
    <row r="149">
      <c r="A149" s="3970" t="n"/>
      <c r="B149" s="3970" t="n"/>
      <c r="C149" s="3970" t="n"/>
      <c r="D149" s="3970" t="n"/>
      <c r="E149" s="3970" t="n"/>
      <c r="F149" s="3970" t="n"/>
      <c r="G149" s="3970" t="n"/>
      <c r="H149" s="3970" t="n"/>
      <c r="I149" s="3970" t="n"/>
    </row>
    <row r="150">
      <c r="A150" s="3970" t="n"/>
      <c r="B150" s="3970" t="n"/>
      <c r="C150" s="3970" t="n"/>
      <c r="D150" s="3970" t="n"/>
      <c r="E150" s="3970" t="n"/>
      <c r="F150" s="3970" t="n"/>
      <c r="G150" s="3970" t="n"/>
      <c r="H150" s="3970" t="n"/>
      <c r="I150" s="3970" t="n"/>
    </row>
    <row r="151">
      <c r="A151" s="3970" t="n"/>
      <c r="B151" s="3970" t="n"/>
      <c r="C151" s="3970" t="n"/>
      <c r="D151" s="3970" t="n"/>
      <c r="E151" s="3970" t="n"/>
      <c r="F151" s="3970" t="n"/>
      <c r="G151" s="3970" t="n"/>
      <c r="H151" s="3970" t="n"/>
      <c r="I151" s="3970" t="n"/>
    </row>
    <row r="152">
      <c r="A152" s="3970" t="n"/>
      <c r="B152" s="3970" t="n"/>
      <c r="C152" s="3970" t="n"/>
      <c r="D152" s="3970" t="n"/>
      <c r="E152" s="3970" t="n"/>
      <c r="F152" s="3970" t="n"/>
      <c r="G152" s="3970" t="n"/>
      <c r="H152" s="3970" t="n"/>
      <c r="I152" s="3970" t="n"/>
    </row>
    <row r="153">
      <c r="A153" s="3970" t="n"/>
      <c r="B153" s="3970" t="n"/>
      <c r="C153" s="3970" t="n"/>
      <c r="D153" s="3970" t="n"/>
      <c r="E153" s="3970" t="n"/>
      <c r="F153" s="3970" t="n"/>
      <c r="G153" s="3970" t="n"/>
      <c r="H153" s="3970" t="n"/>
      <c r="I153" s="3970" t="n"/>
    </row>
    <row r="154">
      <c r="A154" s="3970" t="n"/>
      <c r="B154" s="3970" t="n"/>
      <c r="C154" s="3970" t="n"/>
      <c r="D154" s="3970" t="n"/>
      <c r="E154" s="3970" t="n"/>
      <c r="F154" s="3970" t="n"/>
      <c r="G154" s="3970" t="n"/>
      <c r="H154" s="3970" t="n"/>
      <c r="I154" s="3970" t="n"/>
    </row>
    <row r="155">
      <c r="A155" s="3970" t="n"/>
      <c r="B155" s="3970" t="n"/>
      <c r="C155" s="3970" t="n"/>
      <c r="D155" s="3970" t="n"/>
      <c r="E155" s="3970" t="n"/>
      <c r="F155" s="3970" t="n"/>
      <c r="G155" s="3970" t="n"/>
      <c r="H155" s="3970" t="n"/>
      <c r="I155" s="3970" t="n"/>
    </row>
    <row r="156">
      <c r="A156" s="3970" t="n"/>
      <c r="B156" s="3970" t="n"/>
      <c r="C156" s="3970" t="n"/>
      <c r="D156" s="3970" t="n"/>
      <c r="E156" s="3970" t="n"/>
      <c r="F156" s="3970" t="n"/>
      <c r="G156" s="3970" t="n"/>
      <c r="H156" s="3970" t="n"/>
      <c r="I156" s="3970" t="n"/>
    </row>
    <row r="157">
      <c r="A157" s="3970" t="n"/>
      <c r="B157" s="3970" t="n"/>
      <c r="C157" s="3970" t="n"/>
      <c r="D157" s="3970" t="n"/>
      <c r="E157" s="3970" t="n"/>
      <c r="F157" s="3970" t="n"/>
      <c r="G157" s="3970" t="n"/>
      <c r="H157" s="3970" t="n"/>
      <c r="I157" s="3970" t="n"/>
    </row>
    <row r="158">
      <c r="A158" s="3970" t="n"/>
      <c r="B158" s="3970" t="n"/>
      <c r="C158" s="3970" t="n"/>
      <c r="D158" s="3970" t="n"/>
      <c r="E158" s="3970" t="n"/>
      <c r="F158" s="3970" t="n"/>
      <c r="G158" s="3970" t="n"/>
      <c r="H158" s="3970" t="n"/>
      <c r="I158" s="3970" t="n"/>
    </row>
    <row r="159">
      <c r="A159" s="3970" t="n"/>
      <c r="B159" s="3970" t="n"/>
      <c r="C159" s="3970" t="n"/>
      <c r="D159" s="3970" t="n"/>
      <c r="E159" s="3970" t="n"/>
      <c r="F159" s="3970" t="n"/>
      <c r="G159" s="3970" t="n"/>
      <c r="H159" s="3970" t="n"/>
      <c r="I159" s="3970" t="n"/>
    </row>
    <row r="160">
      <c r="A160" s="3970" t="n"/>
      <c r="B160" s="3970" t="n"/>
      <c r="C160" s="3970" t="n"/>
      <c r="D160" s="3970" t="n"/>
      <c r="E160" s="3970" t="n"/>
      <c r="F160" s="3970" t="n"/>
      <c r="G160" s="3970" t="n"/>
      <c r="H160" s="3970" t="n"/>
      <c r="I160" s="3970" t="n"/>
    </row>
    <row r="161">
      <c r="A161" s="3970" t="n"/>
      <c r="B161" s="3970" t="n"/>
      <c r="C161" s="3970" t="n"/>
      <c r="D161" s="3970" t="n"/>
      <c r="E161" s="3970" t="n"/>
      <c r="F161" s="3970" t="n"/>
      <c r="G161" s="3970" t="n"/>
      <c r="H161" s="3970" t="n"/>
      <c r="I161" s="3970" t="n"/>
    </row>
    <row r="162">
      <c r="A162" s="3970" t="n"/>
      <c r="B162" s="3970" t="n"/>
      <c r="C162" s="3970" t="n"/>
      <c r="D162" s="3970" t="n"/>
      <c r="E162" s="3970" t="n"/>
      <c r="F162" s="3970" t="n"/>
      <c r="G162" s="3970" t="n"/>
      <c r="H162" s="3970" t="n"/>
      <c r="I162" s="3970" t="n"/>
    </row>
    <row r="163">
      <c r="A163" s="3970" t="n"/>
      <c r="B163" s="3970" t="n"/>
      <c r="C163" s="3970" t="n"/>
      <c r="D163" s="3970" t="n"/>
      <c r="E163" s="3970" t="n"/>
      <c r="F163" s="3970" t="n"/>
      <c r="G163" s="3970" t="n"/>
      <c r="H163" s="3970" t="n"/>
      <c r="I163" s="3970" t="n"/>
    </row>
    <row r="164">
      <c r="A164" s="3970" t="n"/>
      <c r="B164" s="3970" t="n"/>
      <c r="C164" s="3970" t="n"/>
      <c r="D164" s="3970" t="n"/>
      <c r="E164" s="3970" t="n"/>
      <c r="F164" s="3970" t="n"/>
      <c r="G164" s="3970" t="n"/>
      <c r="H164" s="3970" t="n"/>
      <c r="I164" s="3970" t="n"/>
    </row>
    <row r="165">
      <c r="A165" s="3970" t="n"/>
      <c r="B165" s="3970" t="n"/>
      <c r="C165" s="3970" t="n"/>
      <c r="D165" s="3970" t="n"/>
      <c r="E165" s="3970" t="n"/>
      <c r="F165" s="3970" t="n"/>
      <c r="G165" s="3970" t="n"/>
      <c r="H165" s="3970" t="n"/>
      <c r="I165" s="3970" t="n"/>
    </row>
    <row r="166">
      <c r="A166" s="3970" t="n"/>
      <c r="B166" s="3970" t="n"/>
      <c r="C166" s="3970" t="n"/>
      <c r="D166" s="3970" t="n"/>
      <c r="E166" s="3970" t="n"/>
      <c r="F166" s="3970" t="n"/>
      <c r="G166" s="3970" t="n"/>
      <c r="H166" s="3970" t="n"/>
      <c r="I166" s="3970" t="n"/>
    </row>
    <row r="167">
      <c r="A167" s="3970" t="n"/>
      <c r="B167" s="3970" t="n"/>
      <c r="C167" s="3970" t="n"/>
      <c r="D167" s="3970" t="n"/>
      <c r="E167" s="3970" t="n"/>
      <c r="F167" s="3970" t="n"/>
      <c r="G167" s="3970" t="n"/>
      <c r="H167" s="3970" t="n"/>
      <c r="I167" s="3970" t="n"/>
    </row>
    <row r="168">
      <c r="A168" s="3970" t="n"/>
      <c r="B168" s="3970" t="n"/>
      <c r="C168" s="3970" t="n"/>
      <c r="D168" s="3970" t="n"/>
      <c r="E168" s="3970" t="n"/>
      <c r="F168" s="3970" t="n"/>
      <c r="G168" s="3970" t="n"/>
      <c r="H168" s="3970" t="n"/>
      <c r="I168" s="3970" t="n"/>
    </row>
    <row r="169">
      <c r="A169" s="3970" t="n"/>
      <c r="B169" s="3970" t="n"/>
      <c r="C169" s="3970" t="n"/>
      <c r="D169" s="3970" t="n"/>
      <c r="E169" s="3970" t="n"/>
      <c r="F169" s="3970" t="n"/>
      <c r="G169" s="3970" t="n"/>
      <c r="H169" s="3970" t="n"/>
      <c r="I169" s="3970" t="n"/>
    </row>
    <row r="170">
      <c r="A170" s="3970" t="n"/>
      <c r="B170" s="3970" t="n"/>
      <c r="C170" s="3970" t="n"/>
      <c r="D170" s="3970" t="n"/>
      <c r="E170" s="3970" t="n"/>
      <c r="F170" s="3970" t="n"/>
      <c r="G170" s="3970" t="n"/>
      <c r="H170" s="3970" t="n"/>
      <c r="I170" s="3970" t="n"/>
    </row>
    <row r="171">
      <c r="A171" s="3970" t="n"/>
      <c r="B171" s="3970" t="n"/>
      <c r="C171" s="3970" t="n"/>
      <c r="D171" s="3970" t="n"/>
      <c r="E171" s="3970" t="n"/>
      <c r="F171" s="3970" t="n"/>
      <c r="G171" s="3970" t="n"/>
      <c r="H171" s="3970" t="n"/>
      <c r="I171" s="3970" t="n"/>
    </row>
    <row r="172">
      <c r="A172" s="3970" t="n"/>
      <c r="B172" s="3970" t="n"/>
      <c r="C172" s="3970" t="n"/>
      <c r="D172" s="3970" t="n"/>
      <c r="E172" s="3970" t="n"/>
      <c r="F172" s="3970" t="n"/>
      <c r="G172" s="3970" t="n"/>
      <c r="H172" s="3970" t="n"/>
      <c r="I172" s="3970" t="n"/>
    </row>
    <row r="173">
      <c r="A173" s="3970" t="n"/>
      <c r="B173" s="3970" t="n"/>
      <c r="C173" s="3970" t="n"/>
      <c r="D173" s="3970" t="n"/>
      <c r="E173" s="3970" t="n"/>
      <c r="F173" s="3970" t="n"/>
      <c r="G173" s="3970" t="n"/>
      <c r="H173" s="3970" t="n"/>
      <c r="I173" s="3970" t="n"/>
    </row>
    <row r="174">
      <c r="A174" s="3970" t="n"/>
      <c r="B174" s="3970" t="n"/>
      <c r="C174" s="3970" t="n"/>
      <c r="D174" s="3970" t="n"/>
      <c r="E174" s="3970" t="n"/>
      <c r="F174" s="3970" t="n"/>
      <c r="G174" s="3970" t="n"/>
      <c r="H174" s="3970" t="n"/>
      <c r="I174" s="3970" t="n"/>
    </row>
    <row r="175">
      <c r="A175" s="3970" t="n"/>
      <c r="B175" s="3970" t="n"/>
      <c r="C175" s="3970" t="n"/>
      <c r="D175" s="3970" t="n"/>
      <c r="E175" s="3970" t="n"/>
      <c r="F175" s="3970" t="n"/>
      <c r="G175" s="3970" t="n"/>
      <c r="H175" s="3970" t="n"/>
      <c r="I175" s="3970" t="n"/>
    </row>
    <row r="176">
      <c r="A176" s="3970" t="n"/>
      <c r="B176" s="3970" t="n"/>
      <c r="C176" s="3970" t="n"/>
      <c r="D176" s="3970" t="n"/>
      <c r="E176" s="3970" t="n"/>
      <c r="F176" s="3970" t="n"/>
      <c r="G176" s="3970" t="n"/>
      <c r="H176" s="3970" t="n"/>
      <c r="I176" s="3970" t="n"/>
    </row>
    <row r="177">
      <c r="A177" s="3970" t="n"/>
      <c r="B177" s="3970" t="n"/>
      <c r="C177" s="3970" t="n"/>
      <c r="D177" s="3970" t="n"/>
      <c r="E177" s="3970" t="n"/>
      <c r="F177" s="3970" t="n"/>
      <c r="G177" s="3970" t="n"/>
      <c r="H177" s="3970" t="n"/>
      <c r="I177" s="3970" t="n"/>
    </row>
    <row r="178">
      <c r="A178" s="3970" t="n"/>
      <c r="B178" s="3970" t="n"/>
      <c r="C178" s="3970" t="n"/>
      <c r="D178" s="3970" t="n"/>
      <c r="E178" s="3970" t="n"/>
      <c r="F178" s="3970" t="n"/>
      <c r="G178" s="3970" t="n"/>
      <c r="H178" s="3970" t="n"/>
      <c r="I178" s="3970" t="n"/>
    </row>
    <row r="179">
      <c r="A179" s="3970" t="n"/>
      <c r="B179" s="3970" t="n"/>
      <c r="C179" s="3970" t="n"/>
      <c r="D179" s="3970" t="n"/>
      <c r="E179" s="3970" t="n"/>
      <c r="F179" s="3970" t="n"/>
      <c r="G179" s="3970" t="n"/>
      <c r="H179" s="3970" t="n"/>
      <c r="I179" s="3970" t="n"/>
    </row>
    <row r="180">
      <c r="A180" s="3970" t="n"/>
      <c r="B180" s="3970" t="n"/>
      <c r="C180" s="3970" t="n"/>
      <c r="D180" s="3970" t="n"/>
      <c r="E180" s="3970" t="n"/>
      <c r="F180" s="3970" t="n"/>
      <c r="G180" s="3970" t="n"/>
      <c r="H180" s="3970" t="n"/>
      <c r="I180" s="3970" t="n"/>
    </row>
    <row r="181">
      <c r="A181" s="3970" t="n"/>
      <c r="B181" s="3970" t="n"/>
      <c r="C181" s="3970" t="n"/>
      <c r="D181" s="3970" t="n"/>
      <c r="E181" s="3970" t="n"/>
      <c r="F181" s="3970" t="n"/>
      <c r="G181" s="3970" t="n"/>
      <c r="H181" s="3970" t="n"/>
      <c r="I181" s="3970" t="n"/>
    </row>
    <row r="182">
      <c r="A182" s="3970" t="n"/>
      <c r="B182" s="3970" t="n"/>
      <c r="C182" s="3970" t="n"/>
      <c r="D182" s="3970" t="n"/>
      <c r="E182" s="3970" t="n"/>
      <c r="F182" s="3970" t="n"/>
      <c r="G182" s="3970" t="n"/>
      <c r="H182" s="3970" t="n"/>
      <c r="I182" s="3970" t="n"/>
    </row>
    <row r="183">
      <c r="A183" s="3970" t="n"/>
      <c r="B183" s="3970" t="n"/>
      <c r="C183" s="3970" t="n"/>
      <c r="D183" s="3970" t="n"/>
      <c r="E183" s="3970" t="n"/>
      <c r="F183" s="3970" t="n"/>
      <c r="G183" s="3970" t="n"/>
      <c r="H183" s="3970" t="n"/>
      <c r="I183" s="3970" t="n"/>
    </row>
    <row r="184">
      <c r="A184" s="3970" t="n"/>
      <c r="B184" s="3970" t="n"/>
      <c r="C184" s="3970" t="n"/>
      <c r="D184" s="3970" t="n"/>
      <c r="E184" s="3970" t="n"/>
      <c r="F184" s="3970" t="n"/>
      <c r="G184" s="3970" t="n"/>
      <c r="H184" s="3970" t="n"/>
      <c r="I184" s="3970" t="n"/>
    </row>
    <row r="185">
      <c r="A185" s="3970" t="n"/>
      <c r="B185" s="3970" t="n"/>
      <c r="C185" s="3970" t="n"/>
      <c r="D185" s="3970" t="n"/>
      <c r="E185" s="3970" t="n"/>
      <c r="F185" s="3970" t="n"/>
      <c r="G185" s="3970" t="n"/>
      <c r="H185" s="3970" t="n"/>
      <c r="I185" s="3970" t="n"/>
    </row>
    <row r="186">
      <c r="A186" s="3970" t="n"/>
      <c r="B186" s="3970" t="n"/>
      <c r="C186" s="3970" t="n"/>
      <c r="D186" s="3970" t="n"/>
      <c r="E186" s="3970" t="n"/>
      <c r="F186" s="3970" t="n"/>
      <c r="G186" s="3970" t="n"/>
      <c r="H186" s="3970" t="n"/>
      <c r="I186" s="3970" t="n"/>
    </row>
    <row r="187">
      <c r="A187" s="3970" t="n"/>
      <c r="B187" s="3970" t="n"/>
      <c r="C187" s="3970" t="n"/>
      <c r="D187" s="3970" t="n"/>
      <c r="E187" s="3970" t="n"/>
      <c r="F187" s="3970" t="n"/>
      <c r="G187" s="3970" t="n"/>
      <c r="H187" s="3970" t="n"/>
      <c r="I187" s="3970" t="n"/>
    </row>
    <row r="188">
      <c r="A188" s="3970" t="n"/>
      <c r="B188" s="3970" t="n"/>
      <c r="C188" s="3970" t="n"/>
      <c r="D188" s="3970" t="n"/>
      <c r="E188" s="3970" t="n"/>
      <c r="F188" s="3970" t="n"/>
      <c r="G188" s="3970" t="n"/>
      <c r="H188" s="3970" t="n"/>
      <c r="I188" s="3970" t="n"/>
    </row>
    <row r="189">
      <c r="A189" s="3970" t="n"/>
      <c r="B189" s="3970" t="n"/>
      <c r="C189" s="3970" t="n"/>
      <c r="D189" s="3970" t="n"/>
      <c r="E189" s="3970" t="n"/>
      <c r="F189" s="3970" t="n"/>
      <c r="G189" s="3970" t="n"/>
      <c r="H189" s="3970" t="n"/>
      <c r="I189" s="3970" t="n"/>
    </row>
    <row r="190">
      <c r="A190" s="3970" t="n"/>
      <c r="B190" s="3970" t="n"/>
      <c r="C190" s="3970" t="n"/>
      <c r="D190" s="3970" t="n"/>
      <c r="E190" s="3970" t="n"/>
      <c r="F190" s="3970" t="n"/>
      <c r="G190" s="3970" t="n"/>
      <c r="H190" s="3970" t="n"/>
      <c r="I190" s="3970" t="n"/>
    </row>
    <row r="191">
      <c r="A191" s="3970" t="n"/>
      <c r="B191" s="3970" t="n"/>
      <c r="C191" s="3970" t="n"/>
      <c r="D191" s="3970" t="n"/>
      <c r="E191" s="3970" t="n"/>
      <c r="F191" s="3970" t="n"/>
      <c r="G191" s="3970" t="n"/>
      <c r="H191" s="3970" t="n"/>
      <c r="I191" s="3970" t="n"/>
    </row>
    <row r="192">
      <c r="A192" s="3970" t="n"/>
      <c r="B192" s="3970" t="n"/>
      <c r="C192" s="3970" t="n"/>
      <c r="D192" s="3970" t="n"/>
      <c r="E192" s="3970" t="n"/>
      <c r="F192" s="3970" t="n"/>
      <c r="G192" s="3970" t="n"/>
      <c r="H192" s="3970" t="n"/>
      <c r="I192" s="3970" t="n"/>
    </row>
    <row r="193">
      <c r="A193" s="3970" t="n"/>
      <c r="B193" s="3970" t="n"/>
      <c r="C193" s="3970" t="n"/>
      <c r="D193" s="3970" t="n"/>
      <c r="E193" s="3970" t="n"/>
      <c r="F193" s="3970" t="n"/>
      <c r="G193" s="3970" t="n"/>
      <c r="H193" s="3970" t="n"/>
      <c r="I193" s="3970" t="n"/>
    </row>
    <row r="194">
      <c r="A194" s="3970" t="n"/>
      <c r="B194" s="3970" t="n"/>
      <c r="C194" s="3970" t="n"/>
      <c r="D194" s="3970" t="n"/>
      <c r="E194" s="3970" t="n"/>
      <c r="F194" s="3970" t="n"/>
      <c r="G194" s="3970" t="n"/>
      <c r="H194" s="3970" t="n"/>
      <c r="I194" s="3970" t="n"/>
    </row>
    <row r="195">
      <c r="A195" s="3970" t="n"/>
      <c r="B195" s="3970" t="n"/>
      <c r="C195" s="3970" t="n"/>
      <c r="D195" s="3970" t="n"/>
      <c r="E195" s="3970" t="n"/>
      <c r="F195" s="3970" t="n"/>
      <c r="G195" s="3970" t="n"/>
      <c r="H195" s="3970" t="n"/>
      <c r="I195" s="3970" t="n"/>
    </row>
    <row r="196">
      <c r="A196" s="3970" t="n"/>
      <c r="B196" s="3970" t="n"/>
      <c r="C196" s="3970" t="n"/>
      <c r="D196" s="3970" t="n"/>
      <c r="E196" s="3970" t="n"/>
      <c r="F196" s="3970" t="n"/>
      <c r="G196" s="3970" t="n"/>
      <c r="H196" s="3970" t="n"/>
      <c r="I196" s="3970" t="n"/>
    </row>
    <row r="197">
      <c r="A197" s="3970" t="n"/>
      <c r="B197" s="3970" t="n"/>
      <c r="C197" s="3970" t="n"/>
      <c r="D197" s="3970" t="n"/>
      <c r="E197" s="3970" t="n"/>
      <c r="F197" s="3970" t="n"/>
      <c r="G197" s="3970" t="n"/>
      <c r="H197" s="3970" t="n"/>
      <c r="I197" s="3970" t="n"/>
    </row>
    <row r="198">
      <c r="A198" s="3970" t="n"/>
      <c r="B198" s="3970" t="n"/>
      <c r="C198" s="3970" t="n"/>
      <c r="D198" s="3970" t="n"/>
      <c r="E198" s="3970" t="n"/>
      <c r="F198" s="3970" t="n"/>
      <c r="G198" s="3970" t="n"/>
      <c r="H198" s="3970" t="n"/>
      <c r="I198" s="3970" t="n"/>
    </row>
    <row r="199">
      <c r="A199" s="3970" t="n"/>
      <c r="B199" s="3970" t="n"/>
      <c r="C199" s="3970" t="n"/>
      <c r="D199" s="3970" t="n"/>
      <c r="E199" s="3970" t="n"/>
      <c r="F199" s="3970" t="n"/>
      <c r="G199" s="3970" t="n"/>
      <c r="H199" s="3970" t="n"/>
      <c r="I199" s="3970" t="n"/>
    </row>
    <row r="200">
      <c r="A200" s="3970" t="n"/>
      <c r="B200" s="3970" t="n"/>
      <c r="C200" s="3970" t="n"/>
      <c r="D200" s="3970" t="n"/>
      <c r="E200" s="3970" t="n"/>
      <c r="F200" s="3970" t="n"/>
      <c r="G200" s="3970" t="n"/>
      <c r="H200" s="3970" t="n"/>
      <c r="I200" s="3970" t="n"/>
    </row>
    <row r="201">
      <c r="A201" s="3970" t="n"/>
      <c r="B201" s="3970" t="n"/>
      <c r="C201" s="3970" t="n"/>
      <c r="D201" s="3970" t="n"/>
      <c r="E201" s="3970" t="n"/>
      <c r="F201" s="3970" t="n"/>
      <c r="G201" s="3970" t="n"/>
      <c r="H201" s="3970" t="n"/>
      <c r="I201" s="3970" t="n"/>
    </row>
    <row r="202">
      <c r="A202" s="3970" t="n"/>
      <c r="B202" s="3970" t="n"/>
      <c r="C202" s="3970" t="n"/>
      <c r="D202" s="3970" t="n"/>
      <c r="E202" s="3970" t="n"/>
      <c r="F202" s="3970" t="n"/>
      <c r="G202" s="3970" t="n"/>
      <c r="H202" s="3970" t="n"/>
      <c r="I202" s="3970" t="n"/>
    </row>
    <row r="203">
      <c r="A203" s="3970" t="n"/>
      <c r="B203" s="3970" t="n"/>
      <c r="C203" s="3970" t="n"/>
      <c r="D203" s="3970" t="n"/>
      <c r="E203" s="3970" t="n"/>
      <c r="F203" s="3970" t="n"/>
      <c r="G203" s="3970" t="n"/>
      <c r="H203" s="3970" t="n"/>
      <c r="I203" s="3970" t="n"/>
    </row>
    <row r="204">
      <c r="A204" s="3970" t="n"/>
      <c r="B204" s="3970" t="n"/>
      <c r="C204" s="3970" t="n"/>
      <c r="D204" s="3970" t="n"/>
      <c r="E204" s="3970" t="n"/>
      <c r="F204" s="3970" t="n"/>
      <c r="G204" s="3970" t="n"/>
      <c r="H204" s="3970" t="n"/>
      <c r="I204" s="3970" t="n"/>
    </row>
    <row r="205">
      <c r="A205" s="3970" t="n"/>
      <c r="B205" s="3970" t="n"/>
      <c r="C205" s="3970" t="n"/>
      <c r="D205" s="3970" t="n"/>
      <c r="E205" s="3970" t="n"/>
      <c r="F205" s="3970" t="n"/>
      <c r="G205" s="3970" t="n"/>
      <c r="H205" s="3970" t="n"/>
      <c r="I205" s="3970" t="n"/>
    </row>
    <row r="206">
      <c r="A206" s="3970" t="n"/>
      <c r="B206" s="3970" t="n"/>
      <c r="C206" s="3970" t="n"/>
      <c r="D206" s="3970" t="n"/>
      <c r="E206" s="3970" t="n"/>
      <c r="F206" s="3970" t="n"/>
      <c r="G206" s="3970" t="n"/>
      <c r="H206" s="3970" t="n"/>
      <c r="I206" s="3970" t="n"/>
    </row>
    <row r="207">
      <c r="A207" s="3970" t="n"/>
      <c r="B207" s="3970" t="n"/>
      <c r="C207" s="3970" t="n"/>
      <c r="D207" s="3970" t="n"/>
      <c r="E207" s="3970" t="n"/>
      <c r="F207" s="3970" t="n"/>
      <c r="G207" s="3970" t="n"/>
      <c r="H207" s="3970" t="n"/>
      <c r="I207" s="3970" t="n"/>
    </row>
    <row r="208">
      <c r="A208" s="3970" t="n"/>
      <c r="B208" s="3970" t="n"/>
      <c r="C208" s="3970" t="n"/>
      <c r="D208" s="3970" t="n"/>
      <c r="E208" s="3970" t="n"/>
      <c r="F208" s="3970" t="n"/>
      <c r="G208" s="3970" t="n"/>
      <c r="H208" s="3970" t="n"/>
      <c r="I208" s="3970" t="n"/>
    </row>
    <row r="209">
      <c r="A209" s="3970" t="n"/>
      <c r="B209" s="3970" t="n"/>
      <c r="C209" s="3970" t="n"/>
      <c r="D209" s="3970" t="n"/>
      <c r="E209" s="3970" t="n"/>
      <c r="F209" s="3970" t="n"/>
      <c r="G209" s="3970" t="n"/>
      <c r="H209" s="3970" t="n"/>
      <c r="I209" s="3970" t="n"/>
    </row>
    <row r="210">
      <c r="A210" s="3970" t="n"/>
      <c r="B210" s="3970" t="n"/>
      <c r="C210" s="3970" t="n"/>
      <c r="D210" s="3970" t="n"/>
      <c r="E210" s="3970" t="n"/>
      <c r="F210" s="3970" t="n"/>
      <c r="G210" s="3970" t="n"/>
      <c r="H210" s="3970" t="n"/>
      <c r="I210" s="3970" t="n"/>
    </row>
    <row r="211">
      <c r="A211" s="3970" t="n"/>
      <c r="B211" s="3970" t="n"/>
      <c r="C211" s="3970" t="n"/>
      <c r="D211" s="3970" t="n"/>
      <c r="E211" s="3970" t="n"/>
      <c r="F211" s="3970" t="n"/>
      <c r="G211" s="3970" t="n"/>
      <c r="H211" s="3970" t="n"/>
      <c r="I211" s="3970" t="n"/>
    </row>
    <row r="212">
      <c r="A212" s="3970" t="n"/>
      <c r="B212" s="3970" t="n"/>
      <c r="C212" s="3970" t="n"/>
      <c r="D212" s="3970" t="n"/>
      <c r="E212" s="3970" t="n"/>
      <c r="F212" s="3970" t="n"/>
      <c r="G212" s="3970" t="n"/>
      <c r="H212" s="3970" t="n"/>
      <c r="I212" s="3970" t="n"/>
    </row>
    <row r="213">
      <c r="A213" s="3970" t="n"/>
      <c r="B213" s="3970" t="n"/>
      <c r="C213" s="3970" t="n"/>
      <c r="D213" s="3970" t="n"/>
      <c r="E213" s="3970" t="n"/>
      <c r="F213" s="3970" t="n"/>
      <c r="G213" s="3970" t="n"/>
      <c r="H213" s="3970" t="n"/>
      <c r="I213" s="3970" t="n"/>
    </row>
    <row r="214">
      <c r="A214" s="3970" t="n"/>
      <c r="B214" s="3970" t="n"/>
      <c r="C214" s="3970" t="n"/>
      <c r="D214" s="3970" t="n"/>
      <c r="E214" s="3970" t="n"/>
      <c r="F214" s="3970" t="n"/>
      <c r="G214" s="3970" t="n"/>
      <c r="H214" s="3970" t="n"/>
      <c r="I214" s="3970" t="n"/>
    </row>
    <row r="215">
      <c r="A215" s="3970" t="n"/>
      <c r="B215" s="3970" t="n"/>
      <c r="C215" s="3970" t="n"/>
      <c r="D215" s="3970" t="n"/>
      <c r="E215" s="3970" t="n"/>
      <c r="F215" s="3970" t="n"/>
      <c r="G215" s="3970" t="n"/>
      <c r="H215" s="3970" t="n"/>
      <c r="I215" s="3970" t="n"/>
    </row>
    <row r="216">
      <c r="A216" s="3970" t="n"/>
      <c r="B216" s="3970" t="n"/>
      <c r="C216" s="3970" t="n"/>
      <c r="D216" s="3970" t="n"/>
      <c r="E216" s="3970" t="n"/>
      <c r="F216" s="3970" t="n"/>
      <c r="G216" s="3970" t="n"/>
      <c r="H216" s="3970" t="n"/>
      <c r="I216" s="3970" t="n"/>
    </row>
    <row r="217">
      <c r="A217" s="3970" t="n"/>
      <c r="B217" s="3970" t="n"/>
      <c r="C217" s="3970" t="n"/>
      <c r="D217" s="3970" t="n"/>
      <c r="E217" s="3970" t="n"/>
      <c r="F217" s="3970" t="n"/>
      <c r="G217" s="3970" t="n"/>
      <c r="H217" s="3970" t="n"/>
      <c r="I217" s="3970" t="n"/>
    </row>
    <row r="218">
      <c r="A218" s="3970" t="n"/>
      <c r="B218" s="3970" t="n"/>
      <c r="C218" s="3970" t="n"/>
      <c r="D218" s="3970" t="n"/>
      <c r="E218" s="3970" t="n"/>
      <c r="F218" s="3970" t="n"/>
      <c r="G218" s="3970" t="n"/>
      <c r="H218" s="3970" t="n"/>
      <c r="I218" s="3970" t="n"/>
    </row>
    <row r="219">
      <c r="A219" s="3970" t="n"/>
      <c r="B219" s="3970" t="n"/>
      <c r="C219" s="3970" t="n"/>
      <c r="D219" s="3970" t="n"/>
      <c r="E219" s="3970" t="n"/>
      <c r="F219" s="3970" t="n"/>
      <c r="G219" s="3970" t="n"/>
      <c r="H219" s="3970" t="n"/>
      <c r="I219" s="3970" t="n"/>
    </row>
    <row r="220">
      <c r="A220" s="3970" t="n"/>
      <c r="B220" s="3970" t="n"/>
      <c r="C220" s="3970" t="n"/>
      <c r="D220" s="3970" t="n"/>
      <c r="E220" s="3970" t="n"/>
      <c r="F220" s="3970" t="n"/>
      <c r="G220" s="3970" t="n"/>
      <c r="H220" s="3970" t="n"/>
      <c r="I220" s="3970" t="n"/>
    </row>
    <row r="221">
      <c r="A221" s="3970" t="n"/>
      <c r="B221" s="3970" t="n"/>
      <c r="C221" s="3970" t="n"/>
      <c r="D221" s="3970" t="n"/>
      <c r="E221" s="3970" t="n"/>
      <c r="F221" s="3970" t="n"/>
      <c r="G221" s="3970" t="n"/>
      <c r="H221" s="3970" t="n"/>
      <c r="I221" s="3970" t="n"/>
    </row>
    <row r="222">
      <c r="A222" s="3970" t="n"/>
      <c r="B222" s="3970" t="n"/>
      <c r="C222" s="3970" t="n"/>
      <c r="D222" s="3970" t="n"/>
      <c r="E222" s="3970" t="n"/>
      <c r="F222" s="3970" t="n"/>
      <c r="G222" s="3970" t="n"/>
      <c r="H222" s="3970" t="n"/>
      <c r="I222" s="3970" t="n"/>
    </row>
    <row r="223">
      <c r="A223" s="3970" t="n"/>
      <c r="B223" s="3970" t="n"/>
      <c r="C223" s="3970" t="n"/>
      <c r="D223" s="3970" t="n"/>
      <c r="E223" s="3970" t="n"/>
      <c r="F223" s="3970" t="n"/>
      <c r="G223" s="3970" t="n"/>
      <c r="H223" s="3970" t="n"/>
      <c r="I223" s="3970" t="n"/>
    </row>
    <row r="224">
      <c r="A224" s="3970" t="n"/>
      <c r="B224" s="3970" t="n"/>
      <c r="C224" s="3970" t="n"/>
      <c r="D224" s="3970" t="n"/>
      <c r="E224" s="3970" t="n"/>
      <c r="F224" s="3970" t="n"/>
      <c r="G224" s="3970" t="n"/>
      <c r="H224" s="3970" t="n"/>
      <c r="I224" s="3970" t="n"/>
    </row>
    <row r="225">
      <c r="A225" s="3970" t="n"/>
      <c r="B225" s="3970" t="n"/>
      <c r="C225" s="3970" t="n"/>
      <c r="D225" s="3970" t="n"/>
      <c r="E225" s="3970" t="n"/>
      <c r="F225" s="3970" t="n"/>
      <c r="G225" s="3970" t="n"/>
      <c r="H225" s="3970" t="n"/>
      <c r="I225" s="3970" t="n"/>
    </row>
    <row r="226">
      <c r="A226" s="3970" t="n"/>
      <c r="B226" s="3970" t="n"/>
      <c r="C226" s="3970" t="n"/>
      <c r="D226" s="3970" t="n"/>
      <c r="E226" s="3970" t="n"/>
      <c r="F226" s="3970" t="n"/>
      <c r="G226" s="3970" t="n"/>
      <c r="H226" s="3970" t="n"/>
      <c r="I226" s="3970" t="n"/>
    </row>
    <row r="227">
      <c r="A227" s="3970" t="n"/>
      <c r="B227" s="3970" t="n"/>
      <c r="C227" s="3970" t="n"/>
      <c r="D227" s="3970" t="n"/>
      <c r="E227" s="3970" t="n"/>
      <c r="F227" s="3970" t="n"/>
      <c r="G227" s="3970" t="n"/>
      <c r="H227" s="3970" t="n"/>
      <c r="I227" s="3970" t="n"/>
    </row>
    <row r="228">
      <c r="A228" s="3970" t="n"/>
      <c r="B228" s="3970" t="n"/>
      <c r="C228" s="3970" t="n"/>
      <c r="D228" s="3970" t="n"/>
      <c r="E228" s="3970" t="n"/>
      <c r="F228" s="3970" t="n"/>
      <c r="G228" s="3970" t="n"/>
      <c r="H228" s="3970" t="n"/>
      <c r="I228" s="3970" t="n"/>
    </row>
    <row r="229">
      <c r="A229" s="3970" t="n"/>
      <c r="B229" s="3970" t="n"/>
      <c r="C229" s="3970" t="n"/>
      <c r="D229" s="3970" t="n"/>
      <c r="E229" s="3970" t="n"/>
      <c r="F229" s="3970" t="n"/>
      <c r="G229" s="3970" t="n"/>
      <c r="H229" s="3970" t="n"/>
      <c r="I229" s="3970" t="n"/>
    </row>
    <row r="230">
      <c r="A230" s="3970" t="n"/>
      <c r="B230" s="3970" t="n"/>
      <c r="C230" s="3970" t="n"/>
      <c r="D230" s="3970" t="n"/>
      <c r="E230" s="3970" t="n"/>
      <c r="F230" s="3970" t="n"/>
      <c r="G230" s="3970" t="n"/>
      <c r="H230" s="3970" t="n"/>
      <c r="I230" s="3970" t="n"/>
    </row>
    <row r="231">
      <c r="A231" s="3970" t="n"/>
      <c r="B231" s="3970" t="n"/>
      <c r="C231" s="3970" t="n"/>
      <c r="D231" s="3970" t="n"/>
      <c r="E231" s="3970" t="n"/>
      <c r="F231" s="3970" t="n"/>
      <c r="G231" s="3970" t="n"/>
      <c r="H231" s="3970" t="n"/>
      <c r="I231" s="3970" t="n"/>
    </row>
    <row r="232">
      <c r="A232" s="3970" t="n"/>
      <c r="B232" s="3970" t="n"/>
      <c r="C232" s="3970" t="n"/>
      <c r="D232" s="3970" t="n"/>
      <c r="E232" s="3970" t="n"/>
      <c r="F232" s="3970" t="n"/>
      <c r="G232" s="3970" t="n"/>
      <c r="H232" s="3970" t="n"/>
      <c r="I232" s="3970" t="n"/>
    </row>
    <row r="233">
      <c r="A233" s="3970" t="n"/>
      <c r="B233" s="3970" t="n"/>
      <c r="C233" s="3970" t="n"/>
      <c r="D233" s="3970" t="n"/>
      <c r="E233" s="3970" t="n"/>
      <c r="F233" s="3970" t="n"/>
      <c r="G233" s="3970" t="n"/>
      <c r="H233" s="3970" t="n"/>
      <c r="I233" s="3970" t="n"/>
    </row>
    <row r="234">
      <c r="A234" s="3970" t="n"/>
      <c r="B234" s="3970" t="n"/>
      <c r="C234" s="3970" t="n"/>
      <c r="D234" s="3970" t="n"/>
      <c r="E234" s="3970" t="n"/>
      <c r="F234" s="3970" t="n"/>
      <c r="G234" s="3970" t="n"/>
      <c r="H234" s="3970" t="n"/>
      <c r="I234" s="3970" t="n"/>
    </row>
    <row r="235">
      <c r="A235" s="3970" t="n"/>
      <c r="B235" s="3970" t="n"/>
      <c r="C235" s="3970" t="n"/>
      <c r="D235" s="3970" t="n"/>
      <c r="E235" s="3970" t="n"/>
      <c r="F235" s="3970" t="n"/>
      <c r="G235" s="3970" t="n"/>
      <c r="H235" s="3970" t="n"/>
      <c r="I235" s="3970" t="n"/>
    </row>
    <row r="236">
      <c r="A236" s="3970" t="n"/>
      <c r="B236" s="3970" t="n"/>
      <c r="C236" s="3970" t="n"/>
      <c r="D236" s="3970" t="n"/>
      <c r="E236" s="3970" t="n"/>
      <c r="F236" s="3970" t="n"/>
      <c r="G236" s="3970" t="n"/>
      <c r="H236" s="3970" t="n"/>
      <c r="I236" s="3970" t="n"/>
    </row>
    <row r="237">
      <c r="A237" s="3970" t="n"/>
      <c r="B237" s="3970" t="n"/>
      <c r="C237" s="3970" t="n"/>
      <c r="D237" s="3970" t="n"/>
      <c r="E237" s="3970" t="n"/>
      <c r="F237" s="3970" t="n"/>
      <c r="G237" s="3970" t="n"/>
      <c r="H237" s="3970" t="n"/>
      <c r="I237" s="3970" t="n"/>
    </row>
    <row r="238">
      <c r="A238" s="3970" t="n"/>
      <c r="B238" s="3970" t="n"/>
      <c r="C238" s="3970" t="n"/>
      <c r="D238" s="3970" t="n"/>
      <c r="E238" s="3970" t="n"/>
      <c r="F238" s="3970" t="n"/>
      <c r="G238" s="3970" t="n"/>
      <c r="H238" s="3970" t="n"/>
      <c r="I238" s="3970" t="n"/>
    </row>
    <row r="239">
      <c r="A239" s="3970" t="n"/>
      <c r="B239" s="3970" t="n"/>
      <c r="C239" s="3970" t="n"/>
      <c r="D239" s="3970" t="n"/>
      <c r="E239" s="3970" t="n"/>
      <c r="F239" s="3970" t="n"/>
      <c r="G239" s="3970" t="n"/>
      <c r="H239" s="3970" t="n"/>
      <c r="I239" s="3970" t="n"/>
    </row>
    <row r="240">
      <c r="A240" s="3970" t="n"/>
      <c r="B240" s="3970" t="n"/>
      <c r="C240" s="3970" t="n"/>
      <c r="D240" s="3970" t="n"/>
      <c r="E240" s="3970" t="n"/>
      <c r="F240" s="3970" t="n"/>
      <c r="G240" s="3970" t="n"/>
      <c r="H240" s="3970" t="n"/>
      <c r="I240" s="3970" t="n"/>
    </row>
    <row r="241">
      <c r="A241" s="3970" t="n"/>
      <c r="B241" s="3970" t="n"/>
      <c r="C241" s="3970" t="n"/>
      <c r="D241" s="3970" t="n"/>
      <c r="E241" s="3970" t="n"/>
      <c r="F241" s="3970" t="n"/>
      <c r="G241" s="3970" t="n"/>
      <c r="H241" s="3970" t="n"/>
      <c r="I241" s="3970" t="n"/>
    </row>
    <row r="242">
      <c r="A242" s="3970" t="n"/>
      <c r="B242" s="3970" t="n"/>
      <c r="C242" s="3970" t="n"/>
      <c r="D242" s="3970" t="n"/>
      <c r="E242" s="3970" t="n"/>
      <c r="F242" s="3970" t="n"/>
      <c r="G242" s="3970" t="n"/>
      <c r="H242" s="3970" t="n"/>
      <c r="I242" s="3970" t="n"/>
    </row>
    <row r="243">
      <c r="A243" s="3970" t="n"/>
      <c r="B243" s="3970" t="n"/>
      <c r="C243" s="3970" t="n"/>
      <c r="D243" s="3970" t="n"/>
      <c r="E243" s="3970" t="n"/>
      <c r="F243" s="3970" t="n"/>
      <c r="G243" s="3970" t="n"/>
      <c r="H243" s="3970" t="n"/>
      <c r="I243" s="3970" t="n"/>
    </row>
    <row r="244">
      <c r="A244" s="3970" t="n"/>
      <c r="B244" s="3970" t="n"/>
      <c r="C244" s="3970" t="n"/>
      <c r="D244" s="3970" t="n"/>
      <c r="E244" s="3970" t="n"/>
      <c r="F244" s="3970" t="n"/>
      <c r="G244" s="3970" t="n"/>
      <c r="H244" s="3970" t="n"/>
      <c r="I244" s="3970" t="n"/>
    </row>
    <row r="245">
      <c r="A245" s="3970" t="n"/>
      <c r="B245" s="3970" t="n"/>
      <c r="C245" s="3970" t="n"/>
      <c r="D245" s="3970" t="n"/>
      <c r="E245" s="3970" t="n"/>
      <c r="F245" s="3970" t="n"/>
      <c r="G245" s="3970" t="n"/>
      <c r="H245" s="3970" t="n"/>
      <c r="I245" s="3970" t="n"/>
    </row>
    <row r="246">
      <c r="A246" s="3970" t="n"/>
      <c r="B246" s="3970" t="n"/>
      <c r="C246" s="3970" t="n"/>
      <c r="D246" s="3970" t="n"/>
      <c r="E246" s="3970" t="n"/>
      <c r="F246" s="3970" t="n"/>
      <c r="G246" s="3970" t="n"/>
      <c r="H246" s="3970" t="n"/>
      <c r="I246" s="3970" t="n"/>
    </row>
    <row r="247">
      <c r="A247" s="3970" t="n"/>
      <c r="B247" s="3970" t="n"/>
      <c r="C247" s="3970" t="n"/>
      <c r="D247" s="3970" t="n"/>
      <c r="E247" s="3970" t="n"/>
      <c r="F247" s="3970" t="n"/>
      <c r="G247" s="3970" t="n"/>
      <c r="H247" s="3970" t="n"/>
      <c r="I247" s="3970" t="n"/>
    </row>
    <row r="248">
      <c r="A248" s="3970" t="n"/>
      <c r="B248" s="3970" t="n"/>
      <c r="C248" s="3970" t="n"/>
      <c r="D248" s="3970" t="n"/>
      <c r="E248" s="3970" t="n"/>
      <c r="F248" s="3970" t="n"/>
      <c r="G248" s="3970" t="n"/>
      <c r="H248" s="3970" t="n"/>
      <c r="I248" s="3970" t="n"/>
    </row>
    <row r="249">
      <c r="A249" s="3970" t="n"/>
      <c r="B249" s="3970" t="n"/>
      <c r="C249" s="3970" t="n"/>
      <c r="D249" s="3970" t="n"/>
      <c r="E249" s="3970" t="n"/>
      <c r="F249" s="3970" t="n"/>
      <c r="G249" s="3970" t="n"/>
      <c r="H249" s="3970" t="n"/>
      <c r="I249" s="3970" t="n"/>
    </row>
    <row r="250">
      <c r="A250" s="3970" t="n"/>
      <c r="B250" s="3970" t="n"/>
      <c r="C250" s="3970" t="n"/>
      <c r="D250" s="3970" t="n"/>
      <c r="E250" s="3970" t="n"/>
      <c r="F250" s="3970" t="n"/>
      <c r="G250" s="3970" t="n"/>
      <c r="H250" s="3970" t="n"/>
      <c r="I250" s="3970" t="n"/>
    </row>
    <row r="251">
      <c r="A251" s="3970" t="n"/>
      <c r="B251" s="3970" t="n"/>
      <c r="C251" s="3970" t="n"/>
      <c r="D251" s="3970" t="n"/>
      <c r="E251" s="3970" t="n"/>
      <c r="F251" s="3970" t="n"/>
      <c r="G251" s="3970" t="n"/>
      <c r="H251" s="3970" t="n"/>
      <c r="I251" s="3970" t="n"/>
    </row>
    <row r="252">
      <c r="A252" s="3970" t="n"/>
      <c r="B252" s="3970" t="n"/>
      <c r="C252" s="3970" t="n"/>
      <c r="D252" s="3970" t="n"/>
      <c r="E252" s="3970" t="n"/>
      <c r="F252" s="3970" t="n"/>
      <c r="G252" s="3970" t="n"/>
      <c r="H252" s="3970" t="n"/>
      <c r="I252" s="3970" t="n"/>
    </row>
    <row r="253">
      <c r="A253" s="3970" t="n"/>
      <c r="B253" s="3970" t="n"/>
      <c r="C253" s="3970" t="n"/>
      <c r="D253" s="3970" t="n"/>
      <c r="E253" s="3970" t="n"/>
      <c r="F253" s="3970" t="n"/>
      <c r="G253" s="3970" t="n"/>
      <c r="H253" s="3970" t="n"/>
      <c r="I253" s="3970" t="n"/>
    </row>
    <row r="254">
      <c r="A254" s="3970" t="n"/>
      <c r="B254" s="3970" t="n"/>
      <c r="C254" s="3970" t="n"/>
      <c r="D254" s="3970" t="n"/>
      <c r="E254" s="3970" t="n"/>
      <c r="F254" s="3970" t="n"/>
      <c r="G254" s="3970" t="n"/>
      <c r="H254" s="3970" t="n"/>
      <c r="I254" s="3970" t="n"/>
    </row>
    <row r="255">
      <c r="A255" s="3970" t="n"/>
      <c r="B255" s="3970" t="n"/>
      <c r="C255" s="3970" t="n"/>
      <c r="D255" s="3970" t="n"/>
      <c r="E255" s="3970" t="n"/>
      <c r="F255" s="3970" t="n"/>
      <c r="G255" s="3970" t="n"/>
      <c r="H255" s="3970" t="n"/>
      <c r="I255" s="3970" t="n"/>
    </row>
    <row r="256">
      <c r="A256" s="3970" t="n"/>
      <c r="B256" s="3970" t="n"/>
      <c r="C256" s="3970" t="n"/>
      <c r="D256" s="3970" t="n"/>
      <c r="E256" s="3970" t="n"/>
      <c r="F256" s="3970" t="n"/>
      <c r="G256" s="3970" t="n"/>
      <c r="H256" s="3970" t="n"/>
      <c r="I256" s="3970" t="n"/>
    </row>
    <row r="257">
      <c r="A257" s="3970" t="n"/>
      <c r="B257" s="3970" t="n"/>
      <c r="C257" s="3970" t="n"/>
      <c r="D257" s="3970" t="n"/>
      <c r="E257" s="3970" t="n"/>
      <c r="F257" s="3970" t="n"/>
      <c r="G257" s="3970" t="n"/>
      <c r="H257" s="3970" t="n"/>
      <c r="I257" s="3970" t="n"/>
    </row>
    <row r="258">
      <c r="A258" s="3970" t="n"/>
      <c r="B258" s="3970" t="n"/>
      <c r="C258" s="3970" t="n"/>
      <c r="D258" s="3970" t="n"/>
      <c r="E258" s="3970" t="n"/>
      <c r="F258" s="3970" t="n"/>
      <c r="G258" s="3970" t="n"/>
      <c r="H258" s="3970" t="n"/>
      <c r="I258" s="3970" t="n"/>
    </row>
    <row r="259">
      <c r="A259" s="3970" t="n"/>
      <c r="B259" s="3970" t="n"/>
      <c r="C259" s="3970" t="n"/>
      <c r="D259" s="3970" t="n"/>
      <c r="E259" s="3970" t="n"/>
      <c r="F259" s="3970" t="n"/>
      <c r="G259" s="3970" t="n"/>
      <c r="H259" s="3970" t="n"/>
      <c r="I259" s="3970" t="n"/>
    </row>
    <row r="260">
      <c r="A260" s="3970" t="n"/>
      <c r="B260" s="3970" t="n"/>
      <c r="C260" s="3970" t="n"/>
      <c r="D260" s="3970" t="n"/>
      <c r="E260" s="3970" t="n"/>
      <c r="F260" s="3970" t="n"/>
      <c r="G260" s="3970" t="n"/>
      <c r="H260" s="3970" t="n"/>
      <c r="I260" s="3970" t="n"/>
    </row>
    <row r="261">
      <c r="A261" s="3970" t="n"/>
      <c r="B261" s="3970" t="n"/>
      <c r="C261" s="3970" t="n"/>
      <c r="D261" s="3970" t="n"/>
      <c r="E261" s="3970" t="n"/>
      <c r="F261" s="3970" t="n"/>
      <c r="G261" s="3970" t="n"/>
      <c r="H261" s="3970" t="n"/>
      <c r="I261" s="3970" t="n"/>
    </row>
    <row r="262">
      <c r="A262" s="3970" t="n"/>
      <c r="B262" s="3970" t="n"/>
      <c r="C262" s="3970" t="n"/>
      <c r="D262" s="3970" t="n"/>
      <c r="E262" s="3970" t="n"/>
      <c r="F262" s="3970" t="n"/>
      <c r="G262" s="3970" t="n"/>
      <c r="H262" s="3970" t="n"/>
      <c r="I262" s="3970" t="n"/>
    </row>
    <row r="263">
      <c r="A263" s="3970" t="n"/>
      <c r="B263" s="3970" t="n"/>
      <c r="C263" s="3970" t="n"/>
      <c r="D263" s="3970" t="n"/>
      <c r="E263" s="3970" t="n"/>
      <c r="F263" s="3970" t="n"/>
      <c r="G263" s="3970" t="n"/>
      <c r="H263" s="3970" t="n"/>
      <c r="I263" s="3970" t="n"/>
    </row>
    <row r="264">
      <c r="A264" s="3970" t="n"/>
      <c r="B264" s="3970" t="n"/>
      <c r="C264" s="3970" t="n"/>
      <c r="D264" s="3970" t="n"/>
      <c r="E264" s="3970" t="n"/>
      <c r="F264" s="3970" t="n"/>
      <c r="G264" s="3970" t="n"/>
      <c r="H264" s="3970" t="n"/>
      <c r="I264" s="3970" t="n"/>
    </row>
    <row r="265">
      <c r="A265" s="3970" t="n"/>
      <c r="B265" s="3970" t="n"/>
      <c r="C265" s="3970" t="n"/>
      <c r="D265" s="3970" t="n"/>
      <c r="E265" s="3970" t="n"/>
      <c r="F265" s="3970" t="n"/>
      <c r="G265" s="3970" t="n"/>
      <c r="H265" s="3970" t="n"/>
      <c r="I265" s="3970" t="n"/>
    </row>
    <row r="266">
      <c r="A266" s="3970" t="n"/>
      <c r="B266" s="3970" t="n"/>
      <c r="C266" s="3970" t="n"/>
      <c r="D266" s="3970" t="n"/>
      <c r="E266" s="3970" t="n"/>
      <c r="F266" s="3970" t="n"/>
      <c r="G266" s="3970" t="n"/>
      <c r="H266" s="3970" t="n"/>
      <c r="I266" s="3970" t="n"/>
    </row>
    <row r="267">
      <c r="A267" s="3970" t="n"/>
      <c r="B267" s="3970" t="n"/>
      <c r="C267" s="3970" t="n"/>
      <c r="D267" s="3970" t="n"/>
      <c r="E267" s="3970" t="n"/>
      <c r="F267" s="3970" t="n"/>
      <c r="G267" s="3970" t="n"/>
      <c r="H267" s="3970" t="n"/>
      <c r="I267" s="3970" t="n"/>
    </row>
    <row r="268">
      <c r="A268" s="3970" t="n"/>
      <c r="B268" s="3970" t="n"/>
      <c r="C268" s="3970" t="n"/>
      <c r="D268" s="3970" t="n"/>
      <c r="E268" s="3970" t="n"/>
      <c r="F268" s="3970" t="n"/>
      <c r="G268" s="3970" t="n"/>
      <c r="H268" s="3970" t="n"/>
      <c r="I268" s="3970" t="n"/>
    </row>
    <row r="269">
      <c r="A269" s="3970" t="n"/>
      <c r="B269" s="3970" t="n"/>
      <c r="C269" s="3970" t="n"/>
      <c r="D269" s="3970" t="n"/>
      <c r="E269" s="3970" t="n"/>
      <c r="F269" s="3970" t="n"/>
      <c r="G269" s="3970" t="n"/>
      <c r="H269" s="3970" t="n"/>
      <c r="I269" s="3970" t="n"/>
    </row>
    <row r="270">
      <c r="A270" s="3970" t="n"/>
      <c r="B270" s="3970" t="n"/>
      <c r="C270" s="3970" t="n"/>
      <c r="D270" s="3970" t="n"/>
      <c r="E270" s="3970" t="n"/>
      <c r="F270" s="3970" t="n"/>
      <c r="G270" s="3970" t="n"/>
      <c r="H270" s="3970" t="n"/>
      <c r="I270" s="3970" t="n"/>
    </row>
    <row r="271">
      <c r="A271" s="3970" t="n"/>
      <c r="B271" s="3970" t="n"/>
      <c r="C271" s="3970" t="n"/>
      <c r="D271" s="3970" t="n"/>
      <c r="E271" s="3970" t="n"/>
      <c r="F271" s="3970" t="n"/>
      <c r="G271" s="3970" t="n"/>
      <c r="H271" s="3970" t="n"/>
      <c r="I271" s="3970" t="n"/>
    </row>
    <row r="272">
      <c r="A272" s="3970" t="n"/>
      <c r="B272" s="3970" t="n"/>
      <c r="C272" s="3970" t="n"/>
      <c r="D272" s="3970" t="n"/>
      <c r="E272" s="3970" t="n"/>
      <c r="F272" s="3970" t="n"/>
      <c r="G272" s="3970" t="n"/>
      <c r="H272" s="3970" t="n"/>
      <c r="I272" s="3970" t="n"/>
    </row>
    <row r="273">
      <c r="A273" s="3970" t="n"/>
      <c r="B273" s="3970" t="n"/>
      <c r="C273" s="3970" t="n"/>
      <c r="D273" s="3970" t="n"/>
      <c r="E273" s="3970" t="n"/>
      <c r="F273" s="3970" t="n"/>
      <c r="G273" s="3970" t="n"/>
      <c r="H273" s="3970" t="n"/>
      <c r="I273" s="3970" t="n"/>
    </row>
    <row r="274">
      <c r="A274" s="3970" t="n"/>
      <c r="B274" s="3970" t="n"/>
      <c r="C274" s="3970" t="n"/>
      <c r="D274" s="3970" t="n"/>
      <c r="E274" s="3970" t="n"/>
      <c r="F274" s="3970" t="n"/>
      <c r="G274" s="3970" t="n"/>
      <c r="H274" s="3970" t="n"/>
      <c r="I274" s="3970" t="n"/>
    </row>
    <row r="275">
      <c r="A275" s="3970" t="n"/>
      <c r="B275" s="3970" t="n"/>
      <c r="C275" s="3970" t="n"/>
      <c r="D275" s="3970" t="n"/>
      <c r="E275" s="3970" t="n"/>
      <c r="F275" s="3970" t="n"/>
      <c r="G275" s="3970" t="n"/>
      <c r="H275" s="3970" t="n"/>
      <c r="I275" s="3970" t="n"/>
    </row>
    <row r="276">
      <c r="A276" s="3970" t="n"/>
      <c r="B276" s="3970" t="n"/>
      <c r="C276" s="3970" t="n"/>
      <c r="D276" s="3970" t="n"/>
      <c r="E276" s="3970" t="n"/>
      <c r="F276" s="3970" t="n"/>
      <c r="G276" s="3970" t="n"/>
      <c r="H276" s="3970" t="n"/>
      <c r="I276" s="3970" t="n"/>
    </row>
    <row r="277">
      <c r="A277" s="3970" t="n"/>
      <c r="B277" s="3970" t="n"/>
      <c r="C277" s="3970" t="n"/>
      <c r="D277" s="3970" t="n"/>
      <c r="E277" s="3970" t="n"/>
      <c r="F277" s="3970" t="n"/>
      <c r="G277" s="3970" t="n"/>
      <c r="H277" s="3970" t="n"/>
      <c r="I277" s="3970" t="n"/>
    </row>
    <row r="278">
      <c r="A278" s="3970" t="n"/>
      <c r="B278" s="3970" t="n"/>
      <c r="C278" s="3970" t="n"/>
      <c r="D278" s="3970" t="n"/>
      <c r="E278" s="3970" t="n"/>
      <c r="F278" s="3970" t="n"/>
      <c r="G278" s="3970" t="n"/>
      <c r="H278" s="3970" t="n"/>
      <c r="I278" s="3970" t="n"/>
    </row>
    <row r="279">
      <c r="A279" s="3970" t="n"/>
      <c r="B279" s="3970" t="n"/>
      <c r="C279" s="3970" t="n"/>
      <c r="D279" s="3970" t="n"/>
      <c r="E279" s="3970" t="n"/>
      <c r="F279" s="3970" t="n"/>
      <c r="G279" s="3970" t="n"/>
      <c r="H279" s="3970" t="n"/>
      <c r="I279" s="3970" t="n"/>
    </row>
    <row r="280">
      <c r="A280" s="3970" t="n"/>
      <c r="B280" s="3970" t="n"/>
      <c r="C280" s="3970" t="n"/>
      <c r="D280" s="3970" t="n"/>
      <c r="E280" s="3970" t="n"/>
      <c r="F280" s="3970" t="n"/>
      <c r="G280" s="3970" t="n"/>
      <c r="H280" s="3970" t="n"/>
      <c r="I280" s="3970" t="n"/>
    </row>
    <row r="281">
      <c r="A281" s="3970" t="n"/>
      <c r="B281" s="3970" t="n"/>
      <c r="C281" s="3970" t="n"/>
      <c r="D281" s="3970" t="n"/>
      <c r="E281" s="3970" t="n"/>
      <c r="F281" s="3970" t="n"/>
      <c r="G281" s="3970" t="n"/>
      <c r="H281" s="3970" t="n"/>
      <c r="I281" s="3970" t="n"/>
    </row>
    <row r="282">
      <c r="A282" s="3970" t="n"/>
      <c r="B282" s="3970" t="n"/>
      <c r="C282" s="3970" t="n"/>
      <c r="D282" s="3970" t="n"/>
      <c r="E282" s="3970" t="n"/>
      <c r="F282" s="3970" t="n"/>
      <c r="G282" s="3970" t="n"/>
      <c r="H282" s="3970" t="n"/>
      <c r="I282" s="3970" t="n"/>
    </row>
    <row r="283">
      <c r="A283" s="3970" t="n"/>
      <c r="B283" s="3970" t="n"/>
      <c r="C283" s="3970" t="n"/>
      <c r="D283" s="3970" t="n"/>
      <c r="E283" s="3970" t="n"/>
      <c r="F283" s="3970" t="n"/>
      <c r="G283" s="3970" t="n"/>
      <c r="H283" s="3970" t="n"/>
      <c r="I283" s="3970" t="n"/>
    </row>
    <row r="284">
      <c r="A284" s="3970" t="n"/>
      <c r="B284" s="3970" t="n"/>
      <c r="C284" s="3970" t="n"/>
      <c r="D284" s="3970" t="n"/>
      <c r="E284" s="3970" t="n"/>
      <c r="F284" s="3970" t="n"/>
      <c r="G284" s="3970" t="n"/>
      <c r="H284" s="3970" t="n"/>
      <c r="I284" s="3970" t="n"/>
    </row>
    <row r="285">
      <c r="A285" s="3970" t="n"/>
      <c r="B285" s="3970" t="n"/>
      <c r="C285" s="3970" t="n"/>
      <c r="D285" s="3970" t="n"/>
      <c r="E285" s="3970" t="n"/>
      <c r="F285" s="3970" t="n"/>
      <c r="G285" s="3970" t="n"/>
      <c r="H285" s="3970" t="n"/>
      <c r="I285" s="3970" t="n"/>
    </row>
    <row r="286">
      <c r="A286" s="3970" t="n"/>
      <c r="B286" s="3970" t="n"/>
      <c r="C286" s="3970" t="n"/>
      <c r="D286" s="3970" t="n"/>
      <c r="E286" s="3970" t="n"/>
      <c r="F286" s="3970" t="n"/>
      <c r="G286" s="3970" t="n"/>
      <c r="H286" s="3970" t="n"/>
      <c r="I286" s="3970" t="n"/>
    </row>
    <row r="287">
      <c r="A287" s="3970" t="n"/>
      <c r="B287" s="3970" t="n"/>
      <c r="C287" s="3970" t="n"/>
      <c r="D287" s="3970" t="n"/>
      <c r="E287" s="3970" t="n"/>
      <c r="F287" s="3970" t="n"/>
      <c r="G287" s="3970" t="n"/>
      <c r="H287" s="3970" t="n"/>
      <c r="I287" s="3970" t="n"/>
    </row>
    <row r="288">
      <c r="A288" s="3970" t="n"/>
      <c r="B288" s="3970" t="n"/>
      <c r="C288" s="3970" t="n"/>
      <c r="D288" s="3970" t="n"/>
      <c r="E288" s="3970" t="n"/>
      <c r="F288" s="3970" t="n"/>
      <c r="G288" s="3970" t="n"/>
      <c r="H288" s="3970" t="n"/>
      <c r="I288" s="3970" t="n"/>
    </row>
    <row r="289">
      <c r="A289" s="3970" t="n"/>
      <c r="B289" s="3970" t="n"/>
      <c r="C289" s="3970" t="n"/>
      <c r="D289" s="3970" t="n"/>
      <c r="E289" s="3970" t="n"/>
      <c r="F289" s="3970" t="n"/>
      <c r="G289" s="3970" t="n"/>
      <c r="H289" s="3970" t="n"/>
      <c r="I289" s="3970" t="n"/>
    </row>
    <row r="290">
      <c r="A290" s="3970" t="n"/>
      <c r="B290" s="3970" t="n"/>
      <c r="C290" s="3970" t="n"/>
      <c r="D290" s="3970" t="n"/>
      <c r="E290" s="3970" t="n"/>
      <c r="F290" s="3970" t="n"/>
      <c r="G290" s="3970" t="n"/>
      <c r="H290" s="3970" t="n"/>
      <c r="I290" s="3970" t="n"/>
    </row>
    <row r="291">
      <c r="A291" s="3970" t="n"/>
      <c r="B291" s="3970" t="n"/>
      <c r="C291" s="3970" t="n"/>
      <c r="D291" s="3970" t="n"/>
      <c r="E291" s="3970" t="n"/>
      <c r="F291" s="3970" t="n"/>
      <c r="G291" s="3970" t="n"/>
      <c r="H291" s="3970" t="n"/>
      <c r="I291" s="3970" t="n"/>
    </row>
    <row r="292">
      <c r="A292" s="3970" t="n"/>
      <c r="B292" s="3970" t="n"/>
      <c r="C292" s="3970" t="n"/>
      <c r="D292" s="3970" t="n"/>
      <c r="E292" s="3970" t="n"/>
      <c r="F292" s="3970" t="n"/>
      <c r="G292" s="3970" t="n"/>
      <c r="H292" s="3970" t="n"/>
      <c r="I292" s="3970" t="n"/>
    </row>
    <row r="293">
      <c r="A293" s="3970" t="n"/>
      <c r="B293" s="3970" t="n"/>
      <c r="C293" s="3970" t="n"/>
      <c r="D293" s="3970" t="n"/>
      <c r="E293" s="3970" t="n"/>
      <c r="F293" s="3970" t="n"/>
      <c r="G293" s="3970" t="n"/>
      <c r="H293" s="3970" t="n"/>
      <c r="I293" s="3970" t="n"/>
    </row>
    <row r="294">
      <c r="A294" s="3970" t="n"/>
      <c r="B294" s="3970" t="n"/>
      <c r="C294" s="3970" t="n"/>
      <c r="D294" s="3970" t="n"/>
      <c r="E294" s="3970" t="n"/>
      <c r="F294" s="3970" t="n"/>
      <c r="G294" s="3970" t="n"/>
      <c r="H294" s="3970" t="n"/>
      <c r="I294" s="3970" t="n"/>
    </row>
    <row r="295">
      <c r="A295" s="3970" t="n"/>
      <c r="B295" s="3970" t="n"/>
      <c r="C295" s="3970" t="n"/>
      <c r="D295" s="3970" t="n"/>
      <c r="E295" s="3970" t="n"/>
      <c r="F295" s="3970" t="n"/>
      <c r="G295" s="3970" t="n"/>
      <c r="H295" s="3970" t="n"/>
      <c r="I295" s="3970" t="n"/>
    </row>
    <row r="296">
      <c r="A296" s="3970" t="n"/>
      <c r="B296" s="3970" t="n"/>
      <c r="C296" s="3970" t="n"/>
      <c r="D296" s="3970" t="n"/>
      <c r="E296" s="3970" t="n"/>
      <c r="F296" s="3970" t="n"/>
      <c r="G296" s="3970" t="n"/>
      <c r="H296" s="3970" t="n"/>
      <c r="I296" s="3970" t="n"/>
    </row>
    <row r="297">
      <c r="A297" s="3970" t="n"/>
      <c r="B297" s="3970" t="n"/>
      <c r="C297" s="3970" t="n"/>
      <c r="D297" s="3970" t="n"/>
      <c r="E297" s="3970" t="n"/>
      <c r="F297" s="3970" t="n"/>
      <c r="G297" s="3970" t="n"/>
      <c r="H297" s="3970" t="n"/>
      <c r="I297" s="3970" t="n"/>
    </row>
    <row r="298">
      <c r="A298" s="3970" t="n"/>
      <c r="B298" s="3970" t="n"/>
      <c r="C298" s="3970" t="n"/>
      <c r="D298" s="3970" t="n"/>
      <c r="E298" s="3970" t="n"/>
      <c r="F298" s="3970" t="n"/>
      <c r="G298" s="3970" t="n"/>
      <c r="H298" s="3970" t="n"/>
      <c r="I298" s="3970" t="n"/>
    </row>
    <row r="299">
      <c r="A299" s="3970" t="n"/>
      <c r="B299" s="3970" t="n"/>
      <c r="C299" s="3970" t="n"/>
      <c r="D299" s="3970" t="n"/>
      <c r="E299" s="3970" t="n"/>
      <c r="F299" s="3970" t="n"/>
      <c r="G299" s="3970" t="n"/>
      <c r="H299" s="3970" t="n"/>
      <c r="I299" s="3970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0" zoomScale="100" zoomScaleNormal="10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18" customWidth="1" min="3" max="3"/>
    <col width="28" customWidth="1" min="4" max="4"/>
    <col width="10" customWidth="1" min="5" max="5"/>
    <col width="12" customWidth="1" min="6" max="6"/>
    <col width="10" customWidth="1" min="7" max="7"/>
    <col width="10" customWidth="1" min="8" max="8"/>
    <col width="42" customWidth="1" min="9" max="9"/>
  </cols>
  <sheetData>
    <row r="1" ht="24" customHeight="1">
      <c r="A1" s="3921" t="inlineStr">
        <is>
          <t>Control | QC</t>
        </is>
      </c>
    </row>
    <row r="2">
      <c r="A2" s="3978" t="inlineStr">
        <is>
          <t>Source: &lt;document_source&gt;</t>
        </is>
      </c>
    </row>
    <row r="4">
      <c r="A4" s="3936" t="inlineStr">
        <is>
          <t>Workbook QC Status</t>
        </is>
      </c>
      <c r="B4" s="3982">
        <f>IF(COUNTIF(G9:G200,FALSE)&gt;0,"FAIL",IF(COUNTIF(G9:G200,TRUE)&gt;0,"PASS","PENDING"))</f>
        <v/>
      </c>
    </row>
    <row r="6">
      <c r="A6" s="3983" t="inlineStr">
        <is>
          <t>Centralized pass/fail matrix linked to check cells across all core sheets.</t>
        </is>
      </c>
    </row>
    <row r="7">
      <c r="A7" s="3979" t="inlineStr">
        <is>
          <t>QC Matrix</t>
        </is>
      </c>
      <c r="B7" s="3979" t="n"/>
      <c r="C7" s="3979" t="n"/>
      <c r="D7" s="3979" t="n"/>
      <c r="E7" s="3979" t="n"/>
      <c r="F7" s="3979" t="n"/>
      <c r="G7" s="3979" t="n"/>
      <c r="H7" s="3979" t="n"/>
      <c r="I7" s="3979" t="n"/>
    </row>
    <row r="8">
      <c r="A8" s="3923" t="inlineStr">
        <is>
          <t>CheckID</t>
        </is>
      </c>
      <c r="B8" s="3923" t="inlineStr">
        <is>
          <t>CheckName</t>
        </is>
      </c>
      <c r="C8" s="3923" t="inlineStr">
        <is>
          <t>Sheet</t>
        </is>
      </c>
      <c r="D8" s="3923" t="inlineStr">
        <is>
          <t>CellRef</t>
        </is>
      </c>
      <c r="E8" s="3923" t="inlineStr">
        <is>
          <t>Expected</t>
        </is>
      </c>
      <c r="F8" s="3923" t="inlineStr">
        <is>
          <t>Actual</t>
        </is>
      </c>
      <c r="G8" s="3923" t="inlineStr">
        <is>
          <t>PassFlag</t>
        </is>
      </c>
      <c r="H8" s="3923" t="inlineStr">
        <is>
          <t>Severity</t>
        </is>
      </c>
      <c r="I8" s="3923" t="inlineStr">
        <is>
          <t>Notes</t>
        </is>
      </c>
    </row>
    <row r="9">
      <c r="A9" s="3959" t="inlineStr">
        <is>
          <t>QC_IS_NI</t>
        </is>
      </c>
      <c r="B9" s="3959" t="inlineStr">
        <is>
          <t>Combined IS net income tie-out</t>
        </is>
      </c>
      <c r="C9" s="3959" t="inlineStr">
        <is>
          <t>Combined | IS</t>
        </is>
      </c>
      <c r="D9" s="3959" t="inlineStr">
        <is>
          <t>'Combined | IS'!G28:K28</t>
        </is>
      </c>
      <c r="E9" s="3959" t="n">
        <v>0</v>
      </c>
      <c r="F9" s="3959">
        <f>IF(D9="","",SUMPRODUCT(ABS(INDIRECT(D9))))</f>
        <v/>
      </c>
      <c r="G9" s="3959">
        <f>IF(F9="","",IF(ABS(F9-E9)&lt;=0.01,TRUE,FALSE))</f>
        <v/>
      </c>
      <c r="H9" s="3959" t="inlineStr">
        <is>
          <t>High</t>
        </is>
      </c>
      <c r="I9" s="3959" t="inlineStr">
        <is>
          <t>Should resolve to 0</t>
        </is>
      </c>
    </row>
    <row r="10">
      <c r="A10" s="3959" t="inlineStr">
        <is>
          <t>QC_IS_EBITDA</t>
        </is>
      </c>
      <c r="B10" s="3959" t="inlineStr">
        <is>
          <t>Combined IS EBITDA tie-out</t>
        </is>
      </c>
      <c r="C10" s="3959" t="inlineStr">
        <is>
          <t>Combined | IS</t>
        </is>
      </c>
      <c r="D10" s="3959" t="inlineStr">
        <is>
          <t>'Combined | IS'!G29:K29</t>
        </is>
      </c>
      <c r="E10" s="3959" t="n">
        <v>0</v>
      </c>
      <c r="F10" s="3959">
        <f>IF(D10="","",SUMPRODUCT(ABS(INDIRECT(D10))))</f>
        <v/>
      </c>
      <c r="G10" s="3959">
        <f>IF(F10="","",IF(ABS(F10-E10)&lt;=0.01,TRUE,FALSE))</f>
        <v/>
      </c>
      <c r="H10" s="3959" t="inlineStr">
        <is>
          <t>High</t>
        </is>
      </c>
      <c r="I10" s="3959" t="inlineStr">
        <is>
          <t>Should resolve to 0</t>
        </is>
      </c>
    </row>
    <row r="11">
      <c r="A11" s="3959" t="inlineStr">
        <is>
          <t>QC_BS_BAL</t>
        </is>
      </c>
      <c r="B11" s="3959" t="inlineStr">
        <is>
          <t>Combined BS balance check</t>
        </is>
      </c>
      <c r="C11" s="3959" t="inlineStr">
        <is>
          <t>Combined | BS</t>
        </is>
      </c>
      <c r="D11" s="3959" t="inlineStr">
        <is>
          <t>'Combined | BS'!G28:K28</t>
        </is>
      </c>
      <c r="E11" s="3959" t="n">
        <v>0</v>
      </c>
      <c r="F11" s="3959">
        <f>IF(D11="","",SUMPRODUCT(ABS(INDIRECT(D11))))</f>
        <v/>
      </c>
      <c r="G11" s="3959">
        <f>IF(F11="","",IF(ABS(F11-E11)&lt;=0.01,TRUE,FALSE))</f>
        <v/>
      </c>
      <c r="H11" s="3959" t="inlineStr">
        <is>
          <t>High</t>
        </is>
      </c>
      <c r="I11" s="3959" t="inlineStr">
        <is>
          <t>Should resolve to 0</t>
        </is>
      </c>
    </row>
    <row r="12">
      <c r="A12" s="3959" t="inlineStr">
        <is>
          <t>QC_CF_NET</t>
        </is>
      </c>
      <c r="B12" s="3959" t="inlineStr">
        <is>
          <t>Combined CF net cash tie-out</t>
        </is>
      </c>
      <c r="C12" s="3959" t="inlineStr">
        <is>
          <t>Combined | CF</t>
        </is>
      </c>
      <c r="D12" s="3959" t="inlineStr">
        <is>
          <t>'Combined | CF'!G28:K28</t>
        </is>
      </c>
      <c r="E12" s="3959" t="n">
        <v>0</v>
      </c>
      <c r="F12" s="3959">
        <f>IF(D12="","",SUMPRODUCT(ABS(INDIRECT(D12))))</f>
        <v/>
      </c>
      <c r="G12" s="3959">
        <f>IF(F12="","",IF(ABS(F12-E12)&lt;=0.01,TRUE,FALSE))</f>
        <v/>
      </c>
      <c r="H12" s="3959" t="inlineStr">
        <is>
          <t>High</t>
        </is>
      </c>
      <c r="I12" s="3959" t="inlineStr">
        <is>
          <t>Should resolve to 0</t>
        </is>
      </c>
    </row>
    <row r="13">
      <c r="A13" s="3959" t="inlineStr">
        <is>
          <t>QC_QOFE_REV</t>
        </is>
      </c>
      <c r="B13" s="3959" t="inlineStr">
        <is>
          <t>QofE Summary revenue tie-out</t>
        </is>
      </c>
      <c r="C13" s="3959" t="inlineStr">
        <is>
          <t>QofE | Summary</t>
        </is>
      </c>
      <c r="D13" s="3959" t="inlineStr">
        <is>
          <t>'QofE | Summary'!G20:J20</t>
        </is>
      </c>
      <c r="E13" s="3959" t="n">
        <v>0</v>
      </c>
      <c r="F13" s="3959">
        <f>IF(D13="","",SUMPRODUCT(ABS(INDIRECT(D13))))</f>
        <v/>
      </c>
      <c r="G13" s="3959">
        <f>IF(F13="","",IF(ABS(F13-E13)&lt;=0.01,TRUE,FALSE))</f>
        <v/>
      </c>
      <c r="H13" s="3959" t="inlineStr">
        <is>
          <t>Med</t>
        </is>
      </c>
      <c r="I13" s="3959" t="inlineStr">
        <is>
          <t>Should resolve to 0 once linked</t>
        </is>
      </c>
    </row>
    <row r="14">
      <c r="A14" s="3959" t="inlineStr">
        <is>
          <t>QC_QOFE_EB</t>
        </is>
      </c>
      <c r="B14" s="3959" t="inlineStr">
        <is>
          <t>QofE Summary EBITDA tie-out</t>
        </is>
      </c>
      <c r="C14" s="3959" t="inlineStr">
        <is>
          <t>QofE | Summary</t>
        </is>
      </c>
      <c r="D14" s="3959" t="inlineStr">
        <is>
          <t>'QofE | Summary'!G21:J21</t>
        </is>
      </c>
      <c r="E14" s="3959" t="n">
        <v>0</v>
      </c>
      <c r="F14" s="3959">
        <f>IF(D14="","",SUMPRODUCT(ABS(INDIRECT(D14))))</f>
        <v/>
      </c>
      <c r="G14" s="3959">
        <f>IF(F14="","",IF(ABS(F14-E14)&lt;=0.01,TRUE,FALSE))</f>
        <v/>
      </c>
      <c r="H14" s="3959" t="inlineStr">
        <is>
          <t>Med</t>
        </is>
      </c>
      <c r="I14" s="3959" t="inlineStr">
        <is>
          <t>Should resolve to 0 once linked</t>
        </is>
      </c>
    </row>
    <row r="15">
      <c r="A15" s="3959" t="inlineStr">
        <is>
          <t>QC_QOFE_DET</t>
        </is>
      </c>
      <c r="B15" s="3959" t="inlineStr">
        <is>
          <t>QofE Detail adjusted EBITDA tie-out</t>
        </is>
      </c>
      <c r="C15" s="3959" t="inlineStr">
        <is>
          <t>QofE | Detail</t>
        </is>
      </c>
      <c r="D15" s="3959" t="inlineStr">
        <is>
          <t>'QofE | Detail'!G28:K28</t>
        </is>
      </c>
      <c r="E15" s="3959" t="n">
        <v>0</v>
      </c>
      <c r="F15" s="3959">
        <f>IF(D15="","",SUMPRODUCT(ABS(INDIRECT(D15))))</f>
        <v/>
      </c>
      <c r="G15" s="3959">
        <f>IF(F15="","",IF(ABS(F15-E15)&lt;=0.01,TRUE,FALSE))</f>
        <v/>
      </c>
      <c r="H15" s="3959" t="inlineStr">
        <is>
          <t>Med</t>
        </is>
      </c>
      <c r="I15" s="3959" t="inlineStr">
        <is>
          <t>Should resolve to 0 once linked</t>
        </is>
      </c>
    </row>
    <row r="16">
      <c r="A16" s="3959" t="inlineStr">
        <is>
          <t>QC_NWC_SUM</t>
        </is>
      </c>
      <c r="B16" s="3959" t="inlineStr">
        <is>
          <t>NWC Summary tie-out</t>
        </is>
      </c>
      <c r="C16" s="3959" t="inlineStr">
        <is>
          <t>NWC | Summary</t>
        </is>
      </c>
      <c r="D16" s="3959" t="inlineStr">
        <is>
          <t>'NWC | Summary'!G17:K17</t>
        </is>
      </c>
      <c r="E16" s="3959" t="n">
        <v>0</v>
      </c>
      <c r="F16" s="3959">
        <f>IF(D16="","",SUMPRODUCT(ABS(INDIRECT(D16))))</f>
        <v/>
      </c>
      <c r="G16" s="3959">
        <f>IF(F16="","",IF(ABS(F16-E16)&lt;=0.01,TRUE,FALSE))</f>
        <v/>
      </c>
      <c r="H16" s="3959" t="inlineStr">
        <is>
          <t>High</t>
        </is>
      </c>
      <c r="I16" s="3959" t="inlineStr">
        <is>
          <t>Should resolve to 0 once linked</t>
        </is>
      </c>
    </row>
    <row r="17">
      <c r="A17" s="3959" t="inlineStr">
        <is>
          <t>QC_NWC_DET</t>
        </is>
      </c>
      <c r="B17" s="3959" t="inlineStr">
        <is>
          <t>NWC Detail tie-out</t>
        </is>
      </c>
      <c r="C17" s="3959" t="inlineStr">
        <is>
          <t>NWC | Detail</t>
        </is>
      </c>
      <c r="D17" s="3959" t="inlineStr">
        <is>
          <t>'NWC | Detail'!G28:K28</t>
        </is>
      </c>
      <c r="E17" s="3959" t="n">
        <v>0</v>
      </c>
      <c r="F17" s="3959">
        <f>IF(D17="","",SUMPRODUCT(ABS(INDIRECT(D17))))</f>
        <v/>
      </c>
      <c r="G17" s="3959">
        <f>IF(F17="","",IF(ABS(F17-E17)&lt;=0.01,TRUE,FALSE))</f>
        <v/>
      </c>
      <c r="H17" s="3959" t="inlineStr">
        <is>
          <t>High</t>
        </is>
      </c>
      <c r="I17" s="3959" t="inlineStr">
        <is>
          <t>Should resolve to 0 once linked</t>
        </is>
      </c>
    </row>
    <row r="18">
      <c r="A18" s="3959" t="inlineStr">
        <is>
          <t>QC_STRAT_BS</t>
        </is>
      </c>
      <c r="B18" s="3959" t="inlineStr">
        <is>
          <t>Stratified BS tie-out</t>
        </is>
      </c>
      <c r="C18" s="3959" t="inlineStr">
        <is>
          <t>Stratified | BS</t>
        </is>
      </c>
      <c r="D18" s="3959" t="inlineStr">
        <is>
          <t>'Stratified | BS'!G28:K28</t>
        </is>
      </c>
      <c r="E18" s="3959" t="n">
        <v>0</v>
      </c>
      <c r="F18" s="3959">
        <f>IF(D18="","",SUMPRODUCT(ABS(INDIRECT(D18))))</f>
        <v/>
      </c>
      <c r="G18" s="3959">
        <f>IF(F18="","",IF(ABS(F18-E18)&lt;=0.01,TRUE,FALSE))</f>
        <v/>
      </c>
      <c r="H18" s="3959" t="inlineStr">
        <is>
          <t>High</t>
        </is>
      </c>
      <c r="I18" s="3959" t="inlineStr">
        <is>
          <t>Should resolve to 0 once linked</t>
        </is>
      </c>
    </row>
    <row r="19">
      <c r="A19" s="3959" t="inlineStr">
        <is>
          <t>QC_NETDEBT</t>
        </is>
      </c>
      <c r="B19" s="3959" t="inlineStr">
        <is>
          <t>Net debt tie-out</t>
        </is>
      </c>
      <c r="C19" s="3959" t="inlineStr">
        <is>
          <t>Net_debt</t>
        </is>
      </c>
      <c r="D19" s="3959" t="inlineStr">
        <is>
          <t>'Net_debt'!G28:K28</t>
        </is>
      </c>
      <c r="E19" s="3959" t="n">
        <v>0</v>
      </c>
      <c r="F19" s="3959">
        <f>IF(D19="","",SUMPRODUCT(ABS(INDIRECT(D19))))</f>
        <v/>
      </c>
      <c r="G19" s="3959">
        <f>IF(F19="","",IF(ABS(F19-E19)&lt;=0.01,TRUE,FALSE))</f>
        <v/>
      </c>
      <c r="H19" s="3959" t="inlineStr">
        <is>
          <t>High</t>
        </is>
      </c>
      <c r="I19" s="3959" t="inlineStr">
        <is>
          <t>Should resolve to 0 once linked</t>
        </is>
      </c>
    </row>
    <row r="20">
      <c r="A20" s="3959" t="inlineStr">
        <is>
          <t>QC_RECONS_IS</t>
        </is>
      </c>
      <c r="B20" s="3959" t="inlineStr">
        <is>
          <t>Recons IS section checks</t>
        </is>
      </c>
      <c r="C20" s="3959" t="inlineStr">
        <is>
          <t>Recons</t>
        </is>
      </c>
      <c r="D20" s="3959" t="inlineStr">
        <is>
          <t>'Recons'!H9:H13</t>
        </is>
      </c>
      <c r="E20" s="3959" t="n">
        <v>0</v>
      </c>
      <c r="F20" s="3959">
        <f>IF(D20="","",SUMPRODUCT(ABS(INDIRECT(D20))))</f>
        <v/>
      </c>
      <c r="G20" s="3959">
        <f>IF(F20="","",IF(ABS(F20-E20)&lt;=0.01,TRUE,FALSE))</f>
        <v/>
      </c>
      <c r="H20" s="3959" t="inlineStr">
        <is>
          <t>Med</t>
        </is>
      </c>
      <c r="I20" s="3959" t="inlineStr">
        <is>
          <t>Should resolve to 0 once linked</t>
        </is>
      </c>
    </row>
    <row r="21">
      <c r="A21" s="3959" t="inlineStr">
        <is>
          <t>QC_RECONS_BS</t>
        </is>
      </c>
      <c r="B21" s="3959" t="inlineStr">
        <is>
          <t>Recons BS section checks</t>
        </is>
      </c>
      <c r="C21" s="3959" t="inlineStr">
        <is>
          <t>Recons</t>
        </is>
      </c>
      <c r="D21" s="3959" t="inlineStr">
        <is>
          <t>'Recons'!H18:H22</t>
        </is>
      </c>
      <c r="E21" s="3959" t="n">
        <v>0</v>
      </c>
      <c r="F21" s="3959">
        <f>IF(D21="","",SUMPRODUCT(ABS(INDIRECT(D21))))</f>
        <v/>
      </c>
      <c r="G21" s="3959">
        <f>IF(F21="","",IF(ABS(F21-E21)&lt;=0.01,TRUE,FALSE))</f>
        <v/>
      </c>
      <c r="H21" s="3959" t="inlineStr">
        <is>
          <t>Med</t>
        </is>
      </c>
      <c r="I21" s="3959" t="inlineStr">
        <is>
          <t>Should resolve to 0 once linked</t>
        </is>
      </c>
    </row>
    <row r="22">
      <c r="A22" s="3959" t="inlineStr">
        <is>
          <t>QC_RECONS_CF</t>
        </is>
      </c>
      <c r="B22" s="3959" t="inlineStr">
        <is>
          <t>Recons CF section checks</t>
        </is>
      </c>
      <c r="C22" s="3959" t="inlineStr">
        <is>
          <t>Recons</t>
        </is>
      </c>
      <c r="D22" s="3959" t="inlineStr">
        <is>
          <t>'Recons'!H27:H31</t>
        </is>
      </c>
      <c r="E22" s="3959" t="n">
        <v>0</v>
      </c>
      <c r="F22" s="3959">
        <f>IF(D22="","",SUMPRODUCT(ABS(INDIRECT(D22))))</f>
        <v/>
      </c>
      <c r="G22" s="3959">
        <f>IF(F22="","",IF(ABS(F22-E22)&lt;=0.01,TRUE,FALSE))</f>
        <v/>
      </c>
      <c r="H22" s="3959" t="inlineStr">
        <is>
          <t>Med</t>
        </is>
      </c>
      <c r="I22" s="3959" t="inlineStr">
        <is>
          <t>Should resolve to 0 once linked</t>
        </is>
      </c>
    </row>
    <row r="23">
      <c r="A23" s="3959" t="inlineStr">
        <is>
          <t>QC_RECONS_OTH</t>
        </is>
      </c>
      <c r="B23" s="3959" t="inlineStr">
        <is>
          <t>Recons Other section checks</t>
        </is>
      </c>
      <c r="C23" s="3959" t="inlineStr">
        <is>
          <t>Recons</t>
        </is>
      </c>
      <c r="D23" s="3959" t="inlineStr">
        <is>
          <t>'Recons'!H36:H40</t>
        </is>
      </c>
      <c r="E23" s="3959" t="n">
        <v>0</v>
      </c>
      <c r="F23" s="3959">
        <f>IF(D23="","",SUMPRODUCT(ABS(INDIRECT(D23))))</f>
        <v/>
      </c>
      <c r="G23" s="3959">
        <f>IF(F23="","",IF(ABS(F23-E23)&lt;=0.01,TRUE,FALSE))</f>
        <v/>
      </c>
      <c r="H23" s="3959" t="inlineStr">
        <is>
          <t>Med</t>
        </is>
      </c>
      <c r="I23" s="3959" t="inlineStr">
        <is>
          <t>Should resolve to 0 once linked</t>
        </is>
      </c>
    </row>
    <row r="24">
      <c r="A24" s="3959" t="inlineStr">
        <is>
          <t>QC_AGING_AR</t>
        </is>
      </c>
      <c r="B24" s="3959" t="inlineStr">
        <is>
          <t>AR aging tie-out check</t>
        </is>
      </c>
      <c r="C24" s="3959" t="inlineStr">
        <is>
          <t>Agings</t>
        </is>
      </c>
      <c r="D24" s="3959" t="inlineStr">
        <is>
          <t>'Agings'!J17</t>
        </is>
      </c>
      <c r="E24" s="3959" t="n">
        <v>0</v>
      </c>
      <c r="F24" s="3959">
        <f>IF(D24="","",SUMPRODUCT(ABS(INDIRECT(D24))))</f>
        <v/>
      </c>
      <c r="G24" s="3959">
        <f>IF(F24="","",IF(ABS(F24-E24)&lt;=0.01,TRUE,FALSE))</f>
        <v/>
      </c>
      <c r="H24" s="3959" t="inlineStr">
        <is>
          <t>High</t>
        </is>
      </c>
      <c r="I24" s="3959" t="inlineStr">
        <is>
          <t>Should resolve to 0 once linked</t>
        </is>
      </c>
    </row>
    <row r="25">
      <c r="A25" s="3959" t="inlineStr">
        <is>
          <t>QC_AGING_AP</t>
        </is>
      </c>
      <c r="B25" s="3959" t="inlineStr">
        <is>
          <t>AP aging tie-out check</t>
        </is>
      </c>
      <c r="C25" s="3959" t="inlineStr">
        <is>
          <t>Agings</t>
        </is>
      </c>
      <c r="D25" s="3959" t="inlineStr">
        <is>
          <t>'Agings'!J33</t>
        </is>
      </c>
      <c r="E25" s="3959" t="n">
        <v>0</v>
      </c>
      <c r="F25" s="3959">
        <f>IF(D25="","",SUMPRODUCT(ABS(INDIRECT(D25))))</f>
        <v/>
      </c>
      <c r="G25" s="3959">
        <f>IF(F25="","",IF(ABS(F25-E25)&lt;=0.01,TRUE,FALSE))</f>
        <v/>
      </c>
      <c r="H25" s="3959" t="inlineStr">
        <is>
          <t>High</t>
        </is>
      </c>
      <c r="I25" s="3959" t="inlineStr">
        <is>
          <t>Should resolve to 0 once linked</t>
        </is>
      </c>
    </row>
    <row r="26">
      <c r="A26" s="3959" t="inlineStr">
        <is>
          <t>QC_AGING_ALL</t>
        </is>
      </c>
      <c r="B26" s="3959" t="inlineStr">
        <is>
          <t>Combined aging tie-out check</t>
        </is>
      </c>
      <c r="C26" s="3959" t="inlineStr">
        <is>
          <t>Agings</t>
        </is>
      </c>
      <c r="D26" s="3959" t="inlineStr">
        <is>
          <t>'Agings'!J40</t>
        </is>
      </c>
      <c r="E26" s="3959" t="n">
        <v>0</v>
      </c>
      <c r="F26" s="3959">
        <f>IF(D26="","",SUMPRODUCT(ABS(INDIRECT(D26))))</f>
        <v/>
      </c>
      <c r="G26" s="3959">
        <f>IF(F26="","",IF(ABS(F26-E26)&lt;=0.01,TRUE,FALSE))</f>
        <v/>
      </c>
      <c r="H26" s="3959" t="inlineStr">
        <is>
          <t>High</t>
        </is>
      </c>
      <c r="I26" s="3959" t="inlineStr">
        <is>
          <t>Should resolve to 0 once linked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R88"/>
  <sheetViews>
    <sheetView showGridLines="0" zoomScale="100" zoomScaleNormal="10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2" customWidth="1" min="3" max="3"/>
    <col width="16" customWidth="1" min="4" max="4"/>
    <col width="17" customWidth="1" min="5" max="5"/>
    <col width="17" customWidth="1" min="6" max="6"/>
    <col width="19" customWidth="1" min="7" max="7"/>
    <col width="20" customWidth="1" min="8" max="8"/>
    <col width="12" customWidth="1" min="9" max="9"/>
    <col width="15" customWidth="1" min="10" max="10"/>
    <col width="42" customWidth="1" min="11" max="11"/>
  </cols>
  <sheetData>
    <row r="1" ht="24" customHeight="1">
      <c r="A1" s="3863" t="inlineStr">
        <is>
          <t>Template | Index</t>
        </is>
      </c>
    </row>
    <row r="2">
      <c r="A2" s="3978" t="inlineStr">
        <is>
          <t>Source: &lt;document_source&gt;</t>
        </is>
      </c>
    </row>
    <row r="3">
      <c r="A3" s="3863" t="inlineStr">
        <is>
          <t>Manifest Block</t>
        </is>
      </c>
    </row>
    <row r="4">
      <c r="A4" s="3923" t="inlineStr">
        <is>
          <t>ModuleKey</t>
        </is>
      </c>
      <c r="B4" s="3923" t="inlineStr">
        <is>
          <t>ModuleName</t>
        </is>
      </c>
      <c r="C4" s="3923" t="inlineStr">
        <is>
          <t>SheetNames</t>
        </is>
      </c>
      <c r="D4" s="3923" t="inlineStr">
        <is>
          <t>Purpose</t>
        </is>
      </c>
      <c r="E4" s="3923" t="inlineStr">
        <is>
          <t>PrimaryInputs</t>
        </is>
      </c>
      <c r="F4" s="3923" t="inlineStr">
        <is>
          <t>Dependencies</t>
        </is>
      </c>
      <c r="G4" s="3923" t="inlineStr">
        <is>
          <t>TypicalUseCases</t>
        </is>
      </c>
      <c r="H4" s="3923" t="inlineStr">
        <is>
          <t>CanInstantiateMultiple</t>
        </is>
      </c>
    </row>
    <row r="5">
      <c r="A5" s="3969" t="inlineStr">
        <is>
          <t>CORE_CONTROLS</t>
        </is>
      </c>
      <c r="B5" s="3969" t="inlineStr">
        <is>
          <t>Controls</t>
        </is>
      </c>
      <c r="C5" s="3969" t="inlineStr">
        <is>
          <t>Control | Setup; Control | QC</t>
        </is>
      </c>
      <c r="D5" s="3969" t="inlineStr">
        <is>
          <t>Template controls and QC center</t>
        </is>
      </c>
      <c r="E5" s="3969" t="inlineStr">
        <is>
          <t>Manual setup</t>
        </is>
      </c>
      <c r="F5" s="3969" t="inlineStr">
        <is>
          <t>None</t>
        </is>
      </c>
      <c r="G5" s="3969" t="inlineStr">
        <is>
          <t>All deals</t>
        </is>
      </c>
      <c r="H5" s="3969" t="inlineStr">
        <is>
          <t>FALSE</t>
        </is>
      </c>
    </row>
    <row r="6">
      <c r="A6" s="3969" t="inlineStr">
        <is>
          <t>CORE_DATA</t>
        </is>
      </c>
      <c r="B6" s="3969" t="inlineStr">
        <is>
          <t>Data intake</t>
        </is>
      </c>
      <c r="C6" s="3969" t="inlineStr">
        <is>
          <t>Data | TB; Data | AR Aging; Data | AP Aging</t>
        </is>
      </c>
      <c r="D6" s="3969" t="inlineStr">
        <is>
          <t>Standardized data ingestion blocks</t>
        </is>
      </c>
      <c r="E6" s="3969" t="inlineStr">
        <is>
          <t>Client exports</t>
        </is>
      </c>
      <c r="F6" s="3969" t="inlineStr">
        <is>
          <t>Control | Setup</t>
        </is>
      </c>
      <c r="G6" s="3969" t="inlineStr">
        <is>
          <t>All deals</t>
        </is>
      </c>
      <c r="H6" s="3969" t="inlineStr">
        <is>
          <t>FALSE</t>
        </is>
      </c>
    </row>
    <row r="7">
      <c r="A7" s="3969" t="inlineStr">
        <is>
          <t>CORE_MAPPING</t>
        </is>
      </c>
      <c r="B7" s="3969" t="inlineStr">
        <is>
          <t>Mappings</t>
        </is>
      </c>
      <c r="C7" s="3969" t="inlineStr">
        <is>
          <t>Map | COA to Lines; Map | NWC &amp; NetDebt Class; Map | Entities</t>
        </is>
      </c>
      <c r="D7" s="3969" t="inlineStr">
        <is>
          <t>Account and classification mappings</t>
        </is>
      </c>
      <c r="E7" s="3969" t="inlineStr">
        <is>
          <t>TB + team mapping decisions</t>
        </is>
      </c>
      <c r="F7" s="3969" t="inlineStr">
        <is>
          <t>Data | TB</t>
        </is>
      </c>
      <c r="G7" s="3969" t="inlineStr">
        <is>
          <t>All deals</t>
        </is>
      </c>
      <c r="H7" s="3969" t="inlineStr">
        <is>
          <t>FALSE</t>
        </is>
      </c>
    </row>
    <row r="8">
      <c r="A8" s="3969" t="inlineStr">
        <is>
          <t>CORE_FINANCIALS</t>
        </is>
      </c>
      <c r="B8" s="3969" t="inlineStr">
        <is>
          <t>Financial statements</t>
        </is>
      </c>
      <c r="C8" s="3969" t="inlineStr">
        <is>
          <t>Financials&gt;&gt;; Combined | IS; Combined | BS; Combined | CF; Entity 1 | IS; Entity 1 | BS; Entity 1 | CF</t>
        </is>
      </c>
      <c r="D8" s="3969" t="inlineStr">
        <is>
          <t>Core financial statement scaffolds for combined and placeholder entity views</t>
        </is>
      </c>
      <c r="E8" s="3969" t="inlineStr">
        <is>
          <t>Control | Setup; Data | TB; Map | COA to Lines</t>
        </is>
      </c>
      <c r="F8" s="3969" t="inlineStr">
        <is>
          <t>Pack A tabs</t>
        </is>
      </c>
      <c r="G8" s="3969" t="inlineStr">
        <is>
          <t>All deals</t>
        </is>
      </c>
      <c r="H8" s="3969" t="inlineStr">
        <is>
          <t>TRUE</t>
        </is>
      </c>
    </row>
    <row r="9">
      <c r="A9" s="3969" t="inlineStr">
        <is>
          <t>CORE_QOFE</t>
        </is>
      </c>
      <c r="B9" s="3969" t="inlineStr">
        <is>
          <t>QofE</t>
        </is>
      </c>
      <c r="C9" s="3969" t="inlineStr">
        <is>
          <t>QofE&gt;&gt;; QofE | Summary; QofE | Detail</t>
        </is>
      </c>
      <c r="D9" s="3969" t="inlineStr">
        <is>
          <t>QofE scaffold outputs</t>
        </is>
      </c>
      <c r="E9" s="3969" t="inlineStr">
        <is>
          <t>Control | Setup; Data | TB; Map | COA to Lines</t>
        </is>
      </c>
      <c r="F9" s="3969" t="inlineStr">
        <is>
          <t>Pack A</t>
        </is>
      </c>
      <c r="G9" s="3969" t="inlineStr">
        <is>
          <t>All deals</t>
        </is>
      </c>
      <c r="H9" s="3969" t="inlineStr">
        <is>
          <t>FALSE</t>
        </is>
      </c>
    </row>
    <row r="10">
      <c r="A10" s="3969" t="inlineStr">
        <is>
          <t>CORE_NWC</t>
        </is>
      </c>
      <c r="B10" s="3969" t="inlineStr">
        <is>
          <t>NWC</t>
        </is>
      </c>
      <c r="C10" s="3969" t="inlineStr">
        <is>
          <t>NWC&gt;&gt;; NWC | Summary; NWC | Detail; NWC | Days; Stratified | BS</t>
        </is>
      </c>
      <c r="D10" s="3969" t="inlineStr">
        <is>
          <t>NWC and stratification scaffolds</t>
        </is>
      </c>
      <c r="E10" s="3969" t="inlineStr">
        <is>
          <t>Control | Setup; Data | TB; Map | NWC &amp; NetDebt Class</t>
        </is>
      </c>
      <c r="F10" s="3969" t="inlineStr">
        <is>
          <t>Pack A</t>
        </is>
      </c>
      <c r="G10" s="3969" t="inlineStr">
        <is>
          <t>All deals</t>
        </is>
      </c>
      <c r="H10" s="3969" t="inlineStr">
        <is>
          <t>FALSE</t>
        </is>
      </c>
    </row>
    <row r="11">
      <c r="A11" s="3969" t="inlineStr">
        <is>
          <t>CORE_NETDEBT</t>
        </is>
      </c>
      <c r="B11" s="3969" t="inlineStr">
        <is>
          <t>Net debt</t>
        </is>
      </c>
      <c r="C11" s="3969" t="inlineStr">
        <is>
          <t>Net_debt</t>
        </is>
      </c>
      <c r="D11" s="3969" t="inlineStr">
        <is>
          <t>Net debt scaffold output</t>
        </is>
      </c>
      <c r="E11" s="3969" t="inlineStr">
        <is>
          <t>Map | NWC &amp; NetDebt Class; Stratified | BS</t>
        </is>
      </c>
      <c r="F11" s="3969" t="inlineStr">
        <is>
          <t>CORE_NWC</t>
        </is>
      </c>
      <c r="G11" s="3969" t="inlineStr">
        <is>
          <t>All deals</t>
        </is>
      </c>
      <c r="H11" s="3969" t="inlineStr">
        <is>
          <t>FALSE</t>
        </is>
      </c>
    </row>
    <row r="12">
      <c r="A12" s="3969" t="inlineStr">
        <is>
          <t>CORE_RECONS</t>
        </is>
      </c>
      <c r="B12" s="3969" t="inlineStr">
        <is>
          <t>Reconciliations</t>
        </is>
      </c>
      <c r="C12" s="3969" t="inlineStr">
        <is>
          <t>Recons</t>
        </is>
      </c>
      <c r="D12" s="3969" t="inlineStr">
        <is>
          <t>Cross-tab reconciliation mini-grids</t>
        </is>
      </c>
      <c r="E12" s="3969" t="inlineStr">
        <is>
          <t>Core output checks</t>
        </is>
      </c>
      <c r="F12" s="3969" t="inlineStr">
        <is>
          <t>Combined | IS; Combined | BS; Combined | CF</t>
        </is>
      </c>
      <c r="G12" s="3969" t="inlineStr">
        <is>
          <t>All deals</t>
        </is>
      </c>
      <c r="H12" s="3969" t="inlineStr">
        <is>
          <t>FALSE</t>
        </is>
      </c>
    </row>
    <row r="13">
      <c r="A13" s="3969" t="inlineStr">
        <is>
          <t>CORE_AGINGS</t>
        </is>
      </c>
      <c r="B13" s="3969" t="inlineStr">
        <is>
          <t>Agings</t>
        </is>
      </c>
      <c r="C13" s="3969" t="inlineStr">
        <is>
          <t>Agings</t>
        </is>
      </c>
      <c r="D13" s="3969" t="inlineStr">
        <is>
          <t>AR/AP aging blocks with canonical buckets and tie-outs</t>
        </is>
      </c>
      <c r="E13" s="3969" t="inlineStr">
        <is>
          <t>Data | AR Aging; Data | AP Aging</t>
        </is>
      </c>
      <c r="F13" s="3969" t="inlineStr">
        <is>
          <t>Combined | BS</t>
        </is>
      </c>
      <c r="G13" s="3969" t="inlineStr">
        <is>
          <t>All deals</t>
        </is>
      </c>
      <c r="H13" s="3969" t="inlineStr">
        <is>
          <t>FALSE</t>
        </is>
      </c>
    </row>
    <row r="14">
      <c r="A14" s="3969" t="inlineStr">
        <is>
          <t>CORE_QC</t>
        </is>
      </c>
      <c r="B14" s="3969" t="inlineStr">
        <is>
          <t>QC dashboard</t>
        </is>
      </c>
      <c r="C14" s="3969" t="inlineStr">
        <is>
          <t>Control | QC</t>
        </is>
      </c>
      <c r="D14" s="3969" t="inlineStr">
        <is>
          <t>Centralized workbook check status</t>
        </is>
      </c>
      <c r="E14" s="3969" t="inlineStr">
        <is>
          <t>Check cells across core sheets</t>
        </is>
      </c>
      <c r="F14" s="3969" t="inlineStr">
        <is>
          <t>All core modules</t>
        </is>
      </c>
      <c r="G14" s="3969" t="inlineStr">
        <is>
          <t>All deals</t>
        </is>
      </c>
      <c r="H14" s="3969" t="inlineStr">
        <is>
          <t>FALSE</t>
        </is>
      </c>
    </row>
    <row r="15">
      <c r="A15" s="3969" t="inlineStr">
        <is>
          <t>CORE_COVER</t>
        </is>
      </c>
      <c r="B15" s="3969" t="inlineStr">
        <is>
          <t>Cover</t>
        </is>
      </c>
      <c r="C15" s="3969" t="inlineStr">
        <is>
          <t>Cover</t>
        </is>
      </c>
      <c r="D15" s="3969" t="inlineStr">
        <is>
          <t>Workbook landing and navigation dashboard</t>
        </is>
      </c>
      <c r="E15" s="3969" t="inlineStr">
        <is>
          <t>Control | QC</t>
        </is>
      </c>
      <c r="F15" s="3969" t="inlineStr">
        <is>
          <t>All modules</t>
        </is>
      </c>
      <c r="G15" s="3969" t="inlineStr">
        <is>
          <t>All deals</t>
        </is>
      </c>
      <c r="H15" s="3969" t="inlineStr">
        <is>
          <t>FALSE</t>
        </is>
      </c>
    </row>
    <row r="16">
      <c r="A16" s="3969" t="inlineStr">
        <is>
          <t>MOD_PERSONNEL</t>
        </is>
      </c>
      <c r="B16" s="3969" t="inlineStr">
        <is>
          <t>Personnel</t>
        </is>
      </c>
      <c r="C16" s="3969" t="inlineStr">
        <is>
          <t>Personnel</t>
        </is>
      </c>
      <c r="D16" s="3969" t="inlineStr">
        <is>
          <t>Personnel analytics scaffold</t>
        </is>
      </c>
      <c r="E16" s="3969" t="inlineStr">
        <is>
          <t>Data | TB</t>
        </is>
      </c>
      <c r="F16" s="3969" t="inlineStr">
        <is>
          <t>Control | Setup; Map | COA to Lines</t>
        </is>
      </c>
      <c r="G16" s="3969" t="inlineStr">
        <is>
          <t>Deals with payroll workstreams</t>
        </is>
      </c>
      <c r="H16" s="3969" t="inlineStr">
        <is>
          <t>FALSE</t>
        </is>
      </c>
    </row>
    <row r="17">
      <c r="A17" s="3969" t="inlineStr">
        <is>
          <t>MOD_CAPEX</t>
        </is>
      </c>
      <c r="B17" s="3969" t="inlineStr">
        <is>
          <t>Capex</t>
        </is>
      </c>
      <c r="C17" s="3969" t="inlineStr">
        <is>
          <t>Capex</t>
        </is>
      </c>
      <c r="D17" s="3969" t="inlineStr">
        <is>
          <t>Capex analytics scaffold</t>
        </is>
      </c>
      <c r="E17" s="3969" t="inlineStr">
        <is>
          <t>Data | TB</t>
        </is>
      </c>
      <c r="F17" s="3969" t="inlineStr">
        <is>
          <t>Control | Setup; Map | COA to Lines</t>
        </is>
      </c>
      <c r="G17" s="3969" t="inlineStr">
        <is>
          <t>Capex-heavy deals</t>
        </is>
      </c>
      <c r="H17" s="3969" t="inlineStr">
        <is>
          <t>FALSE</t>
        </is>
      </c>
    </row>
    <row r="18">
      <c r="A18" s="3969" t="inlineStr">
        <is>
          <t>MOD_LEASES</t>
        </is>
      </c>
      <c r="B18" s="3969" t="inlineStr">
        <is>
          <t>Leases</t>
        </is>
      </c>
      <c r="C18" s="3969" t="inlineStr">
        <is>
          <t>Leases</t>
        </is>
      </c>
      <c r="D18" s="3969" t="inlineStr">
        <is>
          <t>Leases analytics scaffold</t>
        </is>
      </c>
      <c r="E18" s="3969" t="inlineStr">
        <is>
          <t>Lease schedules; Data | TB</t>
        </is>
      </c>
      <c r="F18" s="3969" t="inlineStr">
        <is>
          <t>Control | Setup; Map | COA to Lines</t>
        </is>
      </c>
      <c r="G18" s="3969" t="inlineStr">
        <is>
          <t>Deals with material leasing</t>
        </is>
      </c>
      <c r="H18" s="3969" t="inlineStr">
        <is>
          <t>FALSE</t>
        </is>
      </c>
    </row>
    <row r="19">
      <c r="A19" s="3969" t="inlineStr">
        <is>
          <t>MOD_OTHER_ANALYSIS</t>
        </is>
      </c>
      <c r="B19" s="3969" t="inlineStr">
        <is>
          <t>Other analysis</t>
        </is>
      </c>
      <c r="C19" s="3969" t="inlineStr">
        <is>
          <t>Other | Analysis</t>
        </is>
      </c>
      <c r="D19" s="3969" t="inlineStr">
        <is>
          <t>Flexible analysis scaffold</t>
        </is>
      </c>
      <c r="E19" s="3969" t="inlineStr">
        <is>
          <t>Deal-specific supporting data</t>
        </is>
      </c>
      <c r="F19" s="3969" t="inlineStr">
        <is>
          <t>Control | Setup</t>
        </is>
      </c>
      <c r="G19" s="3969" t="inlineStr">
        <is>
          <t>Custom analyses</t>
        </is>
      </c>
      <c r="H19" s="3969" t="inlineStr">
        <is>
          <t>FALSE</t>
        </is>
      </c>
    </row>
    <row r="20"/>
    <row r="21"/>
    <row r="22"/>
    <row r="23"/>
    <row r="24">
      <c r="A24" s="3972" t="inlineStr">
        <is>
          <t>Index Block</t>
        </is>
      </c>
      <c r="B24" s="3969" t="n"/>
      <c r="C24" s="3969" t="n"/>
      <c r="D24" s="3969" t="n"/>
      <c r="E24" s="3969" t="n"/>
      <c r="F24" s="3969" t="n"/>
      <c r="G24" s="3969" t="n"/>
      <c r="H24" s="3969" t="n"/>
    </row>
    <row r="25"/>
    <row r="26">
      <c r="A26" s="3969" t="inlineStr">
        <is>
          <t>Template | Index</t>
        </is>
      </c>
      <c r="B26" s="3969" t="n"/>
      <c r="C26" s="3969" t="n"/>
      <c r="D26" s="3969" t="n"/>
      <c r="E26" s="3969" t="n"/>
      <c r="F26" s="3969" t="n"/>
      <c r="G26" s="3969" t="n"/>
      <c r="H26" s="3969" t="n"/>
      <c r="I26" s="3934" t="n"/>
      <c r="J26" s="3934" t="n"/>
      <c r="K26" s="3934" t="n"/>
      <c r="L26" s="3934" t="n"/>
      <c r="M26" s="3934" t="n"/>
      <c r="N26" s="3934" t="n"/>
      <c r="O26" s="3934" t="n"/>
      <c r="P26" s="3934" t="n"/>
      <c r="Q26" s="3934" t="n"/>
      <c r="R26" s="3934" t="n"/>
      <c r="S26" s="3934" t="n"/>
      <c r="T26" s="3934" t="n"/>
      <c r="U26" s="3934" t="n"/>
      <c r="V26" s="3934" t="n"/>
      <c r="W26" s="3934" t="n"/>
      <c r="X26" s="3934" t="n"/>
      <c r="Y26" s="3934" t="n"/>
      <c r="Z26" s="3934" t="n"/>
      <c r="AA26" s="3934" t="n"/>
      <c r="AB26" s="3934" t="n"/>
      <c r="AC26" s="3934" t="n"/>
      <c r="AD26" s="3934" t="n"/>
      <c r="AE26" s="3934" t="n"/>
      <c r="AF26" s="3934" t="n"/>
      <c r="AG26" s="3934" t="n"/>
      <c r="AH26" s="3934" t="n"/>
      <c r="AI26" s="3934" t="n"/>
      <c r="AJ26" s="3934" t="n"/>
      <c r="AK26" s="3934" t="n"/>
      <c r="AL26" s="3934" t="n"/>
      <c r="AM26" s="3934" t="n"/>
      <c r="AN26" s="3934" t="n"/>
      <c r="AO26" s="3934" t="n"/>
      <c r="AP26" s="3934" t="n"/>
      <c r="AQ26" s="3934" t="n"/>
      <c r="AR26" s="3934" t="n"/>
    </row>
    <row r="27">
      <c r="A27" s="3969" t="inlineStr">
        <is>
          <t>Deterministic block coordinate index (fixed anchors, no named ranges required).</t>
        </is>
      </c>
      <c r="B27" s="3969" t="n"/>
      <c r="C27" s="3969" t="n"/>
      <c r="D27" s="3969" t="n"/>
      <c r="E27" s="3969" t="n"/>
      <c r="F27" s="3969" t="n"/>
      <c r="G27" s="3969" t="n"/>
      <c r="H27" s="3969" t="n"/>
      <c r="I27" s="3934" t="n"/>
      <c r="J27" s="3934" t="n"/>
      <c r="K27" s="3934" t="n"/>
      <c r="L27" s="3934" t="n"/>
      <c r="M27" s="3934" t="n"/>
      <c r="N27" s="3934" t="n"/>
      <c r="O27" s="3934" t="n"/>
      <c r="P27" s="3934" t="n"/>
      <c r="Q27" s="3934" t="n"/>
      <c r="R27" s="3934" t="n"/>
      <c r="S27" s="3934" t="n"/>
      <c r="T27" s="3934" t="n"/>
      <c r="U27" s="3934" t="n"/>
      <c r="V27" s="3934" t="n"/>
      <c r="W27" s="3934" t="n"/>
      <c r="X27" s="3934" t="n"/>
      <c r="Y27" s="3934" t="n"/>
      <c r="Z27" s="3934" t="n"/>
      <c r="AA27" s="3934" t="n"/>
      <c r="AB27" s="3934" t="n"/>
      <c r="AC27" s="3934" t="n"/>
      <c r="AD27" s="3934" t="n"/>
      <c r="AE27" s="3934" t="n"/>
      <c r="AF27" s="3934" t="n"/>
      <c r="AG27" s="3934" t="n"/>
      <c r="AH27" s="3934" t="n"/>
      <c r="AI27" s="3934" t="n"/>
      <c r="AJ27" s="3934" t="n"/>
      <c r="AK27" s="3934" t="n"/>
      <c r="AL27" s="3934" t="n"/>
      <c r="AM27" s="3934" t="n"/>
      <c r="AN27" s="3934" t="n"/>
      <c r="AO27" s="3934" t="n"/>
      <c r="AP27" s="3934" t="n"/>
      <c r="AQ27" s="3934" t="n"/>
      <c r="AR27" s="3934" t="n"/>
    </row>
    <row r="28">
      <c r="A28" s="3934" t="n"/>
      <c r="B28" s="3934" t="n"/>
      <c r="C28" s="3934" t="n"/>
      <c r="D28" s="3934" t="n"/>
      <c r="E28" s="3934" t="n"/>
      <c r="F28" s="3934" t="n"/>
      <c r="G28" s="3934" t="n"/>
      <c r="H28" s="3934" t="n"/>
      <c r="I28" s="3934" t="n"/>
      <c r="J28" s="3934" t="n"/>
      <c r="K28" s="3934" t="n"/>
      <c r="L28" s="3934" t="n"/>
      <c r="M28" s="3934" t="n"/>
      <c r="N28" s="3934" t="n"/>
      <c r="O28" s="3934" t="n"/>
      <c r="P28" s="3934" t="n"/>
      <c r="Q28" s="3934" t="n"/>
      <c r="R28" s="3934" t="n"/>
      <c r="S28" s="3934" t="n"/>
      <c r="T28" s="3934" t="n"/>
      <c r="U28" s="3934" t="n"/>
      <c r="V28" s="3934" t="n"/>
      <c r="W28" s="3934" t="n"/>
      <c r="X28" s="3934" t="n"/>
      <c r="Y28" s="3934" t="n"/>
      <c r="Z28" s="3934" t="n"/>
      <c r="AA28" s="3934" t="n"/>
      <c r="AB28" s="3934" t="n"/>
      <c r="AC28" s="3934" t="n"/>
      <c r="AD28" s="3934" t="n"/>
      <c r="AE28" s="3934" t="n"/>
      <c r="AF28" s="3934" t="n"/>
      <c r="AG28" s="3934" t="n"/>
      <c r="AH28" s="3934" t="n"/>
      <c r="AI28" s="3934" t="n"/>
      <c r="AJ28" s="3934" t="n"/>
      <c r="AK28" s="3934" t="n"/>
      <c r="AL28" s="3934" t="n"/>
      <c r="AM28" s="3934" t="n"/>
      <c r="AN28" s="3934" t="n"/>
      <c r="AO28" s="3934" t="n"/>
      <c r="AP28" s="3934" t="n"/>
      <c r="AQ28" s="3934" t="n"/>
      <c r="AR28" s="3934" t="n"/>
    </row>
    <row r="29">
      <c r="A29" s="3973" t="inlineStr">
        <is>
          <t>Template Note</t>
        </is>
      </c>
      <c r="B29" s="3974" t="inlineStr">
        <is>
          <t>Pack A scaffold only: direct formulas/values, no Excel Tables, no required named ranges.</t>
        </is>
      </c>
      <c r="C29" s="3969" t="n"/>
      <c r="D29" s="3969" t="n"/>
      <c r="E29" s="3969" t="n"/>
      <c r="F29" s="3969" t="n"/>
      <c r="G29" s="3969" t="n"/>
      <c r="H29" s="3969" t="n"/>
      <c r="I29" s="3934" t="n"/>
      <c r="J29" s="3934" t="n"/>
      <c r="K29" s="3934" t="n"/>
      <c r="L29" s="3934" t="n"/>
      <c r="M29" s="3934" t="n"/>
      <c r="N29" s="3934" t="n"/>
      <c r="O29" s="3934" t="n"/>
      <c r="P29" s="3934" t="n"/>
      <c r="Q29" s="3934" t="n"/>
      <c r="R29" s="3934" t="n"/>
      <c r="S29" s="3934" t="n"/>
      <c r="T29" s="3934" t="n"/>
      <c r="U29" s="3934" t="n"/>
      <c r="V29" s="3934" t="n"/>
      <c r="W29" s="3934" t="n"/>
      <c r="X29" s="3934" t="n"/>
      <c r="Y29" s="3934" t="n"/>
      <c r="Z29" s="3934" t="n"/>
      <c r="AA29" s="3934" t="n"/>
      <c r="AB29" s="3934" t="n"/>
      <c r="AC29" s="3934" t="n"/>
      <c r="AD29" s="3934" t="n"/>
      <c r="AE29" s="3934" t="n"/>
      <c r="AF29" s="3934" t="n"/>
      <c r="AG29" s="3934" t="n"/>
      <c r="AH29" s="3934" t="n"/>
      <c r="AI29" s="3934" t="n"/>
      <c r="AJ29" s="3934" t="n"/>
      <c r="AK29" s="3934" t="n"/>
      <c r="AL29" s="3934" t="n"/>
      <c r="AM29" s="3934" t="n"/>
      <c r="AN29" s="3934" t="n"/>
      <c r="AO29" s="3934" t="n"/>
      <c r="AP29" s="3934" t="n"/>
      <c r="AQ29" s="3934" t="n"/>
      <c r="AR29" s="3934" t="n"/>
    </row>
    <row r="30">
      <c r="A30" s="3934" t="n"/>
      <c r="B30" s="3934" t="n"/>
      <c r="C30" s="3934" t="n"/>
      <c r="D30" s="3934" t="n"/>
      <c r="E30" s="3934" t="n"/>
      <c r="F30" s="3934" t="n"/>
      <c r="G30" s="3934" t="n"/>
      <c r="H30" s="3934" t="n"/>
      <c r="I30" s="3934" t="n"/>
      <c r="J30" s="3934" t="n"/>
      <c r="K30" s="3934" t="n"/>
      <c r="L30" s="3934" t="n"/>
      <c r="M30" s="3934" t="n"/>
      <c r="N30" s="3934" t="n"/>
      <c r="O30" s="3934" t="n"/>
      <c r="P30" s="3934" t="n"/>
      <c r="Q30" s="3934" t="n"/>
      <c r="R30" s="3934" t="n"/>
      <c r="S30" s="3934" t="n"/>
      <c r="T30" s="3934" t="n"/>
      <c r="U30" s="3934" t="n"/>
      <c r="V30" s="3934" t="n"/>
      <c r="W30" s="3934" t="n"/>
      <c r="X30" s="3934" t="n"/>
      <c r="Y30" s="3934" t="n"/>
      <c r="Z30" s="3934" t="n"/>
      <c r="AA30" s="3934" t="n"/>
      <c r="AB30" s="3934" t="n"/>
      <c r="AC30" s="3934" t="n"/>
      <c r="AD30" s="3934" t="n"/>
      <c r="AE30" s="3934" t="n"/>
      <c r="AF30" s="3934" t="n"/>
      <c r="AG30" s="3934" t="n"/>
      <c r="AH30" s="3934" t="n"/>
      <c r="AI30" s="3934" t="n"/>
      <c r="AJ30" s="3934" t="n"/>
      <c r="AK30" s="3934" t="n"/>
      <c r="AL30" s="3934" t="n"/>
      <c r="AM30" s="3934" t="n"/>
      <c r="AN30" s="3934" t="n"/>
      <c r="AO30" s="3934" t="n"/>
      <c r="AP30" s="3934" t="n"/>
      <c r="AQ30" s="3934" t="n"/>
      <c r="AR30" s="3934" t="n"/>
    </row>
    <row r="31">
      <c r="A31" s="3934" t="n"/>
      <c r="B31" s="3934" t="n"/>
      <c r="C31" s="3934" t="n"/>
      <c r="D31" s="3934" t="n"/>
      <c r="E31" s="3934" t="n"/>
      <c r="F31" s="3934" t="n"/>
      <c r="G31" s="3934" t="n"/>
      <c r="H31" s="3934" t="n"/>
      <c r="I31" s="3934" t="n"/>
      <c r="J31" s="3934" t="n"/>
      <c r="K31" s="3934" t="n"/>
      <c r="L31" s="3934" t="n"/>
      <c r="M31" s="3934" t="n"/>
      <c r="N31" s="3934" t="n"/>
      <c r="O31" s="3934" t="n"/>
      <c r="P31" s="3934" t="n"/>
      <c r="Q31" s="3934" t="n"/>
      <c r="R31" s="3934" t="n"/>
      <c r="S31" s="3934" t="n"/>
      <c r="T31" s="3934" t="n"/>
      <c r="U31" s="3934" t="n"/>
      <c r="V31" s="3934" t="n"/>
      <c r="W31" s="3934" t="n"/>
      <c r="X31" s="3934" t="n"/>
      <c r="Y31" s="3934" t="n"/>
      <c r="Z31" s="3934" t="n"/>
      <c r="AA31" s="3934" t="n"/>
      <c r="AB31" s="3934" t="n"/>
      <c r="AC31" s="3934" t="n"/>
      <c r="AD31" s="3934" t="n"/>
      <c r="AE31" s="3934" t="n"/>
      <c r="AF31" s="3934" t="n"/>
      <c r="AG31" s="3934" t="n"/>
      <c r="AH31" s="3934" t="n"/>
      <c r="AI31" s="3934" t="n"/>
      <c r="AJ31" s="3934" t="n"/>
      <c r="AK31" s="3934" t="n"/>
      <c r="AL31" s="3934" t="n"/>
      <c r="AM31" s="3934" t="n"/>
      <c r="AN31" s="3934" t="n"/>
      <c r="AO31" s="3934" t="n"/>
      <c r="AP31" s="3934" t="n"/>
      <c r="AQ31" s="3934" t="n"/>
      <c r="AR31" s="3934" t="n"/>
    </row>
    <row r="32">
      <c r="A32" s="3979" t="inlineStr">
        <is>
          <t>Template | Index</t>
        </is>
      </c>
      <c r="B32" s="3980" t="n"/>
      <c r="C32" s="3980" t="n"/>
      <c r="D32" s="3980" t="n"/>
      <c r="E32" s="3980" t="n"/>
      <c r="F32" s="3980" t="n"/>
      <c r="G32" s="3980" t="n"/>
      <c r="H32" s="3980" t="n"/>
      <c r="I32" s="3980" t="n"/>
      <c r="J32" s="3980" t="n"/>
      <c r="K32" s="3980" t="n"/>
      <c r="L32" s="3934" t="n"/>
      <c r="M32" s="3934" t="n"/>
      <c r="N32" s="3934" t="n"/>
      <c r="O32" s="3934" t="n"/>
      <c r="P32" s="3934" t="n"/>
      <c r="Q32" s="3934" t="n"/>
      <c r="R32" s="3934" t="n"/>
      <c r="S32" s="3934" t="n"/>
      <c r="T32" s="3934" t="n"/>
      <c r="U32" s="3934" t="n"/>
      <c r="V32" s="3934" t="n"/>
      <c r="W32" s="3934" t="n"/>
      <c r="X32" s="3934" t="n"/>
      <c r="Y32" s="3934" t="n"/>
      <c r="Z32" s="3934" t="n"/>
      <c r="AA32" s="3934" t="n"/>
      <c r="AB32" s="3934" t="n"/>
      <c r="AC32" s="3934" t="n"/>
      <c r="AD32" s="3934" t="n"/>
      <c r="AE32" s="3934" t="n"/>
      <c r="AF32" s="3934" t="n"/>
      <c r="AG32" s="3934" t="n"/>
      <c r="AH32" s="3934" t="n"/>
      <c r="AI32" s="3934" t="n"/>
      <c r="AJ32" s="3934" t="n"/>
      <c r="AK32" s="3934" t="n"/>
      <c r="AL32" s="3934" t="n"/>
      <c r="AM32" s="3934" t="n"/>
      <c r="AN32" s="3934" t="n"/>
      <c r="AO32" s="3934" t="n"/>
      <c r="AP32" s="3934" t="n"/>
      <c r="AQ32" s="3934" t="n"/>
      <c r="AR32" s="3934" t="n"/>
    </row>
    <row r="33">
      <c r="A33" s="3923" t="inlineStr">
        <is>
          <t>SheetName</t>
        </is>
      </c>
      <c r="B33" s="3923" t="inlineStr">
        <is>
          <t>BlockKey</t>
        </is>
      </c>
      <c r="C33" s="3923" t="inlineStr">
        <is>
          <t>TopLeftCell</t>
        </is>
      </c>
      <c r="D33" s="3923" t="inlineStr">
        <is>
          <t>HeaderRowNumber</t>
        </is>
      </c>
      <c r="E33" s="3923" t="inlineStr">
        <is>
          <t>FirstDataRowNumber</t>
        </is>
      </c>
      <c r="F33" s="3923" t="inlineStr">
        <is>
          <t>PeriodStartColumn</t>
        </is>
      </c>
      <c r="G33" s="3923" t="inlineStr">
        <is>
          <t>PeriodHeaderRowNumber</t>
        </is>
      </c>
      <c r="H33" s="3923" t="inlineStr">
        <is>
          <t>NotesPanelTopLeftCell</t>
        </is>
      </c>
      <c r="I33" s="3923" t="inlineStr">
        <is>
          <t>OutputType</t>
        </is>
      </c>
      <c r="J33" s="3923" t="inlineStr">
        <is>
          <t>RefreshRequired</t>
        </is>
      </c>
      <c r="K33" s="3923" t="inlineStr">
        <is>
          <t>ValidationRule</t>
        </is>
      </c>
      <c r="L33" s="3934" t="n"/>
      <c r="M33" s="3934" t="n"/>
      <c r="N33" s="3934" t="n"/>
      <c r="O33" s="3934" t="n"/>
      <c r="P33" s="3934" t="n"/>
      <c r="Q33" s="3934" t="n"/>
      <c r="R33" s="3934" t="n"/>
      <c r="S33" s="3934" t="n"/>
      <c r="T33" s="3934" t="n"/>
      <c r="U33" s="3934" t="n"/>
      <c r="V33" s="3934" t="n"/>
      <c r="W33" s="3934" t="n"/>
      <c r="X33" s="3934" t="n"/>
      <c r="Y33" s="3934" t="n"/>
      <c r="Z33" s="3934" t="n"/>
      <c r="AA33" s="3934" t="n"/>
      <c r="AB33" s="3934" t="n"/>
      <c r="AC33" s="3934" t="n"/>
      <c r="AD33" s="3934" t="n"/>
      <c r="AE33" s="3934" t="n"/>
      <c r="AF33" s="3934" t="n"/>
      <c r="AG33" s="3934" t="n"/>
      <c r="AH33" s="3934" t="n"/>
      <c r="AI33" s="3934" t="n"/>
      <c r="AJ33" s="3934" t="n"/>
      <c r="AK33" s="3934" t="n"/>
      <c r="AL33" s="3934" t="n"/>
      <c r="AM33" s="3934" t="n"/>
      <c r="AN33" s="3934" t="n"/>
      <c r="AO33" s="3934" t="n"/>
      <c r="AP33" s="3934" t="n"/>
      <c r="AQ33" s="3934" t="n"/>
      <c r="AR33" s="3934" t="n"/>
    </row>
    <row r="34">
      <c r="A34" s="3969" t="inlineStr">
        <is>
          <t>Control | Setup</t>
        </is>
      </c>
      <c r="B34" s="3969" t="inlineStr">
        <is>
          <t>CONTROL_SETUP_FIELDS</t>
        </is>
      </c>
      <c r="C34" s="3969" t="inlineStr">
        <is>
          <t>A7</t>
        </is>
      </c>
      <c r="D34" s="3969" t="n">
        <v>7</v>
      </c>
      <c r="E34" s="3969" t="n">
        <v>8</v>
      </c>
      <c r="F34" s="3969" t="inlineStr"/>
      <c r="G34" s="3969" t="inlineStr"/>
      <c r="H34" s="3969" t="inlineStr"/>
      <c r="I34" s="3969" t="inlineStr">
        <is>
          <t>grid</t>
        </is>
      </c>
      <c r="J34" s="3969" t="inlineStr">
        <is>
          <t>FALSE</t>
        </is>
      </c>
      <c r="K34" s="3969" t="inlineStr">
        <is>
          <t>FYEndMonth in B12; LatestMonthEnd in B13</t>
        </is>
      </c>
      <c r="L34" s="3934" t="n"/>
      <c r="M34" s="3934" t="n"/>
      <c r="N34" s="3934" t="n"/>
      <c r="O34" s="3934" t="n"/>
      <c r="P34" s="3934" t="n"/>
      <c r="Q34" s="3934" t="n"/>
      <c r="R34" s="3934" t="n"/>
      <c r="S34" s="3934" t="n"/>
      <c r="T34" s="3934" t="n"/>
      <c r="U34" s="3934" t="n"/>
      <c r="V34" s="3934" t="n"/>
      <c r="W34" s="3934" t="n"/>
      <c r="X34" s="3934" t="n"/>
      <c r="Y34" s="3934" t="n"/>
      <c r="Z34" s="3934" t="n"/>
      <c r="AA34" s="3934" t="n"/>
      <c r="AB34" s="3934" t="n"/>
      <c r="AC34" s="3934" t="n"/>
      <c r="AD34" s="3934" t="n"/>
      <c r="AE34" s="3934" t="n"/>
      <c r="AF34" s="3934" t="n"/>
      <c r="AG34" s="3934" t="n"/>
      <c r="AH34" s="3934" t="n"/>
      <c r="AI34" s="3934" t="n"/>
      <c r="AJ34" s="3934" t="n"/>
      <c r="AK34" s="3934" t="n"/>
      <c r="AL34" s="3934" t="n"/>
      <c r="AM34" s="3934" t="n"/>
      <c r="AN34" s="3934" t="n"/>
      <c r="AO34" s="3934" t="n"/>
      <c r="AP34" s="3934" t="n"/>
      <c r="AQ34" s="3934" t="n"/>
      <c r="AR34" s="3934" t="n"/>
    </row>
    <row r="35">
      <c r="A35" s="3969" t="inlineStr">
        <is>
          <t>Control | Setup</t>
        </is>
      </c>
      <c r="B35" s="3969" t="inlineStr">
        <is>
          <t>PERIODS_BLOCK</t>
        </is>
      </c>
      <c r="C35" s="3969" t="inlineStr">
        <is>
          <t>A20</t>
        </is>
      </c>
      <c r="D35" s="3969" t="n">
        <v>20</v>
      </c>
      <c r="E35" s="3969" t="n">
        <v>22</v>
      </c>
      <c r="F35" s="3969" t="inlineStr">
        <is>
          <t>A</t>
        </is>
      </c>
      <c r="G35" s="3969" t="n">
        <v>21</v>
      </c>
      <c r="H35" s="3969" t="n"/>
      <c r="I35" s="3969" t="inlineStr">
        <is>
          <t>grid</t>
        </is>
      </c>
      <c r="J35" s="3969" t="inlineStr">
        <is>
          <t>FALSE</t>
        </is>
      </c>
      <c r="K35" s="3969" t="inlineStr">
        <is>
          <t>A22:A299 must be month-end dates</t>
        </is>
      </c>
      <c r="L35" s="3934" t="n"/>
      <c r="M35" s="3934" t="n"/>
      <c r="N35" s="3934" t="n"/>
      <c r="O35" s="3934" t="n"/>
      <c r="P35" s="3934" t="n"/>
      <c r="Q35" s="3934" t="n"/>
      <c r="R35" s="3934" t="n"/>
      <c r="S35" s="3934" t="n"/>
      <c r="T35" s="3934" t="n"/>
      <c r="U35" s="3934" t="n"/>
      <c r="V35" s="3934" t="n"/>
      <c r="W35" s="3934" t="n"/>
      <c r="X35" s="3934" t="n"/>
      <c r="Y35" s="3934" t="n"/>
      <c r="Z35" s="3934" t="n"/>
      <c r="AA35" s="3934" t="n"/>
      <c r="AB35" s="3934" t="n"/>
      <c r="AC35" s="3934" t="n"/>
      <c r="AD35" s="3934" t="n"/>
      <c r="AE35" s="3934" t="n"/>
      <c r="AF35" s="3934" t="n"/>
      <c r="AG35" s="3934" t="n"/>
      <c r="AH35" s="3934" t="n"/>
      <c r="AI35" s="3934" t="n"/>
      <c r="AJ35" s="3934" t="n"/>
      <c r="AK35" s="3934" t="n"/>
      <c r="AL35" s="3934" t="n"/>
      <c r="AM35" s="3934" t="n"/>
      <c r="AN35" s="3934" t="n"/>
      <c r="AO35" s="3934" t="n"/>
      <c r="AP35" s="3934" t="n"/>
      <c r="AQ35" s="3934" t="n"/>
      <c r="AR35" s="3934" t="n"/>
    </row>
    <row r="36">
      <c r="A36" s="3969" t="inlineStr">
        <is>
          <t>Template | Index</t>
        </is>
      </c>
      <c r="B36" s="3969" t="inlineStr">
        <is>
          <t>MANIFEST_MAIN</t>
        </is>
      </c>
      <c r="C36" s="3969" t="inlineStr">
        <is>
          <t>A3</t>
        </is>
      </c>
      <c r="D36" s="3969" t="n">
        <v>4</v>
      </c>
      <c r="E36" s="3969" t="n">
        <v>5</v>
      </c>
      <c r="F36" s="3969" t="n"/>
      <c r="G36" s="3969" t="n"/>
      <c r="H36" s="3969" t="n"/>
      <c r="I36" s="3969" t="inlineStr">
        <is>
          <t>grid</t>
        </is>
      </c>
      <c r="J36" s="3969" t="inlineStr">
        <is>
          <t>FALSE</t>
        </is>
      </c>
      <c r="K36" s="3969" t="inlineStr">
        <is>
          <t>Module keys should be stable</t>
        </is>
      </c>
      <c r="L36" s="3934" t="n"/>
      <c r="M36" s="3934" t="n"/>
      <c r="N36" s="3934" t="n"/>
      <c r="O36" s="3934" t="n"/>
      <c r="P36" s="3934" t="n"/>
      <c r="Q36" s="3934" t="n"/>
      <c r="R36" s="3934" t="n"/>
      <c r="S36" s="3934" t="n"/>
      <c r="T36" s="3934" t="n"/>
      <c r="U36" s="3934" t="n"/>
      <c r="V36" s="3934" t="n"/>
      <c r="W36" s="3934" t="n"/>
      <c r="X36" s="3934" t="n"/>
      <c r="Y36" s="3934" t="n"/>
      <c r="Z36" s="3934" t="n"/>
      <c r="AA36" s="3934" t="n"/>
      <c r="AB36" s="3934" t="n"/>
      <c r="AC36" s="3934" t="n"/>
      <c r="AD36" s="3934" t="n"/>
      <c r="AE36" s="3934" t="n"/>
      <c r="AF36" s="3934" t="n"/>
      <c r="AG36" s="3934" t="n"/>
      <c r="AH36" s="3934" t="n"/>
      <c r="AI36" s="3934" t="n"/>
      <c r="AJ36" s="3934" t="n"/>
      <c r="AK36" s="3934" t="n"/>
      <c r="AL36" s="3934" t="n"/>
      <c r="AM36" s="3934" t="n"/>
      <c r="AN36" s="3934" t="n"/>
      <c r="AO36" s="3934" t="n"/>
      <c r="AP36" s="3934" t="n"/>
      <c r="AQ36" s="3934" t="n"/>
      <c r="AR36" s="3934" t="n"/>
    </row>
    <row r="37">
      <c r="A37" s="3969" t="inlineStr">
        <is>
          <t>Template | Index</t>
        </is>
      </c>
      <c r="B37" s="3969" t="inlineStr">
        <is>
          <t>INDEX_MAIN</t>
        </is>
      </c>
      <c r="C37" s="3969" t="inlineStr">
        <is>
          <t>A32</t>
        </is>
      </c>
      <c r="D37" s="3969" t="n">
        <v>33</v>
      </c>
      <c r="E37" s="3969" t="n">
        <v>34</v>
      </c>
      <c r="F37" s="3969" t="n"/>
      <c r="G37" s="3969" t="n"/>
      <c r="H37" s="3969" t="n"/>
      <c r="I37" s="3969" t="inlineStr">
        <is>
          <t>grid</t>
        </is>
      </c>
      <c r="J37" s="3969" t="inlineStr">
        <is>
          <t>FALSE</t>
        </is>
      </c>
      <c r="K37" s="3969" t="inlineStr">
        <is>
          <t>Update when block anchors move</t>
        </is>
      </c>
      <c r="L37" s="3934" t="n"/>
      <c r="M37" s="3934" t="n"/>
      <c r="N37" s="3934" t="n"/>
      <c r="O37" s="3934" t="n"/>
      <c r="P37" s="3934" t="n"/>
      <c r="Q37" s="3934" t="n"/>
      <c r="R37" s="3934" t="n"/>
      <c r="S37" s="3934" t="n"/>
      <c r="T37" s="3934" t="n"/>
      <c r="U37" s="3934" t="n"/>
      <c r="V37" s="3934" t="n"/>
      <c r="W37" s="3934" t="n"/>
      <c r="X37" s="3934" t="n"/>
      <c r="Y37" s="3934" t="n"/>
      <c r="Z37" s="3934" t="n"/>
      <c r="AA37" s="3934" t="n"/>
      <c r="AB37" s="3934" t="n"/>
      <c r="AC37" s="3934" t="n"/>
      <c r="AD37" s="3934" t="n"/>
      <c r="AE37" s="3934" t="n"/>
      <c r="AF37" s="3934" t="n"/>
      <c r="AG37" s="3934" t="n"/>
      <c r="AH37" s="3934" t="n"/>
      <c r="AI37" s="3934" t="n"/>
      <c r="AJ37" s="3934" t="n"/>
      <c r="AK37" s="3934" t="n"/>
      <c r="AL37" s="3934" t="n"/>
      <c r="AM37" s="3934" t="n"/>
      <c r="AN37" s="3934" t="n"/>
      <c r="AO37" s="3934" t="n"/>
      <c r="AP37" s="3934" t="n"/>
      <c r="AQ37" s="3934" t="n"/>
      <c r="AR37" s="3934" t="n"/>
    </row>
    <row r="38">
      <c r="A38" s="3969" t="inlineStr">
        <is>
          <t>Data | TB</t>
        </is>
      </c>
      <c r="B38" s="3969" t="inlineStr">
        <is>
          <t>TB_WIDE_INPUT</t>
        </is>
      </c>
      <c r="C38" s="3969" t="inlineStr">
        <is>
          <t>A8</t>
        </is>
      </c>
      <c r="D38" s="3969" t="n">
        <v>8</v>
      </c>
      <c r="E38" s="3969" t="n">
        <v>9</v>
      </c>
      <c r="F38" s="3969" t="inlineStr">
        <is>
          <t>G</t>
        </is>
      </c>
      <c r="G38" s="3969" t="n">
        <v>8</v>
      </c>
      <c r="H38" s="3969" t="inlineStr"/>
      <c r="I38" s="3969" t="inlineStr">
        <is>
          <t>grid</t>
        </is>
      </c>
      <c r="J38" s="3969" t="inlineStr">
        <is>
          <t>FALSE</t>
        </is>
      </c>
      <c r="K38" s="3969" t="inlineStr">
        <is>
          <t>Month columns map to Control | Setup A22:A57</t>
        </is>
      </c>
      <c r="L38" s="3934" t="n"/>
      <c r="M38" s="3934" t="n"/>
      <c r="N38" s="3934" t="n"/>
      <c r="O38" s="3934" t="n"/>
      <c r="P38" s="3934" t="n"/>
      <c r="Q38" s="3934" t="n"/>
      <c r="R38" s="3934" t="n"/>
      <c r="S38" s="3934" t="n"/>
      <c r="T38" s="3934" t="n"/>
      <c r="U38" s="3934" t="n"/>
      <c r="V38" s="3934" t="n"/>
      <c r="W38" s="3934" t="n"/>
      <c r="X38" s="3934" t="n"/>
      <c r="Y38" s="3934" t="n"/>
      <c r="Z38" s="3934" t="n"/>
      <c r="AA38" s="3934" t="n"/>
      <c r="AB38" s="3934" t="n"/>
      <c r="AC38" s="3934" t="n"/>
      <c r="AD38" s="3934" t="n"/>
      <c r="AE38" s="3934" t="n"/>
      <c r="AF38" s="3934" t="n"/>
      <c r="AG38" s="3934" t="n"/>
      <c r="AH38" s="3934" t="n"/>
      <c r="AI38" s="3934" t="n"/>
      <c r="AJ38" s="3934" t="n"/>
      <c r="AK38" s="3934" t="n"/>
      <c r="AL38" s="3934" t="n"/>
      <c r="AM38" s="3934" t="n"/>
      <c r="AN38" s="3934" t="n"/>
      <c r="AO38" s="3934" t="n"/>
      <c r="AP38" s="3934" t="n"/>
      <c r="AQ38" s="3934" t="n"/>
      <c r="AR38" s="3934" t="n"/>
    </row>
    <row r="39">
      <c r="A39" s="3969" t="inlineStr">
        <is>
          <t>Data | AR Aging</t>
        </is>
      </c>
      <c r="B39" s="3969" t="inlineStr">
        <is>
          <t>AR_AGING_INPUT</t>
        </is>
      </c>
      <c r="C39" s="3969" t="inlineStr">
        <is>
          <t>A8</t>
        </is>
      </c>
      <c r="D39" s="3969" t="n">
        <v>8</v>
      </c>
      <c r="E39" s="3969" t="n">
        <v>9</v>
      </c>
      <c r="F39" s="3969" t="inlineStr"/>
      <c r="G39" s="3969" t="inlineStr"/>
      <c r="H39" s="3969" t="inlineStr"/>
      <c r="I39" s="3969" t="inlineStr">
        <is>
          <t>grid</t>
        </is>
      </c>
      <c r="J39" s="3969" t="inlineStr">
        <is>
          <t>FALSE</t>
        </is>
      </c>
      <c r="K39" s="3969" t="inlineStr">
        <is>
          <t>Total column should equal bucket sum</t>
        </is>
      </c>
      <c r="L39" s="3934" t="n"/>
      <c r="M39" s="3934" t="n"/>
      <c r="N39" s="3934" t="n"/>
      <c r="O39" s="3934" t="n"/>
      <c r="P39" s="3934" t="n"/>
      <c r="Q39" s="3934" t="n"/>
      <c r="R39" s="3934" t="n"/>
      <c r="S39" s="3934" t="n"/>
      <c r="T39" s="3934" t="n"/>
      <c r="U39" s="3934" t="n"/>
      <c r="V39" s="3934" t="n"/>
      <c r="W39" s="3934" t="n"/>
      <c r="X39" s="3934" t="n"/>
      <c r="Y39" s="3934" t="n"/>
      <c r="Z39" s="3934" t="n"/>
      <c r="AA39" s="3934" t="n"/>
      <c r="AB39" s="3934" t="n"/>
      <c r="AC39" s="3934" t="n"/>
      <c r="AD39" s="3934" t="n"/>
      <c r="AE39" s="3934" t="n"/>
      <c r="AF39" s="3934" t="n"/>
      <c r="AG39" s="3934" t="n"/>
      <c r="AH39" s="3934" t="n"/>
      <c r="AI39" s="3934" t="n"/>
      <c r="AJ39" s="3934" t="n"/>
      <c r="AK39" s="3934" t="n"/>
      <c r="AL39" s="3934" t="n"/>
      <c r="AM39" s="3934" t="n"/>
      <c r="AN39" s="3934" t="n"/>
      <c r="AO39" s="3934" t="n"/>
      <c r="AP39" s="3934" t="n"/>
      <c r="AQ39" s="3934" t="n"/>
      <c r="AR39" s="3934" t="n"/>
    </row>
    <row r="40">
      <c r="A40" s="3969" t="inlineStr">
        <is>
          <t>Data | AP Aging</t>
        </is>
      </c>
      <c r="B40" s="3969" t="inlineStr">
        <is>
          <t>AP_AGING_INPUT</t>
        </is>
      </c>
      <c r="C40" s="3969" t="inlineStr">
        <is>
          <t>A8</t>
        </is>
      </c>
      <c r="D40" s="3969" t="n">
        <v>8</v>
      </c>
      <c r="E40" s="3969" t="n">
        <v>9</v>
      </c>
      <c r="F40" s="3969" t="inlineStr"/>
      <c r="G40" s="3969" t="inlineStr"/>
      <c r="H40" s="3969" t="inlineStr"/>
      <c r="I40" s="3969" t="inlineStr">
        <is>
          <t>grid</t>
        </is>
      </c>
      <c r="J40" s="3969" t="inlineStr">
        <is>
          <t>FALSE</t>
        </is>
      </c>
      <c r="K40" s="3969" t="inlineStr">
        <is>
          <t>Total column should equal bucket sum</t>
        </is>
      </c>
      <c r="L40" s="3934" t="n"/>
      <c r="M40" s="3934" t="n"/>
      <c r="N40" s="3934" t="n"/>
      <c r="O40" s="3934" t="n"/>
      <c r="P40" s="3934" t="n"/>
      <c r="Q40" s="3934" t="n"/>
      <c r="R40" s="3934" t="n"/>
      <c r="S40" s="3934" t="n"/>
      <c r="T40" s="3934" t="n"/>
      <c r="U40" s="3934" t="n"/>
      <c r="V40" s="3934" t="n"/>
      <c r="W40" s="3934" t="n"/>
      <c r="X40" s="3934" t="n"/>
      <c r="Y40" s="3934" t="n"/>
      <c r="Z40" s="3934" t="n"/>
      <c r="AA40" s="3934" t="n"/>
      <c r="AB40" s="3934" t="n"/>
      <c r="AC40" s="3934" t="n"/>
      <c r="AD40" s="3934" t="n"/>
      <c r="AE40" s="3934" t="n"/>
      <c r="AF40" s="3934" t="n"/>
      <c r="AG40" s="3934" t="n"/>
      <c r="AH40" s="3934" t="n"/>
      <c r="AI40" s="3934" t="n"/>
      <c r="AJ40" s="3934" t="n"/>
      <c r="AK40" s="3934" t="n"/>
      <c r="AL40" s="3934" t="n"/>
      <c r="AM40" s="3934" t="n"/>
      <c r="AN40" s="3934" t="n"/>
      <c r="AO40" s="3934" t="n"/>
      <c r="AP40" s="3934" t="n"/>
      <c r="AQ40" s="3934" t="n"/>
      <c r="AR40" s="3934" t="n"/>
    </row>
    <row r="41">
      <c r="A41" s="3969" t="inlineStr">
        <is>
          <t>Map | COA to Lines</t>
        </is>
      </c>
      <c r="B41" s="3969" t="inlineStr">
        <is>
          <t>COA_MAP_INPUT</t>
        </is>
      </c>
      <c r="C41" s="3969" t="inlineStr">
        <is>
          <t>A8</t>
        </is>
      </c>
      <c r="D41" s="3969" t="n">
        <v>8</v>
      </c>
      <c r="E41" s="3969" t="n">
        <v>9</v>
      </c>
      <c r="F41" s="3969" t="inlineStr"/>
      <c r="G41" s="3969" t="inlineStr"/>
      <c r="H41" s="3969" t="inlineStr"/>
      <c r="I41" s="3969" t="inlineStr">
        <is>
          <t>grid</t>
        </is>
      </c>
      <c r="J41" s="3969" t="inlineStr">
        <is>
          <t>FALSE</t>
        </is>
      </c>
      <c r="K41" s="3969" t="inlineStr">
        <is>
          <t>LineKey values must be stable</t>
        </is>
      </c>
      <c r="L41" s="3934" t="n"/>
      <c r="M41" s="3934" t="n"/>
      <c r="N41" s="3934" t="n"/>
      <c r="O41" s="3934" t="n"/>
      <c r="P41" s="3934" t="n"/>
      <c r="Q41" s="3934" t="n"/>
      <c r="R41" s="3934" t="n"/>
      <c r="S41" s="3934" t="n"/>
      <c r="T41" s="3934" t="n"/>
      <c r="U41" s="3934" t="n"/>
      <c r="V41" s="3934" t="n"/>
      <c r="W41" s="3934" t="n"/>
      <c r="X41" s="3934" t="n"/>
      <c r="Y41" s="3934" t="n"/>
      <c r="Z41" s="3934" t="n"/>
      <c r="AA41" s="3934" t="n"/>
      <c r="AB41" s="3934" t="n"/>
      <c r="AC41" s="3934" t="n"/>
      <c r="AD41" s="3934" t="n"/>
      <c r="AE41" s="3934" t="n"/>
      <c r="AF41" s="3934" t="n"/>
      <c r="AG41" s="3934" t="n"/>
      <c r="AH41" s="3934" t="n"/>
      <c r="AI41" s="3934" t="n"/>
      <c r="AJ41" s="3934" t="n"/>
      <c r="AK41" s="3934" t="n"/>
      <c r="AL41" s="3934" t="n"/>
      <c r="AM41" s="3934" t="n"/>
      <c r="AN41" s="3934" t="n"/>
      <c r="AO41" s="3934" t="n"/>
      <c r="AP41" s="3934" t="n"/>
      <c r="AQ41" s="3934" t="n"/>
      <c r="AR41" s="3934" t="n"/>
    </row>
    <row r="42">
      <c r="A42" s="3969" t="inlineStr">
        <is>
          <t>Map | NWC &amp; NetDebt Class</t>
        </is>
      </c>
      <c r="B42" s="3969" t="inlineStr">
        <is>
          <t>CLASS_MAP_INPUT</t>
        </is>
      </c>
      <c r="C42" s="3969" t="inlineStr">
        <is>
          <t>A8</t>
        </is>
      </c>
      <c r="D42" s="3969" t="n">
        <v>8</v>
      </c>
      <c r="E42" s="3969" t="n">
        <v>9</v>
      </c>
      <c r="F42" s="3969" t="inlineStr"/>
      <c r="G42" s="3969" t="inlineStr"/>
      <c r="H42" s="3969" t="inlineStr"/>
      <c r="I42" s="3969" t="inlineStr">
        <is>
          <t>grid</t>
        </is>
      </c>
      <c r="J42" s="3969" t="inlineStr">
        <is>
          <t>FALSE</t>
        </is>
      </c>
      <c r="K42" s="3969" t="inlineStr">
        <is>
          <t>ClassKey values must be stable</t>
        </is>
      </c>
      <c r="L42" s="3934" t="n"/>
      <c r="M42" s="3934" t="n"/>
      <c r="N42" s="3934" t="n"/>
      <c r="O42" s="3934" t="n"/>
      <c r="P42" s="3934" t="n"/>
      <c r="Q42" s="3934" t="n"/>
      <c r="R42" s="3934" t="n"/>
      <c r="S42" s="3934" t="n"/>
      <c r="T42" s="3934" t="n"/>
      <c r="U42" s="3934" t="n"/>
      <c r="V42" s="3934" t="n"/>
      <c r="W42" s="3934" t="n"/>
      <c r="X42" s="3934" t="n"/>
      <c r="Y42" s="3934" t="n"/>
      <c r="Z42" s="3934" t="n"/>
      <c r="AA42" s="3934" t="n"/>
      <c r="AB42" s="3934" t="n"/>
      <c r="AC42" s="3934" t="n"/>
      <c r="AD42" s="3934" t="n"/>
      <c r="AE42" s="3934" t="n"/>
      <c r="AF42" s="3934" t="n"/>
      <c r="AG42" s="3934" t="n"/>
      <c r="AH42" s="3934" t="n"/>
      <c r="AI42" s="3934" t="n"/>
      <c r="AJ42" s="3934" t="n"/>
      <c r="AK42" s="3934" t="n"/>
      <c r="AL42" s="3934" t="n"/>
      <c r="AM42" s="3934" t="n"/>
      <c r="AN42" s="3934" t="n"/>
      <c r="AO42" s="3934" t="n"/>
      <c r="AP42" s="3934" t="n"/>
      <c r="AQ42" s="3934" t="n"/>
      <c r="AR42" s="3934" t="n"/>
    </row>
    <row r="43">
      <c r="A43" s="3969" t="inlineStr">
        <is>
          <t>Map | Entities</t>
        </is>
      </c>
      <c r="B43" s="3969" t="inlineStr">
        <is>
          <t>ENTITIES_MAP_INPUT</t>
        </is>
      </c>
      <c r="C43" s="3969" t="inlineStr">
        <is>
          <t>A8</t>
        </is>
      </c>
      <c r="D43" s="3969" t="n">
        <v>8</v>
      </c>
      <c r="E43" s="3969" t="n">
        <v>9</v>
      </c>
      <c r="F43" s="3969" t="inlineStr"/>
      <c r="G43" s="3969" t="inlineStr"/>
      <c r="H43" s="3969" t="inlineStr"/>
      <c r="I43" s="3969" t="inlineStr">
        <is>
          <t>grid</t>
        </is>
      </c>
      <c r="J43" s="3969" t="inlineStr">
        <is>
          <t>FALSE</t>
        </is>
      </c>
      <c r="K43" s="3969" t="inlineStr">
        <is>
          <t>SortOrder should be sequential</t>
        </is>
      </c>
      <c r="L43" s="3934" t="n"/>
      <c r="M43" s="3934" t="n"/>
      <c r="N43" s="3934" t="n"/>
      <c r="O43" s="3934" t="n"/>
      <c r="P43" s="3934" t="n"/>
      <c r="Q43" s="3934" t="n"/>
      <c r="R43" s="3934" t="n"/>
      <c r="S43" s="3934" t="n"/>
      <c r="T43" s="3934" t="n"/>
      <c r="U43" s="3934" t="n"/>
      <c r="V43" s="3934" t="n"/>
      <c r="W43" s="3934" t="n"/>
      <c r="X43" s="3934" t="n"/>
      <c r="Y43" s="3934" t="n"/>
      <c r="Z43" s="3934" t="n"/>
      <c r="AA43" s="3934" t="n"/>
      <c r="AB43" s="3934" t="n"/>
      <c r="AC43" s="3934" t="n"/>
      <c r="AD43" s="3934" t="n"/>
      <c r="AE43" s="3934" t="n"/>
      <c r="AF43" s="3934" t="n"/>
      <c r="AG43" s="3934" t="n"/>
      <c r="AH43" s="3934" t="n"/>
      <c r="AI43" s="3934" t="n"/>
      <c r="AJ43" s="3934" t="n"/>
      <c r="AK43" s="3934" t="n"/>
      <c r="AL43" s="3934" t="n"/>
      <c r="AM43" s="3934" t="n"/>
      <c r="AN43" s="3934" t="n"/>
      <c r="AO43" s="3934" t="n"/>
      <c r="AP43" s="3934" t="n"/>
      <c r="AQ43" s="3934" t="n"/>
      <c r="AR43" s="3934" t="n"/>
    </row>
    <row r="44">
      <c r="A44" s="3969" t="inlineStr">
        <is>
          <t>Financials&gt;&gt;</t>
        </is>
      </c>
      <c r="B44" s="3969" t="inlineStr">
        <is>
          <t>FINANCIALS_DIVIDER</t>
        </is>
      </c>
      <c r="C44" s="3969" t="inlineStr">
        <is>
          <t>A1</t>
        </is>
      </c>
      <c r="D44" s="3969" t="n">
        <v>1</v>
      </c>
      <c r="E44" s="3969" t="n">
        <v>4</v>
      </c>
      <c r="F44" s="3969" t="inlineStr"/>
      <c r="G44" s="3969" t="inlineStr"/>
      <c r="H44" s="3969" t="inlineStr"/>
      <c r="I44" s="3969" t="inlineStr">
        <is>
          <t>grid</t>
        </is>
      </c>
      <c r="J44" s="3969" t="inlineStr">
        <is>
          <t>FALSE</t>
        </is>
      </c>
      <c r="K44" s="3969" t="inlineStr">
        <is>
          <t>Navigation links should point to Pack B sheets</t>
        </is>
      </c>
      <c r="L44" s="3934" t="n"/>
      <c r="M44" s="3934" t="n"/>
      <c r="N44" s="3934" t="n"/>
      <c r="O44" s="3934" t="n"/>
      <c r="P44" s="3934" t="n"/>
      <c r="Q44" s="3934" t="n"/>
      <c r="R44" s="3934" t="n"/>
      <c r="S44" s="3934" t="n"/>
      <c r="T44" s="3934" t="n"/>
      <c r="U44" s="3934" t="n"/>
      <c r="V44" s="3934" t="n"/>
      <c r="W44" s="3934" t="n"/>
      <c r="X44" s="3934" t="n"/>
      <c r="Y44" s="3934" t="n"/>
      <c r="Z44" s="3934" t="n"/>
      <c r="AA44" s="3934" t="n"/>
      <c r="AB44" s="3934" t="n"/>
      <c r="AC44" s="3934" t="n"/>
      <c r="AD44" s="3934" t="n"/>
      <c r="AE44" s="3934" t="n"/>
      <c r="AF44" s="3934" t="n"/>
      <c r="AG44" s="3934" t="n"/>
      <c r="AH44" s="3934" t="n"/>
      <c r="AI44" s="3934" t="n"/>
      <c r="AJ44" s="3934" t="n"/>
      <c r="AK44" s="3934" t="n"/>
      <c r="AL44" s="3934" t="n"/>
      <c r="AM44" s="3934" t="n"/>
      <c r="AN44" s="3934" t="n"/>
      <c r="AO44" s="3934" t="n"/>
      <c r="AP44" s="3934" t="n"/>
      <c r="AQ44" s="3934" t="n"/>
      <c r="AR44" s="3934" t="n"/>
    </row>
    <row r="45">
      <c r="A45" s="3969" t="inlineStr">
        <is>
          <t>Combined | IS</t>
        </is>
      </c>
      <c r="B45" s="3969" t="inlineStr">
        <is>
          <t>IS_MAIN</t>
        </is>
      </c>
      <c r="C45" s="3969" t="inlineStr">
        <is>
          <t>A8</t>
        </is>
      </c>
      <c r="D45" s="3969" t="n">
        <v>8</v>
      </c>
      <c r="E45" s="3969" t="n">
        <v>9</v>
      </c>
      <c r="F45" s="3969" t="inlineStr">
        <is>
          <t>G</t>
        </is>
      </c>
      <c r="G45" s="3969" t="n">
        <v>8</v>
      </c>
      <c r="H45" s="3969" t="inlineStr"/>
      <c r="I45" s="3969" t="inlineStr">
        <is>
          <t>grid</t>
        </is>
      </c>
      <c r="J45" s="3969" t="inlineStr">
        <is>
          <t>FALSE</t>
        </is>
      </c>
      <c r="K45" s="3969" t="inlineStr">
        <is>
          <t>Header row uses B8="$'000" (units). Parse FS columns by fixed positions, not header text.</t>
        </is>
      </c>
      <c r="L45" s="3934" t="n"/>
      <c r="M45" s="3934" t="n"/>
      <c r="N45" s="3934" t="n"/>
      <c r="O45" s="3934" t="n"/>
      <c r="P45" s="3934" t="n"/>
      <c r="Q45" s="3934" t="n"/>
      <c r="R45" s="3934" t="n"/>
      <c r="S45" s="3934" t="n"/>
      <c r="T45" s="3934" t="n"/>
      <c r="U45" s="3934" t="n"/>
      <c r="V45" s="3934" t="n"/>
      <c r="W45" s="3934" t="n"/>
      <c r="X45" s="3934" t="n"/>
      <c r="Y45" s="3934" t="n"/>
      <c r="Z45" s="3934" t="n"/>
      <c r="AA45" s="3934" t="n"/>
      <c r="AB45" s="3934" t="n"/>
      <c r="AC45" s="3934" t="n"/>
      <c r="AD45" s="3934" t="n"/>
      <c r="AE45" s="3934" t="n"/>
      <c r="AF45" s="3934" t="n"/>
      <c r="AG45" s="3934" t="n"/>
      <c r="AH45" s="3934" t="n"/>
      <c r="AI45" s="3934" t="n"/>
      <c r="AJ45" s="3934" t="n"/>
      <c r="AK45" s="3934" t="n"/>
      <c r="AL45" s="3934" t="n"/>
      <c r="AM45" s="3934" t="n"/>
      <c r="AN45" s="3934" t="n"/>
      <c r="AO45" s="3934" t="n"/>
      <c r="AP45" s="3934" t="n"/>
      <c r="AQ45" s="3934" t="n"/>
      <c r="AR45" s="3934" t="n"/>
    </row>
    <row r="46">
      <c r="A46" s="3969" t="inlineStr">
        <is>
          <t>Combined | IS</t>
        </is>
      </c>
      <c r="B46" s="3969" t="inlineStr">
        <is>
          <t>IS_CHECKS</t>
        </is>
      </c>
      <c r="C46" s="3969" t="inlineStr">
        <is>
          <t>A27</t>
        </is>
      </c>
      <c r="D46" s="3969" t="n">
        <v>8</v>
      </c>
      <c r="E46" s="3969" t="n">
        <v>9</v>
      </c>
      <c r="F46" s="3969" t="inlineStr">
        <is>
          <t>G</t>
        </is>
      </c>
      <c r="G46" s="3969" t="n">
        <v>8</v>
      </c>
      <c r="H46" s="3969" t="inlineStr"/>
      <c r="I46" s="3969" t="inlineStr">
        <is>
          <t>grid</t>
        </is>
      </c>
      <c r="J46" s="3969" t="inlineStr">
        <is>
          <t>FALSE</t>
        </is>
      </c>
      <c r="K46" s="3969" t="inlineStr">
        <is>
          <t>Check values should resolve to 0</t>
        </is>
      </c>
      <c r="L46" s="3934" t="n"/>
      <c r="M46" s="3934" t="n"/>
      <c r="N46" s="3934" t="n"/>
      <c r="O46" s="3934" t="n"/>
      <c r="P46" s="3934" t="n"/>
      <c r="Q46" s="3934" t="n"/>
      <c r="R46" s="3934" t="n"/>
      <c r="S46" s="3934" t="n"/>
      <c r="T46" s="3934" t="n"/>
      <c r="U46" s="3934" t="n"/>
      <c r="V46" s="3934" t="n"/>
      <c r="W46" s="3934" t="n"/>
      <c r="X46" s="3934" t="n"/>
      <c r="Y46" s="3934" t="n"/>
      <c r="Z46" s="3934" t="n"/>
      <c r="AA46" s="3934" t="n"/>
      <c r="AB46" s="3934" t="n"/>
      <c r="AC46" s="3934" t="n"/>
      <c r="AD46" s="3934" t="n"/>
      <c r="AE46" s="3934" t="n"/>
      <c r="AF46" s="3934" t="n"/>
      <c r="AG46" s="3934" t="n"/>
      <c r="AH46" s="3934" t="n"/>
      <c r="AI46" s="3934" t="n"/>
      <c r="AJ46" s="3934" t="n"/>
      <c r="AK46" s="3934" t="n"/>
      <c r="AL46" s="3934" t="n"/>
      <c r="AM46" s="3934" t="n"/>
      <c r="AN46" s="3934" t="n"/>
      <c r="AO46" s="3934" t="n"/>
      <c r="AP46" s="3934" t="n"/>
      <c r="AQ46" s="3934" t="n"/>
      <c r="AR46" s="3934" t="n"/>
    </row>
    <row r="47">
      <c r="A47" s="3969" t="inlineStr">
        <is>
          <t>Combined | BS</t>
        </is>
      </c>
      <c r="B47" s="3969" t="inlineStr">
        <is>
          <t>BS_MAIN</t>
        </is>
      </c>
      <c r="C47" s="3969" t="inlineStr">
        <is>
          <t>A8</t>
        </is>
      </c>
      <c r="D47" s="3969" t="n">
        <v>8</v>
      </c>
      <c r="E47" s="3969" t="n">
        <v>9</v>
      </c>
      <c r="F47" s="3969" t="inlineStr">
        <is>
          <t>G</t>
        </is>
      </c>
      <c r="G47" s="3969" t="n">
        <v>8</v>
      </c>
      <c r="H47" s="3969" t="inlineStr"/>
      <c r="I47" s="3969" t="inlineStr">
        <is>
          <t>grid</t>
        </is>
      </c>
      <c r="J47" s="3969" t="inlineStr">
        <is>
          <t>FALSE</t>
        </is>
      </c>
      <c r="K47" s="3969" t="inlineStr">
        <is>
          <t>Header row uses B8="$'000" (units). Parse FS columns by fixed positions, not header text.</t>
        </is>
      </c>
      <c r="L47" s="3934" t="n"/>
      <c r="M47" s="3934" t="n"/>
      <c r="N47" s="3934" t="n"/>
      <c r="O47" s="3934" t="n"/>
      <c r="P47" s="3934" t="n"/>
      <c r="Q47" s="3934" t="n"/>
      <c r="R47" s="3934" t="n"/>
      <c r="S47" s="3934" t="n"/>
      <c r="T47" s="3934" t="n"/>
      <c r="U47" s="3934" t="n"/>
      <c r="V47" s="3934" t="n"/>
      <c r="W47" s="3934" t="n"/>
      <c r="X47" s="3934" t="n"/>
      <c r="Y47" s="3934" t="n"/>
      <c r="Z47" s="3934" t="n"/>
      <c r="AA47" s="3934" t="n"/>
      <c r="AB47" s="3934" t="n"/>
      <c r="AC47" s="3934" t="n"/>
      <c r="AD47" s="3934" t="n"/>
      <c r="AE47" s="3934" t="n"/>
      <c r="AF47" s="3934" t="n"/>
      <c r="AG47" s="3934" t="n"/>
      <c r="AH47" s="3934" t="n"/>
      <c r="AI47" s="3934" t="n"/>
      <c r="AJ47" s="3934" t="n"/>
      <c r="AK47" s="3934" t="n"/>
      <c r="AL47" s="3934" t="n"/>
      <c r="AM47" s="3934" t="n"/>
      <c r="AN47" s="3934" t="n"/>
      <c r="AO47" s="3934" t="n"/>
      <c r="AP47" s="3934" t="n"/>
      <c r="AQ47" s="3934" t="n"/>
      <c r="AR47" s="3934" t="n"/>
    </row>
    <row r="48">
      <c r="A48" s="3969" t="inlineStr">
        <is>
          <t>Combined | BS</t>
        </is>
      </c>
      <c r="B48" s="3969" t="inlineStr">
        <is>
          <t>BS_CHECKS</t>
        </is>
      </c>
      <c r="C48" s="3969" t="inlineStr">
        <is>
          <t>A27</t>
        </is>
      </c>
      <c r="D48" s="3969" t="n">
        <v>8</v>
      </c>
      <c r="E48" s="3969" t="n">
        <v>9</v>
      </c>
      <c r="F48" s="3969" t="inlineStr">
        <is>
          <t>G</t>
        </is>
      </c>
      <c r="G48" s="3969" t="n">
        <v>8</v>
      </c>
      <c r="H48" s="3969" t="inlineStr"/>
      <c r="I48" s="3969" t="inlineStr">
        <is>
          <t>grid</t>
        </is>
      </c>
      <c r="J48" s="3969" t="inlineStr">
        <is>
          <t>FALSE</t>
        </is>
      </c>
      <c r="K48" s="3969" t="inlineStr">
        <is>
          <t>Balance check should resolve to 0</t>
        </is>
      </c>
      <c r="L48" s="3934" t="n"/>
      <c r="M48" s="3934" t="n"/>
      <c r="N48" s="3934" t="n"/>
      <c r="O48" s="3934" t="n"/>
      <c r="P48" s="3934" t="n"/>
      <c r="Q48" s="3934" t="n"/>
      <c r="R48" s="3934" t="n"/>
      <c r="S48" s="3934" t="n"/>
      <c r="T48" s="3934" t="n"/>
      <c r="U48" s="3934" t="n"/>
      <c r="V48" s="3934" t="n"/>
      <c r="W48" s="3934" t="n"/>
      <c r="X48" s="3934" t="n"/>
      <c r="Y48" s="3934" t="n"/>
      <c r="Z48" s="3934" t="n"/>
      <c r="AA48" s="3934" t="n"/>
      <c r="AB48" s="3934" t="n"/>
      <c r="AC48" s="3934" t="n"/>
      <c r="AD48" s="3934" t="n"/>
      <c r="AE48" s="3934" t="n"/>
      <c r="AF48" s="3934" t="n"/>
      <c r="AG48" s="3934" t="n"/>
      <c r="AH48" s="3934" t="n"/>
      <c r="AI48" s="3934" t="n"/>
      <c r="AJ48" s="3934" t="n"/>
      <c r="AK48" s="3934" t="n"/>
      <c r="AL48" s="3934" t="n"/>
      <c r="AM48" s="3934" t="n"/>
      <c r="AN48" s="3934" t="n"/>
      <c r="AO48" s="3934" t="n"/>
      <c r="AP48" s="3934" t="n"/>
      <c r="AQ48" s="3934" t="n"/>
      <c r="AR48" s="3934" t="n"/>
    </row>
    <row r="49">
      <c r="A49" s="3969" t="inlineStr">
        <is>
          <t>Combined | CF</t>
        </is>
      </c>
      <c r="B49" s="3969" t="inlineStr">
        <is>
          <t>CF_MAIN</t>
        </is>
      </c>
      <c r="C49" s="3969" t="inlineStr">
        <is>
          <t>A8</t>
        </is>
      </c>
      <c r="D49" s="3969" t="n">
        <v>8</v>
      </c>
      <c r="E49" s="3969" t="n">
        <v>9</v>
      </c>
      <c r="F49" s="3969" t="inlineStr">
        <is>
          <t>G</t>
        </is>
      </c>
      <c r="G49" s="3969" t="n">
        <v>8</v>
      </c>
      <c r="H49" s="3969" t="inlineStr"/>
      <c r="I49" s="3969" t="inlineStr">
        <is>
          <t>grid</t>
        </is>
      </c>
      <c r="J49" s="3969" t="inlineStr">
        <is>
          <t>FALSE</t>
        </is>
      </c>
      <c r="K49" s="3969" t="inlineStr">
        <is>
          <t>Header row uses B8="$'000" (units). Parse FS columns by fixed positions, not header text.</t>
        </is>
      </c>
      <c r="L49" s="3934" t="n"/>
      <c r="M49" s="3934" t="n"/>
      <c r="N49" s="3934" t="n"/>
      <c r="O49" s="3934" t="n"/>
      <c r="P49" s="3934" t="n"/>
      <c r="Q49" s="3934" t="n"/>
      <c r="R49" s="3934" t="n"/>
      <c r="S49" s="3934" t="n"/>
      <c r="T49" s="3934" t="n"/>
      <c r="U49" s="3934" t="n"/>
      <c r="V49" s="3934" t="n"/>
      <c r="W49" s="3934" t="n"/>
      <c r="X49" s="3934" t="n"/>
      <c r="Y49" s="3934" t="n"/>
      <c r="Z49" s="3934" t="n"/>
      <c r="AA49" s="3934" t="n"/>
      <c r="AB49" s="3934" t="n"/>
      <c r="AC49" s="3934" t="n"/>
      <c r="AD49" s="3934" t="n"/>
      <c r="AE49" s="3934" t="n"/>
      <c r="AF49" s="3934" t="n"/>
      <c r="AG49" s="3934" t="n"/>
      <c r="AH49" s="3934" t="n"/>
      <c r="AI49" s="3934" t="n"/>
      <c r="AJ49" s="3934" t="n"/>
      <c r="AK49" s="3934" t="n"/>
      <c r="AL49" s="3934" t="n"/>
      <c r="AM49" s="3934" t="n"/>
      <c r="AN49" s="3934" t="n"/>
      <c r="AO49" s="3934" t="n"/>
      <c r="AP49" s="3934" t="n"/>
      <c r="AQ49" s="3934" t="n"/>
      <c r="AR49" s="3934" t="n"/>
    </row>
    <row r="50">
      <c r="A50" s="3969" t="inlineStr">
        <is>
          <t>Combined | CF</t>
        </is>
      </c>
      <c r="B50" s="3969" t="inlineStr">
        <is>
          <t>CF_CHECKS</t>
        </is>
      </c>
      <c r="C50" s="3969" t="inlineStr">
        <is>
          <t>A27</t>
        </is>
      </c>
      <c r="D50" s="3969" t="n">
        <v>8</v>
      </c>
      <c r="E50" s="3969" t="n">
        <v>9</v>
      </c>
      <c r="F50" s="3969" t="inlineStr">
        <is>
          <t>G</t>
        </is>
      </c>
      <c r="G50" s="3969" t="n">
        <v>8</v>
      </c>
      <c r="H50" s="3969" t="inlineStr"/>
      <c r="I50" s="3969" t="inlineStr">
        <is>
          <t>grid</t>
        </is>
      </c>
      <c r="J50" s="3969" t="inlineStr">
        <is>
          <t>FALSE</t>
        </is>
      </c>
      <c r="K50" s="3969" t="inlineStr">
        <is>
          <t>Check values should resolve to 0</t>
        </is>
      </c>
      <c r="L50" s="3934" t="n"/>
      <c r="M50" s="3934" t="n"/>
      <c r="N50" s="3934" t="n"/>
      <c r="O50" s="3934" t="n"/>
      <c r="P50" s="3934" t="n"/>
      <c r="Q50" s="3934" t="n"/>
      <c r="R50" s="3934" t="n"/>
      <c r="S50" s="3934" t="n"/>
      <c r="T50" s="3934" t="n"/>
      <c r="U50" s="3934" t="n"/>
      <c r="V50" s="3934" t="n"/>
      <c r="W50" s="3934" t="n"/>
      <c r="X50" s="3934" t="n"/>
      <c r="Y50" s="3934" t="n"/>
      <c r="Z50" s="3934" t="n"/>
      <c r="AA50" s="3934" t="n"/>
      <c r="AB50" s="3934" t="n"/>
      <c r="AC50" s="3934" t="n"/>
      <c r="AD50" s="3934" t="n"/>
      <c r="AE50" s="3934" t="n"/>
      <c r="AF50" s="3934" t="n"/>
      <c r="AG50" s="3934" t="n"/>
      <c r="AH50" s="3934" t="n"/>
      <c r="AI50" s="3934" t="n"/>
      <c r="AJ50" s="3934" t="n"/>
      <c r="AK50" s="3934" t="n"/>
      <c r="AL50" s="3934" t="n"/>
      <c r="AM50" s="3934" t="n"/>
      <c r="AN50" s="3934" t="n"/>
      <c r="AO50" s="3934" t="n"/>
      <c r="AP50" s="3934" t="n"/>
      <c r="AQ50" s="3934" t="n"/>
      <c r="AR50" s="3934" t="n"/>
    </row>
    <row r="51">
      <c r="A51" s="3969" t="inlineStr">
        <is>
          <t>Entity 1 | IS</t>
        </is>
      </c>
      <c r="B51" s="3969" t="inlineStr">
        <is>
          <t>ENTITY1_IS_MAIN</t>
        </is>
      </c>
      <c r="C51" s="3969" t="inlineStr">
        <is>
          <t>A8</t>
        </is>
      </c>
      <c r="D51" s="3969" t="n">
        <v>8</v>
      </c>
      <c r="E51" s="3969" t="n">
        <v>9</v>
      </c>
      <c r="F51" s="3969" t="inlineStr">
        <is>
          <t>G</t>
        </is>
      </c>
      <c r="G51" s="3969" t="n">
        <v>8</v>
      </c>
      <c r="H51" s="3969" t="inlineStr"/>
      <c r="I51" s="3969" t="inlineStr">
        <is>
          <t>grid</t>
        </is>
      </c>
      <c r="J51" s="3969" t="inlineStr">
        <is>
          <t>FALSE</t>
        </is>
      </c>
      <c r="K51" s="3969" t="inlineStr">
        <is>
          <t>Header row uses B8="$'000" (units). Parse FS columns by fixed positions, not header text.</t>
        </is>
      </c>
      <c r="L51" s="3934" t="n"/>
      <c r="M51" s="3934" t="n"/>
      <c r="N51" s="3934" t="n"/>
      <c r="O51" s="3934" t="n"/>
      <c r="P51" s="3934" t="n"/>
      <c r="Q51" s="3934" t="n"/>
      <c r="R51" s="3934" t="n"/>
      <c r="S51" s="3934" t="n"/>
      <c r="T51" s="3934" t="n"/>
      <c r="U51" s="3934" t="n"/>
      <c r="V51" s="3934" t="n"/>
      <c r="W51" s="3934" t="n"/>
      <c r="X51" s="3934" t="n"/>
      <c r="Y51" s="3934" t="n"/>
      <c r="Z51" s="3934" t="n"/>
      <c r="AA51" s="3934" t="n"/>
      <c r="AB51" s="3934" t="n"/>
      <c r="AC51" s="3934" t="n"/>
      <c r="AD51" s="3934" t="n"/>
      <c r="AE51" s="3934" t="n"/>
      <c r="AF51" s="3934" t="n"/>
      <c r="AG51" s="3934" t="n"/>
      <c r="AH51" s="3934" t="n"/>
      <c r="AI51" s="3934" t="n"/>
      <c r="AJ51" s="3934" t="n"/>
      <c r="AK51" s="3934" t="n"/>
      <c r="AL51" s="3934" t="n"/>
      <c r="AM51" s="3934" t="n"/>
      <c r="AN51" s="3934" t="n"/>
      <c r="AO51" s="3934" t="n"/>
      <c r="AP51" s="3934" t="n"/>
      <c r="AQ51" s="3934" t="n"/>
      <c r="AR51" s="3934" t="n"/>
    </row>
    <row r="52">
      <c r="A52" s="3969" t="inlineStr">
        <is>
          <t>Entity 1 | BS</t>
        </is>
      </c>
      <c r="B52" s="3969" t="inlineStr">
        <is>
          <t>ENTITY1_BS_MAIN</t>
        </is>
      </c>
      <c r="C52" s="3969" t="inlineStr">
        <is>
          <t>A8</t>
        </is>
      </c>
      <c r="D52" s="3969" t="n">
        <v>8</v>
      </c>
      <c r="E52" s="3969" t="n">
        <v>9</v>
      </c>
      <c r="F52" s="3969" t="inlineStr">
        <is>
          <t>G</t>
        </is>
      </c>
      <c r="G52" s="3969" t="n">
        <v>8</v>
      </c>
      <c r="H52" s="3969" t="inlineStr"/>
      <c r="I52" s="3969" t="inlineStr">
        <is>
          <t>grid</t>
        </is>
      </c>
      <c r="J52" s="3969" t="inlineStr">
        <is>
          <t>FALSE</t>
        </is>
      </c>
      <c r="K52" s="3969" t="inlineStr">
        <is>
          <t>Header row uses B8="$'000" (units). Parse FS columns by fixed positions, not header text.</t>
        </is>
      </c>
      <c r="L52" s="3934" t="n"/>
      <c r="M52" s="3934" t="n"/>
      <c r="N52" s="3934" t="n"/>
      <c r="O52" s="3934" t="n"/>
      <c r="P52" s="3934" t="n"/>
      <c r="Q52" s="3934" t="n"/>
      <c r="R52" s="3934" t="n"/>
      <c r="S52" s="3934" t="n"/>
      <c r="T52" s="3934" t="n"/>
      <c r="U52" s="3934" t="n"/>
      <c r="V52" s="3934" t="n"/>
      <c r="W52" s="3934" t="n"/>
      <c r="X52" s="3934" t="n"/>
      <c r="Y52" s="3934" t="n"/>
      <c r="Z52" s="3934" t="n"/>
      <c r="AA52" s="3934" t="n"/>
      <c r="AB52" s="3934" t="n"/>
      <c r="AC52" s="3934" t="n"/>
      <c r="AD52" s="3934" t="n"/>
      <c r="AE52" s="3934" t="n"/>
      <c r="AF52" s="3934" t="n"/>
      <c r="AG52" s="3934" t="n"/>
      <c r="AH52" s="3934" t="n"/>
      <c r="AI52" s="3934" t="n"/>
      <c r="AJ52" s="3934" t="n"/>
      <c r="AK52" s="3934" t="n"/>
      <c r="AL52" s="3934" t="n"/>
      <c r="AM52" s="3934" t="n"/>
      <c r="AN52" s="3934" t="n"/>
      <c r="AO52" s="3934" t="n"/>
      <c r="AP52" s="3934" t="n"/>
      <c r="AQ52" s="3934" t="n"/>
      <c r="AR52" s="3934" t="n"/>
    </row>
    <row r="53">
      <c r="A53" s="3969" t="inlineStr">
        <is>
          <t>Entity 1 | CF</t>
        </is>
      </c>
      <c r="B53" s="3969" t="inlineStr">
        <is>
          <t>ENTITY1_CF_MAIN</t>
        </is>
      </c>
      <c r="C53" s="3969" t="inlineStr">
        <is>
          <t>A8</t>
        </is>
      </c>
      <c r="D53" s="3969" t="n">
        <v>8</v>
      </c>
      <c r="E53" s="3969" t="n">
        <v>9</v>
      </c>
      <c r="F53" s="3969" t="inlineStr">
        <is>
          <t>G</t>
        </is>
      </c>
      <c r="G53" s="3969" t="n">
        <v>8</v>
      </c>
      <c r="H53" s="3969" t="inlineStr"/>
      <c r="I53" s="3969" t="inlineStr">
        <is>
          <t>grid</t>
        </is>
      </c>
      <c r="J53" s="3969" t="inlineStr">
        <is>
          <t>FALSE</t>
        </is>
      </c>
      <c r="K53" s="3969" t="inlineStr">
        <is>
          <t>Header row uses B8="$'000" (units). Parse FS columns by fixed positions, not header text.</t>
        </is>
      </c>
      <c r="L53" s="3934" t="n"/>
      <c r="M53" s="3934" t="n"/>
      <c r="N53" s="3934" t="n"/>
      <c r="O53" s="3934" t="n"/>
      <c r="P53" s="3934" t="n"/>
      <c r="Q53" s="3934" t="n"/>
      <c r="R53" s="3934" t="n"/>
      <c r="S53" s="3934" t="n"/>
      <c r="T53" s="3934" t="n"/>
      <c r="U53" s="3934" t="n"/>
      <c r="V53" s="3934" t="n"/>
      <c r="W53" s="3934" t="n"/>
      <c r="X53" s="3934" t="n"/>
      <c r="Y53" s="3934" t="n"/>
      <c r="Z53" s="3934" t="n"/>
      <c r="AA53" s="3934" t="n"/>
      <c r="AB53" s="3934" t="n"/>
      <c r="AC53" s="3934" t="n"/>
      <c r="AD53" s="3934" t="n"/>
      <c r="AE53" s="3934" t="n"/>
      <c r="AF53" s="3934" t="n"/>
      <c r="AG53" s="3934" t="n"/>
      <c r="AH53" s="3934" t="n"/>
      <c r="AI53" s="3934" t="n"/>
      <c r="AJ53" s="3934" t="n"/>
      <c r="AK53" s="3934" t="n"/>
      <c r="AL53" s="3934" t="n"/>
      <c r="AM53" s="3934" t="n"/>
      <c r="AN53" s="3934" t="n"/>
      <c r="AO53" s="3934" t="n"/>
      <c r="AP53" s="3934" t="n"/>
      <c r="AQ53" s="3934" t="n"/>
      <c r="AR53" s="3934" t="n"/>
    </row>
    <row r="54">
      <c r="A54" s="3969" t="inlineStr">
        <is>
          <t>QofE&gt;&gt;</t>
        </is>
      </c>
      <c r="B54" s="3969" t="inlineStr">
        <is>
          <t>QOFE_DIVIDER</t>
        </is>
      </c>
      <c r="C54" s="3969" t="inlineStr">
        <is>
          <t>A1</t>
        </is>
      </c>
      <c r="D54" s="3969" t="n">
        <v>1</v>
      </c>
      <c r="E54" s="3969" t="n">
        <v>4</v>
      </c>
      <c r="F54" s="3969" t="inlineStr"/>
      <c r="G54" s="3969" t="inlineStr"/>
      <c r="H54" s="3969" t="inlineStr"/>
      <c r="I54" s="3969" t="inlineStr">
        <is>
          <t>grid</t>
        </is>
      </c>
      <c r="J54" s="3969" t="inlineStr">
        <is>
          <t>FALSE</t>
        </is>
      </c>
      <c r="K54" s="3969" t="inlineStr">
        <is>
          <t>Navigation divider</t>
        </is>
      </c>
      <c r="L54" s="3934" t="n"/>
      <c r="M54" s="3934" t="n"/>
      <c r="N54" s="3934" t="n"/>
      <c r="O54" s="3934" t="n"/>
      <c r="P54" s="3934" t="n"/>
      <c r="Q54" s="3934" t="n"/>
      <c r="R54" s="3934" t="n"/>
      <c r="S54" s="3934" t="n"/>
      <c r="T54" s="3934" t="n"/>
      <c r="U54" s="3934" t="n"/>
      <c r="V54" s="3934" t="n"/>
      <c r="W54" s="3934" t="n"/>
      <c r="X54" s="3934" t="n"/>
      <c r="Y54" s="3934" t="n"/>
      <c r="Z54" s="3934" t="n"/>
      <c r="AA54" s="3934" t="n"/>
      <c r="AB54" s="3934" t="n"/>
      <c r="AC54" s="3934" t="n"/>
      <c r="AD54" s="3934" t="n"/>
      <c r="AE54" s="3934" t="n"/>
      <c r="AF54" s="3934" t="n"/>
      <c r="AG54" s="3934" t="n"/>
      <c r="AH54" s="3934" t="n"/>
      <c r="AI54" s="3934" t="n"/>
      <c r="AJ54" s="3934" t="n"/>
      <c r="AK54" s="3934" t="n"/>
      <c r="AL54" s="3934" t="n"/>
      <c r="AM54" s="3934" t="n"/>
      <c r="AN54" s="3934" t="n"/>
      <c r="AO54" s="3934" t="n"/>
      <c r="AP54" s="3934" t="n"/>
      <c r="AQ54" s="3934" t="n"/>
      <c r="AR54" s="3934" t="n"/>
    </row>
    <row r="55">
      <c r="A55" s="3969" t="inlineStr">
        <is>
          <t>QofE | Summary</t>
        </is>
      </c>
      <c r="B55" s="3969" t="inlineStr">
        <is>
          <t>QOFE_SUMMARY_MAIN</t>
        </is>
      </c>
      <c r="C55" s="3969" t="inlineStr">
        <is>
          <t>A8</t>
        </is>
      </c>
      <c r="D55" s="3969" t="n">
        <v>8</v>
      </c>
      <c r="E55" s="3969" t="n">
        <v>9</v>
      </c>
      <c r="F55" s="3969" t="inlineStr">
        <is>
          <t>G</t>
        </is>
      </c>
      <c r="G55" s="3969" t="n">
        <v>8</v>
      </c>
      <c r="H55" s="3969" t="inlineStr"/>
      <c r="I55" s="3969" t="inlineStr">
        <is>
          <t>grid</t>
        </is>
      </c>
      <c r="J55" s="3969" t="inlineStr">
        <is>
          <t>FALSE</t>
        </is>
      </c>
      <c r="K55" s="3969" t="inlineStr">
        <is>
          <t>B8 stores units as $'000</t>
        </is>
      </c>
      <c r="L55" s="3934" t="n"/>
      <c r="M55" s="3934" t="n"/>
      <c r="N55" s="3934" t="n"/>
      <c r="O55" s="3934" t="n"/>
      <c r="P55" s="3934" t="n"/>
      <c r="Q55" s="3934" t="n"/>
      <c r="R55" s="3934" t="n"/>
      <c r="S55" s="3934" t="n"/>
      <c r="T55" s="3934" t="n"/>
      <c r="U55" s="3934" t="n"/>
      <c r="V55" s="3934" t="n"/>
      <c r="W55" s="3934" t="n"/>
      <c r="X55" s="3934" t="n"/>
      <c r="Y55" s="3934" t="n"/>
      <c r="Z55" s="3934" t="n"/>
      <c r="AA55" s="3934" t="n"/>
      <c r="AB55" s="3934" t="n"/>
      <c r="AC55" s="3934" t="n"/>
      <c r="AD55" s="3934" t="n"/>
      <c r="AE55" s="3934" t="n"/>
      <c r="AF55" s="3934" t="n"/>
      <c r="AG55" s="3934" t="n"/>
      <c r="AH55" s="3934" t="n"/>
      <c r="AI55" s="3934" t="n"/>
      <c r="AJ55" s="3934" t="n"/>
      <c r="AK55" s="3934" t="n"/>
      <c r="AL55" s="3934" t="n"/>
      <c r="AM55" s="3934" t="n"/>
      <c r="AN55" s="3934" t="n"/>
      <c r="AO55" s="3934" t="n"/>
      <c r="AP55" s="3934" t="n"/>
      <c r="AQ55" s="3934" t="n"/>
      <c r="AR55" s="3934" t="n"/>
    </row>
    <row r="56">
      <c r="A56" s="3969" t="inlineStr">
        <is>
          <t>QofE | Summary</t>
        </is>
      </c>
      <c r="B56" s="3969" t="inlineStr">
        <is>
          <t>QOFE_SUMMARY_CHECKS</t>
        </is>
      </c>
      <c r="C56" s="3969" t="inlineStr">
        <is>
          <t>A19</t>
        </is>
      </c>
      <c r="D56" s="3969" t="n">
        <v>19</v>
      </c>
      <c r="E56" s="3969" t="n">
        <v>20</v>
      </c>
      <c r="F56" s="3969" t="inlineStr">
        <is>
          <t>G</t>
        </is>
      </c>
      <c r="G56" s="3969" t="n">
        <v>8</v>
      </c>
      <c r="H56" s="3969" t="inlineStr"/>
      <c r="I56" s="3969" t="inlineStr">
        <is>
          <t>grid</t>
        </is>
      </c>
      <c r="J56" s="3969" t="inlineStr">
        <is>
          <t>FALSE</t>
        </is>
      </c>
      <c r="K56" s="3969" t="inlineStr">
        <is>
          <t>Checks should resolve to 0 once linked</t>
        </is>
      </c>
      <c r="L56" s="3934" t="n"/>
      <c r="M56" s="3934" t="n"/>
      <c r="N56" s="3934" t="n"/>
      <c r="O56" s="3934" t="n"/>
      <c r="P56" s="3934" t="n"/>
      <c r="Q56" s="3934" t="n"/>
      <c r="R56" s="3934" t="n"/>
      <c r="S56" s="3934" t="n"/>
      <c r="T56" s="3934" t="n"/>
      <c r="U56" s="3934" t="n"/>
      <c r="V56" s="3934" t="n"/>
      <c r="W56" s="3934" t="n"/>
      <c r="X56" s="3934" t="n"/>
      <c r="Y56" s="3934" t="n"/>
      <c r="Z56" s="3934" t="n"/>
      <c r="AA56" s="3934" t="n"/>
      <c r="AB56" s="3934" t="n"/>
      <c r="AC56" s="3934" t="n"/>
      <c r="AD56" s="3934" t="n"/>
      <c r="AE56" s="3934" t="n"/>
      <c r="AF56" s="3934" t="n"/>
      <c r="AG56" s="3934" t="n"/>
      <c r="AH56" s="3934" t="n"/>
      <c r="AI56" s="3934" t="n"/>
      <c r="AJ56" s="3934" t="n"/>
      <c r="AK56" s="3934" t="n"/>
      <c r="AL56" s="3934" t="n"/>
      <c r="AM56" s="3934" t="n"/>
      <c r="AN56" s="3934" t="n"/>
      <c r="AO56" s="3934" t="n"/>
      <c r="AP56" s="3934" t="n"/>
      <c r="AQ56" s="3934" t="n"/>
      <c r="AR56" s="3934" t="n"/>
    </row>
    <row r="57">
      <c r="A57" s="3969" t="inlineStr">
        <is>
          <t>QofE | Detail</t>
        </is>
      </c>
      <c r="B57" s="3969" t="inlineStr">
        <is>
          <t>QOFE_DETAIL_MAIN</t>
        </is>
      </c>
      <c r="C57" s="3969" t="inlineStr">
        <is>
          <t>A8</t>
        </is>
      </c>
      <c r="D57" s="3969" t="n">
        <v>8</v>
      </c>
      <c r="E57" s="3969" t="n">
        <v>9</v>
      </c>
      <c r="F57" s="3969" t="inlineStr">
        <is>
          <t>G</t>
        </is>
      </c>
      <c r="G57" s="3969" t="n">
        <v>8</v>
      </c>
      <c r="H57" s="3969" t="inlineStr"/>
      <c r="I57" s="3969" t="inlineStr">
        <is>
          <t>grid</t>
        </is>
      </c>
      <c r="J57" s="3969" t="inlineStr">
        <is>
          <t>FALSE</t>
        </is>
      </c>
      <c r="K57" s="3969" t="inlineStr">
        <is>
          <t>B8 stores units as $'000</t>
        </is>
      </c>
      <c r="L57" s="3934" t="n"/>
      <c r="M57" s="3934" t="n"/>
      <c r="N57" s="3934" t="n"/>
      <c r="O57" s="3934" t="n"/>
      <c r="P57" s="3934" t="n"/>
      <c r="Q57" s="3934" t="n"/>
      <c r="R57" s="3934" t="n"/>
      <c r="S57" s="3934" t="n"/>
      <c r="T57" s="3934" t="n"/>
      <c r="U57" s="3934" t="n"/>
      <c r="V57" s="3934" t="n"/>
      <c r="W57" s="3934" t="n"/>
      <c r="X57" s="3934" t="n"/>
      <c r="Y57" s="3934" t="n"/>
      <c r="Z57" s="3934" t="n"/>
      <c r="AA57" s="3934" t="n"/>
      <c r="AB57" s="3934" t="n"/>
      <c r="AC57" s="3934" t="n"/>
      <c r="AD57" s="3934" t="n"/>
      <c r="AE57" s="3934" t="n"/>
      <c r="AF57" s="3934" t="n"/>
      <c r="AG57" s="3934" t="n"/>
      <c r="AH57" s="3934" t="n"/>
      <c r="AI57" s="3934" t="n"/>
      <c r="AJ57" s="3934" t="n"/>
      <c r="AK57" s="3934" t="n"/>
      <c r="AL57" s="3934" t="n"/>
      <c r="AM57" s="3934" t="n"/>
      <c r="AN57" s="3934" t="n"/>
      <c r="AO57" s="3934" t="n"/>
      <c r="AP57" s="3934" t="n"/>
      <c r="AQ57" s="3934" t="n"/>
      <c r="AR57" s="3934" t="n"/>
    </row>
    <row r="58">
      <c r="A58" s="3969" t="inlineStr">
        <is>
          <t>QofE | Detail</t>
        </is>
      </c>
      <c r="B58" s="3969" t="inlineStr">
        <is>
          <t>QOFE_DETAIL_CHECKS</t>
        </is>
      </c>
      <c r="C58" s="3969" t="inlineStr">
        <is>
          <t>A27</t>
        </is>
      </c>
      <c r="D58" s="3969" t="n">
        <v>27</v>
      </c>
      <c r="E58" s="3969" t="n">
        <v>28</v>
      </c>
      <c r="F58" s="3969" t="inlineStr">
        <is>
          <t>G</t>
        </is>
      </c>
      <c r="G58" s="3969" t="n">
        <v>8</v>
      </c>
      <c r="H58" s="3969" t="inlineStr"/>
      <c r="I58" s="3969" t="inlineStr">
        <is>
          <t>grid</t>
        </is>
      </c>
      <c r="J58" s="3969" t="inlineStr">
        <is>
          <t>FALSE</t>
        </is>
      </c>
      <c r="K58" s="3969" t="inlineStr">
        <is>
          <t>Checks should resolve to 0 once linked</t>
        </is>
      </c>
      <c r="L58" s="3934" t="n"/>
      <c r="M58" s="3934" t="n"/>
      <c r="N58" s="3934" t="n"/>
      <c r="O58" s="3934" t="n"/>
      <c r="P58" s="3934" t="n"/>
      <c r="Q58" s="3934" t="n"/>
      <c r="R58" s="3934" t="n"/>
      <c r="S58" s="3934" t="n"/>
      <c r="T58" s="3934" t="n"/>
      <c r="U58" s="3934" t="n"/>
      <c r="V58" s="3934" t="n"/>
      <c r="W58" s="3934" t="n"/>
      <c r="X58" s="3934" t="n"/>
      <c r="Y58" s="3934" t="n"/>
      <c r="Z58" s="3934" t="n"/>
      <c r="AA58" s="3934" t="n"/>
      <c r="AB58" s="3934" t="n"/>
      <c r="AC58" s="3934" t="n"/>
      <c r="AD58" s="3934" t="n"/>
      <c r="AE58" s="3934" t="n"/>
      <c r="AF58" s="3934" t="n"/>
      <c r="AG58" s="3934" t="n"/>
      <c r="AH58" s="3934" t="n"/>
      <c r="AI58" s="3934" t="n"/>
      <c r="AJ58" s="3934" t="n"/>
      <c r="AK58" s="3934" t="n"/>
      <c r="AL58" s="3934" t="n"/>
      <c r="AM58" s="3934" t="n"/>
      <c r="AN58" s="3934" t="n"/>
      <c r="AO58" s="3934" t="n"/>
      <c r="AP58" s="3934" t="n"/>
      <c r="AQ58" s="3934" t="n"/>
      <c r="AR58" s="3934" t="n"/>
    </row>
    <row r="59">
      <c r="A59" s="3969" t="inlineStr">
        <is>
          <t>NWC&gt;&gt;</t>
        </is>
      </c>
      <c r="B59" s="3969" t="inlineStr">
        <is>
          <t>NWC_DIVIDER</t>
        </is>
      </c>
      <c r="C59" s="3969" t="inlineStr">
        <is>
          <t>A1</t>
        </is>
      </c>
      <c r="D59" s="3969" t="n">
        <v>1</v>
      </c>
      <c r="E59" s="3969" t="n">
        <v>4</v>
      </c>
      <c r="F59" s="3969" t="inlineStr"/>
      <c r="G59" s="3969" t="inlineStr"/>
      <c r="H59" s="3969" t="inlineStr"/>
      <c r="I59" s="3969" t="inlineStr">
        <is>
          <t>grid</t>
        </is>
      </c>
      <c r="J59" s="3969" t="inlineStr">
        <is>
          <t>FALSE</t>
        </is>
      </c>
      <c r="K59" s="3969" t="inlineStr">
        <is>
          <t>Navigation divider</t>
        </is>
      </c>
      <c r="L59" s="3934" t="n"/>
      <c r="M59" s="3934" t="n"/>
      <c r="N59" s="3934" t="n"/>
      <c r="O59" s="3934" t="n"/>
      <c r="P59" s="3934" t="n"/>
      <c r="Q59" s="3934" t="n"/>
      <c r="R59" s="3934" t="n"/>
      <c r="S59" s="3934" t="n"/>
      <c r="T59" s="3934" t="n"/>
      <c r="U59" s="3934" t="n"/>
      <c r="V59" s="3934" t="n"/>
      <c r="W59" s="3934" t="n"/>
      <c r="X59" s="3934" t="n"/>
      <c r="Y59" s="3934" t="n"/>
      <c r="Z59" s="3934" t="n"/>
      <c r="AA59" s="3934" t="n"/>
      <c r="AB59" s="3934" t="n"/>
      <c r="AC59" s="3934" t="n"/>
      <c r="AD59" s="3934" t="n"/>
      <c r="AE59" s="3934" t="n"/>
      <c r="AF59" s="3934" t="n"/>
      <c r="AG59" s="3934" t="n"/>
      <c r="AH59" s="3934" t="n"/>
      <c r="AI59" s="3934" t="n"/>
      <c r="AJ59" s="3934" t="n"/>
      <c r="AK59" s="3934" t="n"/>
      <c r="AL59" s="3934" t="n"/>
      <c r="AM59" s="3934" t="n"/>
      <c r="AN59" s="3934" t="n"/>
      <c r="AO59" s="3934" t="n"/>
      <c r="AP59" s="3934" t="n"/>
      <c r="AQ59" s="3934" t="n"/>
      <c r="AR59" s="3934" t="n"/>
    </row>
    <row r="60">
      <c r="A60" s="3969" t="inlineStr">
        <is>
          <t>NWC | Summary</t>
        </is>
      </c>
      <c r="B60" s="3969" t="inlineStr">
        <is>
          <t>NWC_SUMMARY_MAIN</t>
        </is>
      </c>
      <c r="C60" s="3969" t="inlineStr">
        <is>
          <t>A8</t>
        </is>
      </c>
      <c r="D60" s="3969" t="n">
        <v>8</v>
      </c>
      <c r="E60" s="3969" t="n">
        <v>9</v>
      </c>
      <c r="F60" s="3969" t="inlineStr">
        <is>
          <t>G</t>
        </is>
      </c>
      <c r="G60" s="3969" t="n">
        <v>8</v>
      </c>
      <c r="H60" s="3969" t="inlineStr"/>
      <c r="I60" s="3969" t="inlineStr">
        <is>
          <t>grid</t>
        </is>
      </c>
      <c r="J60" s="3969" t="inlineStr">
        <is>
          <t>FALSE</t>
        </is>
      </c>
      <c r="K60" s="3969" t="inlineStr">
        <is>
          <t>B8 stores units as $'000</t>
        </is>
      </c>
      <c r="L60" s="3934" t="n"/>
      <c r="M60" s="3934" t="n"/>
      <c r="N60" s="3934" t="n"/>
      <c r="O60" s="3934" t="n"/>
      <c r="P60" s="3934" t="n"/>
      <c r="Q60" s="3934" t="n"/>
      <c r="R60" s="3934" t="n"/>
      <c r="S60" s="3934" t="n"/>
      <c r="T60" s="3934" t="n"/>
      <c r="U60" s="3934" t="n"/>
      <c r="V60" s="3934" t="n"/>
      <c r="W60" s="3934" t="n"/>
      <c r="X60" s="3934" t="n"/>
      <c r="Y60" s="3934" t="n"/>
      <c r="Z60" s="3934" t="n"/>
      <c r="AA60" s="3934" t="n"/>
      <c r="AB60" s="3934" t="n"/>
      <c r="AC60" s="3934" t="n"/>
      <c r="AD60" s="3934" t="n"/>
      <c r="AE60" s="3934" t="n"/>
      <c r="AF60" s="3934" t="n"/>
      <c r="AG60" s="3934" t="n"/>
      <c r="AH60" s="3934" t="n"/>
      <c r="AI60" s="3934" t="n"/>
      <c r="AJ60" s="3934" t="n"/>
      <c r="AK60" s="3934" t="n"/>
      <c r="AL60" s="3934" t="n"/>
      <c r="AM60" s="3934" t="n"/>
      <c r="AN60" s="3934" t="n"/>
      <c r="AO60" s="3934" t="n"/>
      <c r="AP60" s="3934" t="n"/>
      <c r="AQ60" s="3934" t="n"/>
      <c r="AR60" s="3934" t="n"/>
    </row>
    <row r="61">
      <c r="A61" s="3969" t="inlineStr">
        <is>
          <t>NWC | Summary</t>
        </is>
      </c>
      <c r="B61" s="3969" t="inlineStr">
        <is>
          <t>NWC_SUMMARY_CHECKS</t>
        </is>
      </c>
      <c r="C61" s="3969" t="inlineStr">
        <is>
          <t>A16</t>
        </is>
      </c>
      <c r="D61" s="3969" t="n">
        <v>16</v>
      </c>
      <c r="E61" s="3969" t="n">
        <v>17</v>
      </c>
      <c r="F61" s="3969" t="inlineStr">
        <is>
          <t>G</t>
        </is>
      </c>
      <c r="G61" s="3969" t="n">
        <v>8</v>
      </c>
      <c r="H61" s="3969" t="inlineStr"/>
      <c r="I61" s="3969" t="inlineStr">
        <is>
          <t>grid</t>
        </is>
      </c>
      <c r="J61" s="3969" t="inlineStr">
        <is>
          <t>FALSE</t>
        </is>
      </c>
      <c r="K61" s="3969" t="inlineStr">
        <is>
          <t>Checks should resolve to 0 once linked</t>
        </is>
      </c>
      <c r="L61" s="3934" t="n"/>
      <c r="M61" s="3934" t="n"/>
      <c r="N61" s="3934" t="n"/>
      <c r="O61" s="3934" t="n"/>
      <c r="P61" s="3934" t="n"/>
      <c r="Q61" s="3934" t="n"/>
      <c r="R61" s="3934" t="n"/>
      <c r="S61" s="3934" t="n"/>
      <c r="T61" s="3934" t="n"/>
      <c r="U61" s="3934" t="n"/>
      <c r="V61" s="3934" t="n"/>
      <c r="W61" s="3934" t="n"/>
      <c r="X61" s="3934" t="n"/>
      <c r="Y61" s="3934" t="n"/>
      <c r="Z61" s="3934" t="n"/>
      <c r="AA61" s="3934" t="n"/>
      <c r="AB61" s="3934" t="n"/>
      <c r="AC61" s="3934" t="n"/>
      <c r="AD61" s="3934" t="n"/>
      <c r="AE61" s="3934" t="n"/>
      <c r="AF61" s="3934" t="n"/>
      <c r="AG61" s="3934" t="n"/>
      <c r="AH61" s="3934" t="n"/>
      <c r="AI61" s="3934" t="n"/>
      <c r="AJ61" s="3934" t="n"/>
      <c r="AK61" s="3934" t="n"/>
      <c r="AL61" s="3934" t="n"/>
      <c r="AM61" s="3934" t="n"/>
      <c r="AN61" s="3934" t="n"/>
      <c r="AO61" s="3934" t="n"/>
      <c r="AP61" s="3934" t="n"/>
      <c r="AQ61" s="3934" t="n"/>
      <c r="AR61" s="3934" t="n"/>
    </row>
    <row r="62">
      <c r="A62" s="3969" t="inlineStr">
        <is>
          <t>NWC | Detail</t>
        </is>
      </c>
      <c r="B62" s="3969" t="inlineStr">
        <is>
          <t>NWC_DETAIL_MAIN</t>
        </is>
      </c>
      <c r="C62" s="3969" t="inlineStr">
        <is>
          <t>A8</t>
        </is>
      </c>
      <c r="D62" s="3969" t="n">
        <v>8</v>
      </c>
      <c r="E62" s="3969" t="n">
        <v>9</v>
      </c>
      <c r="F62" s="3969" t="inlineStr">
        <is>
          <t>G</t>
        </is>
      </c>
      <c r="G62" s="3969" t="n">
        <v>8</v>
      </c>
      <c r="H62" s="3969" t="inlineStr"/>
      <c r="I62" s="3969" t="inlineStr">
        <is>
          <t>grid</t>
        </is>
      </c>
      <c r="J62" s="3969" t="inlineStr">
        <is>
          <t>FALSE</t>
        </is>
      </c>
      <c r="K62" s="3969" t="inlineStr">
        <is>
          <t>B8 stores units as $'000</t>
        </is>
      </c>
      <c r="L62" s="3934" t="n"/>
      <c r="M62" s="3934" t="n"/>
      <c r="N62" s="3934" t="n"/>
      <c r="O62" s="3934" t="n"/>
      <c r="P62" s="3934" t="n"/>
      <c r="Q62" s="3934" t="n"/>
      <c r="R62" s="3934" t="n"/>
      <c r="S62" s="3934" t="n"/>
      <c r="T62" s="3934" t="n"/>
      <c r="U62" s="3934" t="n"/>
      <c r="V62" s="3934" t="n"/>
      <c r="W62" s="3934" t="n"/>
      <c r="X62" s="3934" t="n"/>
      <c r="Y62" s="3934" t="n"/>
      <c r="Z62" s="3934" t="n"/>
      <c r="AA62" s="3934" t="n"/>
      <c r="AB62" s="3934" t="n"/>
      <c r="AC62" s="3934" t="n"/>
      <c r="AD62" s="3934" t="n"/>
      <c r="AE62" s="3934" t="n"/>
      <c r="AF62" s="3934" t="n"/>
      <c r="AG62" s="3934" t="n"/>
      <c r="AH62" s="3934" t="n"/>
      <c r="AI62" s="3934" t="n"/>
      <c r="AJ62" s="3934" t="n"/>
      <c r="AK62" s="3934" t="n"/>
      <c r="AL62" s="3934" t="n"/>
      <c r="AM62" s="3934" t="n"/>
      <c r="AN62" s="3934" t="n"/>
      <c r="AO62" s="3934" t="n"/>
      <c r="AP62" s="3934" t="n"/>
      <c r="AQ62" s="3934" t="n"/>
      <c r="AR62" s="3934" t="n"/>
    </row>
    <row r="63">
      <c r="A63" s="3969" t="inlineStr">
        <is>
          <t>NWC | Detail</t>
        </is>
      </c>
      <c r="B63" s="3969" t="inlineStr">
        <is>
          <t>NWC_DETAIL_CHECKS</t>
        </is>
      </c>
      <c r="C63" s="3969" t="inlineStr">
        <is>
          <t>A27</t>
        </is>
      </c>
      <c r="D63" s="3969" t="n">
        <v>27</v>
      </c>
      <c r="E63" s="3969" t="n">
        <v>28</v>
      </c>
      <c r="F63" s="3969" t="inlineStr">
        <is>
          <t>G</t>
        </is>
      </c>
      <c r="G63" s="3969" t="n">
        <v>8</v>
      </c>
      <c r="H63" s="3969" t="inlineStr"/>
      <c r="I63" s="3969" t="inlineStr">
        <is>
          <t>grid</t>
        </is>
      </c>
      <c r="J63" s="3969" t="inlineStr">
        <is>
          <t>FALSE</t>
        </is>
      </c>
      <c r="K63" s="3969" t="inlineStr">
        <is>
          <t>Checks should resolve to 0 once linked</t>
        </is>
      </c>
      <c r="L63" s="3934" t="n"/>
      <c r="M63" s="3934" t="n"/>
      <c r="N63" s="3934" t="n"/>
      <c r="O63" s="3934" t="n"/>
      <c r="P63" s="3934" t="n"/>
      <c r="Q63" s="3934" t="n"/>
      <c r="R63" s="3934" t="n"/>
      <c r="S63" s="3934" t="n"/>
      <c r="T63" s="3934" t="n"/>
      <c r="U63" s="3934" t="n"/>
      <c r="V63" s="3934" t="n"/>
      <c r="W63" s="3934" t="n"/>
      <c r="X63" s="3934" t="n"/>
      <c r="Y63" s="3934" t="n"/>
      <c r="Z63" s="3934" t="n"/>
      <c r="AA63" s="3934" t="n"/>
      <c r="AB63" s="3934" t="n"/>
      <c r="AC63" s="3934" t="n"/>
      <c r="AD63" s="3934" t="n"/>
      <c r="AE63" s="3934" t="n"/>
      <c r="AF63" s="3934" t="n"/>
      <c r="AG63" s="3934" t="n"/>
      <c r="AH63" s="3934" t="n"/>
      <c r="AI63" s="3934" t="n"/>
      <c r="AJ63" s="3934" t="n"/>
      <c r="AK63" s="3934" t="n"/>
      <c r="AL63" s="3934" t="n"/>
      <c r="AM63" s="3934" t="n"/>
      <c r="AN63" s="3934" t="n"/>
      <c r="AO63" s="3934" t="n"/>
      <c r="AP63" s="3934" t="n"/>
      <c r="AQ63" s="3934" t="n"/>
      <c r="AR63" s="3934" t="n"/>
    </row>
    <row r="64">
      <c r="A64" s="3969" t="inlineStr">
        <is>
          <t>NWC | Days</t>
        </is>
      </c>
      <c r="B64" s="3969" t="inlineStr">
        <is>
          <t>NWC_DAYS_MAIN</t>
        </is>
      </c>
      <c r="C64" s="3969" t="inlineStr">
        <is>
          <t>A8</t>
        </is>
      </c>
      <c r="D64" s="3969" t="n">
        <v>8</v>
      </c>
      <c r="E64" s="3969" t="n">
        <v>9</v>
      </c>
      <c r="F64" s="3969" t="inlineStr">
        <is>
          <t>B</t>
        </is>
      </c>
      <c r="G64" s="3969" t="n">
        <v>8</v>
      </c>
      <c r="H64" s="3969" t="inlineStr"/>
      <c r="I64" s="3969" t="inlineStr">
        <is>
          <t>grid</t>
        </is>
      </c>
      <c r="J64" s="3969" t="inlineStr">
        <is>
          <t>FALSE</t>
        </is>
      </c>
      <c r="K64" s="3969" t="inlineStr">
        <is>
          <t>B8 stores units as $'000</t>
        </is>
      </c>
      <c r="L64" s="3934" t="n"/>
      <c r="M64" s="3934" t="n"/>
      <c r="N64" s="3934" t="n"/>
      <c r="O64" s="3934" t="n"/>
      <c r="P64" s="3934" t="n"/>
      <c r="Q64" s="3934" t="n"/>
      <c r="R64" s="3934" t="n"/>
      <c r="S64" s="3934" t="n"/>
      <c r="T64" s="3934" t="n"/>
      <c r="U64" s="3934" t="n"/>
      <c r="V64" s="3934" t="n"/>
      <c r="W64" s="3934" t="n"/>
      <c r="X64" s="3934" t="n"/>
      <c r="Y64" s="3934" t="n"/>
      <c r="Z64" s="3934" t="n"/>
      <c r="AA64" s="3934" t="n"/>
      <c r="AB64" s="3934" t="n"/>
      <c r="AC64" s="3934" t="n"/>
      <c r="AD64" s="3934" t="n"/>
      <c r="AE64" s="3934" t="n"/>
      <c r="AF64" s="3934" t="n"/>
      <c r="AG64" s="3934" t="n"/>
      <c r="AH64" s="3934" t="n"/>
      <c r="AI64" s="3934" t="n"/>
      <c r="AJ64" s="3934" t="n"/>
      <c r="AK64" s="3934" t="n"/>
      <c r="AL64" s="3934" t="n"/>
      <c r="AM64" s="3934" t="n"/>
      <c r="AN64" s="3934" t="n"/>
      <c r="AO64" s="3934" t="n"/>
      <c r="AP64" s="3934" t="n"/>
      <c r="AQ64" s="3934" t="n"/>
      <c r="AR64" s="3934" t="n"/>
    </row>
    <row r="65">
      <c r="A65" s="3969" t="inlineStr">
        <is>
          <t>NWC | Days</t>
        </is>
      </c>
      <c r="B65" s="3969" t="inlineStr">
        <is>
          <t>NWC_DAYS_CHECKS</t>
        </is>
      </c>
      <c r="C65" s="3969" t="inlineStr">
        <is>
          <t>A27</t>
        </is>
      </c>
      <c r="D65" s="3969" t="n">
        <v>27</v>
      </c>
      <c r="E65" s="3969" t="n">
        <v>28</v>
      </c>
      <c r="F65" s="3969" t="inlineStr">
        <is>
          <t>B</t>
        </is>
      </c>
      <c r="G65" s="3969" t="n">
        <v>8</v>
      </c>
      <c r="H65" s="3969" t="inlineStr"/>
      <c r="I65" s="3969" t="inlineStr">
        <is>
          <t>grid</t>
        </is>
      </c>
      <c r="J65" s="3969" t="inlineStr">
        <is>
          <t>FALSE</t>
        </is>
      </c>
      <c r="K65" s="3969" t="inlineStr">
        <is>
          <t>Review-based check block</t>
        </is>
      </c>
      <c r="L65" s="3934" t="n"/>
      <c r="M65" s="3934" t="n"/>
      <c r="N65" s="3934" t="n"/>
      <c r="O65" s="3934" t="n"/>
      <c r="P65" s="3934" t="n"/>
      <c r="Q65" s="3934" t="n"/>
      <c r="R65" s="3934" t="n"/>
      <c r="S65" s="3934" t="n"/>
      <c r="T65" s="3934" t="n"/>
      <c r="U65" s="3934" t="n"/>
      <c r="V65" s="3934" t="n"/>
      <c r="W65" s="3934" t="n"/>
      <c r="X65" s="3934" t="n"/>
      <c r="Y65" s="3934" t="n"/>
      <c r="Z65" s="3934" t="n"/>
      <c r="AA65" s="3934" t="n"/>
      <c r="AB65" s="3934" t="n"/>
      <c r="AC65" s="3934" t="n"/>
      <c r="AD65" s="3934" t="n"/>
      <c r="AE65" s="3934" t="n"/>
      <c r="AF65" s="3934" t="n"/>
      <c r="AG65" s="3934" t="n"/>
      <c r="AH65" s="3934" t="n"/>
      <c r="AI65" s="3934" t="n"/>
      <c r="AJ65" s="3934" t="n"/>
      <c r="AK65" s="3934" t="n"/>
      <c r="AL65" s="3934" t="n"/>
      <c r="AM65" s="3934" t="n"/>
      <c r="AN65" s="3934" t="n"/>
      <c r="AO65" s="3934" t="n"/>
      <c r="AP65" s="3934" t="n"/>
      <c r="AQ65" s="3934" t="n"/>
      <c r="AR65" s="3934" t="n"/>
    </row>
    <row r="66">
      <c r="A66" s="3969" t="inlineStr">
        <is>
          <t>Stratified | BS</t>
        </is>
      </c>
      <c r="B66" s="3969" t="inlineStr">
        <is>
          <t>STRAT_BS_MAIN</t>
        </is>
      </c>
      <c r="C66" s="3969" t="inlineStr">
        <is>
          <t>A8</t>
        </is>
      </c>
      <c r="D66" s="3969" t="n">
        <v>8</v>
      </c>
      <c r="E66" s="3969" t="n">
        <v>9</v>
      </c>
      <c r="F66" s="3969" t="inlineStr">
        <is>
          <t>G</t>
        </is>
      </c>
      <c r="G66" s="3969" t="n">
        <v>8</v>
      </c>
      <c r="H66" s="3969" t="inlineStr"/>
      <c r="I66" s="3969" t="inlineStr">
        <is>
          <t>grid</t>
        </is>
      </c>
      <c r="J66" s="3969" t="inlineStr">
        <is>
          <t>FALSE</t>
        </is>
      </c>
      <c r="K66" s="3969" t="inlineStr">
        <is>
          <t>B8 stores units as $'000</t>
        </is>
      </c>
      <c r="L66" s="3934" t="n"/>
      <c r="M66" s="3934" t="n"/>
      <c r="N66" s="3934" t="n"/>
      <c r="O66" s="3934" t="n"/>
      <c r="P66" s="3934" t="n"/>
      <c r="Q66" s="3934" t="n"/>
      <c r="R66" s="3934" t="n"/>
      <c r="S66" s="3934" t="n"/>
      <c r="T66" s="3934" t="n"/>
      <c r="U66" s="3934" t="n"/>
      <c r="V66" s="3934" t="n"/>
      <c r="W66" s="3934" t="n"/>
      <c r="X66" s="3934" t="n"/>
      <c r="Y66" s="3934" t="n"/>
      <c r="Z66" s="3934" t="n"/>
      <c r="AA66" s="3934" t="n"/>
      <c r="AB66" s="3934" t="n"/>
      <c r="AC66" s="3934" t="n"/>
      <c r="AD66" s="3934" t="n"/>
      <c r="AE66" s="3934" t="n"/>
      <c r="AF66" s="3934" t="n"/>
      <c r="AG66" s="3934" t="n"/>
      <c r="AH66" s="3934" t="n"/>
      <c r="AI66" s="3934" t="n"/>
      <c r="AJ66" s="3934" t="n"/>
      <c r="AK66" s="3934" t="n"/>
      <c r="AL66" s="3934" t="n"/>
      <c r="AM66" s="3934" t="n"/>
      <c r="AN66" s="3934" t="n"/>
      <c r="AO66" s="3934" t="n"/>
      <c r="AP66" s="3934" t="n"/>
      <c r="AQ66" s="3934" t="n"/>
      <c r="AR66" s="3934" t="n"/>
    </row>
    <row r="67">
      <c r="A67" s="3969" t="inlineStr">
        <is>
          <t>Stratified | BS</t>
        </is>
      </c>
      <c r="B67" s="3969" t="inlineStr">
        <is>
          <t>STRAT_BS_CHECKS</t>
        </is>
      </c>
      <c r="C67" s="3969" t="inlineStr">
        <is>
          <t>A27</t>
        </is>
      </c>
      <c r="D67" s="3969" t="n">
        <v>27</v>
      </c>
      <c r="E67" s="3969" t="n">
        <v>28</v>
      </c>
      <c r="F67" s="3969" t="inlineStr">
        <is>
          <t>G</t>
        </is>
      </c>
      <c r="G67" s="3969" t="n">
        <v>8</v>
      </c>
      <c r="H67" s="3969" t="inlineStr"/>
      <c r="I67" s="3969" t="inlineStr">
        <is>
          <t>grid</t>
        </is>
      </c>
      <c r="J67" s="3969" t="inlineStr">
        <is>
          <t>FALSE</t>
        </is>
      </c>
      <c r="K67" s="3969" t="inlineStr">
        <is>
          <t>Checks should resolve to 0 once linked</t>
        </is>
      </c>
      <c r="L67" s="3934" t="n"/>
      <c r="M67" s="3934" t="n"/>
      <c r="N67" s="3934" t="n"/>
      <c r="O67" s="3934" t="n"/>
      <c r="P67" s="3934" t="n"/>
      <c r="Q67" s="3934" t="n"/>
      <c r="R67" s="3934" t="n"/>
      <c r="S67" s="3934" t="n"/>
      <c r="T67" s="3934" t="n"/>
      <c r="U67" s="3934" t="n"/>
      <c r="V67" s="3934" t="n"/>
      <c r="W67" s="3934" t="n"/>
      <c r="X67" s="3934" t="n"/>
      <c r="Y67" s="3934" t="n"/>
      <c r="Z67" s="3934" t="n"/>
      <c r="AA67" s="3934" t="n"/>
      <c r="AB67" s="3934" t="n"/>
      <c r="AC67" s="3934" t="n"/>
      <c r="AD67" s="3934" t="n"/>
      <c r="AE67" s="3934" t="n"/>
      <c r="AF67" s="3934" t="n"/>
      <c r="AG67" s="3934" t="n"/>
      <c r="AH67" s="3934" t="n"/>
      <c r="AI67" s="3934" t="n"/>
      <c r="AJ67" s="3934" t="n"/>
      <c r="AK67" s="3934" t="n"/>
      <c r="AL67" s="3934" t="n"/>
      <c r="AM67" s="3934" t="n"/>
      <c r="AN67" s="3934" t="n"/>
      <c r="AO67" s="3934" t="n"/>
      <c r="AP67" s="3934" t="n"/>
      <c r="AQ67" s="3934" t="n"/>
      <c r="AR67" s="3934" t="n"/>
    </row>
    <row r="68">
      <c r="A68" s="3969" t="inlineStr">
        <is>
          <t>Net_debt</t>
        </is>
      </c>
      <c r="B68" s="3969" t="inlineStr">
        <is>
          <t>NETDEBT_MAIN</t>
        </is>
      </c>
      <c r="C68" s="3969" t="inlineStr">
        <is>
          <t>A8</t>
        </is>
      </c>
      <c r="D68" s="3969" t="n">
        <v>8</v>
      </c>
      <c r="E68" s="3969" t="n">
        <v>9</v>
      </c>
      <c r="F68" s="3969" t="inlineStr">
        <is>
          <t>G</t>
        </is>
      </c>
      <c r="G68" s="3969" t="n">
        <v>8</v>
      </c>
      <c r="H68" s="3969" t="inlineStr"/>
      <c r="I68" s="3969" t="inlineStr">
        <is>
          <t>grid</t>
        </is>
      </c>
      <c r="J68" s="3969" t="inlineStr">
        <is>
          <t>FALSE</t>
        </is>
      </c>
      <c r="K68" s="3969" t="inlineStr">
        <is>
          <t>B8 stores units as $'000</t>
        </is>
      </c>
      <c r="L68" s="3934" t="n"/>
      <c r="M68" s="3934" t="n"/>
      <c r="N68" s="3934" t="n"/>
      <c r="O68" s="3934" t="n"/>
      <c r="P68" s="3934" t="n"/>
      <c r="Q68" s="3934" t="n"/>
      <c r="R68" s="3934" t="n"/>
      <c r="S68" s="3934" t="n"/>
      <c r="T68" s="3934" t="n"/>
      <c r="U68" s="3934" t="n"/>
      <c r="V68" s="3934" t="n"/>
      <c r="W68" s="3934" t="n"/>
      <c r="X68" s="3934" t="n"/>
      <c r="Y68" s="3934" t="n"/>
      <c r="Z68" s="3934" t="n"/>
      <c r="AA68" s="3934" t="n"/>
      <c r="AB68" s="3934" t="n"/>
      <c r="AC68" s="3934" t="n"/>
      <c r="AD68" s="3934" t="n"/>
      <c r="AE68" s="3934" t="n"/>
      <c r="AF68" s="3934" t="n"/>
      <c r="AG68" s="3934" t="n"/>
      <c r="AH68" s="3934" t="n"/>
      <c r="AI68" s="3934" t="n"/>
      <c r="AJ68" s="3934" t="n"/>
      <c r="AK68" s="3934" t="n"/>
      <c r="AL68" s="3934" t="n"/>
      <c r="AM68" s="3934" t="n"/>
      <c r="AN68" s="3934" t="n"/>
      <c r="AO68" s="3934" t="n"/>
      <c r="AP68" s="3934" t="n"/>
      <c r="AQ68" s="3934" t="n"/>
      <c r="AR68" s="3934" t="n"/>
    </row>
    <row r="69">
      <c r="A69" s="3969" t="inlineStr">
        <is>
          <t>Net_debt</t>
        </is>
      </c>
      <c r="B69" s="3969" t="inlineStr">
        <is>
          <t>NETDEBT_CHECKS</t>
        </is>
      </c>
      <c r="C69" s="3969" t="inlineStr">
        <is>
          <t>A27</t>
        </is>
      </c>
      <c r="D69" s="3969" t="n">
        <v>27</v>
      </c>
      <c r="E69" s="3969" t="n">
        <v>28</v>
      </c>
      <c r="F69" s="3969" t="inlineStr">
        <is>
          <t>G</t>
        </is>
      </c>
      <c r="G69" s="3969" t="n">
        <v>8</v>
      </c>
      <c r="H69" s="3969" t="inlineStr"/>
      <c r="I69" s="3969" t="inlineStr">
        <is>
          <t>grid</t>
        </is>
      </c>
      <c r="J69" s="3969" t="inlineStr">
        <is>
          <t>FALSE</t>
        </is>
      </c>
      <c r="K69" s="3969" t="inlineStr">
        <is>
          <t>Checks should resolve to 0 once linked</t>
        </is>
      </c>
      <c r="L69" s="3934" t="n"/>
      <c r="M69" s="3934" t="n"/>
      <c r="N69" s="3934" t="n"/>
      <c r="O69" s="3934" t="n"/>
      <c r="P69" s="3934" t="n"/>
      <c r="Q69" s="3934" t="n"/>
      <c r="R69" s="3934" t="n"/>
      <c r="S69" s="3934" t="n"/>
      <c r="T69" s="3934" t="n"/>
      <c r="U69" s="3934" t="n"/>
      <c r="V69" s="3934" t="n"/>
      <c r="W69" s="3934" t="n"/>
      <c r="X69" s="3934" t="n"/>
      <c r="Y69" s="3934" t="n"/>
      <c r="Z69" s="3934" t="n"/>
      <c r="AA69" s="3934" t="n"/>
      <c r="AB69" s="3934" t="n"/>
      <c r="AC69" s="3934" t="n"/>
      <c r="AD69" s="3934" t="n"/>
      <c r="AE69" s="3934" t="n"/>
      <c r="AF69" s="3934" t="n"/>
      <c r="AG69" s="3934" t="n"/>
      <c r="AH69" s="3934" t="n"/>
      <c r="AI69" s="3934" t="n"/>
      <c r="AJ69" s="3934" t="n"/>
      <c r="AK69" s="3934" t="n"/>
      <c r="AL69" s="3934" t="n"/>
      <c r="AM69" s="3934" t="n"/>
      <c r="AN69" s="3934" t="n"/>
      <c r="AO69" s="3934" t="n"/>
      <c r="AP69" s="3934" t="n"/>
      <c r="AQ69" s="3934" t="n"/>
      <c r="AR69" s="3934" t="n"/>
    </row>
    <row r="70">
      <c r="A70" s="3969" t="inlineStr">
        <is>
          <t>Control | QC</t>
        </is>
      </c>
      <c r="B70" s="3969" t="inlineStr">
        <is>
          <t>QC_MAIN</t>
        </is>
      </c>
      <c r="C70" s="3969" t="inlineStr">
        <is>
          <t>A8</t>
        </is>
      </c>
      <c r="D70" s="3969" t="n">
        <v>8</v>
      </c>
      <c r="E70" s="3969" t="n">
        <v>9</v>
      </c>
      <c r="F70" s="3969" t="n"/>
      <c r="G70" s="3969" t="n"/>
      <c r="H70" s="3969" t="n"/>
      <c r="I70" s="3969" t="inlineStr">
        <is>
          <t>grid</t>
        </is>
      </c>
      <c r="J70" s="3969" t="inlineStr">
        <is>
          <t>FALSE</t>
        </is>
      </c>
      <c r="K70" s="3969" t="inlineStr">
        <is>
          <t>PassFlag TRUE when check resolves</t>
        </is>
      </c>
      <c r="L70" s="3934" t="n"/>
      <c r="M70" s="3934" t="n"/>
      <c r="N70" s="3934" t="n"/>
      <c r="O70" s="3934" t="n"/>
      <c r="P70" s="3934" t="n"/>
      <c r="Q70" s="3934" t="n"/>
      <c r="R70" s="3934" t="n"/>
      <c r="S70" s="3934" t="n"/>
      <c r="T70" s="3934" t="n"/>
      <c r="U70" s="3934" t="n"/>
      <c r="V70" s="3934" t="n"/>
      <c r="W70" s="3934" t="n"/>
      <c r="X70" s="3934" t="n"/>
      <c r="Y70" s="3934" t="n"/>
      <c r="Z70" s="3934" t="n"/>
      <c r="AA70" s="3934" t="n"/>
      <c r="AB70" s="3934" t="n"/>
      <c r="AC70" s="3934" t="n"/>
      <c r="AD70" s="3934" t="n"/>
      <c r="AE70" s="3934" t="n"/>
      <c r="AF70" s="3934" t="n"/>
      <c r="AG70" s="3934" t="n"/>
      <c r="AH70" s="3934" t="n"/>
      <c r="AI70" s="3934" t="n"/>
      <c r="AJ70" s="3934" t="n"/>
      <c r="AK70" s="3934" t="n"/>
      <c r="AL70" s="3934" t="n"/>
      <c r="AM70" s="3934" t="n"/>
      <c r="AN70" s="3934" t="n"/>
      <c r="AO70" s="3934" t="n"/>
      <c r="AP70" s="3934" t="n"/>
      <c r="AQ70" s="3934" t="n"/>
      <c r="AR70" s="3934" t="n"/>
    </row>
    <row r="71">
      <c r="A71" s="3969" t="inlineStr">
        <is>
          <t>Recons</t>
        </is>
      </c>
      <c r="B71" s="3969" t="inlineStr">
        <is>
          <t>RECONS_IS</t>
        </is>
      </c>
      <c r="C71" s="3969" t="inlineStr">
        <is>
          <t>A7</t>
        </is>
      </c>
      <c r="D71" s="3969" t="n">
        <v>8</v>
      </c>
      <c r="E71" s="3969" t="n">
        <v>9</v>
      </c>
      <c r="F71" s="3969" t="n"/>
      <c r="G71" s="3969" t="n"/>
      <c r="H71" s="3969" t="n"/>
      <c r="I71" s="3969" t="inlineStr">
        <is>
          <t>grid</t>
        </is>
      </c>
      <c r="J71" s="3969" t="inlineStr">
        <is>
          <t>FALSE</t>
        </is>
      </c>
      <c r="K71" s="3969" t="inlineStr">
        <is>
          <t>B8 stores units as $'000</t>
        </is>
      </c>
      <c r="L71" s="3934" t="n"/>
      <c r="M71" s="3934" t="n"/>
      <c r="N71" s="3934" t="n"/>
      <c r="O71" s="3934" t="n"/>
      <c r="P71" s="3934" t="n"/>
      <c r="Q71" s="3934" t="n"/>
      <c r="R71" s="3934" t="n"/>
      <c r="S71" s="3934" t="n"/>
      <c r="T71" s="3934" t="n"/>
      <c r="U71" s="3934" t="n"/>
      <c r="V71" s="3934" t="n"/>
      <c r="W71" s="3934" t="n"/>
      <c r="X71" s="3934" t="n"/>
      <c r="Y71" s="3934" t="n"/>
      <c r="Z71" s="3934" t="n"/>
      <c r="AA71" s="3934" t="n"/>
      <c r="AB71" s="3934" t="n"/>
      <c r="AC71" s="3934" t="n"/>
      <c r="AD71" s="3934" t="n"/>
      <c r="AE71" s="3934" t="n"/>
      <c r="AF71" s="3934" t="n"/>
      <c r="AG71" s="3934" t="n"/>
      <c r="AH71" s="3934" t="n"/>
      <c r="AI71" s="3934" t="n"/>
      <c r="AJ71" s="3934" t="n"/>
      <c r="AK71" s="3934" t="n"/>
      <c r="AL71" s="3934" t="n"/>
      <c r="AM71" s="3934" t="n"/>
      <c r="AN71" s="3934" t="n"/>
      <c r="AO71" s="3934" t="n"/>
      <c r="AP71" s="3934" t="n"/>
      <c r="AQ71" s="3934" t="n"/>
      <c r="AR71" s="3934" t="n"/>
    </row>
    <row r="72">
      <c r="A72" s="3969" t="inlineStr">
        <is>
          <t>Recons</t>
        </is>
      </c>
      <c r="B72" s="3969" t="inlineStr">
        <is>
          <t>RECONS_BS</t>
        </is>
      </c>
      <c r="C72" s="3969" t="inlineStr">
        <is>
          <t>A16</t>
        </is>
      </c>
      <c r="D72" s="3969" t="n">
        <v>17</v>
      </c>
      <c r="E72" s="3969" t="n">
        <v>18</v>
      </c>
      <c r="F72" s="3969" t="n"/>
      <c r="G72" s="3969" t="n"/>
      <c r="H72" s="3969" t="n"/>
      <c r="I72" s="3969" t="inlineStr">
        <is>
          <t>grid</t>
        </is>
      </c>
      <c r="J72" s="3969" t="inlineStr">
        <is>
          <t>FALSE</t>
        </is>
      </c>
      <c r="K72" s="3969" t="inlineStr">
        <is>
          <t>Section-level variances should resolve to 0</t>
        </is>
      </c>
      <c r="L72" s="3934" t="n"/>
      <c r="M72" s="3934" t="n"/>
      <c r="N72" s="3934" t="n"/>
      <c r="O72" s="3934" t="n"/>
      <c r="P72" s="3934" t="n"/>
      <c r="Q72" s="3934" t="n"/>
      <c r="R72" s="3934" t="n"/>
      <c r="S72" s="3934" t="n"/>
      <c r="T72" s="3934" t="n"/>
      <c r="U72" s="3934" t="n"/>
      <c r="V72" s="3934" t="n"/>
      <c r="W72" s="3934" t="n"/>
      <c r="X72" s="3934" t="n"/>
      <c r="Y72" s="3934" t="n"/>
      <c r="Z72" s="3934" t="n"/>
      <c r="AA72" s="3934" t="n"/>
      <c r="AB72" s="3934" t="n"/>
      <c r="AC72" s="3934" t="n"/>
      <c r="AD72" s="3934" t="n"/>
      <c r="AE72" s="3934" t="n"/>
      <c r="AF72" s="3934" t="n"/>
      <c r="AG72" s="3934" t="n"/>
      <c r="AH72" s="3934" t="n"/>
      <c r="AI72" s="3934" t="n"/>
      <c r="AJ72" s="3934" t="n"/>
      <c r="AK72" s="3934" t="n"/>
      <c r="AL72" s="3934" t="n"/>
      <c r="AM72" s="3934" t="n"/>
      <c r="AN72" s="3934" t="n"/>
      <c r="AO72" s="3934" t="n"/>
      <c r="AP72" s="3934" t="n"/>
      <c r="AQ72" s="3934" t="n"/>
      <c r="AR72" s="3934" t="n"/>
    </row>
    <row r="73">
      <c r="A73" s="3969" t="inlineStr">
        <is>
          <t>Recons</t>
        </is>
      </c>
      <c r="B73" s="3969" t="inlineStr">
        <is>
          <t>RECONS_CF</t>
        </is>
      </c>
      <c r="C73" s="3969" t="inlineStr">
        <is>
          <t>A25</t>
        </is>
      </c>
      <c r="D73" s="3969" t="n">
        <v>26</v>
      </c>
      <c r="E73" s="3969" t="n">
        <v>27</v>
      </c>
      <c r="F73" s="3969" t="n"/>
      <c r="G73" s="3969" t="n"/>
      <c r="H73" s="3969" t="n"/>
      <c r="I73" s="3969" t="inlineStr">
        <is>
          <t>grid</t>
        </is>
      </c>
      <c r="J73" s="3969" t="inlineStr">
        <is>
          <t>FALSE</t>
        </is>
      </c>
      <c r="K73" s="3969" t="inlineStr">
        <is>
          <t>Section-level variances should resolve to 0</t>
        </is>
      </c>
      <c r="L73" s="3934" t="n"/>
      <c r="M73" s="3934" t="n"/>
      <c r="N73" s="3934" t="n"/>
      <c r="O73" s="3934" t="n"/>
      <c r="P73" s="3934" t="n"/>
      <c r="Q73" s="3934" t="n"/>
      <c r="R73" s="3934" t="n"/>
      <c r="S73" s="3934" t="n"/>
      <c r="T73" s="3934" t="n"/>
      <c r="U73" s="3934" t="n"/>
      <c r="V73" s="3934" t="n"/>
      <c r="W73" s="3934" t="n"/>
      <c r="X73" s="3934" t="n"/>
      <c r="Y73" s="3934" t="n"/>
      <c r="Z73" s="3934" t="n"/>
      <c r="AA73" s="3934" t="n"/>
      <c r="AB73" s="3934" t="n"/>
      <c r="AC73" s="3934" t="n"/>
      <c r="AD73" s="3934" t="n"/>
      <c r="AE73" s="3934" t="n"/>
      <c r="AF73" s="3934" t="n"/>
      <c r="AG73" s="3934" t="n"/>
      <c r="AH73" s="3934" t="n"/>
      <c r="AI73" s="3934" t="n"/>
      <c r="AJ73" s="3934" t="n"/>
      <c r="AK73" s="3934" t="n"/>
      <c r="AL73" s="3934" t="n"/>
      <c r="AM73" s="3934" t="n"/>
      <c r="AN73" s="3934" t="n"/>
      <c r="AO73" s="3934" t="n"/>
      <c r="AP73" s="3934" t="n"/>
      <c r="AQ73" s="3934" t="n"/>
      <c r="AR73" s="3934" t="n"/>
    </row>
    <row r="74">
      <c r="A74" s="3969" t="inlineStr">
        <is>
          <t>Recons</t>
        </is>
      </c>
      <c r="B74" s="3969" t="inlineStr">
        <is>
          <t>RECONS_OTHER</t>
        </is>
      </c>
      <c r="C74" s="3969" t="inlineStr">
        <is>
          <t>A34</t>
        </is>
      </c>
      <c r="D74" s="3969" t="n">
        <v>35</v>
      </c>
      <c r="E74" s="3969" t="n">
        <v>36</v>
      </c>
      <c r="F74" s="3969" t="n"/>
      <c r="G74" s="3969" t="n"/>
      <c r="H74" s="3969" t="n"/>
      <c r="I74" s="3969" t="inlineStr">
        <is>
          <t>grid</t>
        </is>
      </c>
      <c r="J74" s="3969" t="inlineStr">
        <is>
          <t>FALSE</t>
        </is>
      </c>
      <c r="K74" s="3969" t="inlineStr">
        <is>
          <t>Section-level variances should resolve to 0</t>
        </is>
      </c>
      <c r="L74" s="3934" t="n"/>
      <c r="M74" s="3934" t="n"/>
      <c r="N74" s="3934" t="n"/>
      <c r="O74" s="3934" t="n"/>
      <c r="P74" s="3934" t="n"/>
      <c r="Q74" s="3934" t="n"/>
      <c r="R74" s="3934" t="n"/>
      <c r="S74" s="3934" t="n"/>
      <c r="T74" s="3934" t="n"/>
      <c r="U74" s="3934" t="n"/>
      <c r="V74" s="3934" t="n"/>
      <c r="W74" s="3934" t="n"/>
      <c r="X74" s="3934" t="n"/>
      <c r="Y74" s="3934" t="n"/>
      <c r="Z74" s="3934" t="n"/>
      <c r="AA74" s="3934" t="n"/>
      <c r="AB74" s="3934" t="n"/>
      <c r="AC74" s="3934" t="n"/>
      <c r="AD74" s="3934" t="n"/>
      <c r="AE74" s="3934" t="n"/>
      <c r="AF74" s="3934" t="n"/>
      <c r="AG74" s="3934" t="n"/>
      <c r="AH74" s="3934" t="n"/>
      <c r="AI74" s="3934" t="n"/>
      <c r="AJ74" s="3934" t="n"/>
      <c r="AK74" s="3934" t="n"/>
      <c r="AL74" s="3934" t="n"/>
      <c r="AM74" s="3934" t="n"/>
      <c r="AN74" s="3934" t="n"/>
      <c r="AO74" s="3934" t="n"/>
      <c r="AP74" s="3934" t="n"/>
      <c r="AQ74" s="3934" t="n"/>
      <c r="AR74" s="3934" t="n"/>
    </row>
    <row r="75">
      <c r="A75" s="3969" t="inlineStr">
        <is>
          <t>Recons</t>
        </is>
      </c>
      <c r="B75" s="3969" t="inlineStr">
        <is>
          <t>RECONS_CHECKS</t>
        </is>
      </c>
      <c r="C75" s="3969" t="inlineStr">
        <is>
          <t>A43</t>
        </is>
      </c>
      <c r="D75" s="3969" t="n">
        <v>43</v>
      </c>
      <c r="E75" s="3969" t="n">
        <v>44</v>
      </c>
      <c r="F75" s="3969" t="n"/>
      <c r="G75" s="3969" t="n"/>
      <c r="H75" s="3969" t="n"/>
      <c r="I75" s="3969" t="inlineStr">
        <is>
          <t>grid</t>
        </is>
      </c>
      <c r="J75" s="3969" t="inlineStr">
        <is>
          <t>FALSE</t>
        </is>
      </c>
      <c r="K75" s="3969" t="inlineStr">
        <is>
          <t>Overall open fails should resolve to 0</t>
        </is>
      </c>
      <c r="L75" s="3934" t="n"/>
      <c r="M75" s="3934" t="n"/>
      <c r="N75" s="3934" t="n"/>
      <c r="O75" s="3934" t="n"/>
      <c r="P75" s="3934" t="n"/>
      <c r="Q75" s="3934" t="n"/>
      <c r="R75" s="3934" t="n"/>
      <c r="S75" s="3934" t="n"/>
      <c r="T75" s="3934" t="n"/>
      <c r="U75" s="3934" t="n"/>
      <c r="V75" s="3934" t="n"/>
      <c r="W75" s="3934" t="n"/>
      <c r="X75" s="3934" t="n"/>
      <c r="Y75" s="3934" t="n"/>
      <c r="Z75" s="3934" t="n"/>
      <c r="AA75" s="3934" t="n"/>
      <c r="AB75" s="3934" t="n"/>
      <c r="AC75" s="3934" t="n"/>
      <c r="AD75" s="3934" t="n"/>
      <c r="AE75" s="3934" t="n"/>
      <c r="AF75" s="3934" t="n"/>
      <c r="AG75" s="3934" t="n"/>
      <c r="AH75" s="3934" t="n"/>
      <c r="AI75" s="3934" t="n"/>
      <c r="AJ75" s="3934" t="n"/>
      <c r="AK75" s="3934" t="n"/>
      <c r="AL75" s="3934" t="n"/>
      <c r="AM75" s="3934" t="n"/>
      <c r="AN75" s="3934" t="n"/>
      <c r="AO75" s="3934" t="n"/>
      <c r="AP75" s="3934" t="n"/>
      <c r="AQ75" s="3934" t="n"/>
      <c r="AR75" s="3934" t="n"/>
    </row>
    <row r="76">
      <c r="A76" s="3969" t="inlineStr">
        <is>
          <t>Agings</t>
        </is>
      </c>
      <c r="B76" s="3969" t="inlineStr">
        <is>
          <t>AGING_AR</t>
        </is>
      </c>
      <c r="C76" s="3969" t="inlineStr">
        <is>
          <t>A7</t>
        </is>
      </c>
      <c r="D76" s="3969" t="n">
        <v>8</v>
      </c>
      <c r="E76" s="3969" t="n">
        <v>9</v>
      </c>
      <c r="F76" s="3969" t="n"/>
      <c r="G76" s="3969" t="n"/>
      <c r="H76" s="3969" t="n"/>
      <c r="I76" s="3969" t="inlineStr">
        <is>
          <t>grid</t>
        </is>
      </c>
      <c r="J76" s="3969" t="inlineStr">
        <is>
          <t>FALSE</t>
        </is>
      </c>
      <c r="K76" s="3969" t="inlineStr">
        <is>
          <t>B8 stores units as $'000</t>
        </is>
      </c>
      <c r="L76" s="3934" t="n"/>
      <c r="M76" s="3934" t="n"/>
      <c r="N76" s="3934" t="n"/>
      <c r="O76" s="3934" t="n"/>
      <c r="P76" s="3934" t="n"/>
      <c r="Q76" s="3934" t="n"/>
      <c r="R76" s="3934" t="n"/>
      <c r="S76" s="3934" t="n"/>
      <c r="T76" s="3934" t="n"/>
      <c r="U76" s="3934" t="n"/>
      <c r="V76" s="3934" t="n"/>
      <c r="W76" s="3934" t="n"/>
      <c r="X76" s="3934" t="n"/>
      <c r="Y76" s="3934" t="n"/>
      <c r="Z76" s="3934" t="n"/>
      <c r="AA76" s="3934" t="n"/>
      <c r="AB76" s="3934" t="n"/>
      <c r="AC76" s="3934" t="n"/>
      <c r="AD76" s="3934" t="n"/>
      <c r="AE76" s="3934" t="n"/>
      <c r="AF76" s="3934" t="n"/>
      <c r="AG76" s="3934" t="n"/>
      <c r="AH76" s="3934" t="n"/>
      <c r="AI76" s="3934" t="n"/>
      <c r="AJ76" s="3934" t="n"/>
      <c r="AK76" s="3934" t="n"/>
      <c r="AL76" s="3934" t="n"/>
      <c r="AM76" s="3934" t="n"/>
      <c r="AN76" s="3934" t="n"/>
      <c r="AO76" s="3934" t="n"/>
      <c r="AP76" s="3934" t="n"/>
      <c r="AQ76" s="3934" t="n"/>
      <c r="AR76" s="3934" t="n"/>
    </row>
    <row r="77">
      <c r="A77" s="3969" t="inlineStr">
        <is>
          <t>Agings</t>
        </is>
      </c>
      <c r="B77" s="3969" t="inlineStr">
        <is>
          <t>AGING_AP</t>
        </is>
      </c>
      <c r="C77" s="3969" t="inlineStr">
        <is>
          <t>A23</t>
        </is>
      </c>
      <c r="D77" s="3969" t="n">
        <v>24</v>
      </c>
      <c r="E77" s="3969" t="n">
        <v>25</v>
      </c>
      <c r="F77" s="3969" t="n"/>
      <c r="G77" s="3969" t="n"/>
      <c r="H77" s="3969" t="n"/>
      <c r="I77" s="3969" t="inlineStr">
        <is>
          <t>grid</t>
        </is>
      </c>
      <c r="J77" s="3969" t="inlineStr">
        <is>
          <t>FALSE</t>
        </is>
      </c>
      <c r="K77" s="3969" t="inlineStr">
        <is>
          <t>B24 stores units as $'000</t>
        </is>
      </c>
      <c r="L77" s="3934" t="n"/>
      <c r="M77" s="3934" t="n"/>
      <c r="N77" s="3934" t="n"/>
      <c r="O77" s="3934" t="n"/>
      <c r="P77" s="3934" t="n"/>
      <c r="Q77" s="3934" t="n"/>
      <c r="R77" s="3934" t="n"/>
      <c r="S77" s="3934" t="n"/>
      <c r="T77" s="3934" t="n"/>
      <c r="U77" s="3934" t="n"/>
      <c r="V77" s="3934" t="n"/>
      <c r="W77" s="3934" t="n"/>
      <c r="X77" s="3934" t="n"/>
      <c r="Y77" s="3934" t="n"/>
      <c r="Z77" s="3934" t="n"/>
      <c r="AA77" s="3934" t="n"/>
      <c r="AB77" s="3934" t="n"/>
      <c r="AC77" s="3934" t="n"/>
      <c r="AD77" s="3934" t="n"/>
      <c r="AE77" s="3934" t="n"/>
      <c r="AF77" s="3934" t="n"/>
      <c r="AG77" s="3934" t="n"/>
      <c r="AH77" s="3934" t="n"/>
      <c r="AI77" s="3934" t="n"/>
      <c r="AJ77" s="3934" t="n"/>
      <c r="AK77" s="3934" t="n"/>
      <c r="AL77" s="3934" t="n"/>
      <c r="AM77" s="3934" t="n"/>
      <c r="AN77" s="3934" t="n"/>
      <c r="AO77" s="3934" t="n"/>
      <c r="AP77" s="3934" t="n"/>
      <c r="AQ77" s="3934" t="n"/>
      <c r="AR77" s="3934" t="n"/>
    </row>
    <row r="78">
      <c r="A78" s="3969" t="inlineStr">
        <is>
          <t>Agings</t>
        </is>
      </c>
      <c r="B78" s="3969" t="inlineStr">
        <is>
          <t>AGING_CHECKS</t>
        </is>
      </c>
      <c r="C78" s="3969" t="inlineStr">
        <is>
          <t>A39</t>
        </is>
      </c>
      <c r="D78" s="3969" t="n">
        <v>39</v>
      </c>
      <c r="E78" s="3969" t="n">
        <v>40</v>
      </c>
      <c r="F78" s="3969" t="n"/>
      <c r="G78" s="3969" t="n"/>
      <c r="H78" s="3969" t="n"/>
      <c r="I78" s="3969" t="inlineStr">
        <is>
          <t>grid</t>
        </is>
      </c>
      <c r="J78" s="3969" t="inlineStr">
        <is>
          <t>FALSE</t>
        </is>
      </c>
      <c r="K78" s="3969" t="inlineStr">
        <is>
          <t>AR/AP tie-out should resolve to 0</t>
        </is>
      </c>
      <c r="L78" s="3934" t="n"/>
      <c r="M78" s="3934" t="n"/>
      <c r="N78" s="3934" t="n"/>
      <c r="O78" s="3934" t="n"/>
      <c r="P78" s="3934" t="n"/>
      <c r="Q78" s="3934" t="n"/>
      <c r="R78" s="3934" t="n"/>
      <c r="S78" s="3934" t="n"/>
      <c r="T78" s="3934" t="n"/>
      <c r="U78" s="3934" t="n"/>
      <c r="V78" s="3934" t="n"/>
      <c r="W78" s="3934" t="n"/>
      <c r="X78" s="3934" t="n"/>
      <c r="Y78" s="3934" t="n"/>
      <c r="Z78" s="3934" t="n"/>
      <c r="AA78" s="3934" t="n"/>
      <c r="AB78" s="3934" t="n"/>
      <c r="AC78" s="3934" t="n"/>
      <c r="AD78" s="3934" t="n"/>
      <c r="AE78" s="3934" t="n"/>
      <c r="AF78" s="3934" t="n"/>
      <c r="AG78" s="3934" t="n"/>
      <c r="AH78" s="3934" t="n"/>
      <c r="AI78" s="3934" t="n"/>
      <c r="AJ78" s="3934" t="n"/>
      <c r="AK78" s="3934" t="n"/>
      <c r="AL78" s="3934" t="n"/>
      <c r="AM78" s="3934" t="n"/>
      <c r="AN78" s="3934" t="n"/>
      <c r="AO78" s="3934" t="n"/>
      <c r="AP78" s="3934" t="n"/>
      <c r="AQ78" s="3934" t="n"/>
      <c r="AR78" s="3934" t="n"/>
    </row>
    <row r="79">
      <c r="A79" s="3969" t="inlineStr">
        <is>
          <t>Cover</t>
        </is>
      </c>
      <c r="B79" s="3969" t="inlineStr">
        <is>
          <t>COVER_NAV</t>
        </is>
      </c>
      <c r="C79" s="3969" t="inlineStr">
        <is>
          <t>A7</t>
        </is>
      </c>
      <c r="D79" s="3969" t="n">
        <v>8</v>
      </c>
      <c r="E79" s="3969" t="n">
        <v>9</v>
      </c>
      <c r="F79" s="3969" t="n"/>
      <c r="G79" s="3969" t="n"/>
      <c r="H79" s="3969" t="n"/>
      <c r="I79" s="3969" t="inlineStr">
        <is>
          <t>grid</t>
        </is>
      </c>
      <c r="J79" s="3969" t="inlineStr">
        <is>
          <t>FALSE</t>
        </is>
      </c>
      <c r="K79" s="3969" t="inlineStr">
        <is>
          <t>Navigation links should open core sheets</t>
        </is>
      </c>
      <c r="L79" s="3934" t="n"/>
      <c r="M79" s="3934" t="n"/>
      <c r="N79" s="3934" t="n"/>
      <c r="O79" s="3934" t="n"/>
      <c r="P79" s="3934" t="n"/>
      <c r="Q79" s="3934" t="n"/>
      <c r="R79" s="3934" t="n"/>
      <c r="S79" s="3934" t="n"/>
      <c r="T79" s="3934" t="n"/>
      <c r="U79" s="3934" t="n"/>
      <c r="V79" s="3934" t="n"/>
      <c r="W79" s="3934" t="n"/>
      <c r="X79" s="3934" t="n"/>
      <c r="Y79" s="3934" t="n"/>
      <c r="Z79" s="3934" t="n"/>
      <c r="AA79" s="3934" t="n"/>
      <c r="AB79" s="3934" t="n"/>
      <c r="AC79" s="3934" t="n"/>
      <c r="AD79" s="3934" t="n"/>
      <c r="AE79" s="3934" t="n"/>
      <c r="AF79" s="3934" t="n"/>
      <c r="AG79" s="3934" t="n"/>
      <c r="AH79" s="3934" t="n"/>
      <c r="AI79" s="3934" t="n"/>
      <c r="AJ79" s="3934" t="n"/>
      <c r="AK79" s="3934" t="n"/>
      <c r="AL79" s="3934" t="n"/>
      <c r="AM79" s="3934" t="n"/>
      <c r="AN79" s="3934" t="n"/>
      <c r="AO79" s="3934" t="n"/>
      <c r="AP79" s="3934" t="n"/>
      <c r="AQ79" s="3934" t="n"/>
      <c r="AR79" s="3934" t="n"/>
    </row>
    <row r="80">
      <c r="A80" s="3969" t="inlineStr">
        <is>
          <t>Cover</t>
        </is>
      </c>
      <c r="B80" s="3969" t="inlineStr">
        <is>
          <t>COVER_STATUS</t>
        </is>
      </c>
      <c r="C80" s="3969" t="inlineStr">
        <is>
          <t>A20</t>
        </is>
      </c>
      <c r="D80" s="3969" t="n">
        <v>20</v>
      </c>
      <c r="E80" s="3969" t="n">
        <v>21</v>
      </c>
      <c r="F80" s="3969" t="n"/>
      <c r="G80" s="3969" t="n"/>
      <c r="H80" s="3969" t="n"/>
      <c r="I80" s="3969" t="inlineStr">
        <is>
          <t>grid</t>
        </is>
      </c>
      <c r="J80" s="3969" t="inlineStr">
        <is>
          <t>FALSE</t>
        </is>
      </c>
      <c r="K80" s="3969" t="inlineStr">
        <is>
          <t>Overall status should tie to Control | QC!B4</t>
        </is>
      </c>
      <c r="L80" s="3934" t="n"/>
      <c r="M80" s="3934" t="n"/>
      <c r="N80" s="3934" t="n"/>
      <c r="O80" s="3934" t="n"/>
      <c r="P80" s="3934" t="n"/>
      <c r="Q80" s="3934" t="n"/>
      <c r="R80" s="3934" t="n"/>
      <c r="S80" s="3934" t="n"/>
      <c r="T80" s="3934" t="n"/>
      <c r="U80" s="3934" t="n"/>
      <c r="V80" s="3934" t="n"/>
      <c r="W80" s="3934" t="n"/>
      <c r="X80" s="3934" t="n"/>
      <c r="Y80" s="3934" t="n"/>
      <c r="Z80" s="3934" t="n"/>
      <c r="AA80" s="3934" t="n"/>
      <c r="AB80" s="3934" t="n"/>
      <c r="AC80" s="3934" t="n"/>
      <c r="AD80" s="3934" t="n"/>
      <c r="AE80" s="3934" t="n"/>
      <c r="AF80" s="3934" t="n"/>
      <c r="AG80" s="3934" t="n"/>
      <c r="AH80" s="3934" t="n"/>
      <c r="AI80" s="3934" t="n"/>
      <c r="AJ80" s="3934" t="n"/>
      <c r="AK80" s="3934" t="n"/>
      <c r="AL80" s="3934" t="n"/>
      <c r="AM80" s="3934" t="n"/>
      <c r="AN80" s="3934" t="n"/>
      <c r="AO80" s="3934" t="n"/>
      <c r="AP80" s="3934" t="n"/>
      <c r="AQ80" s="3934" t="n"/>
      <c r="AR80" s="3934" t="n"/>
    </row>
    <row r="81">
      <c r="A81" s="3969" t="inlineStr">
        <is>
          <t>Personnel</t>
        </is>
      </c>
      <c r="B81" s="3969" t="inlineStr">
        <is>
          <t>PERSONNEL_MAIN</t>
        </is>
      </c>
      <c r="C81" s="3969" t="inlineStr">
        <is>
          <t>A8</t>
        </is>
      </c>
      <c r="D81" s="3969" t="n">
        <v>8</v>
      </c>
      <c r="E81" s="3969" t="n">
        <v>9</v>
      </c>
      <c r="F81" s="3969" t="inlineStr">
        <is>
          <t>G</t>
        </is>
      </c>
      <c r="G81" s="3969" t="n">
        <v>8</v>
      </c>
      <c r="H81" s="3969" t="n"/>
      <c r="I81" s="3969" t="inlineStr">
        <is>
          <t>grid</t>
        </is>
      </c>
      <c r="J81" s="3969" t="inlineStr">
        <is>
          <t>FALSE</t>
        </is>
      </c>
      <c r="K81" s="3969" t="inlineStr">
        <is>
          <t>B8 stores units as $'000</t>
        </is>
      </c>
      <c r="L81" s="3934" t="n"/>
      <c r="M81" s="3934" t="n"/>
      <c r="N81" s="3934" t="n"/>
      <c r="O81" s="3934" t="n"/>
      <c r="P81" s="3934" t="n"/>
      <c r="Q81" s="3934" t="n"/>
      <c r="R81" s="3934" t="n"/>
      <c r="S81" s="3934" t="n"/>
      <c r="T81" s="3934" t="n"/>
      <c r="U81" s="3934" t="n"/>
      <c r="V81" s="3934" t="n"/>
      <c r="W81" s="3934" t="n"/>
      <c r="X81" s="3934" t="n"/>
      <c r="Y81" s="3934" t="n"/>
      <c r="Z81" s="3934" t="n"/>
      <c r="AA81" s="3934" t="n"/>
      <c r="AB81" s="3934" t="n"/>
      <c r="AC81" s="3934" t="n"/>
      <c r="AD81" s="3934" t="n"/>
      <c r="AE81" s="3934" t="n"/>
      <c r="AF81" s="3934" t="n"/>
      <c r="AG81" s="3934" t="n"/>
      <c r="AH81" s="3934" t="n"/>
      <c r="AI81" s="3934" t="n"/>
      <c r="AJ81" s="3934" t="n"/>
      <c r="AK81" s="3934" t="n"/>
      <c r="AL81" s="3934" t="n"/>
      <c r="AM81" s="3934" t="n"/>
      <c r="AN81" s="3934" t="n"/>
      <c r="AO81" s="3934" t="n"/>
      <c r="AP81" s="3934" t="n"/>
      <c r="AQ81" s="3934" t="n"/>
      <c r="AR81" s="3934" t="n"/>
    </row>
    <row r="82">
      <c r="A82" s="3969" t="inlineStr">
        <is>
          <t>Personnel</t>
        </is>
      </c>
      <c r="B82" s="3969" t="inlineStr">
        <is>
          <t>PERSONNEL_CHECKS</t>
        </is>
      </c>
      <c r="C82" s="3969" t="inlineStr">
        <is>
          <t>A27</t>
        </is>
      </c>
      <c r="D82" s="3969" t="n">
        <v>27</v>
      </c>
      <c r="E82" s="3969" t="n">
        <v>28</v>
      </c>
      <c r="F82" s="3969" t="inlineStr">
        <is>
          <t>G</t>
        </is>
      </c>
      <c r="G82" s="3969" t="n">
        <v>8</v>
      </c>
      <c r="H82" s="3969" t="n"/>
      <c r="I82" s="3969" t="inlineStr">
        <is>
          <t>grid</t>
        </is>
      </c>
      <c r="J82" s="3969" t="inlineStr">
        <is>
          <t>FALSE</t>
        </is>
      </c>
      <c r="K82" s="3969" t="inlineStr">
        <is>
          <t>Checks should resolve to 0 once linked</t>
        </is>
      </c>
      <c r="L82" s="3934" t="n"/>
      <c r="M82" s="3934" t="n"/>
      <c r="N82" s="3934" t="n"/>
      <c r="O82" s="3934" t="n"/>
      <c r="P82" s="3934" t="n"/>
      <c r="Q82" s="3934" t="n"/>
      <c r="R82" s="3934" t="n"/>
      <c r="S82" s="3934" t="n"/>
      <c r="T82" s="3934" t="n"/>
      <c r="U82" s="3934" t="n"/>
      <c r="V82" s="3934" t="n"/>
      <c r="W82" s="3934" t="n"/>
      <c r="X82" s="3934" t="n"/>
      <c r="Y82" s="3934" t="n"/>
      <c r="Z82" s="3934" t="n"/>
      <c r="AA82" s="3934" t="n"/>
      <c r="AB82" s="3934" t="n"/>
      <c r="AC82" s="3934" t="n"/>
      <c r="AD82" s="3934" t="n"/>
      <c r="AE82" s="3934" t="n"/>
      <c r="AF82" s="3934" t="n"/>
      <c r="AG82" s="3934" t="n"/>
      <c r="AH82" s="3934" t="n"/>
      <c r="AI82" s="3934" t="n"/>
      <c r="AJ82" s="3934" t="n"/>
      <c r="AK82" s="3934" t="n"/>
      <c r="AL82" s="3934" t="n"/>
      <c r="AM82" s="3934" t="n"/>
      <c r="AN82" s="3934" t="n"/>
      <c r="AO82" s="3934" t="n"/>
      <c r="AP82" s="3934" t="n"/>
      <c r="AQ82" s="3934" t="n"/>
      <c r="AR82" s="3934" t="n"/>
    </row>
    <row r="83">
      <c r="A83" s="3969" t="inlineStr">
        <is>
          <t>Capex</t>
        </is>
      </c>
      <c r="B83" s="3969" t="inlineStr">
        <is>
          <t>CAPEX_MAIN</t>
        </is>
      </c>
      <c r="C83" s="3969" t="inlineStr">
        <is>
          <t>A8</t>
        </is>
      </c>
      <c r="D83" s="3969" t="n">
        <v>8</v>
      </c>
      <c r="E83" s="3969" t="n">
        <v>9</v>
      </c>
      <c r="F83" s="3969" t="inlineStr">
        <is>
          <t>G</t>
        </is>
      </c>
      <c r="G83" s="3969" t="n">
        <v>8</v>
      </c>
      <c r="H83" s="3969" t="n"/>
      <c r="I83" s="3969" t="inlineStr">
        <is>
          <t>grid</t>
        </is>
      </c>
      <c r="J83" s="3969" t="inlineStr">
        <is>
          <t>FALSE</t>
        </is>
      </c>
      <c r="K83" s="3969" t="inlineStr">
        <is>
          <t>B8 stores units as $'000</t>
        </is>
      </c>
      <c r="L83" s="3934" t="n"/>
      <c r="M83" s="3934" t="n"/>
      <c r="N83" s="3934" t="n"/>
      <c r="O83" s="3934" t="n"/>
      <c r="P83" s="3934" t="n"/>
      <c r="Q83" s="3934" t="n"/>
      <c r="R83" s="3934" t="n"/>
      <c r="S83" s="3934" t="n"/>
      <c r="T83" s="3934" t="n"/>
      <c r="U83" s="3934" t="n"/>
      <c r="V83" s="3934" t="n"/>
      <c r="W83" s="3934" t="n"/>
      <c r="X83" s="3934" t="n"/>
      <c r="Y83" s="3934" t="n"/>
      <c r="Z83" s="3934" t="n"/>
      <c r="AA83" s="3934" t="n"/>
      <c r="AB83" s="3934" t="n"/>
      <c r="AC83" s="3934" t="n"/>
      <c r="AD83" s="3934" t="n"/>
      <c r="AE83" s="3934" t="n"/>
      <c r="AF83" s="3934" t="n"/>
      <c r="AG83" s="3934" t="n"/>
      <c r="AH83" s="3934" t="n"/>
      <c r="AI83" s="3934" t="n"/>
      <c r="AJ83" s="3934" t="n"/>
      <c r="AK83" s="3934" t="n"/>
      <c r="AL83" s="3934" t="n"/>
      <c r="AM83" s="3934" t="n"/>
      <c r="AN83" s="3934" t="n"/>
      <c r="AO83" s="3934" t="n"/>
      <c r="AP83" s="3934" t="n"/>
      <c r="AQ83" s="3934" t="n"/>
      <c r="AR83" s="3934" t="n"/>
    </row>
    <row r="84">
      <c r="A84" s="3969" t="inlineStr">
        <is>
          <t>Capex</t>
        </is>
      </c>
      <c r="B84" s="3969" t="inlineStr">
        <is>
          <t>CAPEX_CHECKS</t>
        </is>
      </c>
      <c r="C84" s="3969" t="inlineStr">
        <is>
          <t>A27</t>
        </is>
      </c>
      <c r="D84" s="3969" t="n">
        <v>27</v>
      </c>
      <c r="E84" s="3969" t="n">
        <v>28</v>
      </c>
      <c r="F84" s="3969" t="inlineStr">
        <is>
          <t>G</t>
        </is>
      </c>
      <c r="G84" s="3969" t="n">
        <v>8</v>
      </c>
      <c r="H84" s="3969" t="n"/>
      <c r="I84" s="3969" t="inlineStr">
        <is>
          <t>grid</t>
        </is>
      </c>
      <c r="J84" s="3969" t="inlineStr">
        <is>
          <t>FALSE</t>
        </is>
      </c>
      <c r="K84" s="3969" t="inlineStr">
        <is>
          <t>Checks should resolve to 0 once linked</t>
        </is>
      </c>
      <c r="L84" s="3934" t="n"/>
      <c r="M84" s="3934" t="n"/>
      <c r="N84" s="3934" t="n"/>
      <c r="O84" s="3934" t="n"/>
      <c r="P84" s="3934" t="n"/>
      <c r="Q84" s="3934" t="n"/>
      <c r="R84" s="3934" t="n"/>
      <c r="S84" s="3934" t="n"/>
      <c r="T84" s="3934" t="n"/>
      <c r="U84" s="3934" t="n"/>
      <c r="V84" s="3934" t="n"/>
      <c r="W84" s="3934" t="n"/>
      <c r="X84" s="3934" t="n"/>
      <c r="Y84" s="3934" t="n"/>
      <c r="Z84" s="3934" t="n"/>
      <c r="AA84" s="3934" t="n"/>
      <c r="AB84" s="3934" t="n"/>
      <c r="AC84" s="3934" t="n"/>
      <c r="AD84" s="3934" t="n"/>
      <c r="AE84" s="3934" t="n"/>
      <c r="AF84" s="3934" t="n"/>
      <c r="AG84" s="3934" t="n"/>
      <c r="AH84" s="3934" t="n"/>
      <c r="AI84" s="3934" t="n"/>
      <c r="AJ84" s="3934" t="n"/>
      <c r="AK84" s="3934" t="n"/>
      <c r="AL84" s="3934" t="n"/>
      <c r="AM84" s="3934" t="n"/>
      <c r="AN84" s="3934" t="n"/>
      <c r="AO84" s="3934" t="n"/>
      <c r="AP84" s="3934" t="n"/>
      <c r="AQ84" s="3934" t="n"/>
      <c r="AR84" s="3934" t="n"/>
    </row>
    <row r="85">
      <c r="A85" s="3969" t="inlineStr">
        <is>
          <t>Leases</t>
        </is>
      </c>
      <c r="B85" s="3969" t="inlineStr">
        <is>
          <t>LEASES_MAIN</t>
        </is>
      </c>
      <c r="C85" s="3969" t="inlineStr">
        <is>
          <t>A8</t>
        </is>
      </c>
      <c r="D85" s="3969" t="n">
        <v>8</v>
      </c>
      <c r="E85" s="3969" t="n">
        <v>9</v>
      </c>
      <c r="F85" s="3969" t="inlineStr">
        <is>
          <t>G</t>
        </is>
      </c>
      <c r="G85" s="3969" t="n">
        <v>8</v>
      </c>
      <c r="H85" s="3969" t="n"/>
      <c r="I85" s="3969" t="inlineStr">
        <is>
          <t>grid</t>
        </is>
      </c>
      <c r="J85" s="3969" t="inlineStr">
        <is>
          <t>FALSE</t>
        </is>
      </c>
      <c r="K85" s="3969" t="inlineStr">
        <is>
          <t>B8 stores units as $'000</t>
        </is>
      </c>
      <c r="L85" s="3934" t="n"/>
      <c r="M85" s="3934" t="n"/>
      <c r="N85" s="3934" t="n"/>
      <c r="O85" s="3934" t="n"/>
      <c r="P85" s="3934" t="n"/>
      <c r="Q85" s="3934" t="n"/>
      <c r="R85" s="3934" t="n"/>
      <c r="S85" s="3934" t="n"/>
      <c r="T85" s="3934" t="n"/>
      <c r="U85" s="3934" t="n"/>
      <c r="V85" s="3934" t="n"/>
      <c r="W85" s="3934" t="n"/>
      <c r="X85" s="3934" t="n"/>
      <c r="Y85" s="3934" t="n"/>
      <c r="Z85" s="3934" t="n"/>
      <c r="AA85" s="3934" t="n"/>
      <c r="AB85" s="3934" t="n"/>
      <c r="AC85" s="3934" t="n"/>
      <c r="AD85" s="3934" t="n"/>
      <c r="AE85" s="3934" t="n"/>
      <c r="AF85" s="3934" t="n"/>
      <c r="AG85" s="3934" t="n"/>
      <c r="AH85" s="3934" t="n"/>
      <c r="AI85" s="3934" t="n"/>
      <c r="AJ85" s="3934" t="n"/>
      <c r="AK85" s="3934" t="n"/>
      <c r="AL85" s="3934" t="n"/>
      <c r="AM85" s="3934" t="n"/>
      <c r="AN85" s="3934" t="n"/>
      <c r="AO85" s="3934" t="n"/>
      <c r="AP85" s="3934" t="n"/>
      <c r="AQ85" s="3934" t="n"/>
      <c r="AR85" s="3934" t="n"/>
    </row>
    <row r="86">
      <c r="A86" s="3969" t="inlineStr">
        <is>
          <t>Leases</t>
        </is>
      </c>
      <c r="B86" s="3969" t="inlineStr">
        <is>
          <t>LEASES_CHECKS</t>
        </is>
      </c>
      <c r="C86" s="3969" t="inlineStr">
        <is>
          <t>A27</t>
        </is>
      </c>
      <c r="D86" s="3969" t="n">
        <v>27</v>
      </c>
      <c r="E86" s="3969" t="n">
        <v>28</v>
      </c>
      <c r="F86" s="3969" t="inlineStr">
        <is>
          <t>G</t>
        </is>
      </c>
      <c r="G86" s="3969" t="n">
        <v>8</v>
      </c>
      <c r="H86" s="3969" t="n"/>
      <c r="I86" s="3969" t="inlineStr">
        <is>
          <t>grid</t>
        </is>
      </c>
      <c r="J86" s="3969" t="inlineStr">
        <is>
          <t>FALSE</t>
        </is>
      </c>
      <c r="K86" s="3969" t="inlineStr">
        <is>
          <t>Checks should resolve to 0 once linked</t>
        </is>
      </c>
      <c r="L86" s="3934" t="n"/>
      <c r="M86" s="3934" t="n"/>
      <c r="N86" s="3934" t="n"/>
      <c r="O86" s="3934" t="n"/>
      <c r="P86" s="3934" t="n"/>
      <c r="Q86" s="3934" t="n"/>
      <c r="R86" s="3934" t="n"/>
      <c r="S86" s="3934" t="n"/>
      <c r="T86" s="3934" t="n"/>
      <c r="U86" s="3934" t="n"/>
      <c r="V86" s="3934" t="n"/>
      <c r="W86" s="3934" t="n"/>
      <c r="X86" s="3934" t="n"/>
      <c r="Y86" s="3934" t="n"/>
      <c r="Z86" s="3934" t="n"/>
      <c r="AA86" s="3934" t="n"/>
      <c r="AB86" s="3934" t="n"/>
      <c r="AC86" s="3934" t="n"/>
      <c r="AD86" s="3934" t="n"/>
      <c r="AE86" s="3934" t="n"/>
      <c r="AF86" s="3934" t="n"/>
      <c r="AG86" s="3934" t="n"/>
      <c r="AH86" s="3934" t="n"/>
      <c r="AI86" s="3934" t="n"/>
      <c r="AJ86" s="3934" t="n"/>
      <c r="AK86" s="3934" t="n"/>
      <c r="AL86" s="3934" t="n"/>
      <c r="AM86" s="3934" t="n"/>
      <c r="AN86" s="3934" t="n"/>
      <c r="AO86" s="3934" t="n"/>
      <c r="AP86" s="3934" t="n"/>
      <c r="AQ86" s="3934" t="n"/>
      <c r="AR86" s="3934" t="n"/>
    </row>
    <row r="87">
      <c r="A87" s="3969" t="inlineStr">
        <is>
          <t>Other | Analysis</t>
        </is>
      </c>
      <c r="B87" s="3969" t="inlineStr">
        <is>
          <t>OTHER_ANALYSIS_MAIN</t>
        </is>
      </c>
      <c r="C87" s="3969" t="inlineStr">
        <is>
          <t>A8</t>
        </is>
      </c>
      <c r="D87" s="3969" t="n">
        <v>8</v>
      </c>
      <c r="E87" s="3969" t="n">
        <v>9</v>
      </c>
      <c r="F87" s="3969" t="inlineStr">
        <is>
          <t>G</t>
        </is>
      </c>
      <c r="G87" s="3969" t="n">
        <v>8</v>
      </c>
      <c r="H87" s="3969" t="n"/>
      <c r="I87" s="3969" t="inlineStr">
        <is>
          <t>grid</t>
        </is>
      </c>
      <c r="J87" s="3969" t="inlineStr">
        <is>
          <t>FALSE</t>
        </is>
      </c>
      <c r="K87" s="3969" t="inlineStr">
        <is>
          <t>B8 stores units as $'000</t>
        </is>
      </c>
      <c r="L87" s="3934" t="n"/>
      <c r="M87" s="3934" t="n"/>
      <c r="N87" s="3934" t="n"/>
      <c r="O87" s="3934" t="n"/>
      <c r="P87" s="3934" t="n"/>
      <c r="Q87" s="3934" t="n"/>
      <c r="R87" s="3934" t="n"/>
      <c r="S87" s="3934" t="n"/>
      <c r="T87" s="3934" t="n"/>
      <c r="U87" s="3934" t="n"/>
      <c r="V87" s="3934" t="n"/>
      <c r="W87" s="3934" t="n"/>
      <c r="X87" s="3934" t="n"/>
      <c r="Y87" s="3934" t="n"/>
      <c r="Z87" s="3934" t="n"/>
      <c r="AA87" s="3934" t="n"/>
      <c r="AB87" s="3934" t="n"/>
      <c r="AC87" s="3934" t="n"/>
      <c r="AD87" s="3934" t="n"/>
      <c r="AE87" s="3934" t="n"/>
      <c r="AF87" s="3934" t="n"/>
      <c r="AG87" s="3934" t="n"/>
      <c r="AH87" s="3934" t="n"/>
      <c r="AI87" s="3934" t="n"/>
      <c r="AJ87" s="3934" t="n"/>
      <c r="AK87" s="3934" t="n"/>
      <c r="AL87" s="3934" t="n"/>
      <c r="AM87" s="3934" t="n"/>
      <c r="AN87" s="3934" t="n"/>
      <c r="AO87" s="3934" t="n"/>
      <c r="AP87" s="3934" t="n"/>
      <c r="AQ87" s="3934" t="n"/>
      <c r="AR87" s="3934" t="n"/>
    </row>
    <row r="88">
      <c r="A88" s="3969" t="inlineStr">
        <is>
          <t>Other | Analysis</t>
        </is>
      </c>
      <c r="B88" s="3969" t="inlineStr">
        <is>
          <t>OTHER_ANALYSIS_CHECKS</t>
        </is>
      </c>
      <c r="C88" s="3969" t="inlineStr">
        <is>
          <t>A27</t>
        </is>
      </c>
      <c r="D88" s="3969" t="n">
        <v>27</v>
      </c>
      <c r="E88" s="3969" t="n">
        <v>28</v>
      </c>
      <c r="F88" s="3969" t="inlineStr">
        <is>
          <t>G</t>
        </is>
      </c>
      <c r="G88" s="3969" t="n">
        <v>8</v>
      </c>
      <c r="H88" s="3969" t="n"/>
      <c r="I88" s="3969" t="inlineStr">
        <is>
          <t>grid</t>
        </is>
      </c>
      <c r="J88" s="3969" t="inlineStr">
        <is>
          <t>FALSE</t>
        </is>
      </c>
      <c r="K88" s="3969" t="inlineStr">
        <is>
          <t>Checks should resolve to 0 once linked</t>
        </is>
      </c>
      <c r="L88" s="3934" t="n"/>
      <c r="M88" s="3934" t="n"/>
      <c r="N88" s="3934" t="n"/>
      <c r="O88" s="3934" t="n"/>
      <c r="P88" s="3934" t="n"/>
      <c r="Q88" s="3934" t="n"/>
      <c r="R88" s="3934" t="n"/>
      <c r="S88" s="3934" t="n"/>
      <c r="T88" s="3934" t="n"/>
      <c r="U88" s="3934" t="n"/>
      <c r="V88" s="3934" t="n"/>
      <c r="W88" s="3934" t="n"/>
      <c r="X88" s="3934" t="n"/>
      <c r="Y88" s="3934" t="n"/>
      <c r="Z88" s="3934" t="n"/>
      <c r="AA88" s="3934" t="n"/>
      <c r="AB88" s="3934" t="n"/>
      <c r="AC88" s="3934" t="n"/>
      <c r="AD88" s="3934" t="n"/>
      <c r="AE88" s="3934" t="n"/>
      <c r="AF88" s="3934" t="n"/>
      <c r="AG88" s="3934" t="n"/>
      <c r="AH88" s="3934" t="n"/>
      <c r="AI88" s="3934" t="n"/>
      <c r="AJ88" s="3934" t="n"/>
      <c r="AK88" s="3934" t="n"/>
      <c r="AL88" s="3934" t="n"/>
      <c r="AM88" s="3934" t="n"/>
      <c r="AN88" s="3934" t="n"/>
      <c r="AO88" s="3934" t="n"/>
      <c r="AP88" s="3934" t="n"/>
      <c r="AQ88" s="3934" t="n"/>
      <c r="AR88" s="393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208"/>
  <sheetViews>
    <sheetView showGridLines="0" zoomScale="100" zoomScaleNormal="10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36" customWidth="1" min="3" max="3"/>
    <col width="18" customWidth="1" min="4" max="4"/>
    <col width="10" customWidth="1" min="5" max="5"/>
    <col width="16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</cols>
  <sheetData>
    <row r="1" ht="24" customHeight="1">
      <c r="A1" s="3921" t="inlineStr">
        <is>
          <t>Data | TB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  <c r="AS1" s="3934" t="n"/>
    </row>
    <row r="2">
      <c r="A2" s="3978" t="inlineStr">
        <is>
          <t>Source: &lt;document_source&gt;</t>
        </is>
      </c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  <c r="AS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  <c r="AS3" s="3934" t="n"/>
    </row>
    <row r="4">
      <c r="A4" s="3936" t="inlineStr">
        <is>
          <t>Template Note</t>
        </is>
      </c>
      <c r="B4" s="3937" t="inlineStr">
        <is>
          <t>Pack A scaffold only: direct formulas/values, no Excel Tables, no required named ranges.</t>
        </is>
      </c>
      <c r="C4" s="3934" t="n"/>
      <c r="D4" s="3934" t="n"/>
      <c r="E4" s="3934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  <c r="AS4" s="3934" t="n"/>
    </row>
    <row r="5">
      <c r="A5" s="3934" t="n"/>
      <c r="B5" s="3934" t="n"/>
      <c r="C5" s="3934" t="n"/>
      <c r="D5" s="3934" t="n"/>
      <c r="E5" s="3934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  <c r="AS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  <c r="AS6" s="3934" t="n"/>
    </row>
    <row r="7">
      <c r="A7" s="3979" t="inlineStr">
        <is>
          <t>Data | TB</t>
        </is>
      </c>
      <c r="B7" s="3980" t="n"/>
      <c r="C7" s="3980" t="n"/>
      <c r="D7" s="3980" t="n"/>
      <c r="E7" s="3980" t="n"/>
      <c r="F7" s="3980" t="n"/>
      <c r="G7" s="3980" t="n"/>
      <c r="H7" s="3980" t="n"/>
      <c r="I7" s="3980" t="n"/>
      <c r="J7" s="3980" t="n"/>
      <c r="K7" s="3980" t="n"/>
      <c r="L7" s="3980" t="n"/>
      <c r="M7" s="3980" t="n"/>
      <c r="N7" s="3980" t="n"/>
      <c r="O7" s="3980" t="n"/>
      <c r="P7" s="3980" t="n"/>
      <c r="Q7" s="3980" t="n"/>
      <c r="R7" s="3980" t="n"/>
      <c r="S7" s="3980" t="n"/>
      <c r="T7" s="3980" t="n"/>
      <c r="U7" s="3980" t="n"/>
      <c r="V7" s="3980" t="n"/>
      <c r="W7" s="3980" t="n"/>
      <c r="X7" s="3980" t="n"/>
      <c r="Y7" s="3980" t="n"/>
      <c r="Z7" s="3980" t="n"/>
      <c r="AA7" s="3980" t="n"/>
      <c r="AB7" s="3980" t="n"/>
      <c r="AC7" s="3980" t="n"/>
      <c r="AD7" s="3980" t="n"/>
      <c r="AE7" s="3980" t="n"/>
      <c r="AF7" s="3980" t="n"/>
      <c r="AG7" s="3980" t="n"/>
      <c r="AH7" s="3980" t="n"/>
      <c r="AI7" s="3980" t="n"/>
      <c r="AJ7" s="3980" t="n"/>
      <c r="AK7" s="3980" t="n"/>
      <c r="AL7" s="3980" t="n"/>
      <c r="AM7" s="3980" t="n"/>
      <c r="AN7" s="3980" t="n"/>
      <c r="AO7" s="3980" t="n"/>
      <c r="AP7" s="3980" t="n"/>
      <c r="AQ7" s="3980" t="n"/>
      <c r="AR7" s="3980" t="n"/>
      <c r="AS7" s="3980" t="n"/>
    </row>
    <row r="8">
      <c r="A8" s="3923" t="inlineStr">
        <is>
          <t>Entity</t>
        </is>
      </c>
      <c r="B8" s="3923" t="inlineStr">
        <is>
          <t>AccountNumber</t>
        </is>
      </c>
      <c r="C8" s="3923" t="inlineStr">
        <is>
          <t>AccountName</t>
        </is>
      </c>
      <c r="D8" s="3923" t="inlineStr">
        <is>
          <t>FS_SignConvention</t>
        </is>
      </c>
      <c r="E8" s="3923" t="inlineStr">
        <is>
          <t>Currency</t>
        </is>
      </c>
      <c r="F8" s="3923" t="inlineStr">
        <is>
          <t>SourceSystem</t>
        </is>
      </c>
      <c r="G8" s="3924">
        <f>'Control | Setup'!A22</f>
        <v/>
      </c>
      <c r="H8" s="3924">
        <f>'Control | Setup'!A23</f>
        <v/>
      </c>
      <c r="I8" s="3924">
        <f>'Control | Setup'!A24</f>
        <v/>
      </c>
      <c r="J8" s="3924">
        <f>'Control | Setup'!A25</f>
        <v/>
      </c>
      <c r="K8" s="3924">
        <f>'Control | Setup'!A26</f>
        <v/>
      </c>
      <c r="L8" s="3924">
        <f>'Control | Setup'!A27</f>
        <v/>
      </c>
      <c r="M8" s="3924">
        <f>'Control | Setup'!A28</f>
        <v/>
      </c>
      <c r="N8" s="3924">
        <f>'Control | Setup'!A29</f>
        <v/>
      </c>
      <c r="O8" s="3924">
        <f>'Control | Setup'!A30</f>
        <v/>
      </c>
      <c r="P8" s="3924">
        <f>'Control | Setup'!A31</f>
        <v/>
      </c>
      <c r="Q8" s="3924">
        <f>'Control | Setup'!A32</f>
        <v/>
      </c>
      <c r="R8" s="3924">
        <f>'Control | Setup'!A33</f>
        <v/>
      </c>
      <c r="S8" s="3924">
        <f>'Control | Setup'!A34</f>
        <v/>
      </c>
      <c r="T8" s="3924">
        <f>'Control | Setup'!A35</f>
        <v/>
      </c>
      <c r="U8" s="3924">
        <f>'Control | Setup'!A36</f>
        <v/>
      </c>
      <c r="V8" s="3924">
        <f>'Control | Setup'!A37</f>
        <v/>
      </c>
      <c r="W8" s="3924">
        <f>'Control | Setup'!A38</f>
        <v/>
      </c>
      <c r="X8" s="3924">
        <f>'Control | Setup'!A39</f>
        <v/>
      </c>
      <c r="Y8" s="3924">
        <f>'Control | Setup'!A40</f>
        <v/>
      </c>
      <c r="Z8" s="3924">
        <f>'Control | Setup'!A41</f>
        <v/>
      </c>
      <c r="AA8" s="3924">
        <f>'Control | Setup'!A42</f>
        <v/>
      </c>
      <c r="AB8" s="3924">
        <f>'Control | Setup'!A43</f>
        <v/>
      </c>
      <c r="AC8" s="3924">
        <f>'Control | Setup'!A44</f>
        <v/>
      </c>
      <c r="AD8" s="3924">
        <f>'Control | Setup'!A45</f>
        <v/>
      </c>
      <c r="AE8" s="3924">
        <f>'Control | Setup'!A46</f>
        <v/>
      </c>
      <c r="AF8" s="3924">
        <f>'Control | Setup'!A47</f>
        <v/>
      </c>
      <c r="AG8" s="3924">
        <f>'Control | Setup'!A48</f>
        <v/>
      </c>
      <c r="AH8" s="3924">
        <f>'Control | Setup'!A49</f>
        <v/>
      </c>
      <c r="AI8" s="3924">
        <f>'Control | Setup'!A50</f>
        <v/>
      </c>
      <c r="AJ8" s="3924">
        <f>'Control | Setup'!A51</f>
        <v/>
      </c>
      <c r="AK8" s="3924">
        <f>'Control | Setup'!A52</f>
        <v/>
      </c>
      <c r="AL8" s="3924">
        <f>'Control | Setup'!A53</f>
        <v/>
      </c>
      <c r="AM8" s="3924">
        <f>'Control | Setup'!A54</f>
        <v/>
      </c>
      <c r="AN8" s="3924">
        <f>'Control | Setup'!A55</f>
        <v/>
      </c>
      <c r="AO8" s="3924">
        <f>'Control | Setup'!A56</f>
        <v/>
      </c>
      <c r="AP8" s="3924">
        <f>'Control | Setup'!A57</f>
        <v/>
      </c>
      <c r="AQ8" s="3923" t="inlineStr">
        <is>
          <t>FY-2</t>
        </is>
      </c>
      <c r="AR8" s="3923" t="inlineStr">
        <is>
          <t>FY-1</t>
        </is>
      </c>
      <c r="AS8" s="3923" t="inlineStr">
        <is>
          <t>TTM</t>
        </is>
      </c>
    </row>
    <row r="9">
      <c r="A9" s="3944" t="n"/>
      <c r="B9" s="3944" t="n"/>
      <c r="C9" s="3944" t="n"/>
      <c r="D9" s="3944" t="n"/>
      <c r="E9" s="3944" t="n"/>
      <c r="F9" s="3944" t="n"/>
      <c r="G9" s="3942" t="n"/>
      <c r="H9" s="3942" t="n"/>
      <c r="I9" s="3942" t="n"/>
      <c r="J9" s="3942" t="n"/>
      <c r="K9" s="3942" t="n"/>
      <c r="L9" s="3942" t="n"/>
      <c r="M9" s="3942" t="n"/>
      <c r="N9" s="3942" t="n"/>
      <c r="O9" s="3942" t="n"/>
      <c r="P9" s="3942" t="n"/>
      <c r="Q9" s="3942" t="n"/>
      <c r="R9" s="3942" t="n"/>
      <c r="S9" s="3942" t="n"/>
      <c r="T9" s="3942" t="n"/>
      <c r="U9" s="3942" t="n"/>
      <c r="V9" s="3942" t="n"/>
      <c r="W9" s="3942" t="n"/>
      <c r="X9" s="3942" t="n"/>
      <c r="Y9" s="3942" t="n"/>
      <c r="Z9" s="3942" t="n"/>
      <c r="AA9" s="3942" t="n"/>
      <c r="AB9" s="3942" t="n"/>
      <c r="AC9" s="3942" t="n"/>
      <c r="AD9" s="3942" t="n"/>
      <c r="AE9" s="3942" t="n"/>
      <c r="AF9" s="3942" t="n"/>
      <c r="AG9" s="3942" t="n"/>
      <c r="AH9" s="3942" t="n"/>
      <c r="AI9" s="3942" t="n"/>
      <c r="AJ9" s="3942" t="n"/>
      <c r="AK9" s="3942" t="n"/>
      <c r="AL9" s="3942" t="n"/>
      <c r="AM9" s="3942" t="n"/>
      <c r="AN9" s="3942" t="n"/>
      <c r="AO9" s="3942" t="n"/>
      <c r="AP9" s="3942" t="n"/>
      <c r="AQ9" s="3942" t="n"/>
      <c r="AR9" s="3942" t="n"/>
      <c r="AS9" s="3942" t="n"/>
    </row>
    <row r="10">
      <c r="A10" s="3944" t="n"/>
      <c r="B10" s="3944" t="n"/>
      <c r="C10" s="3944" t="n"/>
      <c r="D10" s="3944" t="n"/>
      <c r="E10" s="3944" t="n"/>
      <c r="F10" s="3944" t="n"/>
      <c r="G10" s="3942" t="n"/>
      <c r="H10" s="3942" t="n"/>
      <c r="I10" s="3942" t="n"/>
      <c r="J10" s="3942" t="n"/>
      <c r="K10" s="3942" t="n"/>
      <c r="L10" s="3942" t="n"/>
      <c r="M10" s="3942" t="n"/>
      <c r="N10" s="3942" t="n"/>
      <c r="O10" s="3942" t="n"/>
      <c r="P10" s="3942" t="n"/>
      <c r="Q10" s="3942" t="n"/>
      <c r="R10" s="3942" t="n"/>
      <c r="S10" s="3942" t="n"/>
      <c r="T10" s="3942" t="n"/>
      <c r="U10" s="3942" t="n"/>
      <c r="V10" s="3942" t="n"/>
      <c r="W10" s="3942" t="n"/>
      <c r="X10" s="3942" t="n"/>
      <c r="Y10" s="3942" t="n"/>
      <c r="Z10" s="3942" t="n"/>
      <c r="AA10" s="3942" t="n"/>
      <c r="AB10" s="3942" t="n"/>
      <c r="AC10" s="3942" t="n"/>
      <c r="AD10" s="3942" t="n"/>
      <c r="AE10" s="3942" t="n"/>
      <c r="AF10" s="3942" t="n"/>
      <c r="AG10" s="3942" t="n"/>
      <c r="AH10" s="3942" t="n"/>
      <c r="AI10" s="3942" t="n"/>
      <c r="AJ10" s="3942" t="n"/>
      <c r="AK10" s="3942" t="n"/>
      <c r="AL10" s="3942" t="n"/>
      <c r="AM10" s="3942" t="n"/>
      <c r="AN10" s="3942" t="n"/>
      <c r="AO10" s="3942" t="n"/>
      <c r="AP10" s="3942" t="n"/>
      <c r="AQ10" s="3942" t="n"/>
      <c r="AR10" s="3942" t="n"/>
      <c r="AS10" s="3942" t="n"/>
    </row>
    <row r="11">
      <c r="A11" s="3944" t="n"/>
      <c r="B11" s="3944" t="n"/>
      <c r="C11" s="3944" t="n"/>
      <c r="D11" s="3944" t="n"/>
      <c r="E11" s="3944" t="n"/>
      <c r="F11" s="3944" t="n"/>
      <c r="G11" s="3942" t="n"/>
      <c r="H11" s="3942" t="n"/>
      <c r="I11" s="3942" t="n"/>
      <c r="J11" s="3942" t="n"/>
      <c r="K11" s="3942" t="n"/>
      <c r="L11" s="3942" t="n"/>
      <c r="M11" s="3942" t="n"/>
      <c r="N11" s="3942" t="n"/>
      <c r="O11" s="3942" t="n"/>
      <c r="P11" s="3942" t="n"/>
      <c r="Q11" s="3942" t="n"/>
      <c r="R11" s="3942" t="n"/>
      <c r="S11" s="3942" t="n"/>
      <c r="T11" s="3942" t="n"/>
      <c r="U11" s="3942" t="n"/>
      <c r="V11" s="3942" t="n"/>
      <c r="W11" s="3942" t="n"/>
      <c r="X11" s="3942" t="n"/>
      <c r="Y11" s="3942" t="n"/>
      <c r="Z11" s="3942" t="n"/>
      <c r="AA11" s="3942" t="n"/>
      <c r="AB11" s="3942" t="n"/>
      <c r="AC11" s="3942" t="n"/>
      <c r="AD11" s="3942" t="n"/>
      <c r="AE11" s="3942" t="n"/>
      <c r="AF11" s="3942" t="n"/>
      <c r="AG11" s="3942" t="n"/>
      <c r="AH11" s="3942" t="n"/>
      <c r="AI11" s="3942" t="n"/>
      <c r="AJ11" s="3942" t="n"/>
      <c r="AK11" s="3942" t="n"/>
      <c r="AL11" s="3942" t="n"/>
      <c r="AM11" s="3942" t="n"/>
      <c r="AN11" s="3942" t="n"/>
      <c r="AO11" s="3942" t="n"/>
      <c r="AP11" s="3942" t="n"/>
      <c r="AQ11" s="3942" t="n"/>
      <c r="AR11" s="3942" t="n"/>
      <c r="AS11" s="3942" t="n"/>
    </row>
    <row r="12">
      <c r="A12" s="3944" t="n"/>
      <c r="B12" s="3944" t="n"/>
      <c r="C12" s="3944" t="n"/>
      <c r="D12" s="3944" t="n"/>
      <c r="E12" s="3944" t="n"/>
      <c r="F12" s="3944" t="n"/>
      <c r="G12" s="3942" t="n"/>
      <c r="H12" s="3942" t="n"/>
      <c r="I12" s="3942" t="n"/>
      <c r="J12" s="3942" t="n"/>
      <c r="K12" s="3942" t="n"/>
      <c r="L12" s="3942" t="n"/>
      <c r="M12" s="3942" t="n"/>
      <c r="N12" s="3942" t="n"/>
      <c r="O12" s="3942" t="n"/>
      <c r="P12" s="3942" t="n"/>
      <c r="Q12" s="3942" t="n"/>
      <c r="R12" s="3942" t="n"/>
      <c r="S12" s="3942" t="n"/>
      <c r="T12" s="3942" t="n"/>
      <c r="U12" s="3942" t="n"/>
      <c r="V12" s="3942" t="n"/>
      <c r="W12" s="3942" t="n"/>
      <c r="X12" s="3942" t="n"/>
      <c r="Y12" s="3942" t="n"/>
      <c r="Z12" s="3942" t="n"/>
      <c r="AA12" s="3942" t="n"/>
      <c r="AB12" s="3942" t="n"/>
      <c r="AC12" s="3942" t="n"/>
      <c r="AD12" s="3942" t="n"/>
      <c r="AE12" s="3942" t="n"/>
      <c r="AF12" s="3942" t="n"/>
      <c r="AG12" s="3942" t="n"/>
      <c r="AH12" s="3942" t="n"/>
      <c r="AI12" s="3942" t="n"/>
      <c r="AJ12" s="3942" t="n"/>
      <c r="AK12" s="3942" t="n"/>
      <c r="AL12" s="3942" t="n"/>
      <c r="AM12" s="3942" t="n"/>
      <c r="AN12" s="3942" t="n"/>
      <c r="AO12" s="3942" t="n"/>
      <c r="AP12" s="3942" t="n"/>
      <c r="AQ12" s="3942" t="n"/>
      <c r="AR12" s="3942" t="n"/>
      <c r="AS12" s="3942" t="n"/>
    </row>
    <row r="13">
      <c r="A13" s="3944" t="n"/>
      <c r="B13" s="3944" t="n"/>
      <c r="C13" s="3944" t="n"/>
      <c r="D13" s="3944" t="n"/>
      <c r="E13" s="3944" t="n"/>
      <c r="F13" s="3944" t="n"/>
      <c r="G13" s="3942" t="n"/>
      <c r="H13" s="3942" t="n"/>
      <c r="I13" s="3942" t="n"/>
      <c r="J13" s="3942" t="n"/>
      <c r="K13" s="3942" t="n"/>
      <c r="L13" s="3942" t="n"/>
      <c r="M13" s="3942" t="n"/>
      <c r="N13" s="3942" t="n"/>
      <c r="O13" s="3942" t="n"/>
      <c r="P13" s="3942" t="n"/>
      <c r="Q13" s="3942" t="n"/>
      <c r="R13" s="3942" t="n"/>
      <c r="S13" s="3942" t="n"/>
      <c r="T13" s="3942" t="n"/>
      <c r="U13" s="3942" t="n"/>
      <c r="V13" s="3942" t="n"/>
      <c r="W13" s="3942" t="n"/>
      <c r="X13" s="3942" t="n"/>
      <c r="Y13" s="3942" t="n"/>
      <c r="Z13" s="3942" t="n"/>
      <c r="AA13" s="3942" t="n"/>
      <c r="AB13" s="3942" t="n"/>
      <c r="AC13" s="3942" t="n"/>
      <c r="AD13" s="3942" t="n"/>
      <c r="AE13" s="3942" t="n"/>
      <c r="AF13" s="3942" t="n"/>
      <c r="AG13" s="3942" t="n"/>
      <c r="AH13" s="3942" t="n"/>
      <c r="AI13" s="3942" t="n"/>
      <c r="AJ13" s="3942" t="n"/>
      <c r="AK13" s="3942" t="n"/>
      <c r="AL13" s="3942" t="n"/>
      <c r="AM13" s="3942" t="n"/>
      <c r="AN13" s="3942" t="n"/>
      <c r="AO13" s="3942" t="n"/>
      <c r="AP13" s="3942" t="n"/>
      <c r="AQ13" s="3942" t="n"/>
      <c r="AR13" s="3942" t="n"/>
      <c r="AS13" s="3942" t="n"/>
    </row>
    <row r="14">
      <c r="A14" s="3944" t="n"/>
      <c r="B14" s="3944" t="n"/>
      <c r="C14" s="3944" t="n"/>
      <c r="D14" s="3944" t="n"/>
      <c r="E14" s="3944" t="n"/>
      <c r="F14" s="3944" t="n"/>
      <c r="G14" s="3942" t="n"/>
      <c r="H14" s="3942" t="n"/>
      <c r="I14" s="3942" t="n"/>
      <c r="J14" s="3942" t="n"/>
      <c r="K14" s="3942" t="n"/>
      <c r="L14" s="3942" t="n"/>
      <c r="M14" s="3942" t="n"/>
      <c r="N14" s="3942" t="n"/>
      <c r="O14" s="3942" t="n"/>
      <c r="P14" s="3942" t="n"/>
      <c r="Q14" s="3942" t="n"/>
      <c r="R14" s="3942" t="n"/>
      <c r="S14" s="3942" t="n"/>
      <c r="T14" s="3942" t="n"/>
      <c r="U14" s="3942" t="n"/>
      <c r="V14" s="3942" t="n"/>
      <c r="W14" s="3942" t="n"/>
      <c r="X14" s="3942" t="n"/>
      <c r="Y14" s="3942" t="n"/>
      <c r="Z14" s="3942" t="n"/>
      <c r="AA14" s="3942" t="n"/>
      <c r="AB14" s="3942" t="n"/>
      <c r="AC14" s="3942" t="n"/>
      <c r="AD14" s="3942" t="n"/>
      <c r="AE14" s="3942" t="n"/>
      <c r="AF14" s="3942" t="n"/>
      <c r="AG14" s="3942" t="n"/>
      <c r="AH14" s="3942" t="n"/>
      <c r="AI14" s="3942" t="n"/>
      <c r="AJ14" s="3942" t="n"/>
      <c r="AK14" s="3942" t="n"/>
      <c r="AL14" s="3942" t="n"/>
      <c r="AM14" s="3942" t="n"/>
      <c r="AN14" s="3942" t="n"/>
      <c r="AO14" s="3942" t="n"/>
      <c r="AP14" s="3942" t="n"/>
      <c r="AQ14" s="3942" t="n"/>
      <c r="AR14" s="3942" t="n"/>
      <c r="AS14" s="3942" t="n"/>
    </row>
    <row r="15">
      <c r="A15" s="3944" t="n"/>
      <c r="B15" s="3944" t="n"/>
      <c r="C15" s="3944" t="n"/>
      <c r="D15" s="3944" t="n"/>
      <c r="E15" s="3944" t="n"/>
      <c r="F15" s="3944" t="n"/>
      <c r="G15" s="3942" t="n"/>
      <c r="H15" s="3942" t="n"/>
      <c r="I15" s="3942" t="n"/>
      <c r="J15" s="3942" t="n"/>
      <c r="K15" s="3942" t="n"/>
      <c r="L15" s="3942" t="n"/>
      <c r="M15" s="3942" t="n"/>
      <c r="N15" s="3942" t="n"/>
      <c r="O15" s="3942" t="n"/>
      <c r="P15" s="3942" t="n"/>
      <c r="Q15" s="3942" t="n"/>
      <c r="R15" s="3942" t="n"/>
      <c r="S15" s="3942" t="n"/>
      <c r="T15" s="3942" t="n"/>
      <c r="U15" s="3942" t="n"/>
      <c r="V15" s="3942" t="n"/>
      <c r="W15" s="3942" t="n"/>
      <c r="X15" s="3942" t="n"/>
      <c r="Y15" s="3942" t="n"/>
      <c r="Z15" s="3942" t="n"/>
      <c r="AA15" s="3942" t="n"/>
      <c r="AB15" s="3942" t="n"/>
      <c r="AC15" s="3942" t="n"/>
      <c r="AD15" s="3942" t="n"/>
      <c r="AE15" s="3942" t="n"/>
      <c r="AF15" s="3942" t="n"/>
      <c r="AG15" s="3942" t="n"/>
      <c r="AH15" s="3942" t="n"/>
      <c r="AI15" s="3942" t="n"/>
      <c r="AJ15" s="3942" t="n"/>
      <c r="AK15" s="3942" t="n"/>
      <c r="AL15" s="3942" t="n"/>
      <c r="AM15" s="3942" t="n"/>
      <c r="AN15" s="3942" t="n"/>
      <c r="AO15" s="3942" t="n"/>
      <c r="AP15" s="3942" t="n"/>
      <c r="AQ15" s="3942" t="n"/>
      <c r="AR15" s="3942" t="n"/>
      <c r="AS15" s="3942" t="n"/>
    </row>
    <row r="16">
      <c r="A16" s="3944" t="n"/>
      <c r="B16" s="3944" t="n"/>
      <c r="C16" s="3944" t="n"/>
      <c r="D16" s="3944" t="n"/>
      <c r="E16" s="3944" t="n"/>
      <c r="F16" s="3944" t="n"/>
      <c r="G16" s="3942" t="n"/>
      <c r="H16" s="3942" t="n"/>
      <c r="I16" s="3942" t="n"/>
      <c r="J16" s="3942" t="n"/>
      <c r="K16" s="3942" t="n"/>
      <c r="L16" s="3942" t="n"/>
      <c r="M16" s="3942" t="n"/>
      <c r="N16" s="3942" t="n"/>
      <c r="O16" s="3942" t="n"/>
      <c r="P16" s="3942" t="n"/>
      <c r="Q16" s="3942" t="n"/>
      <c r="R16" s="3942" t="n"/>
      <c r="S16" s="3942" t="n"/>
      <c r="T16" s="3942" t="n"/>
      <c r="U16" s="3942" t="n"/>
      <c r="V16" s="3942" t="n"/>
      <c r="W16" s="3942" t="n"/>
      <c r="X16" s="3942" t="n"/>
      <c r="Y16" s="3942" t="n"/>
      <c r="Z16" s="3942" t="n"/>
      <c r="AA16" s="3942" t="n"/>
      <c r="AB16" s="3942" t="n"/>
      <c r="AC16" s="3942" t="n"/>
      <c r="AD16" s="3942" t="n"/>
      <c r="AE16" s="3942" t="n"/>
      <c r="AF16" s="3942" t="n"/>
      <c r="AG16" s="3942" t="n"/>
      <c r="AH16" s="3942" t="n"/>
      <c r="AI16" s="3942" t="n"/>
      <c r="AJ16" s="3942" t="n"/>
      <c r="AK16" s="3942" t="n"/>
      <c r="AL16" s="3942" t="n"/>
      <c r="AM16" s="3942" t="n"/>
      <c r="AN16" s="3942" t="n"/>
      <c r="AO16" s="3942" t="n"/>
      <c r="AP16" s="3942" t="n"/>
      <c r="AQ16" s="3942" t="n"/>
      <c r="AR16" s="3942" t="n"/>
      <c r="AS16" s="3942" t="n"/>
    </row>
    <row r="17">
      <c r="A17" s="3944" t="n"/>
      <c r="B17" s="3944" t="n"/>
      <c r="C17" s="3944" t="n"/>
      <c r="D17" s="3944" t="n"/>
      <c r="E17" s="3944" t="n"/>
      <c r="F17" s="3944" t="n"/>
      <c r="G17" s="3942" t="n"/>
      <c r="H17" s="3942" t="n"/>
      <c r="I17" s="3942" t="n"/>
      <c r="J17" s="3942" t="n"/>
      <c r="K17" s="3942" t="n"/>
      <c r="L17" s="3942" t="n"/>
      <c r="M17" s="3942" t="n"/>
      <c r="N17" s="3942" t="n"/>
      <c r="O17" s="3942" t="n"/>
      <c r="P17" s="3942" t="n"/>
      <c r="Q17" s="3942" t="n"/>
      <c r="R17" s="3942" t="n"/>
      <c r="S17" s="3942" t="n"/>
      <c r="T17" s="3942" t="n"/>
      <c r="U17" s="3942" t="n"/>
      <c r="V17" s="3942" t="n"/>
      <c r="W17" s="3942" t="n"/>
      <c r="X17" s="3942" t="n"/>
      <c r="Y17" s="3942" t="n"/>
      <c r="Z17" s="3942" t="n"/>
      <c r="AA17" s="3942" t="n"/>
      <c r="AB17" s="3942" t="n"/>
      <c r="AC17" s="3942" t="n"/>
      <c r="AD17" s="3942" t="n"/>
      <c r="AE17" s="3942" t="n"/>
      <c r="AF17" s="3942" t="n"/>
      <c r="AG17" s="3942" t="n"/>
      <c r="AH17" s="3942" t="n"/>
      <c r="AI17" s="3942" t="n"/>
      <c r="AJ17" s="3942" t="n"/>
      <c r="AK17" s="3942" t="n"/>
      <c r="AL17" s="3942" t="n"/>
      <c r="AM17" s="3942" t="n"/>
      <c r="AN17" s="3942" t="n"/>
      <c r="AO17" s="3942" t="n"/>
      <c r="AP17" s="3942" t="n"/>
      <c r="AQ17" s="3942" t="n"/>
      <c r="AR17" s="3942" t="n"/>
      <c r="AS17" s="3942" t="n"/>
    </row>
    <row r="18">
      <c r="A18" s="3944" t="n"/>
      <c r="B18" s="3944" t="n"/>
      <c r="C18" s="3944" t="n"/>
      <c r="D18" s="3944" t="n"/>
      <c r="E18" s="3944" t="n"/>
      <c r="F18" s="3944" t="n"/>
      <c r="G18" s="3942" t="n"/>
      <c r="H18" s="3942" t="n"/>
      <c r="I18" s="3942" t="n"/>
      <c r="J18" s="3942" t="n"/>
      <c r="K18" s="3942" t="n"/>
      <c r="L18" s="3942" t="n"/>
      <c r="M18" s="3942" t="n"/>
      <c r="N18" s="3942" t="n"/>
      <c r="O18" s="3942" t="n"/>
      <c r="P18" s="3942" t="n"/>
      <c r="Q18" s="3942" t="n"/>
      <c r="R18" s="3942" t="n"/>
      <c r="S18" s="3942" t="n"/>
      <c r="T18" s="3942" t="n"/>
      <c r="U18" s="3942" t="n"/>
      <c r="V18" s="3942" t="n"/>
      <c r="W18" s="3942" t="n"/>
      <c r="X18" s="3942" t="n"/>
      <c r="Y18" s="3942" t="n"/>
      <c r="Z18" s="3942" t="n"/>
      <c r="AA18" s="3942" t="n"/>
      <c r="AB18" s="3942" t="n"/>
      <c r="AC18" s="3942" t="n"/>
      <c r="AD18" s="3942" t="n"/>
      <c r="AE18" s="3942" t="n"/>
      <c r="AF18" s="3942" t="n"/>
      <c r="AG18" s="3942" t="n"/>
      <c r="AH18" s="3942" t="n"/>
      <c r="AI18" s="3942" t="n"/>
      <c r="AJ18" s="3942" t="n"/>
      <c r="AK18" s="3942" t="n"/>
      <c r="AL18" s="3942" t="n"/>
      <c r="AM18" s="3942" t="n"/>
      <c r="AN18" s="3942" t="n"/>
      <c r="AO18" s="3942" t="n"/>
      <c r="AP18" s="3942" t="n"/>
      <c r="AQ18" s="3942" t="n"/>
      <c r="AR18" s="3942" t="n"/>
      <c r="AS18" s="3942" t="n"/>
    </row>
    <row r="19">
      <c r="A19" s="3944" t="n"/>
      <c r="B19" s="3944" t="n"/>
      <c r="C19" s="3944" t="n"/>
      <c r="D19" s="3944" t="n"/>
      <c r="E19" s="3944" t="n"/>
      <c r="F19" s="3944" t="n"/>
      <c r="G19" s="3942" t="n"/>
      <c r="H19" s="3942" t="n"/>
      <c r="I19" s="3942" t="n"/>
      <c r="J19" s="3942" t="n"/>
      <c r="K19" s="3942" t="n"/>
      <c r="L19" s="3942" t="n"/>
      <c r="M19" s="3942" t="n"/>
      <c r="N19" s="3942" t="n"/>
      <c r="O19" s="3942" t="n"/>
      <c r="P19" s="3942" t="n"/>
      <c r="Q19" s="3942" t="n"/>
      <c r="R19" s="3942" t="n"/>
      <c r="S19" s="3942" t="n"/>
      <c r="T19" s="3942" t="n"/>
      <c r="U19" s="3942" t="n"/>
      <c r="V19" s="3942" t="n"/>
      <c r="W19" s="3942" t="n"/>
      <c r="X19" s="3942" t="n"/>
      <c r="Y19" s="3942" t="n"/>
      <c r="Z19" s="3942" t="n"/>
      <c r="AA19" s="3942" t="n"/>
      <c r="AB19" s="3942" t="n"/>
      <c r="AC19" s="3942" t="n"/>
      <c r="AD19" s="3942" t="n"/>
      <c r="AE19" s="3942" t="n"/>
      <c r="AF19" s="3942" t="n"/>
      <c r="AG19" s="3942" t="n"/>
      <c r="AH19" s="3942" t="n"/>
      <c r="AI19" s="3942" t="n"/>
      <c r="AJ19" s="3942" t="n"/>
      <c r="AK19" s="3942" t="n"/>
      <c r="AL19" s="3942" t="n"/>
      <c r="AM19" s="3942" t="n"/>
      <c r="AN19" s="3942" t="n"/>
      <c r="AO19" s="3942" t="n"/>
      <c r="AP19" s="3942" t="n"/>
      <c r="AQ19" s="3942" t="n"/>
      <c r="AR19" s="3942" t="n"/>
      <c r="AS19" s="3942" t="n"/>
    </row>
    <row r="20">
      <c r="A20" s="3944" t="n"/>
      <c r="B20" s="3944" t="n"/>
      <c r="C20" s="3944" t="n"/>
      <c r="D20" s="3944" t="n"/>
      <c r="E20" s="3944" t="n"/>
      <c r="F20" s="3944" t="n"/>
      <c r="G20" s="3942" t="n"/>
      <c r="H20" s="3942" t="n"/>
      <c r="I20" s="3942" t="n"/>
      <c r="J20" s="3942" t="n"/>
      <c r="K20" s="3942" t="n"/>
      <c r="L20" s="3942" t="n"/>
      <c r="M20" s="3942" t="n"/>
      <c r="N20" s="3942" t="n"/>
      <c r="O20" s="3942" t="n"/>
      <c r="P20" s="3942" t="n"/>
      <c r="Q20" s="3942" t="n"/>
      <c r="R20" s="3942" t="n"/>
      <c r="S20" s="3942" t="n"/>
      <c r="T20" s="3942" t="n"/>
      <c r="U20" s="3942" t="n"/>
      <c r="V20" s="3942" t="n"/>
      <c r="W20" s="3942" t="n"/>
      <c r="X20" s="3942" t="n"/>
      <c r="Y20" s="3942" t="n"/>
      <c r="Z20" s="3942" t="n"/>
      <c r="AA20" s="3942" t="n"/>
      <c r="AB20" s="3942" t="n"/>
      <c r="AC20" s="3942" t="n"/>
      <c r="AD20" s="3942" t="n"/>
      <c r="AE20" s="3942" t="n"/>
      <c r="AF20" s="3942" t="n"/>
      <c r="AG20" s="3942" t="n"/>
      <c r="AH20" s="3942" t="n"/>
      <c r="AI20" s="3942" t="n"/>
      <c r="AJ20" s="3942" t="n"/>
      <c r="AK20" s="3942" t="n"/>
      <c r="AL20" s="3942" t="n"/>
      <c r="AM20" s="3942" t="n"/>
      <c r="AN20" s="3942" t="n"/>
      <c r="AO20" s="3942" t="n"/>
      <c r="AP20" s="3942" t="n"/>
      <c r="AQ20" s="3942" t="n"/>
      <c r="AR20" s="3942" t="n"/>
      <c r="AS20" s="3942" t="n"/>
    </row>
    <row r="21">
      <c r="A21" s="3944" t="n"/>
      <c r="B21" s="3944" t="n"/>
      <c r="C21" s="3944" t="n"/>
      <c r="D21" s="3944" t="n"/>
      <c r="E21" s="3944" t="n"/>
      <c r="F21" s="3944" t="n"/>
      <c r="G21" s="3942" t="n"/>
      <c r="H21" s="3942" t="n"/>
      <c r="I21" s="3942" t="n"/>
      <c r="J21" s="3942" t="n"/>
      <c r="K21" s="3942" t="n"/>
      <c r="L21" s="3942" t="n"/>
      <c r="M21" s="3942" t="n"/>
      <c r="N21" s="3942" t="n"/>
      <c r="O21" s="3942" t="n"/>
      <c r="P21" s="3942" t="n"/>
      <c r="Q21" s="3942" t="n"/>
      <c r="R21" s="3942" t="n"/>
      <c r="S21" s="3942" t="n"/>
      <c r="T21" s="3942" t="n"/>
      <c r="U21" s="3942" t="n"/>
      <c r="V21" s="3942" t="n"/>
      <c r="W21" s="3942" t="n"/>
      <c r="X21" s="3942" t="n"/>
      <c r="Y21" s="3942" t="n"/>
      <c r="Z21" s="3942" t="n"/>
      <c r="AA21" s="3942" t="n"/>
      <c r="AB21" s="3942" t="n"/>
      <c r="AC21" s="3942" t="n"/>
      <c r="AD21" s="3942" t="n"/>
      <c r="AE21" s="3942" t="n"/>
      <c r="AF21" s="3942" t="n"/>
      <c r="AG21" s="3942" t="n"/>
      <c r="AH21" s="3942" t="n"/>
      <c r="AI21" s="3942" t="n"/>
      <c r="AJ21" s="3942" t="n"/>
      <c r="AK21" s="3942" t="n"/>
      <c r="AL21" s="3942" t="n"/>
      <c r="AM21" s="3942" t="n"/>
      <c r="AN21" s="3942" t="n"/>
      <c r="AO21" s="3942" t="n"/>
      <c r="AP21" s="3942" t="n"/>
      <c r="AQ21" s="3942" t="n"/>
      <c r="AR21" s="3942" t="n"/>
      <c r="AS21" s="3942" t="n"/>
    </row>
    <row r="22">
      <c r="A22" s="3944" t="n"/>
      <c r="B22" s="3944" t="n"/>
      <c r="C22" s="3944" t="n"/>
      <c r="D22" s="3944" t="n"/>
      <c r="E22" s="3944" t="n"/>
      <c r="F22" s="3944" t="n"/>
      <c r="G22" s="3942" t="n"/>
      <c r="H22" s="3942" t="n"/>
      <c r="I22" s="3942" t="n"/>
      <c r="J22" s="3942" t="n"/>
      <c r="K22" s="3942" t="n"/>
      <c r="L22" s="3942" t="n"/>
      <c r="M22" s="3942" t="n"/>
      <c r="N22" s="3942" t="n"/>
      <c r="O22" s="3942" t="n"/>
      <c r="P22" s="3942" t="n"/>
      <c r="Q22" s="3942" t="n"/>
      <c r="R22" s="3942" t="n"/>
      <c r="S22" s="3942" t="n"/>
      <c r="T22" s="3942" t="n"/>
      <c r="U22" s="3942" t="n"/>
      <c r="V22" s="3942" t="n"/>
      <c r="W22" s="3942" t="n"/>
      <c r="X22" s="3942" t="n"/>
      <c r="Y22" s="3942" t="n"/>
      <c r="Z22" s="3942" t="n"/>
      <c r="AA22" s="3942" t="n"/>
      <c r="AB22" s="3942" t="n"/>
      <c r="AC22" s="3942" t="n"/>
      <c r="AD22" s="3942" t="n"/>
      <c r="AE22" s="3942" t="n"/>
      <c r="AF22" s="3942" t="n"/>
      <c r="AG22" s="3942" t="n"/>
      <c r="AH22" s="3942" t="n"/>
      <c r="AI22" s="3942" t="n"/>
      <c r="AJ22" s="3942" t="n"/>
      <c r="AK22" s="3942" t="n"/>
      <c r="AL22" s="3942" t="n"/>
      <c r="AM22" s="3942" t="n"/>
      <c r="AN22" s="3942" t="n"/>
      <c r="AO22" s="3942" t="n"/>
      <c r="AP22" s="3942" t="n"/>
      <c r="AQ22" s="3942" t="n"/>
      <c r="AR22" s="3942" t="n"/>
      <c r="AS22" s="3942" t="n"/>
    </row>
    <row r="23">
      <c r="A23" s="3944" t="n"/>
      <c r="B23" s="3944" t="n"/>
      <c r="C23" s="3944" t="n"/>
      <c r="D23" s="3944" t="n"/>
      <c r="E23" s="3944" t="n"/>
      <c r="F23" s="3944" t="n"/>
      <c r="G23" s="3942" t="n"/>
      <c r="H23" s="3942" t="n"/>
      <c r="I23" s="3942" t="n"/>
      <c r="J23" s="3942" t="n"/>
      <c r="K23" s="3942" t="n"/>
      <c r="L23" s="3942" t="n"/>
      <c r="M23" s="3942" t="n"/>
      <c r="N23" s="3942" t="n"/>
      <c r="O23" s="3942" t="n"/>
      <c r="P23" s="3942" t="n"/>
      <c r="Q23" s="3942" t="n"/>
      <c r="R23" s="3942" t="n"/>
      <c r="S23" s="3942" t="n"/>
      <c r="T23" s="3942" t="n"/>
      <c r="U23" s="3942" t="n"/>
      <c r="V23" s="3942" t="n"/>
      <c r="W23" s="3942" t="n"/>
      <c r="X23" s="3942" t="n"/>
      <c r="Y23" s="3942" t="n"/>
      <c r="Z23" s="3942" t="n"/>
      <c r="AA23" s="3942" t="n"/>
      <c r="AB23" s="3942" t="n"/>
      <c r="AC23" s="3942" t="n"/>
      <c r="AD23" s="3942" t="n"/>
      <c r="AE23" s="3942" t="n"/>
      <c r="AF23" s="3942" t="n"/>
      <c r="AG23" s="3942" t="n"/>
      <c r="AH23" s="3942" t="n"/>
      <c r="AI23" s="3942" t="n"/>
      <c r="AJ23" s="3942" t="n"/>
      <c r="AK23" s="3942" t="n"/>
      <c r="AL23" s="3942" t="n"/>
      <c r="AM23" s="3942" t="n"/>
      <c r="AN23" s="3942" t="n"/>
      <c r="AO23" s="3942" t="n"/>
      <c r="AP23" s="3942" t="n"/>
      <c r="AQ23" s="3942" t="n"/>
      <c r="AR23" s="3942" t="n"/>
      <c r="AS23" s="3942" t="n"/>
    </row>
    <row r="24">
      <c r="A24" s="3944" t="n"/>
      <c r="B24" s="3944" t="n"/>
      <c r="C24" s="3944" t="n"/>
      <c r="D24" s="3944" t="n"/>
      <c r="E24" s="3944" t="n"/>
      <c r="F24" s="3944" t="n"/>
      <c r="G24" s="3942" t="n"/>
      <c r="H24" s="3942" t="n"/>
      <c r="I24" s="3942" t="n"/>
      <c r="J24" s="3942" t="n"/>
      <c r="K24" s="3942" t="n"/>
      <c r="L24" s="3942" t="n"/>
      <c r="M24" s="3942" t="n"/>
      <c r="N24" s="3942" t="n"/>
      <c r="O24" s="3942" t="n"/>
      <c r="P24" s="3942" t="n"/>
      <c r="Q24" s="3942" t="n"/>
      <c r="R24" s="3942" t="n"/>
      <c r="S24" s="3942" t="n"/>
      <c r="T24" s="3942" t="n"/>
      <c r="U24" s="3942" t="n"/>
      <c r="V24" s="3942" t="n"/>
      <c r="W24" s="3942" t="n"/>
      <c r="X24" s="3942" t="n"/>
      <c r="Y24" s="3942" t="n"/>
      <c r="Z24" s="3942" t="n"/>
      <c r="AA24" s="3942" t="n"/>
      <c r="AB24" s="3942" t="n"/>
      <c r="AC24" s="3942" t="n"/>
      <c r="AD24" s="3942" t="n"/>
      <c r="AE24" s="3942" t="n"/>
      <c r="AF24" s="3942" t="n"/>
      <c r="AG24" s="3942" t="n"/>
      <c r="AH24" s="3942" t="n"/>
      <c r="AI24" s="3942" t="n"/>
      <c r="AJ24" s="3942" t="n"/>
      <c r="AK24" s="3942" t="n"/>
      <c r="AL24" s="3942" t="n"/>
      <c r="AM24" s="3942" t="n"/>
      <c r="AN24" s="3942" t="n"/>
      <c r="AO24" s="3942" t="n"/>
      <c r="AP24" s="3942" t="n"/>
      <c r="AQ24" s="3942" t="n"/>
      <c r="AR24" s="3942" t="n"/>
      <c r="AS24" s="3942" t="n"/>
    </row>
    <row r="25">
      <c r="A25" s="3944" t="n"/>
      <c r="B25" s="3944" t="n"/>
      <c r="C25" s="3944" t="n"/>
      <c r="D25" s="3944" t="n"/>
      <c r="E25" s="3944" t="n"/>
      <c r="F25" s="3944" t="n"/>
      <c r="G25" s="3942" t="n"/>
      <c r="H25" s="3942" t="n"/>
      <c r="I25" s="3942" t="n"/>
      <c r="J25" s="3942" t="n"/>
      <c r="K25" s="3942" t="n"/>
      <c r="L25" s="3942" t="n"/>
      <c r="M25" s="3942" t="n"/>
      <c r="N25" s="3942" t="n"/>
      <c r="O25" s="3942" t="n"/>
      <c r="P25" s="3942" t="n"/>
      <c r="Q25" s="3942" t="n"/>
      <c r="R25" s="3942" t="n"/>
      <c r="S25" s="3942" t="n"/>
      <c r="T25" s="3942" t="n"/>
      <c r="U25" s="3942" t="n"/>
      <c r="V25" s="3942" t="n"/>
      <c r="W25" s="3942" t="n"/>
      <c r="X25" s="3942" t="n"/>
      <c r="Y25" s="3942" t="n"/>
      <c r="Z25" s="3942" t="n"/>
      <c r="AA25" s="3942" t="n"/>
      <c r="AB25" s="3942" t="n"/>
      <c r="AC25" s="3942" t="n"/>
      <c r="AD25" s="3942" t="n"/>
      <c r="AE25" s="3942" t="n"/>
      <c r="AF25" s="3942" t="n"/>
      <c r="AG25" s="3942" t="n"/>
      <c r="AH25" s="3942" t="n"/>
      <c r="AI25" s="3942" t="n"/>
      <c r="AJ25" s="3942" t="n"/>
      <c r="AK25" s="3942" t="n"/>
      <c r="AL25" s="3942" t="n"/>
      <c r="AM25" s="3942" t="n"/>
      <c r="AN25" s="3942" t="n"/>
      <c r="AO25" s="3942" t="n"/>
      <c r="AP25" s="3942" t="n"/>
      <c r="AQ25" s="3942" t="n"/>
      <c r="AR25" s="3942" t="n"/>
      <c r="AS25" s="3942" t="n"/>
    </row>
    <row r="26">
      <c r="A26" s="3944" t="n"/>
      <c r="B26" s="3944" t="n"/>
      <c r="C26" s="3944" t="n"/>
      <c r="D26" s="3944" t="n"/>
      <c r="E26" s="3944" t="n"/>
      <c r="F26" s="3944" t="n"/>
      <c r="G26" s="3942" t="n"/>
      <c r="H26" s="3942" t="n"/>
      <c r="I26" s="3942" t="n"/>
      <c r="J26" s="3942" t="n"/>
      <c r="K26" s="3942" t="n"/>
      <c r="L26" s="3942" t="n"/>
      <c r="M26" s="3942" t="n"/>
      <c r="N26" s="3942" t="n"/>
      <c r="O26" s="3942" t="n"/>
      <c r="P26" s="3942" t="n"/>
      <c r="Q26" s="3942" t="n"/>
      <c r="R26" s="3942" t="n"/>
      <c r="S26" s="3942" t="n"/>
      <c r="T26" s="3942" t="n"/>
      <c r="U26" s="3942" t="n"/>
      <c r="V26" s="3942" t="n"/>
      <c r="W26" s="3942" t="n"/>
      <c r="X26" s="3942" t="n"/>
      <c r="Y26" s="3942" t="n"/>
      <c r="Z26" s="3942" t="n"/>
      <c r="AA26" s="3942" t="n"/>
      <c r="AB26" s="3942" t="n"/>
      <c r="AC26" s="3942" t="n"/>
      <c r="AD26" s="3942" t="n"/>
      <c r="AE26" s="3942" t="n"/>
      <c r="AF26" s="3942" t="n"/>
      <c r="AG26" s="3942" t="n"/>
      <c r="AH26" s="3942" t="n"/>
      <c r="AI26" s="3942" t="n"/>
      <c r="AJ26" s="3942" t="n"/>
      <c r="AK26" s="3942" t="n"/>
      <c r="AL26" s="3942" t="n"/>
      <c r="AM26" s="3942" t="n"/>
      <c r="AN26" s="3942" t="n"/>
      <c r="AO26" s="3942" t="n"/>
      <c r="AP26" s="3942" t="n"/>
      <c r="AQ26" s="3942" t="n"/>
      <c r="AR26" s="3942" t="n"/>
      <c r="AS26" s="3942" t="n"/>
    </row>
    <row r="27">
      <c r="A27" s="3944" t="n"/>
      <c r="B27" s="3944" t="n"/>
      <c r="C27" s="3944" t="n"/>
      <c r="D27" s="3944" t="n"/>
      <c r="E27" s="3944" t="n"/>
      <c r="F27" s="3944" t="n"/>
      <c r="G27" s="3942" t="n"/>
      <c r="H27" s="3942" t="n"/>
      <c r="I27" s="3942" t="n"/>
      <c r="J27" s="3942" t="n"/>
      <c r="K27" s="3942" t="n"/>
      <c r="L27" s="3942" t="n"/>
      <c r="M27" s="3942" t="n"/>
      <c r="N27" s="3942" t="n"/>
      <c r="O27" s="3942" t="n"/>
      <c r="P27" s="3942" t="n"/>
      <c r="Q27" s="3942" t="n"/>
      <c r="R27" s="3942" t="n"/>
      <c r="S27" s="3942" t="n"/>
      <c r="T27" s="3942" t="n"/>
      <c r="U27" s="3942" t="n"/>
      <c r="V27" s="3942" t="n"/>
      <c r="W27" s="3942" t="n"/>
      <c r="X27" s="3942" t="n"/>
      <c r="Y27" s="3942" t="n"/>
      <c r="Z27" s="3942" t="n"/>
      <c r="AA27" s="3942" t="n"/>
      <c r="AB27" s="3942" t="n"/>
      <c r="AC27" s="3942" t="n"/>
      <c r="AD27" s="3942" t="n"/>
      <c r="AE27" s="3942" t="n"/>
      <c r="AF27" s="3942" t="n"/>
      <c r="AG27" s="3942" t="n"/>
      <c r="AH27" s="3942" t="n"/>
      <c r="AI27" s="3942" t="n"/>
      <c r="AJ27" s="3942" t="n"/>
      <c r="AK27" s="3942" t="n"/>
      <c r="AL27" s="3942" t="n"/>
      <c r="AM27" s="3942" t="n"/>
      <c r="AN27" s="3942" t="n"/>
      <c r="AO27" s="3942" t="n"/>
      <c r="AP27" s="3942" t="n"/>
      <c r="AQ27" s="3942" t="n"/>
      <c r="AR27" s="3942" t="n"/>
      <c r="AS27" s="3942" t="n"/>
    </row>
    <row r="28">
      <c r="A28" s="3944" t="n"/>
      <c r="B28" s="3944" t="n"/>
      <c r="C28" s="3944" t="n"/>
      <c r="D28" s="3944" t="n"/>
      <c r="E28" s="3944" t="n"/>
      <c r="F28" s="3944" t="n"/>
      <c r="G28" s="3942" t="n"/>
      <c r="H28" s="3942" t="n"/>
      <c r="I28" s="3942" t="n"/>
      <c r="J28" s="3942" t="n"/>
      <c r="K28" s="3942" t="n"/>
      <c r="L28" s="3942" t="n"/>
      <c r="M28" s="3942" t="n"/>
      <c r="N28" s="3942" t="n"/>
      <c r="O28" s="3942" t="n"/>
      <c r="P28" s="3942" t="n"/>
      <c r="Q28" s="3942" t="n"/>
      <c r="R28" s="3942" t="n"/>
      <c r="S28" s="3942" t="n"/>
      <c r="T28" s="3942" t="n"/>
      <c r="U28" s="3942" t="n"/>
      <c r="V28" s="3942" t="n"/>
      <c r="W28" s="3942" t="n"/>
      <c r="X28" s="3942" t="n"/>
      <c r="Y28" s="3942" t="n"/>
      <c r="Z28" s="3942" t="n"/>
      <c r="AA28" s="3942" t="n"/>
      <c r="AB28" s="3942" t="n"/>
      <c r="AC28" s="3942" t="n"/>
      <c r="AD28" s="3942" t="n"/>
      <c r="AE28" s="3942" t="n"/>
      <c r="AF28" s="3942" t="n"/>
      <c r="AG28" s="3942" t="n"/>
      <c r="AH28" s="3942" t="n"/>
      <c r="AI28" s="3942" t="n"/>
      <c r="AJ28" s="3942" t="n"/>
      <c r="AK28" s="3942" t="n"/>
      <c r="AL28" s="3942" t="n"/>
      <c r="AM28" s="3942" t="n"/>
      <c r="AN28" s="3942" t="n"/>
      <c r="AO28" s="3942" t="n"/>
      <c r="AP28" s="3942" t="n"/>
      <c r="AQ28" s="3942" t="n"/>
      <c r="AR28" s="3942" t="n"/>
      <c r="AS28" s="3942" t="n"/>
    </row>
    <row r="29">
      <c r="A29" s="3944" t="n"/>
      <c r="B29" s="3944" t="n"/>
      <c r="C29" s="3944" t="n"/>
      <c r="D29" s="3944" t="n"/>
      <c r="E29" s="3944" t="n"/>
      <c r="F29" s="3944" t="n"/>
      <c r="G29" s="3942" t="n"/>
      <c r="H29" s="3942" t="n"/>
      <c r="I29" s="3942" t="n"/>
      <c r="J29" s="3942" t="n"/>
      <c r="K29" s="3942" t="n"/>
      <c r="L29" s="3942" t="n"/>
      <c r="M29" s="3942" t="n"/>
      <c r="N29" s="3942" t="n"/>
      <c r="O29" s="3942" t="n"/>
      <c r="P29" s="3942" t="n"/>
      <c r="Q29" s="3942" t="n"/>
      <c r="R29" s="3942" t="n"/>
      <c r="S29" s="3942" t="n"/>
      <c r="T29" s="3942" t="n"/>
      <c r="U29" s="3942" t="n"/>
      <c r="V29" s="3942" t="n"/>
      <c r="W29" s="3942" t="n"/>
      <c r="X29" s="3942" t="n"/>
      <c r="Y29" s="3942" t="n"/>
      <c r="Z29" s="3942" t="n"/>
      <c r="AA29" s="3942" t="n"/>
      <c r="AB29" s="3942" t="n"/>
      <c r="AC29" s="3942" t="n"/>
      <c r="AD29" s="3942" t="n"/>
      <c r="AE29" s="3942" t="n"/>
      <c r="AF29" s="3942" t="n"/>
      <c r="AG29" s="3942" t="n"/>
      <c r="AH29" s="3942" t="n"/>
      <c r="AI29" s="3942" t="n"/>
      <c r="AJ29" s="3942" t="n"/>
      <c r="AK29" s="3942" t="n"/>
      <c r="AL29" s="3942" t="n"/>
      <c r="AM29" s="3942" t="n"/>
      <c r="AN29" s="3942" t="n"/>
      <c r="AO29" s="3942" t="n"/>
      <c r="AP29" s="3942" t="n"/>
      <c r="AQ29" s="3942" t="n"/>
      <c r="AR29" s="3942" t="n"/>
      <c r="AS29" s="3942" t="n"/>
    </row>
    <row r="30">
      <c r="A30" s="3944" t="n"/>
      <c r="B30" s="3944" t="n"/>
      <c r="C30" s="3944" t="n"/>
      <c r="D30" s="3944" t="n"/>
      <c r="E30" s="3944" t="n"/>
      <c r="F30" s="3944" t="n"/>
      <c r="G30" s="3942" t="n"/>
      <c r="H30" s="3942" t="n"/>
      <c r="I30" s="3942" t="n"/>
      <c r="J30" s="3942" t="n"/>
      <c r="K30" s="3942" t="n"/>
      <c r="L30" s="3942" t="n"/>
      <c r="M30" s="3942" t="n"/>
      <c r="N30" s="3942" t="n"/>
      <c r="O30" s="3942" t="n"/>
      <c r="P30" s="3942" t="n"/>
      <c r="Q30" s="3942" t="n"/>
      <c r="R30" s="3942" t="n"/>
      <c r="S30" s="3942" t="n"/>
      <c r="T30" s="3942" t="n"/>
      <c r="U30" s="3942" t="n"/>
      <c r="V30" s="3942" t="n"/>
      <c r="W30" s="3942" t="n"/>
      <c r="X30" s="3942" t="n"/>
      <c r="Y30" s="3942" t="n"/>
      <c r="Z30" s="3942" t="n"/>
      <c r="AA30" s="3942" t="n"/>
      <c r="AB30" s="3942" t="n"/>
      <c r="AC30" s="3942" t="n"/>
      <c r="AD30" s="3942" t="n"/>
      <c r="AE30" s="3942" t="n"/>
      <c r="AF30" s="3942" t="n"/>
      <c r="AG30" s="3942" t="n"/>
      <c r="AH30" s="3942" t="n"/>
      <c r="AI30" s="3942" t="n"/>
      <c r="AJ30" s="3942" t="n"/>
      <c r="AK30" s="3942" t="n"/>
      <c r="AL30" s="3942" t="n"/>
      <c r="AM30" s="3942" t="n"/>
      <c r="AN30" s="3942" t="n"/>
      <c r="AO30" s="3942" t="n"/>
      <c r="AP30" s="3942" t="n"/>
      <c r="AQ30" s="3942" t="n"/>
      <c r="AR30" s="3942" t="n"/>
      <c r="AS30" s="3942" t="n"/>
    </row>
    <row r="31">
      <c r="A31" s="3944" t="n"/>
      <c r="B31" s="3944" t="n"/>
      <c r="C31" s="3944" t="n"/>
      <c r="D31" s="3944" t="n"/>
      <c r="E31" s="3944" t="n"/>
      <c r="F31" s="3944" t="n"/>
      <c r="G31" s="3942" t="n"/>
      <c r="H31" s="3942" t="n"/>
      <c r="I31" s="3942" t="n"/>
      <c r="J31" s="3942" t="n"/>
      <c r="K31" s="3942" t="n"/>
      <c r="L31" s="3942" t="n"/>
      <c r="M31" s="3942" t="n"/>
      <c r="N31" s="3942" t="n"/>
      <c r="O31" s="3942" t="n"/>
      <c r="P31" s="3942" t="n"/>
      <c r="Q31" s="3942" t="n"/>
      <c r="R31" s="3942" t="n"/>
      <c r="S31" s="3942" t="n"/>
      <c r="T31" s="3942" t="n"/>
      <c r="U31" s="3942" t="n"/>
      <c r="V31" s="3942" t="n"/>
      <c r="W31" s="3942" t="n"/>
      <c r="X31" s="3942" t="n"/>
      <c r="Y31" s="3942" t="n"/>
      <c r="Z31" s="3942" t="n"/>
      <c r="AA31" s="3942" t="n"/>
      <c r="AB31" s="3942" t="n"/>
      <c r="AC31" s="3942" t="n"/>
      <c r="AD31" s="3942" t="n"/>
      <c r="AE31" s="3942" t="n"/>
      <c r="AF31" s="3942" t="n"/>
      <c r="AG31" s="3942" t="n"/>
      <c r="AH31" s="3942" t="n"/>
      <c r="AI31" s="3942" t="n"/>
      <c r="AJ31" s="3942" t="n"/>
      <c r="AK31" s="3942" t="n"/>
      <c r="AL31" s="3942" t="n"/>
      <c r="AM31" s="3942" t="n"/>
      <c r="AN31" s="3942" t="n"/>
      <c r="AO31" s="3942" t="n"/>
      <c r="AP31" s="3942" t="n"/>
      <c r="AQ31" s="3942" t="n"/>
      <c r="AR31" s="3942" t="n"/>
      <c r="AS31" s="3942" t="n"/>
    </row>
    <row r="32">
      <c r="A32" s="3944" t="n"/>
      <c r="B32" s="3944" t="n"/>
      <c r="C32" s="3944" t="n"/>
      <c r="D32" s="3944" t="n"/>
      <c r="E32" s="3944" t="n"/>
      <c r="F32" s="3944" t="n"/>
      <c r="G32" s="3942" t="n"/>
      <c r="H32" s="3942" t="n"/>
      <c r="I32" s="3942" t="n"/>
      <c r="J32" s="3942" t="n"/>
      <c r="K32" s="3942" t="n"/>
      <c r="L32" s="3942" t="n"/>
      <c r="M32" s="3942" t="n"/>
      <c r="N32" s="3942" t="n"/>
      <c r="O32" s="3942" t="n"/>
      <c r="P32" s="3942" t="n"/>
      <c r="Q32" s="3942" t="n"/>
      <c r="R32" s="3942" t="n"/>
      <c r="S32" s="3942" t="n"/>
      <c r="T32" s="3942" t="n"/>
      <c r="U32" s="3942" t="n"/>
      <c r="V32" s="3942" t="n"/>
      <c r="W32" s="3942" t="n"/>
      <c r="X32" s="3942" t="n"/>
      <c r="Y32" s="3942" t="n"/>
      <c r="Z32" s="3942" t="n"/>
      <c r="AA32" s="3942" t="n"/>
      <c r="AB32" s="3942" t="n"/>
      <c r="AC32" s="3942" t="n"/>
      <c r="AD32" s="3942" t="n"/>
      <c r="AE32" s="3942" t="n"/>
      <c r="AF32" s="3942" t="n"/>
      <c r="AG32" s="3942" t="n"/>
      <c r="AH32" s="3942" t="n"/>
      <c r="AI32" s="3942" t="n"/>
      <c r="AJ32" s="3942" t="n"/>
      <c r="AK32" s="3942" t="n"/>
      <c r="AL32" s="3942" t="n"/>
      <c r="AM32" s="3942" t="n"/>
      <c r="AN32" s="3942" t="n"/>
      <c r="AO32" s="3942" t="n"/>
      <c r="AP32" s="3942" t="n"/>
      <c r="AQ32" s="3942" t="n"/>
      <c r="AR32" s="3942" t="n"/>
      <c r="AS32" s="3942" t="n"/>
    </row>
    <row r="33">
      <c r="A33" s="3944" t="n"/>
      <c r="B33" s="3944" t="n"/>
      <c r="C33" s="3944" t="n"/>
      <c r="D33" s="3944" t="n"/>
      <c r="E33" s="3944" t="n"/>
      <c r="F33" s="3944" t="n"/>
      <c r="G33" s="3942" t="n"/>
      <c r="H33" s="3942" t="n"/>
      <c r="I33" s="3942" t="n"/>
      <c r="J33" s="3942" t="n"/>
      <c r="K33" s="3942" t="n"/>
      <c r="L33" s="3942" t="n"/>
      <c r="M33" s="3942" t="n"/>
      <c r="N33" s="3942" t="n"/>
      <c r="O33" s="3942" t="n"/>
      <c r="P33" s="3942" t="n"/>
      <c r="Q33" s="3942" t="n"/>
      <c r="R33" s="3942" t="n"/>
      <c r="S33" s="3942" t="n"/>
      <c r="T33" s="3942" t="n"/>
      <c r="U33" s="3942" t="n"/>
      <c r="V33" s="3942" t="n"/>
      <c r="W33" s="3942" t="n"/>
      <c r="X33" s="3942" t="n"/>
      <c r="Y33" s="3942" t="n"/>
      <c r="Z33" s="3942" t="n"/>
      <c r="AA33" s="3942" t="n"/>
      <c r="AB33" s="3942" t="n"/>
      <c r="AC33" s="3942" t="n"/>
      <c r="AD33" s="3942" t="n"/>
      <c r="AE33" s="3942" t="n"/>
      <c r="AF33" s="3942" t="n"/>
      <c r="AG33" s="3942" t="n"/>
      <c r="AH33" s="3942" t="n"/>
      <c r="AI33" s="3942" t="n"/>
      <c r="AJ33" s="3942" t="n"/>
      <c r="AK33" s="3942" t="n"/>
      <c r="AL33" s="3942" t="n"/>
      <c r="AM33" s="3942" t="n"/>
      <c r="AN33" s="3942" t="n"/>
      <c r="AO33" s="3942" t="n"/>
      <c r="AP33" s="3942" t="n"/>
      <c r="AQ33" s="3942" t="n"/>
      <c r="AR33" s="3942" t="n"/>
      <c r="AS33" s="3942" t="n"/>
    </row>
    <row r="34">
      <c r="A34" s="3944" t="n"/>
      <c r="B34" s="3944" t="n"/>
      <c r="C34" s="3944" t="n"/>
      <c r="D34" s="3944" t="n"/>
      <c r="E34" s="3944" t="n"/>
      <c r="F34" s="3944" t="n"/>
      <c r="G34" s="3942" t="n"/>
      <c r="H34" s="3942" t="n"/>
      <c r="I34" s="3942" t="n"/>
      <c r="J34" s="3942" t="n"/>
      <c r="K34" s="3942" t="n"/>
      <c r="L34" s="3942" t="n"/>
      <c r="M34" s="3942" t="n"/>
      <c r="N34" s="3942" t="n"/>
      <c r="O34" s="3942" t="n"/>
      <c r="P34" s="3942" t="n"/>
      <c r="Q34" s="3942" t="n"/>
      <c r="R34" s="3942" t="n"/>
      <c r="S34" s="3942" t="n"/>
      <c r="T34" s="3942" t="n"/>
      <c r="U34" s="3942" t="n"/>
      <c r="V34" s="3942" t="n"/>
      <c r="W34" s="3942" t="n"/>
      <c r="X34" s="3942" t="n"/>
      <c r="Y34" s="3942" t="n"/>
      <c r="Z34" s="3942" t="n"/>
      <c r="AA34" s="3942" t="n"/>
      <c r="AB34" s="3942" t="n"/>
      <c r="AC34" s="3942" t="n"/>
      <c r="AD34" s="3942" t="n"/>
      <c r="AE34" s="3942" t="n"/>
      <c r="AF34" s="3942" t="n"/>
      <c r="AG34" s="3942" t="n"/>
      <c r="AH34" s="3942" t="n"/>
      <c r="AI34" s="3942" t="n"/>
      <c r="AJ34" s="3942" t="n"/>
      <c r="AK34" s="3942" t="n"/>
      <c r="AL34" s="3942" t="n"/>
      <c r="AM34" s="3942" t="n"/>
      <c r="AN34" s="3942" t="n"/>
      <c r="AO34" s="3942" t="n"/>
      <c r="AP34" s="3942" t="n"/>
      <c r="AQ34" s="3942" t="n"/>
      <c r="AR34" s="3942" t="n"/>
      <c r="AS34" s="3942" t="n"/>
    </row>
    <row r="35">
      <c r="A35" s="3944" t="n"/>
      <c r="B35" s="3944" t="n"/>
      <c r="C35" s="3944" t="n"/>
      <c r="D35" s="3944" t="n"/>
      <c r="E35" s="3944" t="n"/>
      <c r="F35" s="3944" t="n"/>
      <c r="G35" s="3942" t="n"/>
      <c r="H35" s="3942" t="n"/>
      <c r="I35" s="3942" t="n"/>
      <c r="J35" s="3942" t="n"/>
      <c r="K35" s="3942" t="n"/>
      <c r="L35" s="3942" t="n"/>
      <c r="M35" s="3942" t="n"/>
      <c r="N35" s="3942" t="n"/>
      <c r="O35" s="3942" t="n"/>
      <c r="P35" s="3942" t="n"/>
      <c r="Q35" s="3942" t="n"/>
      <c r="R35" s="3942" t="n"/>
      <c r="S35" s="3942" t="n"/>
      <c r="T35" s="3942" t="n"/>
      <c r="U35" s="3942" t="n"/>
      <c r="V35" s="3942" t="n"/>
      <c r="W35" s="3942" t="n"/>
      <c r="X35" s="3942" t="n"/>
      <c r="Y35" s="3942" t="n"/>
      <c r="Z35" s="3942" t="n"/>
      <c r="AA35" s="3942" t="n"/>
      <c r="AB35" s="3942" t="n"/>
      <c r="AC35" s="3942" t="n"/>
      <c r="AD35" s="3942" t="n"/>
      <c r="AE35" s="3942" t="n"/>
      <c r="AF35" s="3942" t="n"/>
      <c r="AG35" s="3942" t="n"/>
      <c r="AH35" s="3942" t="n"/>
      <c r="AI35" s="3942" t="n"/>
      <c r="AJ35" s="3942" t="n"/>
      <c r="AK35" s="3942" t="n"/>
      <c r="AL35" s="3942" t="n"/>
      <c r="AM35" s="3942" t="n"/>
      <c r="AN35" s="3942" t="n"/>
      <c r="AO35" s="3942" t="n"/>
      <c r="AP35" s="3942" t="n"/>
      <c r="AQ35" s="3942" t="n"/>
      <c r="AR35" s="3942" t="n"/>
      <c r="AS35" s="3942" t="n"/>
    </row>
    <row r="36">
      <c r="A36" s="3944" t="n"/>
      <c r="B36" s="3944" t="n"/>
      <c r="C36" s="3944" t="n"/>
      <c r="D36" s="3944" t="n"/>
      <c r="E36" s="3944" t="n"/>
      <c r="F36" s="3944" t="n"/>
      <c r="G36" s="3942" t="n"/>
      <c r="H36" s="3942" t="n"/>
      <c r="I36" s="3942" t="n"/>
      <c r="J36" s="3942" t="n"/>
      <c r="K36" s="3942" t="n"/>
      <c r="L36" s="3942" t="n"/>
      <c r="M36" s="3942" t="n"/>
      <c r="N36" s="3942" t="n"/>
      <c r="O36" s="3942" t="n"/>
      <c r="P36" s="3942" t="n"/>
      <c r="Q36" s="3942" t="n"/>
      <c r="R36" s="3942" t="n"/>
      <c r="S36" s="3942" t="n"/>
      <c r="T36" s="3942" t="n"/>
      <c r="U36" s="3942" t="n"/>
      <c r="V36" s="3942" t="n"/>
      <c r="W36" s="3942" t="n"/>
      <c r="X36" s="3942" t="n"/>
      <c r="Y36" s="3942" t="n"/>
      <c r="Z36" s="3942" t="n"/>
      <c r="AA36" s="3942" t="n"/>
      <c r="AB36" s="3942" t="n"/>
      <c r="AC36" s="3942" t="n"/>
      <c r="AD36" s="3942" t="n"/>
      <c r="AE36" s="3942" t="n"/>
      <c r="AF36" s="3942" t="n"/>
      <c r="AG36" s="3942" t="n"/>
      <c r="AH36" s="3942" t="n"/>
      <c r="AI36" s="3942" t="n"/>
      <c r="AJ36" s="3942" t="n"/>
      <c r="AK36" s="3942" t="n"/>
      <c r="AL36" s="3942" t="n"/>
      <c r="AM36" s="3942" t="n"/>
      <c r="AN36" s="3942" t="n"/>
      <c r="AO36" s="3942" t="n"/>
      <c r="AP36" s="3942" t="n"/>
      <c r="AQ36" s="3942" t="n"/>
      <c r="AR36" s="3942" t="n"/>
      <c r="AS36" s="3942" t="n"/>
    </row>
    <row r="37">
      <c r="A37" s="3944" t="n"/>
      <c r="B37" s="3944" t="n"/>
      <c r="C37" s="3944" t="n"/>
      <c r="D37" s="3944" t="n"/>
      <c r="E37" s="3944" t="n"/>
      <c r="F37" s="3944" t="n"/>
      <c r="G37" s="3942" t="n"/>
      <c r="H37" s="3942" t="n"/>
      <c r="I37" s="3942" t="n"/>
      <c r="J37" s="3942" t="n"/>
      <c r="K37" s="3942" t="n"/>
      <c r="L37" s="3942" t="n"/>
      <c r="M37" s="3942" t="n"/>
      <c r="N37" s="3942" t="n"/>
      <c r="O37" s="3942" t="n"/>
      <c r="P37" s="3942" t="n"/>
      <c r="Q37" s="3942" t="n"/>
      <c r="R37" s="3942" t="n"/>
      <c r="S37" s="3942" t="n"/>
      <c r="T37" s="3942" t="n"/>
      <c r="U37" s="3942" t="n"/>
      <c r="V37" s="3942" t="n"/>
      <c r="W37" s="3942" t="n"/>
      <c r="X37" s="3942" t="n"/>
      <c r="Y37" s="3942" t="n"/>
      <c r="Z37" s="3942" t="n"/>
      <c r="AA37" s="3942" t="n"/>
      <c r="AB37" s="3942" t="n"/>
      <c r="AC37" s="3942" t="n"/>
      <c r="AD37" s="3942" t="n"/>
      <c r="AE37" s="3942" t="n"/>
      <c r="AF37" s="3942" t="n"/>
      <c r="AG37" s="3942" t="n"/>
      <c r="AH37" s="3942" t="n"/>
      <c r="AI37" s="3942" t="n"/>
      <c r="AJ37" s="3942" t="n"/>
      <c r="AK37" s="3942" t="n"/>
      <c r="AL37" s="3942" t="n"/>
      <c r="AM37" s="3942" t="n"/>
      <c r="AN37" s="3942" t="n"/>
      <c r="AO37" s="3942" t="n"/>
      <c r="AP37" s="3942" t="n"/>
      <c r="AQ37" s="3942" t="n"/>
      <c r="AR37" s="3942" t="n"/>
      <c r="AS37" s="3942" t="n"/>
    </row>
    <row r="38">
      <c r="A38" s="3944" t="n"/>
      <c r="B38" s="3944" t="n"/>
      <c r="C38" s="3944" t="n"/>
      <c r="D38" s="3944" t="n"/>
      <c r="E38" s="3944" t="n"/>
      <c r="F38" s="3944" t="n"/>
      <c r="G38" s="3942" t="n"/>
      <c r="H38" s="3942" t="n"/>
      <c r="I38" s="3942" t="n"/>
      <c r="J38" s="3942" t="n"/>
      <c r="K38" s="3942" t="n"/>
      <c r="L38" s="3942" t="n"/>
      <c r="M38" s="3942" t="n"/>
      <c r="N38" s="3942" t="n"/>
      <c r="O38" s="3942" t="n"/>
      <c r="P38" s="3942" t="n"/>
      <c r="Q38" s="3942" t="n"/>
      <c r="R38" s="3942" t="n"/>
      <c r="S38" s="3942" t="n"/>
      <c r="T38" s="3942" t="n"/>
      <c r="U38" s="3942" t="n"/>
      <c r="V38" s="3942" t="n"/>
      <c r="W38" s="3942" t="n"/>
      <c r="X38" s="3942" t="n"/>
      <c r="Y38" s="3942" t="n"/>
      <c r="Z38" s="3942" t="n"/>
      <c r="AA38" s="3942" t="n"/>
      <c r="AB38" s="3942" t="n"/>
      <c r="AC38" s="3942" t="n"/>
      <c r="AD38" s="3942" t="n"/>
      <c r="AE38" s="3942" t="n"/>
      <c r="AF38" s="3942" t="n"/>
      <c r="AG38" s="3942" t="n"/>
      <c r="AH38" s="3942" t="n"/>
      <c r="AI38" s="3942" t="n"/>
      <c r="AJ38" s="3942" t="n"/>
      <c r="AK38" s="3942" t="n"/>
      <c r="AL38" s="3942" t="n"/>
      <c r="AM38" s="3942" t="n"/>
      <c r="AN38" s="3942" t="n"/>
      <c r="AO38" s="3942" t="n"/>
      <c r="AP38" s="3942" t="n"/>
      <c r="AQ38" s="3942" t="n"/>
      <c r="AR38" s="3942" t="n"/>
      <c r="AS38" s="3942" t="n"/>
    </row>
    <row r="39">
      <c r="A39" s="3944" t="n"/>
      <c r="B39" s="3944" t="n"/>
      <c r="C39" s="3944" t="n"/>
      <c r="D39" s="3944" t="n"/>
      <c r="E39" s="3944" t="n"/>
      <c r="F39" s="3944" t="n"/>
      <c r="G39" s="3942" t="n"/>
      <c r="H39" s="3942" t="n"/>
      <c r="I39" s="3942" t="n"/>
      <c r="J39" s="3942" t="n"/>
      <c r="K39" s="3942" t="n"/>
      <c r="L39" s="3942" t="n"/>
      <c r="M39" s="3942" t="n"/>
      <c r="N39" s="3942" t="n"/>
      <c r="O39" s="3942" t="n"/>
      <c r="P39" s="3942" t="n"/>
      <c r="Q39" s="3942" t="n"/>
      <c r="R39" s="3942" t="n"/>
      <c r="S39" s="3942" t="n"/>
      <c r="T39" s="3942" t="n"/>
      <c r="U39" s="3942" t="n"/>
      <c r="V39" s="3942" t="n"/>
      <c r="W39" s="3942" t="n"/>
      <c r="X39" s="3942" t="n"/>
      <c r="Y39" s="3942" t="n"/>
      <c r="Z39" s="3942" t="n"/>
      <c r="AA39" s="3942" t="n"/>
      <c r="AB39" s="3942" t="n"/>
      <c r="AC39" s="3942" t="n"/>
      <c r="AD39" s="3942" t="n"/>
      <c r="AE39" s="3942" t="n"/>
      <c r="AF39" s="3942" t="n"/>
      <c r="AG39" s="3942" t="n"/>
      <c r="AH39" s="3942" t="n"/>
      <c r="AI39" s="3942" t="n"/>
      <c r="AJ39" s="3942" t="n"/>
      <c r="AK39" s="3942" t="n"/>
      <c r="AL39" s="3942" t="n"/>
      <c r="AM39" s="3942" t="n"/>
      <c r="AN39" s="3942" t="n"/>
      <c r="AO39" s="3942" t="n"/>
      <c r="AP39" s="3942" t="n"/>
      <c r="AQ39" s="3942" t="n"/>
      <c r="AR39" s="3942" t="n"/>
      <c r="AS39" s="3942" t="n"/>
    </row>
    <row r="40">
      <c r="A40" s="3944" t="n"/>
      <c r="B40" s="3944" t="n"/>
      <c r="C40" s="3944" t="n"/>
      <c r="D40" s="3944" t="n"/>
      <c r="E40" s="3944" t="n"/>
      <c r="F40" s="3944" t="n"/>
      <c r="G40" s="3942" t="n"/>
      <c r="H40" s="3942" t="n"/>
      <c r="I40" s="3942" t="n"/>
      <c r="J40" s="3942" t="n"/>
      <c r="K40" s="3942" t="n"/>
      <c r="L40" s="3942" t="n"/>
      <c r="M40" s="3942" t="n"/>
      <c r="N40" s="3942" t="n"/>
      <c r="O40" s="3942" t="n"/>
      <c r="P40" s="3942" t="n"/>
      <c r="Q40" s="3942" t="n"/>
      <c r="R40" s="3942" t="n"/>
      <c r="S40" s="3942" t="n"/>
      <c r="T40" s="3942" t="n"/>
      <c r="U40" s="3942" t="n"/>
      <c r="V40" s="3942" t="n"/>
      <c r="W40" s="3942" t="n"/>
      <c r="X40" s="3942" t="n"/>
      <c r="Y40" s="3942" t="n"/>
      <c r="Z40" s="3942" t="n"/>
      <c r="AA40" s="3942" t="n"/>
      <c r="AB40" s="3942" t="n"/>
      <c r="AC40" s="3942" t="n"/>
      <c r="AD40" s="3942" t="n"/>
      <c r="AE40" s="3942" t="n"/>
      <c r="AF40" s="3942" t="n"/>
      <c r="AG40" s="3942" t="n"/>
      <c r="AH40" s="3942" t="n"/>
      <c r="AI40" s="3942" t="n"/>
      <c r="AJ40" s="3942" t="n"/>
      <c r="AK40" s="3942" t="n"/>
      <c r="AL40" s="3942" t="n"/>
      <c r="AM40" s="3942" t="n"/>
      <c r="AN40" s="3942" t="n"/>
      <c r="AO40" s="3942" t="n"/>
      <c r="AP40" s="3942" t="n"/>
      <c r="AQ40" s="3942" t="n"/>
      <c r="AR40" s="3942" t="n"/>
      <c r="AS40" s="3942" t="n"/>
    </row>
    <row r="41">
      <c r="A41" s="3944" t="n"/>
      <c r="B41" s="3944" t="n"/>
      <c r="C41" s="3944" t="n"/>
      <c r="D41" s="3944" t="n"/>
      <c r="E41" s="3944" t="n"/>
      <c r="F41" s="3944" t="n"/>
      <c r="G41" s="3942" t="n"/>
      <c r="H41" s="3942" t="n"/>
      <c r="I41" s="3942" t="n"/>
      <c r="J41" s="3942" t="n"/>
      <c r="K41" s="3942" t="n"/>
      <c r="L41" s="3942" t="n"/>
      <c r="M41" s="3942" t="n"/>
      <c r="N41" s="3942" t="n"/>
      <c r="O41" s="3942" t="n"/>
      <c r="P41" s="3942" t="n"/>
      <c r="Q41" s="3942" t="n"/>
      <c r="R41" s="3942" t="n"/>
      <c r="S41" s="3942" t="n"/>
      <c r="T41" s="3942" t="n"/>
      <c r="U41" s="3942" t="n"/>
      <c r="V41" s="3942" t="n"/>
      <c r="W41" s="3942" t="n"/>
      <c r="X41" s="3942" t="n"/>
      <c r="Y41" s="3942" t="n"/>
      <c r="Z41" s="3942" t="n"/>
      <c r="AA41" s="3942" t="n"/>
      <c r="AB41" s="3942" t="n"/>
      <c r="AC41" s="3942" t="n"/>
      <c r="AD41" s="3942" t="n"/>
      <c r="AE41" s="3942" t="n"/>
      <c r="AF41" s="3942" t="n"/>
      <c r="AG41" s="3942" t="n"/>
      <c r="AH41" s="3942" t="n"/>
      <c r="AI41" s="3942" t="n"/>
      <c r="AJ41" s="3942" t="n"/>
      <c r="AK41" s="3942" t="n"/>
      <c r="AL41" s="3942" t="n"/>
      <c r="AM41" s="3942" t="n"/>
      <c r="AN41" s="3942" t="n"/>
      <c r="AO41" s="3942" t="n"/>
      <c r="AP41" s="3942" t="n"/>
      <c r="AQ41" s="3942" t="n"/>
      <c r="AR41" s="3942" t="n"/>
      <c r="AS41" s="3942" t="n"/>
    </row>
    <row r="42">
      <c r="A42" s="3944" t="n"/>
      <c r="B42" s="3944" t="n"/>
      <c r="C42" s="3944" t="n"/>
      <c r="D42" s="3944" t="n"/>
      <c r="E42" s="3944" t="n"/>
      <c r="F42" s="3944" t="n"/>
      <c r="G42" s="3942" t="n"/>
      <c r="H42" s="3942" t="n"/>
      <c r="I42" s="3942" t="n"/>
      <c r="J42" s="3942" t="n"/>
      <c r="K42" s="3942" t="n"/>
      <c r="L42" s="3942" t="n"/>
      <c r="M42" s="3942" t="n"/>
      <c r="N42" s="3942" t="n"/>
      <c r="O42" s="3942" t="n"/>
      <c r="P42" s="3942" t="n"/>
      <c r="Q42" s="3942" t="n"/>
      <c r="R42" s="3942" t="n"/>
      <c r="S42" s="3942" t="n"/>
      <c r="T42" s="3942" t="n"/>
      <c r="U42" s="3942" t="n"/>
      <c r="V42" s="3942" t="n"/>
      <c r="W42" s="3942" t="n"/>
      <c r="X42" s="3942" t="n"/>
      <c r="Y42" s="3942" t="n"/>
      <c r="Z42" s="3942" t="n"/>
      <c r="AA42" s="3942" t="n"/>
      <c r="AB42" s="3942" t="n"/>
      <c r="AC42" s="3942" t="n"/>
      <c r="AD42" s="3942" t="n"/>
      <c r="AE42" s="3942" t="n"/>
      <c r="AF42" s="3942" t="n"/>
      <c r="AG42" s="3942" t="n"/>
      <c r="AH42" s="3942" t="n"/>
      <c r="AI42" s="3942" t="n"/>
      <c r="AJ42" s="3942" t="n"/>
      <c r="AK42" s="3942" t="n"/>
      <c r="AL42" s="3942" t="n"/>
      <c r="AM42" s="3942" t="n"/>
      <c r="AN42" s="3942" t="n"/>
      <c r="AO42" s="3942" t="n"/>
      <c r="AP42" s="3942" t="n"/>
      <c r="AQ42" s="3942" t="n"/>
      <c r="AR42" s="3942" t="n"/>
      <c r="AS42" s="3942" t="n"/>
    </row>
    <row r="43">
      <c r="A43" s="3944" t="n"/>
      <c r="B43" s="3944" t="n"/>
      <c r="C43" s="3944" t="n"/>
      <c r="D43" s="3944" t="n"/>
      <c r="E43" s="3944" t="n"/>
      <c r="F43" s="3944" t="n"/>
      <c r="G43" s="3942" t="n"/>
      <c r="H43" s="3942" t="n"/>
      <c r="I43" s="3942" t="n"/>
      <c r="J43" s="3942" t="n"/>
      <c r="K43" s="3942" t="n"/>
      <c r="L43" s="3942" t="n"/>
      <c r="M43" s="3942" t="n"/>
      <c r="N43" s="3942" t="n"/>
      <c r="O43" s="3942" t="n"/>
      <c r="P43" s="3942" t="n"/>
      <c r="Q43" s="3942" t="n"/>
      <c r="R43" s="3942" t="n"/>
      <c r="S43" s="3942" t="n"/>
      <c r="T43" s="3942" t="n"/>
      <c r="U43" s="3942" t="n"/>
      <c r="V43" s="3942" t="n"/>
      <c r="W43" s="3942" t="n"/>
      <c r="X43" s="3942" t="n"/>
      <c r="Y43" s="3942" t="n"/>
      <c r="Z43" s="3942" t="n"/>
      <c r="AA43" s="3942" t="n"/>
      <c r="AB43" s="3942" t="n"/>
      <c r="AC43" s="3942" t="n"/>
      <c r="AD43" s="3942" t="n"/>
      <c r="AE43" s="3942" t="n"/>
      <c r="AF43" s="3942" t="n"/>
      <c r="AG43" s="3942" t="n"/>
      <c r="AH43" s="3942" t="n"/>
      <c r="AI43" s="3942" t="n"/>
      <c r="AJ43" s="3942" t="n"/>
      <c r="AK43" s="3942" t="n"/>
      <c r="AL43" s="3942" t="n"/>
      <c r="AM43" s="3942" t="n"/>
      <c r="AN43" s="3942" t="n"/>
      <c r="AO43" s="3942" t="n"/>
      <c r="AP43" s="3942" t="n"/>
      <c r="AQ43" s="3942" t="n"/>
      <c r="AR43" s="3942" t="n"/>
      <c r="AS43" s="3942" t="n"/>
    </row>
    <row r="44">
      <c r="A44" s="3944" t="n"/>
      <c r="B44" s="3944" t="n"/>
      <c r="C44" s="3944" t="n"/>
      <c r="D44" s="3944" t="n"/>
      <c r="E44" s="3944" t="n"/>
      <c r="F44" s="3944" t="n"/>
      <c r="G44" s="3942" t="n"/>
      <c r="H44" s="3942" t="n"/>
      <c r="I44" s="3942" t="n"/>
      <c r="J44" s="3942" t="n"/>
      <c r="K44" s="3942" t="n"/>
      <c r="L44" s="3942" t="n"/>
      <c r="M44" s="3942" t="n"/>
      <c r="N44" s="3942" t="n"/>
      <c r="O44" s="3942" t="n"/>
      <c r="P44" s="3942" t="n"/>
      <c r="Q44" s="3942" t="n"/>
      <c r="R44" s="3942" t="n"/>
      <c r="S44" s="3942" t="n"/>
      <c r="T44" s="3942" t="n"/>
      <c r="U44" s="3942" t="n"/>
      <c r="V44" s="3942" t="n"/>
      <c r="W44" s="3942" t="n"/>
      <c r="X44" s="3942" t="n"/>
      <c r="Y44" s="3942" t="n"/>
      <c r="Z44" s="3942" t="n"/>
      <c r="AA44" s="3942" t="n"/>
      <c r="AB44" s="3942" t="n"/>
      <c r="AC44" s="3942" t="n"/>
      <c r="AD44" s="3942" t="n"/>
      <c r="AE44" s="3942" t="n"/>
      <c r="AF44" s="3942" t="n"/>
      <c r="AG44" s="3942" t="n"/>
      <c r="AH44" s="3942" t="n"/>
      <c r="AI44" s="3942" t="n"/>
      <c r="AJ44" s="3942" t="n"/>
      <c r="AK44" s="3942" t="n"/>
      <c r="AL44" s="3942" t="n"/>
      <c r="AM44" s="3942" t="n"/>
      <c r="AN44" s="3942" t="n"/>
      <c r="AO44" s="3942" t="n"/>
      <c r="AP44" s="3942" t="n"/>
      <c r="AQ44" s="3942" t="n"/>
      <c r="AR44" s="3942" t="n"/>
      <c r="AS44" s="3942" t="n"/>
    </row>
    <row r="45">
      <c r="A45" s="3944" t="n"/>
      <c r="B45" s="3944" t="n"/>
      <c r="C45" s="3944" t="n"/>
      <c r="D45" s="3944" t="n"/>
      <c r="E45" s="3944" t="n"/>
      <c r="F45" s="3944" t="n"/>
      <c r="G45" s="3942" t="n"/>
      <c r="H45" s="3942" t="n"/>
      <c r="I45" s="3942" t="n"/>
      <c r="J45" s="3942" t="n"/>
      <c r="K45" s="3942" t="n"/>
      <c r="L45" s="3942" t="n"/>
      <c r="M45" s="3942" t="n"/>
      <c r="N45" s="3942" t="n"/>
      <c r="O45" s="3942" t="n"/>
      <c r="P45" s="3942" t="n"/>
      <c r="Q45" s="3942" t="n"/>
      <c r="R45" s="3942" t="n"/>
      <c r="S45" s="3942" t="n"/>
      <c r="T45" s="3942" t="n"/>
      <c r="U45" s="3942" t="n"/>
      <c r="V45" s="3942" t="n"/>
      <c r="W45" s="3942" t="n"/>
      <c r="X45" s="3942" t="n"/>
      <c r="Y45" s="3942" t="n"/>
      <c r="Z45" s="3942" t="n"/>
      <c r="AA45" s="3942" t="n"/>
      <c r="AB45" s="3942" t="n"/>
      <c r="AC45" s="3942" t="n"/>
      <c r="AD45" s="3942" t="n"/>
      <c r="AE45" s="3942" t="n"/>
      <c r="AF45" s="3942" t="n"/>
      <c r="AG45" s="3942" t="n"/>
      <c r="AH45" s="3942" t="n"/>
      <c r="AI45" s="3942" t="n"/>
      <c r="AJ45" s="3942" t="n"/>
      <c r="AK45" s="3942" t="n"/>
      <c r="AL45" s="3942" t="n"/>
      <c r="AM45" s="3942" t="n"/>
      <c r="AN45" s="3942" t="n"/>
      <c r="AO45" s="3942" t="n"/>
      <c r="AP45" s="3942" t="n"/>
      <c r="AQ45" s="3942" t="n"/>
      <c r="AR45" s="3942" t="n"/>
      <c r="AS45" s="3942" t="n"/>
    </row>
    <row r="46">
      <c r="A46" s="3944" t="n"/>
      <c r="B46" s="3944" t="n"/>
      <c r="C46" s="3944" t="n"/>
      <c r="D46" s="3944" t="n"/>
      <c r="E46" s="3944" t="n"/>
      <c r="F46" s="3944" t="n"/>
      <c r="G46" s="3942" t="n"/>
      <c r="H46" s="3942" t="n"/>
      <c r="I46" s="3942" t="n"/>
      <c r="J46" s="3942" t="n"/>
      <c r="K46" s="3942" t="n"/>
      <c r="L46" s="3942" t="n"/>
      <c r="M46" s="3942" t="n"/>
      <c r="N46" s="3942" t="n"/>
      <c r="O46" s="3942" t="n"/>
      <c r="P46" s="3942" t="n"/>
      <c r="Q46" s="3942" t="n"/>
      <c r="R46" s="3942" t="n"/>
      <c r="S46" s="3942" t="n"/>
      <c r="T46" s="3942" t="n"/>
      <c r="U46" s="3942" t="n"/>
      <c r="V46" s="3942" t="n"/>
      <c r="W46" s="3942" t="n"/>
      <c r="X46" s="3942" t="n"/>
      <c r="Y46" s="3942" t="n"/>
      <c r="Z46" s="3942" t="n"/>
      <c r="AA46" s="3942" t="n"/>
      <c r="AB46" s="3942" t="n"/>
      <c r="AC46" s="3942" t="n"/>
      <c r="AD46" s="3942" t="n"/>
      <c r="AE46" s="3942" t="n"/>
      <c r="AF46" s="3942" t="n"/>
      <c r="AG46" s="3942" t="n"/>
      <c r="AH46" s="3942" t="n"/>
      <c r="AI46" s="3942" t="n"/>
      <c r="AJ46" s="3942" t="n"/>
      <c r="AK46" s="3942" t="n"/>
      <c r="AL46" s="3942" t="n"/>
      <c r="AM46" s="3942" t="n"/>
      <c r="AN46" s="3942" t="n"/>
      <c r="AO46" s="3942" t="n"/>
      <c r="AP46" s="3942" t="n"/>
      <c r="AQ46" s="3942" t="n"/>
      <c r="AR46" s="3942" t="n"/>
      <c r="AS46" s="3942" t="n"/>
    </row>
    <row r="47">
      <c r="A47" s="3944" t="n"/>
      <c r="B47" s="3944" t="n"/>
      <c r="C47" s="3944" t="n"/>
      <c r="D47" s="3944" t="n"/>
      <c r="E47" s="3944" t="n"/>
      <c r="F47" s="3944" t="n"/>
      <c r="G47" s="3942" t="n"/>
      <c r="H47" s="3942" t="n"/>
      <c r="I47" s="3942" t="n"/>
      <c r="J47" s="3942" t="n"/>
      <c r="K47" s="3942" t="n"/>
      <c r="L47" s="3942" t="n"/>
      <c r="M47" s="3942" t="n"/>
      <c r="N47" s="3942" t="n"/>
      <c r="O47" s="3942" t="n"/>
      <c r="P47" s="3942" t="n"/>
      <c r="Q47" s="3942" t="n"/>
      <c r="R47" s="3942" t="n"/>
      <c r="S47" s="3942" t="n"/>
      <c r="T47" s="3942" t="n"/>
      <c r="U47" s="3942" t="n"/>
      <c r="V47" s="3942" t="n"/>
      <c r="W47" s="3942" t="n"/>
      <c r="X47" s="3942" t="n"/>
      <c r="Y47" s="3942" t="n"/>
      <c r="Z47" s="3942" t="n"/>
      <c r="AA47" s="3942" t="n"/>
      <c r="AB47" s="3942" t="n"/>
      <c r="AC47" s="3942" t="n"/>
      <c r="AD47" s="3942" t="n"/>
      <c r="AE47" s="3942" t="n"/>
      <c r="AF47" s="3942" t="n"/>
      <c r="AG47" s="3942" t="n"/>
      <c r="AH47" s="3942" t="n"/>
      <c r="AI47" s="3942" t="n"/>
      <c r="AJ47" s="3942" t="n"/>
      <c r="AK47" s="3942" t="n"/>
      <c r="AL47" s="3942" t="n"/>
      <c r="AM47" s="3942" t="n"/>
      <c r="AN47" s="3942" t="n"/>
      <c r="AO47" s="3942" t="n"/>
      <c r="AP47" s="3942" t="n"/>
      <c r="AQ47" s="3942" t="n"/>
      <c r="AR47" s="3942" t="n"/>
      <c r="AS47" s="3942" t="n"/>
    </row>
    <row r="48">
      <c r="A48" s="3944" t="n"/>
      <c r="B48" s="3944" t="n"/>
      <c r="C48" s="3944" t="n"/>
      <c r="D48" s="3944" t="n"/>
      <c r="E48" s="3944" t="n"/>
      <c r="F48" s="3944" t="n"/>
      <c r="G48" s="3942" t="n"/>
      <c r="H48" s="3942" t="n"/>
      <c r="I48" s="3942" t="n"/>
      <c r="J48" s="3942" t="n"/>
      <c r="K48" s="3942" t="n"/>
      <c r="L48" s="3942" t="n"/>
      <c r="M48" s="3942" t="n"/>
      <c r="N48" s="3942" t="n"/>
      <c r="O48" s="3942" t="n"/>
      <c r="P48" s="3942" t="n"/>
      <c r="Q48" s="3942" t="n"/>
      <c r="R48" s="3942" t="n"/>
      <c r="S48" s="3942" t="n"/>
      <c r="T48" s="3942" t="n"/>
      <c r="U48" s="3942" t="n"/>
      <c r="V48" s="3942" t="n"/>
      <c r="W48" s="3942" t="n"/>
      <c r="X48" s="3942" t="n"/>
      <c r="Y48" s="3942" t="n"/>
      <c r="Z48" s="3942" t="n"/>
      <c r="AA48" s="3942" t="n"/>
      <c r="AB48" s="3942" t="n"/>
      <c r="AC48" s="3942" t="n"/>
      <c r="AD48" s="3942" t="n"/>
      <c r="AE48" s="3942" t="n"/>
      <c r="AF48" s="3942" t="n"/>
      <c r="AG48" s="3942" t="n"/>
      <c r="AH48" s="3942" t="n"/>
      <c r="AI48" s="3942" t="n"/>
      <c r="AJ48" s="3942" t="n"/>
      <c r="AK48" s="3942" t="n"/>
      <c r="AL48" s="3942" t="n"/>
      <c r="AM48" s="3942" t="n"/>
      <c r="AN48" s="3942" t="n"/>
      <c r="AO48" s="3942" t="n"/>
      <c r="AP48" s="3942" t="n"/>
      <c r="AQ48" s="3942" t="n"/>
      <c r="AR48" s="3942" t="n"/>
      <c r="AS48" s="3942" t="n"/>
    </row>
    <row r="49">
      <c r="A49" s="3944" t="n"/>
      <c r="B49" s="3944" t="n"/>
      <c r="C49" s="3944" t="n"/>
      <c r="D49" s="3944" t="n"/>
      <c r="E49" s="3944" t="n"/>
      <c r="F49" s="3944" t="n"/>
      <c r="G49" s="3942" t="n"/>
      <c r="H49" s="3942" t="n"/>
      <c r="I49" s="3942" t="n"/>
      <c r="J49" s="3942" t="n"/>
      <c r="K49" s="3942" t="n"/>
      <c r="L49" s="3942" t="n"/>
      <c r="M49" s="3942" t="n"/>
      <c r="N49" s="3942" t="n"/>
      <c r="O49" s="3942" t="n"/>
      <c r="P49" s="3942" t="n"/>
      <c r="Q49" s="3942" t="n"/>
      <c r="R49" s="3942" t="n"/>
      <c r="S49" s="3942" t="n"/>
      <c r="T49" s="3942" t="n"/>
      <c r="U49" s="3942" t="n"/>
      <c r="V49" s="3942" t="n"/>
      <c r="W49" s="3942" t="n"/>
      <c r="X49" s="3942" t="n"/>
      <c r="Y49" s="3942" t="n"/>
      <c r="Z49" s="3942" t="n"/>
      <c r="AA49" s="3942" t="n"/>
      <c r="AB49" s="3942" t="n"/>
      <c r="AC49" s="3942" t="n"/>
      <c r="AD49" s="3942" t="n"/>
      <c r="AE49" s="3942" t="n"/>
      <c r="AF49" s="3942" t="n"/>
      <c r="AG49" s="3942" t="n"/>
      <c r="AH49" s="3942" t="n"/>
      <c r="AI49" s="3942" t="n"/>
      <c r="AJ49" s="3942" t="n"/>
      <c r="AK49" s="3942" t="n"/>
      <c r="AL49" s="3942" t="n"/>
      <c r="AM49" s="3942" t="n"/>
      <c r="AN49" s="3942" t="n"/>
      <c r="AO49" s="3942" t="n"/>
      <c r="AP49" s="3942" t="n"/>
      <c r="AQ49" s="3942" t="n"/>
      <c r="AR49" s="3942" t="n"/>
      <c r="AS49" s="3942" t="n"/>
    </row>
    <row r="50">
      <c r="A50" s="3944" t="n"/>
      <c r="B50" s="3944" t="n"/>
      <c r="C50" s="3944" t="n"/>
      <c r="D50" s="3944" t="n"/>
      <c r="E50" s="3944" t="n"/>
      <c r="F50" s="3944" t="n"/>
      <c r="G50" s="3942" t="n"/>
      <c r="H50" s="3942" t="n"/>
      <c r="I50" s="3942" t="n"/>
      <c r="J50" s="3942" t="n"/>
      <c r="K50" s="3942" t="n"/>
      <c r="L50" s="3942" t="n"/>
      <c r="M50" s="3942" t="n"/>
      <c r="N50" s="3942" t="n"/>
      <c r="O50" s="3942" t="n"/>
      <c r="P50" s="3942" t="n"/>
      <c r="Q50" s="3942" t="n"/>
      <c r="R50" s="3942" t="n"/>
      <c r="S50" s="3942" t="n"/>
      <c r="T50" s="3942" t="n"/>
      <c r="U50" s="3942" t="n"/>
      <c r="V50" s="3942" t="n"/>
      <c r="W50" s="3942" t="n"/>
      <c r="X50" s="3942" t="n"/>
      <c r="Y50" s="3942" t="n"/>
      <c r="Z50" s="3942" t="n"/>
      <c r="AA50" s="3942" t="n"/>
      <c r="AB50" s="3942" t="n"/>
      <c r="AC50" s="3942" t="n"/>
      <c r="AD50" s="3942" t="n"/>
      <c r="AE50" s="3942" t="n"/>
      <c r="AF50" s="3942" t="n"/>
      <c r="AG50" s="3942" t="n"/>
      <c r="AH50" s="3942" t="n"/>
      <c r="AI50" s="3942" t="n"/>
      <c r="AJ50" s="3942" t="n"/>
      <c r="AK50" s="3942" t="n"/>
      <c r="AL50" s="3942" t="n"/>
      <c r="AM50" s="3942" t="n"/>
      <c r="AN50" s="3942" t="n"/>
      <c r="AO50" s="3942" t="n"/>
      <c r="AP50" s="3942" t="n"/>
      <c r="AQ50" s="3942" t="n"/>
      <c r="AR50" s="3942" t="n"/>
      <c r="AS50" s="3942" t="n"/>
    </row>
    <row r="51">
      <c r="A51" s="3944" t="n"/>
      <c r="B51" s="3944" t="n"/>
      <c r="C51" s="3944" t="n"/>
      <c r="D51" s="3944" t="n"/>
      <c r="E51" s="3944" t="n"/>
      <c r="F51" s="3944" t="n"/>
      <c r="G51" s="3942" t="n"/>
      <c r="H51" s="3942" t="n"/>
      <c r="I51" s="3942" t="n"/>
      <c r="J51" s="3942" t="n"/>
      <c r="K51" s="3942" t="n"/>
      <c r="L51" s="3942" t="n"/>
      <c r="M51" s="3942" t="n"/>
      <c r="N51" s="3942" t="n"/>
      <c r="O51" s="3942" t="n"/>
      <c r="P51" s="3942" t="n"/>
      <c r="Q51" s="3942" t="n"/>
      <c r="R51" s="3942" t="n"/>
      <c r="S51" s="3942" t="n"/>
      <c r="T51" s="3942" t="n"/>
      <c r="U51" s="3942" t="n"/>
      <c r="V51" s="3942" t="n"/>
      <c r="W51" s="3942" t="n"/>
      <c r="X51" s="3942" t="n"/>
      <c r="Y51" s="3942" t="n"/>
      <c r="Z51" s="3942" t="n"/>
      <c r="AA51" s="3942" t="n"/>
      <c r="AB51" s="3942" t="n"/>
      <c r="AC51" s="3942" t="n"/>
      <c r="AD51" s="3942" t="n"/>
      <c r="AE51" s="3942" t="n"/>
      <c r="AF51" s="3942" t="n"/>
      <c r="AG51" s="3942" t="n"/>
      <c r="AH51" s="3942" t="n"/>
      <c r="AI51" s="3942" t="n"/>
      <c r="AJ51" s="3942" t="n"/>
      <c r="AK51" s="3942" t="n"/>
      <c r="AL51" s="3942" t="n"/>
      <c r="AM51" s="3942" t="n"/>
      <c r="AN51" s="3942" t="n"/>
      <c r="AO51" s="3942" t="n"/>
      <c r="AP51" s="3942" t="n"/>
      <c r="AQ51" s="3942" t="n"/>
      <c r="AR51" s="3942" t="n"/>
      <c r="AS51" s="3942" t="n"/>
    </row>
    <row r="52">
      <c r="A52" s="3944" t="n"/>
      <c r="B52" s="3944" t="n"/>
      <c r="C52" s="3944" t="n"/>
      <c r="D52" s="3944" t="n"/>
      <c r="E52" s="3944" t="n"/>
      <c r="F52" s="3944" t="n"/>
      <c r="G52" s="3942" t="n"/>
      <c r="H52" s="3942" t="n"/>
      <c r="I52" s="3942" t="n"/>
      <c r="J52" s="3942" t="n"/>
      <c r="K52" s="3942" t="n"/>
      <c r="L52" s="3942" t="n"/>
      <c r="M52" s="3942" t="n"/>
      <c r="N52" s="3942" t="n"/>
      <c r="O52" s="3942" t="n"/>
      <c r="P52" s="3942" t="n"/>
      <c r="Q52" s="3942" t="n"/>
      <c r="R52" s="3942" t="n"/>
      <c r="S52" s="3942" t="n"/>
      <c r="T52" s="3942" t="n"/>
      <c r="U52" s="3942" t="n"/>
      <c r="V52" s="3942" t="n"/>
      <c r="W52" s="3942" t="n"/>
      <c r="X52" s="3942" t="n"/>
      <c r="Y52" s="3942" t="n"/>
      <c r="Z52" s="3942" t="n"/>
      <c r="AA52" s="3942" t="n"/>
      <c r="AB52" s="3942" t="n"/>
      <c r="AC52" s="3942" t="n"/>
      <c r="AD52" s="3942" t="n"/>
      <c r="AE52" s="3942" t="n"/>
      <c r="AF52" s="3942" t="n"/>
      <c r="AG52" s="3942" t="n"/>
      <c r="AH52" s="3942" t="n"/>
      <c r="AI52" s="3942" t="n"/>
      <c r="AJ52" s="3942" t="n"/>
      <c r="AK52" s="3942" t="n"/>
      <c r="AL52" s="3942" t="n"/>
      <c r="AM52" s="3942" t="n"/>
      <c r="AN52" s="3942" t="n"/>
      <c r="AO52" s="3942" t="n"/>
      <c r="AP52" s="3942" t="n"/>
      <c r="AQ52" s="3942" t="n"/>
      <c r="AR52" s="3942" t="n"/>
      <c r="AS52" s="3942" t="n"/>
    </row>
    <row r="53">
      <c r="A53" s="3944" t="n"/>
      <c r="B53" s="3944" t="n"/>
      <c r="C53" s="3944" t="n"/>
      <c r="D53" s="3944" t="n"/>
      <c r="E53" s="3944" t="n"/>
      <c r="F53" s="3944" t="n"/>
      <c r="G53" s="3942" t="n"/>
      <c r="H53" s="3942" t="n"/>
      <c r="I53" s="3942" t="n"/>
      <c r="J53" s="3942" t="n"/>
      <c r="K53" s="3942" t="n"/>
      <c r="L53" s="3942" t="n"/>
      <c r="M53" s="3942" t="n"/>
      <c r="N53" s="3942" t="n"/>
      <c r="O53" s="3942" t="n"/>
      <c r="P53" s="3942" t="n"/>
      <c r="Q53" s="3942" t="n"/>
      <c r="R53" s="3942" t="n"/>
      <c r="S53" s="3942" t="n"/>
      <c r="T53" s="3942" t="n"/>
      <c r="U53" s="3942" t="n"/>
      <c r="V53" s="3942" t="n"/>
      <c r="W53" s="3942" t="n"/>
      <c r="X53" s="3942" t="n"/>
      <c r="Y53" s="3942" t="n"/>
      <c r="Z53" s="3942" t="n"/>
      <c r="AA53" s="3942" t="n"/>
      <c r="AB53" s="3942" t="n"/>
      <c r="AC53" s="3942" t="n"/>
      <c r="AD53" s="3942" t="n"/>
      <c r="AE53" s="3942" t="n"/>
      <c r="AF53" s="3942" t="n"/>
      <c r="AG53" s="3942" t="n"/>
      <c r="AH53" s="3942" t="n"/>
      <c r="AI53" s="3942" t="n"/>
      <c r="AJ53" s="3942" t="n"/>
      <c r="AK53" s="3942" t="n"/>
      <c r="AL53" s="3942" t="n"/>
      <c r="AM53" s="3942" t="n"/>
      <c r="AN53" s="3942" t="n"/>
      <c r="AO53" s="3942" t="n"/>
      <c r="AP53" s="3942" t="n"/>
      <c r="AQ53" s="3942" t="n"/>
      <c r="AR53" s="3942" t="n"/>
      <c r="AS53" s="3942" t="n"/>
    </row>
    <row r="54">
      <c r="A54" s="3944" t="n"/>
      <c r="B54" s="3944" t="n"/>
      <c r="C54" s="3944" t="n"/>
      <c r="D54" s="3944" t="n"/>
      <c r="E54" s="3944" t="n"/>
      <c r="F54" s="3944" t="n"/>
      <c r="G54" s="3942" t="n"/>
      <c r="H54" s="3942" t="n"/>
      <c r="I54" s="3942" t="n"/>
      <c r="J54" s="3942" t="n"/>
      <c r="K54" s="3942" t="n"/>
      <c r="L54" s="3942" t="n"/>
      <c r="M54" s="3942" t="n"/>
      <c r="N54" s="3942" t="n"/>
      <c r="O54" s="3942" t="n"/>
      <c r="P54" s="3942" t="n"/>
      <c r="Q54" s="3942" t="n"/>
      <c r="R54" s="3942" t="n"/>
      <c r="S54" s="3942" t="n"/>
      <c r="T54" s="3942" t="n"/>
      <c r="U54" s="3942" t="n"/>
      <c r="V54" s="3942" t="n"/>
      <c r="W54" s="3942" t="n"/>
      <c r="X54" s="3942" t="n"/>
      <c r="Y54" s="3942" t="n"/>
      <c r="Z54" s="3942" t="n"/>
      <c r="AA54" s="3942" t="n"/>
      <c r="AB54" s="3942" t="n"/>
      <c r="AC54" s="3942" t="n"/>
      <c r="AD54" s="3942" t="n"/>
      <c r="AE54" s="3942" t="n"/>
      <c r="AF54" s="3942" t="n"/>
      <c r="AG54" s="3942" t="n"/>
      <c r="AH54" s="3942" t="n"/>
      <c r="AI54" s="3942" t="n"/>
      <c r="AJ54" s="3942" t="n"/>
      <c r="AK54" s="3942" t="n"/>
      <c r="AL54" s="3942" t="n"/>
      <c r="AM54" s="3942" t="n"/>
      <c r="AN54" s="3942" t="n"/>
      <c r="AO54" s="3942" t="n"/>
      <c r="AP54" s="3942" t="n"/>
      <c r="AQ54" s="3942" t="n"/>
      <c r="AR54" s="3942" t="n"/>
      <c r="AS54" s="3942" t="n"/>
    </row>
    <row r="55">
      <c r="A55" s="3944" t="n"/>
      <c r="B55" s="3944" t="n"/>
      <c r="C55" s="3944" t="n"/>
      <c r="D55" s="3944" t="n"/>
      <c r="E55" s="3944" t="n"/>
      <c r="F55" s="3944" t="n"/>
      <c r="G55" s="3942" t="n"/>
      <c r="H55" s="3942" t="n"/>
      <c r="I55" s="3942" t="n"/>
      <c r="J55" s="3942" t="n"/>
      <c r="K55" s="3942" t="n"/>
      <c r="L55" s="3942" t="n"/>
      <c r="M55" s="3942" t="n"/>
      <c r="N55" s="3942" t="n"/>
      <c r="O55" s="3942" t="n"/>
      <c r="P55" s="3942" t="n"/>
      <c r="Q55" s="3942" t="n"/>
      <c r="R55" s="3942" t="n"/>
      <c r="S55" s="3942" t="n"/>
      <c r="T55" s="3942" t="n"/>
      <c r="U55" s="3942" t="n"/>
      <c r="V55" s="3942" t="n"/>
      <c r="W55" s="3942" t="n"/>
      <c r="X55" s="3942" t="n"/>
      <c r="Y55" s="3942" t="n"/>
      <c r="Z55" s="3942" t="n"/>
      <c r="AA55" s="3942" t="n"/>
      <c r="AB55" s="3942" t="n"/>
      <c r="AC55" s="3942" t="n"/>
      <c r="AD55" s="3942" t="n"/>
      <c r="AE55" s="3942" t="n"/>
      <c r="AF55" s="3942" t="n"/>
      <c r="AG55" s="3942" t="n"/>
      <c r="AH55" s="3942" t="n"/>
      <c r="AI55" s="3942" t="n"/>
      <c r="AJ55" s="3942" t="n"/>
      <c r="AK55" s="3942" t="n"/>
      <c r="AL55" s="3942" t="n"/>
      <c r="AM55" s="3942" t="n"/>
      <c r="AN55" s="3942" t="n"/>
      <c r="AO55" s="3942" t="n"/>
      <c r="AP55" s="3942" t="n"/>
      <c r="AQ55" s="3942" t="n"/>
      <c r="AR55" s="3942" t="n"/>
      <c r="AS55" s="3942" t="n"/>
    </row>
    <row r="56">
      <c r="A56" s="3944" t="n"/>
      <c r="B56" s="3944" t="n"/>
      <c r="C56" s="3944" t="n"/>
      <c r="D56" s="3944" t="n"/>
      <c r="E56" s="3944" t="n"/>
      <c r="F56" s="3944" t="n"/>
      <c r="G56" s="3942" t="n"/>
      <c r="H56" s="3942" t="n"/>
      <c r="I56" s="3942" t="n"/>
      <c r="J56" s="3942" t="n"/>
      <c r="K56" s="3942" t="n"/>
      <c r="L56" s="3942" t="n"/>
      <c r="M56" s="3942" t="n"/>
      <c r="N56" s="3942" t="n"/>
      <c r="O56" s="3942" t="n"/>
      <c r="P56" s="3942" t="n"/>
      <c r="Q56" s="3942" t="n"/>
      <c r="R56" s="3942" t="n"/>
      <c r="S56" s="3942" t="n"/>
      <c r="T56" s="3942" t="n"/>
      <c r="U56" s="3942" t="n"/>
      <c r="V56" s="3942" t="n"/>
      <c r="W56" s="3942" t="n"/>
      <c r="X56" s="3942" t="n"/>
      <c r="Y56" s="3942" t="n"/>
      <c r="Z56" s="3942" t="n"/>
      <c r="AA56" s="3942" t="n"/>
      <c r="AB56" s="3942" t="n"/>
      <c r="AC56" s="3942" t="n"/>
      <c r="AD56" s="3942" t="n"/>
      <c r="AE56" s="3942" t="n"/>
      <c r="AF56" s="3942" t="n"/>
      <c r="AG56" s="3942" t="n"/>
      <c r="AH56" s="3942" t="n"/>
      <c r="AI56" s="3942" t="n"/>
      <c r="AJ56" s="3942" t="n"/>
      <c r="AK56" s="3942" t="n"/>
      <c r="AL56" s="3942" t="n"/>
      <c r="AM56" s="3942" t="n"/>
      <c r="AN56" s="3942" t="n"/>
      <c r="AO56" s="3942" t="n"/>
      <c r="AP56" s="3942" t="n"/>
      <c r="AQ56" s="3942" t="n"/>
      <c r="AR56" s="3942" t="n"/>
      <c r="AS56" s="3942" t="n"/>
    </row>
    <row r="57">
      <c r="A57" s="3944" t="n"/>
      <c r="B57" s="3944" t="n"/>
      <c r="C57" s="3944" t="n"/>
      <c r="D57" s="3944" t="n"/>
      <c r="E57" s="3944" t="n"/>
      <c r="F57" s="3944" t="n"/>
      <c r="G57" s="3942" t="n"/>
      <c r="H57" s="3942" t="n"/>
      <c r="I57" s="3942" t="n"/>
      <c r="J57" s="3942" t="n"/>
      <c r="K57" s="3942" t="n"/>
      <c r="L57" s="3942" t="n"/>
      <c r="M57" s="3942" t="n"/>
      <c r="N57" s="3942" t="n"/>
      <c r="O57" s="3942" t="n"/>
      <c r="P57" s="3942" t="n"/>
      <c r="Q57" s="3942" t="n"/>
      <c r="R57" s="3942" t="n"/>
      <c r="S57" s="3942" t="n"/>
      <c r="T57" s="3942" t="n"/>
      <c r="U57" s="3942" t="n"/>
      <c r="V57" s="3942" t="n"/>
      <c r="W57" s="3942" t="n"/>
      <c r="X57" s="3942" t="n"/>
      <c r="Y57" s="3942" t="n"/>
      <c r="Z57" s="3942" t="n"/>
      <c r="AA57" s="3942" t="n"/>
      <c r="AB57" s="3942" t="n"/>
      <c r="AC57" s="3942" t="n"/>
      <c r="AD57" s="3942" t="n"/>
      <c r="AE57" s="3942" t="n"/>
      <c r="AF57" s="3942" t="n"/>
      <c r="AG57" s="3942" t="n"/>
      <c r="AH57" s="3942" t="n"/>
      <c r="AI57" s="3942" t="n"/>
      <c r="AJ57" s="3942" t="n"/>
      <c r="AK57" s="3942" t="n"/>
      <c r="AL57" s="3942" t="n"/>
      <c r="AM57" s="3942" t="n"/>
      <c r="AN57" s="3942" t="n"/>
      <c r="AO57" s="3942" t="n"/>
      <c r="AP57" s="3942" t="n"/>
      <c r="AQ57" s="3942" t="n"/>
      <c r="AR57" s="3942" t="n"/>
      <c r="AS57" s="3942" t="n"/>
    </row>
    <row r="58">
      <c r="A58" s="3944" t="n"/>
      <c r="B58" s="3944" t="n"/>
      <c r="C58" s="3944" t="n"/>
      <c r="D58" s="3944" t="n"/>
      <c r="E58" s="3944" t="n"/>
      <c r="F58" s="3944" t="n"/>
      <c r="G58" s="3942" t="n"/>
      <c r="H58" s="3942" t="n"/>
      <c r="I58" s="3942" t="n"/>
      <c r="J58" s="3942" t="n"/>
      <c r="K58" s="3942" t="n"/>
      <c r="L58" s="3942" t="n"/>
      <c r="M58" s="3942" t="n"/>
      <c r="N58" s="3942" t="n"/>
      <c r="O58" s="3942" t="n"/>
      <c r="P58" s="3942" t="n"/>
      <c r="Q58" s="3942" t="n"/>
      <c r="R58" s="3942" t="n"/>
      <c r="S58" s="3942" t="n"/>
      <c r="T58" s="3942" t="n"/>
      <c r="U58" s="3942" t="n"/>
      <c r="V58" s="3942" t="n"/>
      <c r="W58" s="3942" t="n"/>
      <c r="X58" s="3942" t="n"/>
      <c r="Y58" s="3942" t="n"/>
      <c r="Z58" s="3942" t="n"/>
      <c r="AA58" s="3942" t="n"/>
      <c r="AB58" s="3942" t="n"/>
      <c r="AC58" s="3942" t="n"/>
      <c r="AD58" s="3942" t="n"/>
      <c r="AE58" s="3942" t="n"/>
      <c r="AF58" s="3942" t="n"/>
      <c r="AG58" s="3942" t="n"/>
      <c r="AH58" s="3942" t="n"/>
      <c r="AI58" s="3942" t="n"/>
      <c r="AJ58" s="3942" t="n"/>
      <c r="AK58" s="3942" t="n"/>
      <c r="AL58" s="3942" t="n"/>
      <c r="AM58" s="3942" t="n"/>
      <c r="AN58" s="3942" t="n"/>
      <c r="AO58" s="3942" t="n"/>
      <c r="AP58" s="3942" t="n"/>
      <c r="AQ58" s="3942" t="n"/>
      <c r="AR58" s="3942" t="n"/>
      <c r="AS58" s="3942" t="n"/>
    </row>
    <row r="59">
      <c r="A59" s="3944" t="n"/>
      <c r="B59" s="3944" t="n"/>
      <c r="C59" s="3944" t="n"/>
      <c r="D59" s="3944" t="n"/>
      <c r="E59" s="3944" t="n"/>
      <c r="F59" s="3944" t="n"/>
      <c r="G59" s="3942" t="n"/>
      <c r="H59" s="3942" t="n"/>
      <c r="I59" s="3942" t="n"/>
      <c r="J59" s="3942" t="n"/>
      <c r="K59" s="3942" t="n"/>
      <c r="L59" s="3942" t="n"/>
      <c r="M59" s="3942" t="n"/>
      <c r="N59" s="3942" t="n"/>
      <c r="O59" s="3942" t="n"/>
      <c r="P59" s="3942" t="n"/>
      <c r="Q59" s="3942" t="n"/>
      <c r="R59" s="3942" t="n"/>
      <c r="S59" s="3942" t="n"/>
      <c r="T59" s="3942" t="n"/>
      <c r="U59" s="3942" t="n"/>
      <c r="V59" s="3942" t="n"/>
      <c r="W59" s="3942" t="n"/>
      <c r="X59" s="3942" t="n"/>
      <c r="Y59" s="3942" t="n"/>
      <c r="Z59" s="3942" t="n"/>
      <c r="AA59" s="3942" t="n"/>
      <c r="AB59" s="3942" t="n"/>
      <c r="AC59" s="3942" t="n"/>
      <c r="AD59" s="3942" t="n"/>
      <c r="AE59" s="3942" t="n"/>
      <c r="AF59" s="3942" t="n"/>
      <c r="AG59" s="3942" t="n"/>
      <c r="AH59" s="3942" t="n"/>
      <c r="AI59" s="3942" t="n"/>
      <c r="AJ59" s="3942" t="n"/>
      <c r="AK59" s="3942" t="n"/>
      <c r="AL59" s="3942" t="n"/>
      <c r="AM59" s="3942" t="n"/>
      <c r="AN59" s="3942" t="n"/>
      <c r="AO59" s="3942" t="n"/>
      <c r="AP59" s="3942" t="n"/>
      <c r="AQ59" s="3942" t="n"/>
      <c r="AR59" s="3942" t="n"/>
      <c r="AS59" s="3942" t="n"/>
    </row>
    <row r="60">
      <c r="A60" s="3944" t="n"/>
      <c r="B60" s="3944" t="n"/>
      <c r="C60" s="3944" t="n"/>
      <c r="D60" s="3944" t="n"/>
      <c r="E60" s="3944" t="n"/>
      <c r="F60" s="3944" t="n"/>
      <c r="G60" s="3942" t="n"/>
      <c r="H60" s="3942" t="n"/>
      <c r="I60" s="3942" t="n"/>
      <c r="J60" s="3942" t="n"/>
      <c r="K60" s="3942" t="n"/>
      <c r="L60" s="3942" t="n"/>
      <c r="M60" s="3942" t="n"/>
      <c r="N60" s="3942" t="n"/>
      <c r="O60" s="3942" t="n"/>
      <c r="P60" s="3942" t="n"/>
      <c r="Q60" s="3942" t="n"/>
      <c r="R60" s="3942" t="n"/>
      <c r="S60" s="3942" t="n"/>
      <c r="T60" s="3942" t="n"/>
      <c r="U60" s="3942" t="n"/>
      <c r="V60" s="3942" t="n"/>
      <c r="W60" s="3942" t="n"/>
      <c r="X60" s="3942" t="n"/>
      <c r="Y60" s="3942" t="n"/>
      <c r="Z60" s="3942" t="n"/>
      <c r="AA60" s="3942" t="n"/>
      <c r="AB60" s="3942" t="n"/>
      <c r="AC60" s="3942" t="n"/>
      <c r="AD60" s="3942" t="n"/>
      <c r="AE60" s="3942" t="n"/>
      <c r="AF60" s="3942" t="n"/>
      <c r="AG60" s="3942" t="n"/>
      <c r="AH60" s="3942" t="n"/>
      <c r="AI60" s="3942" t="n"/>
      <c r="AJ60" s="3942" t="n"/>
      <c r="AK60" s="3942" t="n"/>
      <c r="AL60" s="3942" t="n"/>
      <c r="AM60" s="3942" t="n"/>
      <c r="AN60" s="3942" t="n"/>
      <c r="AO60" s="3942" t="n"/>
      <c r="AP60" s="3942" t="n"/>
      <c r="AQ60" s="3942" t="n"/>
      <c r="AR60" s="3942" t="n"/>
      <c r="AS60" s="3942" t="n"/>
    </row>
    <row r="61">
      <c r="A61" s="3944" t="n"/>
      <c r="B61" s="3944" t="n"/>
      <c r="C61" s="3944" t="n"/>
      <c r="D61" s="3944" t="n"/>
      <c r="E61" s="3944" t="n"/>
      <c r="F61" s="3944" t="n"/>
      <c r="G61" s="3942" t="n"/>
      <c r="H61" s="3942" t="n"/>
      <c r="I61" s="3942" t="n"/>
      <c r="J61" s="3942" t="n"/>
      <c r="K61" s="3942" t="n"/>
      <c r="L61" s="3942" t="n"/>
      <c r="M61" s="3942" t="n"/>
      <c r="N61" s="3942" t="n"/>
      <c r="O61" s="3942" t="n"/>
      <c r="P61" s="3942" t="n"/>
      <c r="Q61" s="3942" t="n"/>
      <c r="R61" s="3942" t="n"/>
      <c r="S61" s="3942" t="n"/>
      <c r="T61" s="3942" t="n"/>
      <c r="U61" s="3942" t="n"/>
      <c r="V61" s="3942" t="n"/>
      <c r="W61" s="3942" t="n"/>
      <c r="X61" s="3942" t="n"/>
      <c r="Y61" s="3942" t="n"/>
      <c r="Z61" s="3942" t="n"/>
      <c r="AA61" s="3942" t="n"/>
      <c r="AB61" s="3942" t="n"/>
      <c r="AC61" s="3942" t="n"/>
      <c r="AD61" s="3942" t="n"/>
      <c r="AE61" s="3942" t="n"/>
      <c r="AF61" s="3942" t="n"/>
      <c r="AG61" s="3942" t="n"/>
      <c r="AH61" s="3942" t="n"/>
      <c r="AI61" s="3942" t="n"/>
      <c r="AJ61" s="3942" t="n"/>
      <c r="AK61" s="3942" t="n"/>
      <c r="AL61" s="3942" t="n"/>
      <c r="AM61" s="3942" t="n"/>
      <c r="AN61" s="3942" t="n"/>
      <c r="AO61" s="3942" t="n"/>
      <c r="AP61" s="3942" t="n"/>
      <c r="AQ61" s="3942" t="n"/>
      <c r="AR61" s="3942" t="n"/>
      <c r="AS61" s="3942" t="n"/>
    </row>
    <row r="62">
      <c r="A62" s="3944" t="n"/>
      <c r="B62" s="3944" t="n"/>
      <c r="C62" s="3944" t="n"/>
      <c r="D62" s="3944" t="n"/>
      <c r="E62" s="3944" t="n"/>
      <c r="F62" s="3944" t="n"/>
      <c r="G62" s="3942" t="n"/>
      <c r="H62" s="3942" t="n"/>
      <c r="I62" s="3942" t="n"/>
      <c r="J62" s="3942" t="n"/>
      <c r="K62" s="3942" t="n"/>
      <c r="L62" s="3942" t="n"/>
      <c r="M62" s="3942" t="n"/>
      <c r="N62" s="3942" t="n"/>
      <c r="O62" s="3942" t="n"/>
      <c r="P62" s="3942" t="n"/>
      <c r="Q62" s="3942" t="n"/>
      <c r="R62" s="3942" t="n"/>
      <c r="S62" s="3942" t="n"/>
      <c r="T62" s="3942" t="n"/>
      <c r="U62" s="3942" t="n"/>
      <c r="V62" s="3942" t="n"/>
      <c r="W62" s="3942" t="n"/>
      <c r="X62" s="3942" t="n"/>
      <c r="Y62" s="3942" t="n"/>
      <c r="Z62" s="3942" t="n"/>
      <c r="AA62" s="3942" t="n"/>
      <c r="AB62" s="3942" t="n"/>
      <c r="AC62" s="3942" t="n"/>
      <c r="AD62" s="3942" t="n"/>
      <c r="AE62" s="3942" t="n"/>
      <c r="AF62" s="3942" t="n"/>
      <c r="AG62" s="3942" t="n"/>
      <c r="AH62" s="3942" t="n"/>
      <c r="AI62" s="3942" t="n"/>
      <c r="AJ62" s="3942" t="n"/>
      <c r="AK62" s="3942" t="n"/>
      <c r="AL62" s="3942" t="n"/>
      <c r="AM62" s="3942" t="n"/>
      <c r="AN62" s="3942" t="n"/>
      <c r="AO62" s="3942" t="n"/>
      <c r="AP62" s="3942" t="n"/>
      <c r="AQ62" s="3942" t="n"/>
      <c r="AR62" s="3942" t="n"/>
      <c r="AS62" s="3942" t="n"/>
    </row>
    <row r="63">
      <c r="A63" s="3944" t="n"/>
      <c r="B63" s="3944" t="n"/>
      <c r="C63" s="3944" t="n"/>
      <c r="D63" s="3944" t="n"/>
      <c r="E63" s="3944" t="n"/>
      <c r="F63" s="3944" t="n"/>
      <c r="G63" s="3942" t="n"/>
      <c r="H63" s="3942" t="n"/>
      <c r="I63" s="3942" t="n"/>
      <c r="J63" s="3942" t="n"/>
      <c r="K63" s="3942" t="n"/>
      <c r="L63" s="3942" t="n"/>
      <c r="M63" s="3942" t="n"/>
      <c r="N63" s="3942" t="n"/>
      <c r="O63" s="3942" t="n"/>
      <c r="P63" s="3942" t="n"/>
      <c r="Q63" s="3942" t="n"/>
      <c r="R63" s="3942" t="n"/>
      <c r="S63" s="3942" t="n"/>
      <c r="T63" s="3942" t="n"/>
      <c r="U63" s="3942" t="n"/>
      <c r="V63" s="3942" t="n"/>
      <c r="W63" s="3942" t="n"/>
      <c r="X63" s="3942" t="n"/>
      <c r="Y63" s="3942" t="n"/>
      <c r="Z63" s="3942" t="n"/>
      <c r="AA63" s="3942" t="n"/>
      <c r="AB63" s="3942" t="n"/>
      <c r="AC63" s="3942" t="n"/>
      <c r="AD63" s="3942" t="n"/>
      <c r="AE63" s="3942" t="n"/>
      <c r="AF63" s="3942" t="n"/>
      <c r="AG63" s="3942" t="n"/>
      <c r="AH63" s="3942" t="n"/>
      <c r="AI63" s="3942" t="n"/>
      <c r="AJ63" s="3942" t="n"/>
      <c r="AK63" s="3942" t="n"/>
      <c r="AL63" s="3942" t="n"/>
      <c r="AM63" s="3942" t="n"/>
      <c r="AN63" s="3942" t="n"/>
      <c r="AO63" s="3942" t="n"/>
      <c r="AP63" s="3942" t="n"/>
      <c r="AQ63" s="3942" t="n"/>
      <c r="AR63" s="3942" t="n"/>
      <c r="AS63" s="3942" t="n"/>
    </row>
    <row r="64">
      <c r="A64" s="3944" t="n"/>
      <c r="B64" s="3944" t="n"/>
      <c r="C64" s="3944" t="n"/>
      <c r="D64" s="3944" t="n"/>
      <c r="E64" s="3944" t="n"/>
      <c r="F64" s="3944" t="n"/>
      <c r="G64" s="3942" t="n"/>
      <c r="H64" s="3942" t="n"/>
      <c r="I64" s="3942" t="n"/>
      <c r="J64" s="3942" t="n"/>
      <c r="K64" s="3942" t="n"/>
      <c r="L64" s="3942" t="n"/>
      <c r="M64" s="3942" t="n"/>
      <c r="N64" s="3942" t="n"/>
      <c r="O64" s="3942" t="n"/>
      <c r="P64" s="3942" t="n"/>
      <c r="Q64" s="3942" t="n"/>
      <c r="R64" s="3942" t="n"/>
      <c r="S64" s="3942" t="n"/>
      <c r="T64" s="3942" t="n"/>
      <c r="U64" s="3942" t="n"/>
      <c r="V64" s="3942" t="n"/>
      <c r="W64" s="3942" t="n"/>
      <c r="X64" s="3942" t="n"/>
      <c r="Y64" s="3942" t="n"/>
      <c r="Z64" s="3942" t="n"/>
      <c r="AA64" s="3942" t="n"/>
      <c r="AB64" s="3942" t="n"/>
      <c r="AC64" s="3942" t="n"/>
      <c r="AD64" s="3942" t="n"/>
      <c r="AE64" s="3942" t="n"/>
      <c r="AF64" s="3942" t="n"/>
      <c r="AG64" s="3942" t="n"/>
      <c r="AH64" s="3942" t="n"/>
      <c r="AI64" s="3942" t="n"/>
      <c r="AJ64" s="3942" t="n"/>
      <c r="AK64" s="3942" t="n"/>
      <c r="AL64" s="3942" t="n"/>
      <c r="AM64" s="3942" t="n"/>
      <c r="AN64" s="3942" t="n"/>
      <c r="AO64" s="3942" t="n"/>
      <c r="AP64" s="3942" t="n"/>
      <c r="AQ64" s="3942" t="n"/>
      <c r="AR64" s="3942" t="n"/>
      <c r="AS64" s="3942" t="n"/>
    </row>
    <row r="65">
      <c r="A65" s="3944" t="n"/>
      <c r="B65" s="3944" t="n"/>
      <c r="C65" s="3944" t="n"/>
      <c r="D65" s="3944" t="n"/>
      <c r="E65" s="3944" t="n"/>
      <c r="F65" s="3944" t="n"/>
      <c r="G65" s="3942" t="n"/>
      <c r="H65" s="3942" t="n"/>
      <c r="I65" s="3942" t="n"/>
      <c r="J65" s="3942" t="n"/>
      <c r="K65" s="3942" t="n"/>
      <c r="L65" s="3942" t="n"/>
      <c r="M65" s="3942" t="n"/>
      <c r="N65" s="3942" t="n"/>
      <c r="O65" s="3942" t="n"/>
      <c r="P65" s="3942" t="n"/>
      <c r="Q65" s="3942" t="n"/>
      <c r="R65" s="3942" t="n"/>
      <c r="S65" s="3942" t="n"/>
      <c r="T65" s="3942" t="n"/>
      <c r="U65" s="3942" t="n"/>
      <c r="V65" s="3942" t="n"/>
      <c r="W65" s="3942" t="n"/>
      <c r="X65" s="3942" t="n"/>
      <c r="Y65" s="3942" t="n"/>
      <c r="Z65" s="3942" t="n"/>
      <c r="AA65" s="3942" t="n"/>
      <c r="AB65" s="3942" t="n"/>
      <c r="AC65" s="3942" t="n"/>
      <c r="AD65" s="3942" t="n"/>
      <c r="AE65" s="3942" t="n"/>
      <c r="AF65" s="3942" t="n"/>
      <c r="AG65" s="3942" t="n"/>
      <c r="AH65" s="3942" t="n"/>
      <c r="AI65" s="3942" t="n"/>
      <c r="AJ65" s="3942" t="n"/>
      <c r="AK65" s="3942" t="n"/>
      <c r="AL65" s="3942" t="n"/>
      <c r="AM65" s="3942" t="n"/>
      <c r="AN65" s="3942" t="n"/>
      <c r="AO65" s="3942" t="n"/>
      <c r="AP65" s="3942" t="n"/>
      <c r="AQ65" s="3942" t="n"/>
      <c r="AR65" s="3942" t="n"/>
      <c r="AS65" s="3942" t="n"/>
    </row>
    <row r="66">
      <c r="A66" s="3944" t="n"/>
      <c r="B66" s="3944" t="n"/>
      <c r="C66" s="3944" t="n"/>
      <c r="D66" s="3944" t="n"/>
      <c r="E66" s="3944" t="n"/>
      <c r="F66" s="3944" t="n"/>
      <c r="G66" s="3942" t="n"/>
      <c r="H66" s="3942" t="n"/>
      <c r="I66" s="3942" t="n"/>
      <c r="J66" s="3942" t="n"/>
      <c r="K66" s="3942" t="n"/>
      <c r="L66" s="3942" t="n"/>
      <c r="M66" s="3942" t="n"/>
      <c r="N66" s="3942" t="n"/>
      <c r="O66" s="3942" t="n"/>
      <c r="P66" s="3942" t="n"/>
      <c r="Q66" s="3942" t="n"/>
      <c r="R66" s="3942" t="n"/>
      <c r="S66" s="3942" t="n"/>
      <c r="T66" s="3942" t="n"/>
      <c r="U66" s="3942" t="n"/>
      <c r="V66" s="3942" t="n"/>
      <c r="W66" s="3942" t="n"/>
      <c r="X66" s="3942" t="n"/>
      <c r="Y66" s="3942" t="n"/>
      <c r="Z66" s="3942" t="n"/>
      <c r="AA66" s="3942" t="n"/>
      <c r="AB66" s="3942" t="n"/>
      <c r="AC66" s="3942" t="n"/>
      <c r="AD66" s="3942" t="n"/>
      <c r="AE66" s="3942" t="n"/>
      <c r="AF66" s="3942" t="n"/>
      <c r="AG66" s="3942" t="n"/>
      <c r="AH66" s="3942" t="n"/>
      <c r="AI66" s="3942" t="n"/>
      <c r="AJ66" s="3942" t="n"/>
      <c r="AK66" s="3942" t="n"/>
      <c r="AL66" s="3942" t="n"/>
      <c r="AM66" s="3942" t="n"/>
      <c r="AN66" s="3942" t="n"/>
      <c r="AO66" s="3942" t="n"/>
      <c r="AP66" s="3942" t="n"/>
      <c r="AQ66" s="3942" t="n"/>
      <c r="AR66" s="3942" t="n"/>
      <c r="AS66" s="3942" t="n"/>
    </row>
    <row r="67">
      <c r="A67" s="3944" t="n"/>
      <c r="B67" s="3944" t="n"/>
      <c r="C67" s="3944" t="n"/>
      <c r="D67" s="3944" t="n"/>
      <c r="E67" s="3944" t="n"/>
      <c r="F67" s="3944" t="n"/>
      <c r="G67" s="3942" t="n"/>
      <c r="H67" s="3942" t="n"/>
      <c r="I67" s="3942" t="n"/>
      <c r="J67" s="3942" t="n"/>
      <c r="K67" s="3942" t="n"/>
      <c r="L67" s="3942" t="n"/>
      <c r="M67" s="3942" t="n"/>
      <c r="N67" s="3942" t="n"/>
      <c r="O67" s="3942" t="n"/>
      <c r="P67" s="3942" t="n"/>
      <c r="Q67" s="3942" t="n"/>
      <c r="R67" s="3942" t="n"/>
      <c r="S67" s="3942" t="n"/>
      <c r="T67" s="3942" t="n"/>
      <c r="U67" s="3942" t="n"/>
      <c r="V67" s="3942" t="n"/>
      <c r="W67" s="3942" t="n"/>
      <c r="X67" s="3942" t="n"/>
      <c r="Y67" s="3942" t="n"/>
      <c r="Z67" s="3942" t="n"/>
      <c r="AA67" s="3942" t="n"/>
      <c r="AB67" s="3942" t="n"/>
      <c r="AC67" s="3942" t="n"/>
      <c r="AD67" s="3942" t="n"/>
      <c r="AE67" s="3942" t="n"/>
      <c r="AF67" s="3942" t="n"/>
      <c r="AG67" s="3942" t="n"/>
      <c r="AH67" s="3942" t="n"/>
      <c r="AI67" s="3942" t="n"/>
      <c r="AJ67" s="3942" t="n"/>
      <c r="AK67" s="3942" t="n"/>
      <c r="AL67" s="3942" t="n"/>
      <c r="AM67" s="3942" t="n"/>
      <c r="AN67" s="3942" t="n"/>
      <c r="AO67" s="3942" t="n"/>
      <c r="AP67" s="3942" t="n"/>
      <c r="AQ67" s="3942" t="n"/>
      <c r="AR67" s="3942" t="n"/>
      <c r="AS67" s="3942" t="n"/>
    </row>
    <row r="68">
      <c r="A68" s="3944" t="n"/>
      <c r="B68" s="3944" t="n"/>
      <c r="C68" s="3944" t="n"/>
      <c r="D68" s="3944" t="n"/>
      <c r="E68" s="3944" t="n"/>
      <c r="F68" s="3944" t="n"/>
      <c r="G68" s="3942" t="n"/>
      <c r="H68" s="3942" t="n"/>
      <c r="I68" s="3942" t="n"/>
      <c r="J68" s="3942" t="n"/>
      <c r="K68" s="3942" t="n"/>
      <c r="L68" s="3942" t="n"/>
      <c r="M68" s="3942" t="n"/>
      <c r="N68" s="3942" t="n"/>
      <c r="O68" s="3942" t="n"/>
      <c r="P68" s="3942" t="n"/>
      <c r="Q68" s="3942" t="n"/>
      <c r="R68" s="3942" t="n"/>
      <c r="S68" s="3942" t="n"/>
      <c r="T68" s="3942" t="n"/>
      <c r="U68" s="3942" t="n"/>
      <c r="V68" s="3942" t="n"/>
      <c r="W68" s="3942" t="n"/>
      <c r="X68" s="3942" t="n"/>
      <c r="Y68" s="3942" t="n"/>
      <c r="Z68" s="3942" t="n"/>
      <c r="AA68" s="3942" t="n"/>
      <c r="AB68" s="3942" t="n"/>
      <c r="AC68" s="3942" t="n"/>
      <c r="AD68" s="3942" t="n"/>
      <c r="AE68" s="3942" t="n"/>
      <c r="AF68" s="3942" t="n"/>
      <c r="AG68" s="3942" t="n"/>
      <c r="AH68" s="3942" t="n"/>
      <c r="AI68" s="3942" t="n"/>
      <c r="AJ68" s="3942" t="n"/>
      <c r="AK68" s="3942" t="n"/>
      <c r="AL68" s="3942" t="n"/>
      <c r="AM68" s="3942" t="n"/>
      <c r="AN68" s="3942" t="n"/>
      <c r="AO68" s="3942" t="n"/>
      <c r="AP68" s="3942" t="n"/>
      <c r="AQ68" s="3942" t="n"/>
      <c r="AR68" s="3942" t="n"/>
      <c r="AS68" s="3942" t="n"/>
    </row>
    <row r="69">
      <c r="A69" s="3944" t="n"/>
      <c r="B69" s="3944" t="n"/>
      <c r="C69" s="3944" t="n"/>
      <c r="D69" s="3944" t="n"/>
      <c r="E69" s="3944" t="n"/>
      <c r="F69" s="3944" t="n"/>
      <c r="G69" s="3942" t="n"/>
      <c r="H69" s="3942" t="n"/>
      <c r="I69" s="3942" t="n"/>
      <c r="J69" s="3942" t="n"/>
      <c r="K69" s="3942" t="n"/>
      <c r="L69" s="3942" t="n"/>
      <c r="M69" s="3942" t="n"/>
      <c r="N69" s="3942" t="n"/>
      <c r="O69" s="3942" t="n"/>
      <c r="P69" s="3942" t="n"/>
      <c r="Q69" s="3942" t="n"/>
      <c r="R69" s="3942" t="n"/>
      <c r="S69" s="3942" t="n"/>
      <c r="T69" s="3942" t="n"/>
      <c r="U69" s="3942" t="n"/>
      <c r="V69" s="3942" t="n"/>
      <c r="W69" s="3942" t="n"/>
      <c r="X69" s="3942" t="n"/>
      <c r="Y69" s="3942" t="n"/>
      <c r="Z69" s="3942" t="n"/>
      <c r="AA69" s="3942" t="n"/>
      <c r="AB69" s="3942" t="n"/>
      <c r="AC69" s="3942" t="n"/>
      <c r="AD69" s="3942" t="n"/>
      <c r="AE69" s="3942" t="n"/>
      <c r="AF69" s="3942" t="n"/>
      <c r="AG69" s="3942" t="n"/>
      <c r="AH69" s="3942" t="n"/>
      <c r="AI69" s="3942" t="n"/>
      <c r="AJ69" s="3942" t="n"/>
      <c r="AK69" s="3942" t="n"/>
      <c r="AL69" s="3942" t="n"/>
      <c r="AM69" s="3942" t="n"/>
      <c r="AN69" s="3942" t="n"/>
      <c r="AO69" s="3942" t="n"/>
      <c r="AP69" s="3942" t="n"/>
      <c r="AQ69" s="3942" t="n"/>
      <c r="AR69" s="3942" t="n"/>
      <c r="AS69" s="3942" t="n"/>
    </row>
    <row r="70">
      <c r="A70" s="3944" t="n"/>
      <c r="B70" s="3944" t="n"/>
      <c r="C70" s="3944" t="n"/>
      <c r="D70" s="3944" t="n"/>
      <c r="E70" s="3944" t="n"/>
      <c r="F70" s="3944" t="n"/>
      <c r="G70" s="3942" t="n"/>
      <c r="H70" s="3942" t="n"/>
      <c r="I70" s="3942" t="n"/>
      <c r="J70" s="3942" t="n"/>
      <c r="K70" s="3942" t="n"/>
      <c r="L70" s="3942" t="n"/>
      <c r="M70" s="3942" t="n"/>
      <c r="N70" s="3942" t="n"/>
      <c r="O70" s="3942" t="n"/>
      <c r="P70" s="3942" t="n"/>
      <c r="Q70" s="3942" t="n"/>
      <c r="R70" s="3942" t="n"/>
      <c r="S70" s="3942" t="n"/>
      <c r="T70" s="3942" t="n"/>
      <c r="U70" s="3942" t="n"/>
      <c r="V70" s="3942" t="n"/>
      <c r="W70" s="3942" t="n"/>
      <c r="X70" s="3942" t="n"/>
      <c r="Y70" s="3942" t="n"/>
      <c r="Z70" s="3942" t="n"/>
      <c r="AA70" s="3942" t="n"/>
      <c r="AB70" s="3942" t="n"/>
      <c r="AC70" s="3942" t="n"/>
      <c r="AD70" s="3942" t="n"/>
      <c r="AE70" s="3942" t="n"/>
      <c r="AF70" s="3942" t="n"/>
      <c r="AG70" s="3942" t="n"/>
      <c r="AH70" s="3942" t="n"/>
      <c r="AI70" s="3942" t="n"/>
      <c r="AJ70" s="3942" t="n"/>
      <c r="AK70" s="3942" t="n"/>
      <c r="AL70" s="3942" t="n"/>
      <c r="AM70" s="3942" t="n"/>
      <c r="AN70" s="3942" t="n"/>
      <c r="AO70" s="3942" t="n"/>
      <c r="AP70" s="3942" t="n"/>
      <c r="AQ70" s="3942" t="n"/>
      <c r="AR70" s="3942" t="n"/>
      <c r="AS70" s="3942" t="n"/>
    </row>
    <row r="71">
      <c r="A71" s="3944" t="n"/>
      <c r="B71" s="3944" t="n"/>
      <c r="C71" s="3944" t="n"/>
      <c r="D71" s="3944" t="n"/>
      <c r="E71" s="3944" t="n"/>
      <c r="F71" s="3944" t="n"/>
      <c r="G71" s="3942" t="n"/>
      <c r="H71" s="3942" t="n"/>
      <c r="I71" s="3942" t="n"/>
      <c r="J71" s="3942" t="n"/>
      <c r="K71" s="3942" t="n"/>
      <c r="L71" s="3942" t="n"/>
      <c r="M71" s="3942" t="n"/>
      <c r="N71" s="3942" t="n"/>
      <c r="O71" s="3942" t="n"/>
      <c r="P71" s="3942" t="n"/>
      <c r="Q71" s="3942" t="n"/>
      <c r="R71" s="3942" t="n"/>
      <c r="S71" s="3942" t="n"/>
      <c r="T71" s="3942" t="n"/>
      <c r="U71" s="3942" t="n"/>
      <c r="V71" s="3942" t="n"/>
      <c r="W71" s="3942" t="n"/>
      <c r="X71" s="3942" t="n"/>
      <c r="Y71" s="3942" t="n"/>
      <c r="Z71" s="3942" t="n"/>
      <c r="AA71" s="3942" t="n"/>
      <c r="AB71" s="3942" t="n"/>
      <c r="AC71" s="3942" t="n"/>
      <c r="AD71" s="3942" t="n"/>
      <c r="AE71" s="3942" t="n"/>
      <c r="AF71" s="3942" t="n"/>
      <c r="AG71" s="3942" t="n"/>
      <c r="AH71" s="3942" t="n"/>
      <c r="AI71" s="3942" t="n"/>
      <c r="AJ71" s="3942" t="n"/>
      <c r="AK71" s="3942" t="n"/>
      <c r="AL71" s="3942" t="n"/>
      <c r="AM71" s="3942" t="n"/>
      <c r="AN71" s="3942" t="n"/>
      <c r="AO71" s="3942" t="n"/>
      <c r="AP71" s="3942" t="n"/>
      <c r="AQ71" s="3942" t="n"/>
      <c r="AR71" s="3942" t="n"/>
      <c r="AS71" s="3942" t="n"/>
    </row>
    <row r="72">
      <c r="A72" s="3944" t="n"/>
      <c r="B72" s="3944" t="n"/>
      <c r="C72" s="3944" t="n"/>
      <c r="D72" s="3944" t="n"/>
      <c r="E72" s="3944" t="n"/>
      <c r="F72" s="3944" t="n"/>
      <c r="G72" s="3942" t="n"/>
      <c r="H72" s="3942" t="n"/>
      <c r="I72" s="3942" t="n"/>
      <c r="J72" s="3942" t="n"/>
      <c r="K72" s="3942" t="n"/>
      <c r="L72" s="3942" t="n"/>
      <c r="M72" s="3942" t="n"/>
      <c r="N72" s="3942" t="n"/>
      <c r="O72" s="3942" t="n"/>
      <c r="P72" s="3942" t="n"/>
      <c r="Q72" s="3942" t="n"/>
      <c r="R72" s="3942" t="n"/>
      <c r="S72" s="3942" t="n"/>
      <c r="T72" s="3942" t="n"/>
      <c r="U72" s="3942" t="n"/>
      <c r="V72" s="3942" t="n"/>
      <c r="W72" s="3942" t="n"/>
      <c r="X72" s="3942" t="n"/>
      <c r="Y72" s="3942" t="n"/>
      <c r="Z72" s="3942" t="n"/>
      <c r="AA72" s="3942" t="n"/>
      <c r="AB72" s="3942" t="n"/>
      <c r="AC72" s="3942" t="n"/>
      <c r="AD72" s="3942" t="n"/>
      <c r="AE72" s="3942" t="n"/>
      <c r="AF72" s="3942" t="n"/>
      <c r="AG72" s="3942" t="n"/>
      <c r="AH72" s="3942" t="n"/>
      <c r="AI72" s="3942" t="n"/>
      <c r="AJ72" s="3942" t="n"/>
      <c r="AK72" s="3942" t="n"/>
      <c r="AL72" s="3942" t="n"/>
      <c r="AM72" s="3942" t="n"/>
      <c r="AN72" s="3942" t="n"/>
      <c r="AO72" s="3942" t="n"/>
      <c r="AP72" s="3942" t="n"/>
      <c r="AQ72" s="3942" t="n"/>
      <c r="AR72" s="3942" t="n"/>
      <c r="AS72" s="3942" t="n"/>
    </row>
    <row r="73">
      <c r="A73" s="3944" t="n"/>
      <c r="B73" s="3944" t="n"/>
      <c r="C73" s="3944" t="n"/>
      <c r="D73" s="3944" t="n"/>
      <c r="E73" s="3944" t="n"/>
      <c r="F73" s="3944" t="n"/>
      <c r="G73" s="3942" t="n"/>
      <c r="H73" s="3942" t="n"/>
      <c r="I73" s="3942" t="n"/>
      <c r="J73" s="3942" t="n"/>
      <c r="K73" s="3942" t="n"/>
      <c r="L73" s="3942" t="n"/>
      <c r="M73" s="3942" t="n"/>
      <c r="N73" s="3942" t="n"/>
      <c r="O73" s="3942" t="n"/>
      <c r="P73" s="3942" t="n"/>
      <c r="Q73" s="3942" t="n"/>
      <c r="R73" s="3942" t="n"/>
      <c r="S73" s="3942" t="n"/>
      <c r="T73" s="3942" t="n"/>
      <c r="U73" s="3942" t="n"/>
      <c r="V73" s="3942" t="n"/>
      <c r="W73" s="3942" t="n"/>
      <c r="X73" s="3942" t="n"/>
      <c r="Y73" s="3942" t="n"/>
      <c r="Z73" s="3942" t="n"/>
      <c r="AA73" s="3942" t="n"/>
      <c r="AB73" s="3942" t="n"/>
      <c r="AC73" s="3942" t="n"/>
      <c r="AD73" s="3942" t="n"/>
      <c r="AE73" s="3942" t="n"/>
      <c r="AF73" s="3942" t="n"/>
      <c r="AG73" s="3942" t="n"/>
      <c r="AH73" s="3942" t="n"/>
      <c r="AI73" s="3942" t="n"/>
      <c r="AJ73" s="3942" t="n"/>
      <c r="AK73" s="3942" t="n"/>
      <c r="AL73" s="3942" t="n"/>
      <c r="AM73" s="3942" t="n"/>
      <c r="AN73" s="3942" t="n"/>
      <c r="AO73" s="3942" t="n"/>
      <c r="AP73" s="3942" t="n"/>
      <c r="AQ73" s="3942" t="n"/>
      <c r="AR73" s="3942" t="n"/>
      <c r="AS73" s="3942" t="n"/>
    </row>
    <row r="74">
      <c r="A74" s="3944" t="n"/>
      <c r="B74" s="3944" t="n"/>
      <c r="C74" s="3944" t="n"/>
      <c r="D74" s="3944" t="n"/>
      <c r="E74" s="3944" t="n"/>
      <c r="F74" s="3944" t="n"/>
      <c r="G74" s="3942" t="n"/>
      <c r="H74" s="3942" t="n"/>
      <c r="I74" s="3942" t="n"/>
      <c r="J74" s="3942" t="n"/>
      <c r="K74" s="3942" t="n"/>
      <c r="L74" s="3942" t="n"/>
      <c r="M74" s="3942" t="n"/>
      <c r="N74" s="3942" t="n"/>
      <c r="O74" s="3942" t="n"/>
      <c r="P74" s="3942" t="n"/>
      <c r="Q74" s="3942" t="n"/>
      <c r="R74" s="3942" t="n"/>
      <c r="S74" s="3942" t="n"/>
      <c r="T74" s="3942" t="n"/>
      <c r="U74" s="3942" t="n"/>
      <c r="V74" s="3942" t="n"/>
      <c r="W74" s="3942" t="n"/>
      <c r="X74" s="3942" t="n"/>
      <c r="Y74" s="3942" t="n"/>
      <c r="Z74" s="3942" t="n"/>
      <c r="AA74" s="3942" t="n"/>
      <c r="AB74" s="3942" t="n"/>
      <c r="AC74" s="3942" t="n"/>
      <c r="AD74" s="3942" t="n"/>
      <c r="AE74" s="3942" t="n"/>
      <c r="AF74" s="3942" t="n"/>
      <c r="AG74" s="3942" t="n"/>
      <c r="AH74" s="3942" t="n"/>
      <c r="AI74" s="3942" t="n"/>
      <c r="AJ74" s="3942" t="n"/>
      <c r="AK74" s="3942" t="n"/>
      <c r="AL74" s="3942" t="n"/>
      <c r="AM74" s="3942" t="n"/>
      <c r="AN74" s="3942" t="n"/>
      <c r="AO74" s="3942" t="n"/>
      <c r="AP74" s="3942" t="n"/>
      <c r="AQ74" s="3942" t="n"/>
      <c r="AR74" s="3942" t="n"/>
      <c r="AS74" s="3942" t="n"/>
    </row>
    <row r="75">
      <c r="A75" s="3944" t="n"/>
      <c r="B75" s="3944" t="n"/>
      <c r="C75" s="3944" t="n"/>
      <c r="D75" s="3944" t="n"/>
      <c r="E75" s="3944" t="n"/>
      <c r="F75" s="3944" t="n"/>
      <c r="G75" s="3942" t="n"/>
      <c r="H75" s="3942" t="n"/>
      <c r="I75" s="3942" t="n"/>
      <c r="J75" s="3942" t="n"/>
      <c r="K75" s="3942" t="n"/>
      <c r="L75" s="3942" t="n"/>
      <c r="M75" s="3942" t="n"/>
      <c r="N75" s="3942" t="n"/>
      <c r="O75" s="3942" t="n"/>
      <c r="P75" s="3942" t="n"/>
      <c r="Q75" s="3942" t="n"/>
      <c r="R75" s="3942" t="n"/>
      <c r="S75" s="3942" t="n"/>
      <c r="T75" s="3942" t="n"/>
      <c r="U75" s="3942" t="n"/>
      <c r="V75" s="3942" t="n"/>
      <c r="W75" s="3942" t="n"/>
      <c r="X75" s="3942" t="n"/>
      <c r="Y75" s="3942" t="n"/>
      <c r="Z75" s="3942" t="n"/>
      <c r="AA75" s="3942" t="n"/>
      <c r="AB75" s="3942" t="n"/>
      <c r="AC75" s="3942" t="n"/>
      <c r="AD75" s="3942" t="n"/>
      <c r="AE75" s="3942" t="n"/>
      <c r="AF75" s="3942" t="n"/>
      <c r="AG75" s="3942" t="n"/>
      <c r="AH75" s="3942" t="n"/>
      <c r="AI75" s="3942" t="n"/>
      <c r="AJ75" s="3942" t="n"/>
      <c r="AK75" s="3942" t="n"/>
      <c r="AL75" s="3942" t="n"/>
      <c r="AM75" s="3942" t="n"/>
      <c r="AN75" s="3942" t="n"/>
      <c r="AO75" s="3942" t="n"/>
      <c r="AP75" s="3942" t="n"/>
      <c r="AQ75" s="3942" t="n"/>
      <c r="AR75" s="3942" t="n"/>
      <c r="AS75" s="3942" t="n"/>
    </row>
    <row r="76">
      <c r="A76" s="3944" t="n"/>
      <c r="B76" s="3944" t="n"/>
      <c r="C76" s="3944" t="n"/>
      <c r="D76" s="3944" t="n"/>
      <c r="E76" s="3944" t="n"/>
      <c r="F76" s="3944" t="n"/>
      <c r="G76" s="3942" t="n"/>
      <c r="H76" s="3942" t="n"/>
      <c r="I76" s="3942" t="n"/>
      <c r="J76" s="3942" t="n"/>
      <c r="K76" s="3942" t="n"/>
      <c r="L76" s="3942" t="n"/>
      <c r="M76" s="3942" t="n"/>
      <c r="N76" s="3942" t="n"/>
      <c r="O76" s="3942" t="n"/>
      <c r="P76" s="3942" t="n"/>
      <c r="Q76" s="3942" t="n"/>
      <c r="R76" s="3942" t="n"/>
      <c r="S76" s="3942" t="n"/>
      <c r="T76" s="3942" t="n"/>
      <c r="U76" s="3942" t="n"/>
      <c r="V76" s="3942" t="n"/>
      <c r="W76" s="3942" t="n"/>
      <c r="X76" s="3942" t="n"/>
      <c r="Y76" s="3942" t="n"/>
      <c r="Z76" s="3942" t="n"/>
      <c r="AA76" s="3942" t="n"/>
      <c r="AB76" s="3942" t="n"/>
      <c r="AC76" s="3942" t="n"/>
      <c r="AD76" s="3942" t="n"/>
      <c r="AE76" s="3942" t="n"/>
      <c r="AF76" s="3942" t="n"/>
      <c r="AG76" s="3942" t="n"/>
      <c r="AH76" s="3942" t="n"/>
      <c r="AI76" s="3942" t="n"/>
      <c r="AJ76" s="3942" t="n"/>
      <c r="AK76" s="3942" t="n"/>
      <c r="AL76" s="3942" t="n"/>
      <c r="AM76" s="3942" t="n"/>
      <c r="AN76" s="3942" t="n"/>
      <c r="AO76" s="3942" t="n"/>
      <c r="AP76" s="3942" t="n"/>
      <c r="AQ76" s="3942" t="n"/>
      <c r="AR76" s="3942" t="n"/>
      <c r="AS76" s="3942" t="n"/>
    </row>
    <row r="77">
      <c r="A77" s="3944" t="n"/>
      <c r="B77" s="3944" t="n"/>
      <c r="C77" s="3944" t="n"/>
      <c r="D77" s="3944" t="n"/>
      <c r="E77" s="3944" t="n"/>
      <c r="F77" s="3944" t="n"/>
      <c r="G77" s="3942" t="n"/>
      <c r="H77" s="3942" t="n"/>
      <c r="I77" s="3942" t="n"/>
      <c r="J77" s="3942" t="n"/>
      <c r="K77" s="3942" t="n"/>
      <c r="L77" s="3942" t="n"/>
      <c r="M77" s="3942" t="n"/>
      <c r="N77" s="3942" t="n"/>
      <c r="O77" s="3942" t="n"/>
      <c r="P77" s="3942" t="n"/>
      <c r="Q77" s="3942" t="n"/>
      <c r="R77" s="3942" t="n"/>
      <c r="S77" s="3942" t="n"/>
      <c r="T77" s="3942" t="n"/>
      <c r="U77" s="3942" t="n"/>
      <c r="V77" s="3942" t="n"/>
      <c r="W77" s="3942" t="n"/>
      <c r="X77" s="3942" t="n"/>
      <c r="Y77" s="3942" t="n"/>
      <c r="Z77" s="3942" t="n"/>
      <c r="AA77" s="3942" t="n"/>
      <c r="AB77" s="3942" t="n"/>
      <c r="AC77" s="3942" t="n"/>
      <c r="AD77" s="3942" t="n"/>
      <c r="AE77" s="3942" t="n"/>
      <c r="AF77" s="3942" t="n"/>
      <c r="AG77" s="3942" t="n"/>
      <c r="AH77" s="3942" t="n"/>
      <c r="AI77" s="3942" t="n"/>
      <c r="AJ77" s="3942" t="n"/>
      <c r="AK77" s="3942" t="n"/>
      <c r="AL77" s="3942" t="n"/>
      <c r="AM77" s="3942" t="n"/>
      <c r="AN77" s="3942" t="n"/>
      <c r="AO77" s="3942" t="n"/>
      <c r="AP77" s="3942" t="n"/>
      <c r="AQ77" s="3942" t="n"/>
      <c r="AR77" s="3942" t="n"/>
      <c r="AS77" s="3942" t="n"/>
    </row>
    <row r="78">
      <c r="A78" s="3944" t="n"/>
      <c r="B78" s="3944" t="n"/>
      <c r="C78" s="3944" t="n"/>
      <c r="D78" s="3944" t="n"/>
      <c r="E78" s="3944" t="n"/>
      <c r="F78" s="3944" t="n"/>
      <c r="G78" s="3942" t="n"/>
      <c r="H78" s="3942" t="n"/>
      <c r="I78" s="3942" t="n"/>
      <c r="J78" s="3942" t="n"/>
      <c r="K78" s="3942" t="n"/>
      <c r="L78" s="3942" t="n"/>
      <c r="M78" s="3942" t="n"/>
      <c r="N78" s="3942" t="n"/>
      <c r="O78" s="3942" t="n"/>
      <c r="P78" s="3942" t="n"/>
      <c r="Q78" s="3942" t="n"/>
      <c r="R78" s="3942" t="n"/>
      <c r="S78" s="3942" t="n"/>
      <c r="T78" s="3942" t="n"/>
      <c r="U78" s="3942" t="n"/>
      <c r="V78" s="3942" t="n"/>
      <c r="W78" s="3942" t="n"/>
      <c r="X78" s="3942" t="n"/>
      <c r="Y78" s="3942" t="n"/>
      <c r="Z78" s="3942" t="n"/>
      <c r="AA78" s="3942" t="n"/>
      <c r="AB78" s="3942" t="n"/>
      <c r="AC78" s="3942" t="n"/>
      <c r="AD78" s="3942" t="n"/>
      <c r="AE78" s="3942" t="n"/>
      <c r="AF78" s="3942" t="n"/>
      <c r="AG78" s="3942" t="n"/>
      <c r="AH78" s="3942" t="n"/>
      <c r="AI78" s="3942" t="n"/>
      <c r="AJ78" s="3942" t="n"/>
      <c r="AK78" s="3942" t="n"/>
      <c r="AL78" s="3942" t="n"/>
      <c r="AM78" s="3942" t="n"/>
      <c r="AN78" s="3942" t="n"/>
      <c r="AO78" s="3942" t="n"/>
      <c r="AP78" s="3942" t="n"/>
      <c r="AQ78" s="3942" t="n"/>
      <c r="AR78" s="3942" t="n"/>
      <c r="AS78" s="3942" t="n"/>
    </row>
    <row r="79">
      <c r="A79" s="3944" t="n"/>
      <c r="B79" s="3944" t="n"/>
      <c r="C79" s="3944" t="n"/>
      <c r="D79" s="3944" t="n"/>
      <c r="E79" s="3944" t="n"/>
      <c r="F79" s="3944" t="n"/>
      <c r="G79" s="3942" t="n"/>
      <c r="H79" s="3942" t="n"/>
      <c r="I79" s="3942" t="n"/>
      <c r="J79" s="3942" t="n"/>
      <c r="K79" s="3942" t="n"/>
      <c r="L79" s="3942" t="n"/>
      <c r="M79" s="3942" t="n"/>
      <c r="N79" s="3942" t="n"/>
      <c r="O79" s="3942" t="n"/>
      <c r="P79" s="3942" t="n"/>
      <c r="Q79" s="3942" t="n"/>
      <c r="R79" s="3942" t="n"/>
      <c r="S79" s="3942" t="n"/>
      <c r="T79" s="3942" t="n"/>
      <c r="U79" s="3942" t="n"/>
      <c r="V79" s="3942" t="n"/>
      <c r="W79" s="3942" t="n"/>
      <c r="X79" s="3942" t="n"/>
      <c r="Y79" s="3942" t="n"/>
      <c r="Z79" s="3942" t="n"/>
      <c r="AA79" s="3942" t="n"/>
      <c r="AB79" s="3942" t="n"/>
      <c r="AC79" s="3942" t="n"/>
      <c r="AD79" s="3942" t="n"/>
      <c r="AE79" s="3942" t="n"/>
      <c r="AF79" s="3942" t="n"/>
      <c r="AG79" s="3942" t="n"/>
      <c r="AH79" s="3942" t="n"/>
      <c r="AI79" s="3942" t="n"/>
      <c r="AJ79" s="3942" t="n"/>
      <c r="AK79" s="3942" t="n"/>
      <c r="AL79" s="3942" t="n"/>
      <c r="AM79" s="3942" t="n"/>
      <c r="AN79" s="3942" t="n"/>
      <c r="AO79" s="3942" t="n"/>
      <c r="AP79" s="3942" t="n"/>
      <c r="AQ79" s="3942" t="n"/>
      <c r="AR79" s="3942" t="n"/>
      <c r="AS79" s="3942" t="n"/>
    </row>
    <row r="80">
      <c r="A80" s="3944" t="n"/>
      <c r="B80" s="3944" t="n"/>
      <c r="C80" s="3944" t="n"/>
      <c r="D80" s="3944" t="n"/>
      <c r="E80" s="3944" t="n"/>
      <c r="F80" s="3944" t="n"/>
      <c r="G80" s="3942" t="n"/>
      <c r="H80" s="3942" t="n"/>
      <c r="I80" s="3942" t="n"/>
      <c r="J80" s="3942" t="n"/>
      <c r="K80" s="3942" t="n"/>
      <c r="L80" s="3942" t="n"/>
      <c r="M80" s="3942" t="n"/>
      <c r="N80" s="3942" t="n"/>
      <c r="O80" s="3942" t="n"/>
      <c r="P80" s="3942" t="n"/>
      <c r="Q80" s="3942" t="n"/>
      <c r="R80" s="3942" t="n"/>
      <c r="S80" s="3942" t="n"/>
      <c r="T80" s="3942" t="n"/>
      <c r="U80" s="3942" t="n"/>
      <c r="V80" s="3942" t="n"/>
      <c r="W80" s="3942" t="n"/>
      <c r="X80" s="3942" t="n"/>
      <c r="Y80" s="3942" t="n"/>
      <c r="Z80" s="3942" t="n"/>
      <c r="AA80" s="3942" t="n"/>
      <c r="AB80" s="3942" t="n"/>
      <c r="AC80" s="3942" t="n"/>
      <c r="AD80" s="3942" t="n"/>
      <c r="AE80" s="3942" t="n"/>
      <c r="AF80" s="3942" t="n"/>
      <c r="AG80" s="3942" t="n"/>
      <c r="AH80" s="3942" t="n"/>
      <c r="AI80" s="3942" t="n"/>
      <c r="AJ80" s="3942" t="n"/>
      <c r="AK80" s="3942" t="n"/>
      <c r="AL80" s="3942" t="n"/>
      <c r="AM80" s="3942" t="n"/>
      <c r="AN80" s="3942" t="n"/>
      <c r="AO80" s="3942" t="n"/>
      <c r="AP80" s="3942" t="n"/>
      <c r="AQ80" s="3942" t="n"/>
      <c r="AR80" s="3942" t="n"/>
      <c r="AS80" s="3942" t="n"/>
    </row>
    <row r="81">
      <c r="A81" s="3944" t="n"/>
      <c r="B81" s="3944" t="n"/>
      <c r="C81" s="3944" t="n"/>
      <c r="D81" s="3944" t="n"/>
      <c r="E81" s="3944" t="n"/>
      <c r="F81" s="3944" t="n"/>
      <c r="G81" s="3942" t="n"/>
      <c r="H81" s="3942" t="n"/>
      <c r="I81" s="3942" t="n"/>
      <c r="J81" s="3942" t="n"/>
      <c r="K81" s="3942" t="n"/>
      <c r="L81" s="3942" t="n"/>
      <c r="M81" s="3942" t="n"/>
      <c r="N81" s="3942" t="n"/>
      <c r="O81" s="3942" t="n"/>
      <c r="P81" s="3942" t="n"/>
      <c r="Q81" s="3942" t="n"/>
      <c r="R81" s="3942" t="n"/>
      <c r="S81" s="3942" t="n"/>
      <c r="T81" s="3942" t="n"/>
      <c r="U81" s="3942" t="n"/>
      <c r="V81" s="3942" t="n"/>
      <c r="W81" s="3942" t="n"/>
      <c r="X81" s="3942" t="n"/>
      <c r="Y81" s="3942" t="n"/>
      <c r="Z81" s="3942" t="n"/>
      <c r="AA81" s="3942" t="n"/>
      <c r="AB81" s="3942" t="n"/>
      <c r="AC81" s="3942" t="n"/>
      <c r="AD81" s="3942" t="n"/>
      <c r="AE81" s="3942" t="n"/>
      <c r="AF81" s="3942" t="n"/>
      <c r="AG81" s="3942" t="n"/>
      <c r="AH81" s="3942" t="n"/>
      <c r="AI81" s="3942" t="n"/>
      <c r="AJ81" s="3942" t="n"/>
      <c r="AK81" s="3942" t="n"/>
      <c r="AL81" s="3942" t="n"/>
      <c r="AM81" s="3942" t="n"/>
      <c r="AN81" s="3942" t="n"/>
      <c r="AO81" s="3942" t="n"/>
      <c r="AP81" s="3942" t="n"/>
      <c r="AQ81" s="3942" t="n"/>
      <c r="AR81" s="3942" t="n"/>
      <c r="AS81" s="3942" t="n"/>
    </row>
    <row r="82">
      <c r="A82" s="3944" t="n"/>
      <c r="B82" s="3944" t="n"/>
      <c r="C82" s="3944" t="n"/>
      <c r="D82" s="3944" t="n"/>
      <c r="E82" s="3944" t="n"/>
      <c r="F82" s="3944" t="n"/>
      <c r="G82" s="3942" t="n"/>
      <c r="H82" s="3942" t="n"/>
      <c r="I82" s="3942" t="n"/>
      <c r="J82" s="3942" t="n"/>
      <c r="K82" s="3942" t="n"/>
      <c r="L82" s="3942" t="n"/>
      <c r="M82" s="3942" t="n"/>
      <c r="N82" s="3942" t="n"/>
      <c r="O82" s="3942" t="n"/>
      <c r="P82" s="3942" t="n"/>
      <c r="Q82" s="3942" t="n"/>
      <c r="R82" s="3942" t="n"/>
      <c r="S82" s="3942" t="n"/>
      <c r="T82" s="3942" t="n"/>
      <c r="U82" s="3942" t="n"/>
      <c r="V82" s="3942" t="n"/>
      <c r="W82" s="3942" t="n"/>
      <c r="X82" s="3942" t="n"/>
      <c r="Y82" s="3942" t="n"/>
      <c r="Z82" s="3942" t="n"/>
      <c r="AA82" s="3942" t="n"/>
      <c r="AB82" s="3942" t="n"/>
      <c r="AC82" s="3942" t="n"/>
      <c r="AD82" s="3942" t="n"/>
      <c r="AE82" s="3942" t="n"/>
      <c r="AF82" s="3942" t="n"/>
      <c r="AG82" s="3942" t="n"/>
      <c r="AH82" s="3942" t="n"/>
      <c r="AI82" s="3942" t="n"/>
      <c r="AJ82" s="3942" t="n"/>
      <c r="AK82" s="3942" t="n"/>
      <c r="AL82" s="3942" t="n"/>
      <c r="AM82" s="3942" t="n"/>
      <c r="AN82" s="3942" t="n"/>
      <c r="AO82" s="3942" t="n"/>
      <c r="AP82" s="3942" t="n"/>
      <c r="AQ82" s="3942" t="n"/>
      <c r="AR82" s="3942" t="n"/>
      <c r="AS82" s="3942" t="n"/>
    </row>
    <row r="83">
      <c r="A83" s="3944" t="n"/>
      <c r="B83" s="3944" t="n"/>
      <c r="C83" s="3944" t="n"/>
      <c r="D83" s="3944" t="n"/>
      <c r="E83" s="3944" t="n"/>
      <c r="F83" s="3944" t="n"/>
      <c r="G83" s="3942" t="n"/>
      <c r="H83" s="3942" t="n"/>
      <c r="I83" s="3942" t="n"/>
      <c r="J83" s="3942" t="n"/>
      <c r="K83" s="3942" t="n"/>
      <c r="L83" s="3942" t="n"/>
      <c r="M83" s="3942" t="n"/>
      <c r="N83" s="3942" t="n"/>
      <c r="O83" s="3942" t="n"/>
      <c r="P83" s="3942" t="n"/>
      <c r="Q83" s="3942" t="n"/>
      <c r="R83" s="3942" t="n"/>
      <c r="S83" s="3942" t="n"/>
      <c r="T83" s="3942" t="n"/>
      <c r="U83" s="3942" t="n"/>
      <c r="V83" s="3942" t="n"/>
      <c r="W83" s="3942" t="n"/>
      <c r="X83" s="3942" t="n"/>
      <c r="Y83" s="3942" t="n"/>
      <c r="Z83" s="3942" t="n"/>
      <c r="AA83" s="3942" t="n"/>
      <c r="AB83" s="3942" t="n"/>
      <c r="AC83" s="3942" t="n"/>
      <c r="AD83" s="3942" t="n"/>
      <c r="AE83" s="3942" t="n"/>
      <c r="AF83" s="3942" t="n"/>
      <c r="AG83" s="3942" t="n"/>
      <c r="AH83" s="3942" t="n"/>
      <c r="AI83" s="3942" t="n"/>
      <c r="AJ83" s="3942" t="n"/>
      <c r="AK83" s="3942" t="n"/>
      <c r="AL83" s="3942" t="n"/>
      <c r="AM83" s="3942" t="n"/>
      <c r="AN83" s="3942" t="n"/>
      <c r="AO83" s="3942" t="n"/>
      <c r="AP83" s="3942" t="n"/>
      <c r="AQ83" s="3942" t="n"/>
      <c r="AR83" s="3942" t="n"/>
      <c r="AS83" s="3942" t="n"/>
    </row>
    <row r="84">
      <c r="A84" s="3944" t="n"/>
      <c r="B84" s="3944" t="n"/>
      <c r="C84" s="3944" t="n"/>
      <c r="D84" s="3944" t="n"/>
      <c r="E84" s="3944" t="n"/>
      <c r="F84" s="3944" t="n"/>
      <c r="G84" s="3942" t="n"/>
      <c r="H84" s="3942" t="n"/>
      <c r="I84" s="3942" t="n"/>
      <c r="J84" s="3942" t="n"/>
      <c r="K84" s="3942" t="n"/>
      <c r="L84" s="3942" t="n"/>
      <c r="M84" s="3942" t="n"/>
      <c r="N84" s="3942" t="n"/>
      <c r="O84" s="3942" t="n"/>
      <c r="P84" s="3942" t="n"/>
      <c r="Q84" s="3942" t="n"/>
      <c r="R84" s="3942" t="n"/>
      <c r="S84" s="3942" t="n"/>
      <c r="T84" s="3942" t="n"/>
      <c r="U84" s="3942" t="n"/>
      <c r="V84" s="3942" t="n"/>
      <c r="W84" s="3942" t="n"/>
      <c r="X84" s="3942" t="n"/>
      <c r="Y84" s="3942" t="n"/>
      <c r="Z84" s="3942" t="n"/>
      <c r="AA84" s="3942" t="n"/>
      <c r="AB84" s="3942" t="n"/>
      <c r="AC84" s="3942" t="n"/>
      <c r="AD84" s="3942" t="n"/>
      <c r="AE84" s="3942" t="n"/>
      <c r="AF84" s="3942" t="n"/>
      <c r="AG84" s="3942" t="n"/>
      <c r="AH84" s="3942" t="n"/>
      <c r="AI84" s="3942" t="n"/>
      <c r="AJ84" s="3942" t="n"/>
      <c r="AK84" s="3942" t="n"/>
      <c r="AL84" s="3942" t="n"/>
      <c r="AM84" s="3942" t="n"/>
      <c r="AN84" s="3942" t="n"/>
      <c r="AO84" s="3942" t="n"/>
      <c r="AP84" s="3942" t="n"/>
      <c r="AQ84" s="3942" t="n"/>
      <c r="AR84" s="3942" t="n"/>
      <c r="AS84" s="3942" t="n"/>
    </row>
    <row r="85">
      <c r="A85" s="3944" t="n"/>
      <c r="B85" s="3944" t="n"/>
      <c r="C85" s="3944" t="n"/>
      <c r="D85" s="3944" t="n"/>
      <c r="E85" s="3944" t="n"/>
      <c r="F85" s="3944" t="n"/>
      <c r="G85" s="3942" t="n"/>
      <c r="H85" s="3942" t="n"/>
      <c r="I85" s="3942" t="n"/>
      <c r="J85" s="3942" t="n"/>
      <c r="K85" s="3942" t="n"/>
      <c r="L85" s="3942" t="n"/>
      <c r="M85" s="3942" t="n"/>
      <c r="N85" s="3942" t="n"/>
      <c r="O85" s="3942" t="n"/>
      <c r="P85" s="3942" t="n"/>
      <c r="Q85" s="3942" t="n"/>
      <c r="R85" s="3942" t="n"/>
      <c r="S85" s="3942" t="n"/>
      <c r="T85" s="3942" t="n"/>
      <c r="U85" s="3942" t="n"/>
      <c r="V85" s="3942" t="n"/>
      <c r="W85" s="3942" t="n"/>
      <c r="X85" s="3942" t="n"/>
      <c r="Y85" s="3942" t="n"/>
      <c r="Z85" s="3942" t="n"/>
      <c r="AA85" s="3942" t="n"/>
      <c r="AB85" s="3942" t="n"/>
      <c r="AC85" s="3942" t="n"/>
      <c r="AD85" s="3942" t="n"/>
      <c r="AE85" s="3942" t="n"/>
      <c r="AF85" s="3942" t="n"/>
      <c r="AG85" s="3942" t="n"/>
      <c r="AH85" s="3942" t="n"/>
      <c r="AI85" s="3942" t="n"/>
      <c r="AJ85" s="3942" t="n"/>
      <c r="AK85" s="3942" t="n"/>
      <c r="AL85" s="3942" t="n"/>
      <c r="AM85" s="3942" t="n"/>
      <c r="AN85" s="3942" t="n"/>
      <c r="AO85" s="3942" t="n"/>
      <c r="AP85" s="3942" t="n"/>
      <c r="AQ85" s="3942" t="n"/>
      <c r="AR85" s="3942" t="n"/>
      <c r="AS85" s="3942" t="n"/>
    </row>
    <row r="86">
      <c r="A86" s="3944" t="n"/>
      <c r="B86" s="3944" t="n"/>
      <c r="C86" s="3944" t="n"/>
      <c r="D86" s="3944" t="n"/>
      <c r="E86" s="3944" t="n"/>
      <c r="F86" s="3944" t="n"/>
      <c r="G86" s="3942" t="n"/>
      <c r="H86" s="3942" t="n"/>
      <c r="I86" s="3942" t="n"/>
      <c r="J86" s="3942" t="n"/>
      <c r="K86" s="3942" t="n"/>
      <c r="L86" s="3942" t="n"/>
      <c r="M86" s="3942" t="n"/>
      <c r="N86" s="3942" t="n"/>
      <c r="O86" s="3942" t="n"/>
      <c r="P86" s="3942" t="n"/>
      <c r="Q86" s="3942" t="n"/>
      <c r="R86" s="3942" t="n"/>
      <c r="S86" s="3942" t="n"/>
      <c r="T86" s="3942" t="n"/>
      <c r="U86" s="3942" t="n"/>
      <c r="V86" s="3942" t="n"/>
      <c r="W86" s="3942" t="n"/>
      <c r="X86" s="3942" t="n"/>
      <c r="Y86" s="3942" t="n"/>
      <c r="Z86" s="3942" t="n"/>
      <c r="AA86" s="3942" t="n"/>
      <c r="AB86" s="3942" t="n"/>
      <c r="AC86" s="3942" t="n"/>
      <c r="AD86" s="3942" t="n"/>
      <c r="AE86" s="3942" t="n"/>
      <c r="AF86" s="3942" t="n"/>
      <c r="AG86" s="3942" t="n"/>
      <c r="AH86" s="3942" t="n"/>
      <c r="AI86" s="3942" t="n"/>
      <c r="AJ86" s="3942" t="n"/>
      <c r="AK86" s="3942" t="n"/>
      <c r="AL86" s="3942" t="n"/>
      <c r="AM86" s="3942" t="n"/>
      <c r="AN86" s="3942" t="n"/>
      <c r="AO86" s="3942" t="n"/>
      <c r="AP86" s="3942" t="n"/>
      <c r="AQ86" s="3942" t="n"/>
      <c r="AR86" s="3942" t="n"/>
      <c r="AS86" s="3942" t="n"/>
    </row>
    <row r="87">
      <c r="A87" s="3944" t="n"/>
      <c r="B87" s="3944" t="n"/>
      <c r="C87" s="3944" t="n"/>
      <c r="D87" s="3944" t="n"/>
      <c r="E87" s="3944" t="n"/>
      <c r="F87" s="3944" t="n"/>
      <c r="G87" s="3942" t="n"/>
      <c r="H87" s="3942" t="n"/>
      <c r="I87" s="3942" t="n"/>
      <c r="J87" s="3942" t="n"/>
      <c r="K87" s="3942" t="n"/>
      <c r="L87" s="3942" t="n"/>
      <c r="M87" s="3942" t="n"/>
      <c r="N87" s="3942" t="n"/>
      <c r="O87" s="3942" t="n"/>
      <c r="P87" s="3942" t="n"/>
      <c r="Q87" s="3942" t="n"/>
      <c r="R87" s="3942" t="n"/>
      <c r="S87" s="3942" t="n"/>
      <c r="T87" s="3942" t="n"/>
      <c r="U87" s="3942" t="n"/>
      <c r="V87" s="3942" t="n"/>
      <c r="W87" s="3942" t="n"/>
      <c r="X87" s="3942" t="n"/>
      <c r="Y87" s="3942" t="n"/>
      <c r="Z87" s="3942" t="n"/>
      <c r="AA87" s="3942" t="n"/>
      <c r="AB87" s="3942" t="n"/>
      <c r="AC87" s="3942" t="n"/>
      <c r="AD87" s="3942" t="n"/>
      <c r="AE87" s="3942" t="n"/>
      <c r="AF87" s="3942" t="n"/>
      <c r="AG87" s="3942" t="n"/>
      <c r="AH87" s="3942" t="n"/>
      <c r="AI87" s="3942" t="n"/>
      <c r="AJ87" s="3942" t="n"/>
      <c r="AK87" s="3942" t="n"/>
      <c r="AL87" s="3942" t="n"/>
      <c r="AM87" s="3942" t="n"/>
      <c r="AN87" s="3942" t="n"/>
      <c r="AO87" s="3942" t="n"/>
      <c r="AP87" s="3942" t="n"/>
      <c r="AQ87" s="3942" t="n"/>
      <c r="AR87" s="3942" t="n"/>
      <c r="AS87" s="3942" t="n"/>
    </row>
    <row r="88">
      <c r="A88" s="3944" t="n"/>
      <c r="B88" s="3944" t="n"/>
      <c r="C88" s="3944" t="n"/>
      <c r="D88" s="3944" t="n"/>
      <c r="E88" s="3944" t="n"/>
      <c r="F88" s="3944" t="n"/>
      <c r="G88" s="3942" t="n"/>
      <c r="H88" s="3942" t="n"/>
      <c r="I88" s="3942" t="n"/>
      <c r="J88" s="3942" t="n"/>
      <c r="K88" s="3942" t="n"/>
      <c r="L88" s="3942" t="n"/>
      <c r="M88" s="3942" t="n"/>
      <c r="N88" s="3942" t="n"/>
      <c r="O88" s="3942" t="n"/>
      <c r="P88" s="3942" t="n"/>
      <c r="Q88" s="3942" t="n"/>
      <c r="R88" s="3942" t="n"/>
      <c r="S88" s="3942" t="n"/>
      <c r="T88" s="3942" t="n"/>
      <c r="U88" s="3942" t="n"/>
      <c r="V88" s="3942" t="n"/>
      <c r="W88" s="3942" t="n"/>
      <c r="X88" s="3942" t="n"/>
      <c r="Y88" s="3942" t="n"/>
      <c r="Z88" s="3942" t="n"/>
      <c r="AA88" s="3942" t="n"/>
      <c r="AB88" s="3942" t="n"/>
      <c r="AC88" s="3942" t="n"/>
      <c r="AD88" s="3942" t="n"/>
      <c r="AE88" s="3942" t="n"/>
      <c r="AF88" s="3942" t="n"/>
      <c r="AG88" s="3942" t="n"/>
      <c r="AH88" s="3942" t="n"/>
      <c r="AI88" s="3942" t="n"/>
      <c r="AJ88" s="3942" t="n"/>
      <c r="AK88" s="3942" t="n"/>
      <c r="AL88" s="3942" t="n"/>
      <c r="AM88" s="3942" t="n"/>
      <c r="AN88" s="3942" t="n"/>
      <c r="AO88" s="3942" t="n"/>
      <c r="AP88" s="3942" t="n"/>
      <c r="AQ88" s="3942" t="n"/>
      <c r="AR88" s="3942" t="n"/>
      <c r="AS88" s="3942" t="n"/>
    </row>
    <row r="89">
      <c r="A89" s="3944" t="n"/>
      <c r="B89" s="3944" t="n"/>
      <c r="C89" s="3944" t="n"/>
      <c r="D89" s="3944" t="n"/>
      <c r="E89" s="3944" t="n"/>
      <c r="F89" s="3944" t="n"/>
      <c r="G89" s="3942" t="n"/>
      <c r="H89" s="3942" t="n"/>
      <c r="I89" s="3942" t="n"/>
      <c r="J89" s="3942" t="n"/>
      <c r="K89" s="3942" t="n"/>
      <c r="L89" s="3942" t="n"/>
      <c r="M89" s="3942" t="n"/>
      <c r="N89" s="3942" t="n"/>
      <c r="O89" s="3942" t="n"/>
      <c r="P89" s="3942" t="n"/>
      <c r="Q89" s="3942" t="n"/>
      <c r="R89" s="3942" t="n"/>
      <c r="S89" s="3942" t="n"/>
      <c r="T89" s="3942" t="n"/>
      <c r="U89" s="3942" t="n"/>
      <c r="V89" s="3942" t="n"/>
      <c r="W89" s="3942" t="n"/>
      <c r="X89" s="3942" t="n"/>
      <c r="Y89" s="3942" t="n"/>
      <c r="Z89" s="3942" t="n"/>
      <c r="AA89" s="3942" t="n"/>
      <c r="AB89" s="3942" t="n"/>
      <c r="AC89" s="3942" t="n"/>
      <c r="AD89" s="3942" t="n"/>
      <c r="AE89" s="3942" t="n"/>
      <c r="AF89" s="3942" t="n"/>
      <c r="AG89" s="3942" t="n"/>
      <c r="AH89" s="3942" t="n"/>
      <c r="AI89" s="3942" t="n"/>
      <c r="AJ89" s="3942" t="n"/>
      <c r="AK89" s="3942" t="n"/>
      <c r="AL89" s="3942" t="n"/>
      <c r="AM89" s="3942" t="n"/>
      <c r="AN89" s="3942" t="n"/>
      <c r="AO89" s="3942" t="n"/>
      <c r="AP89" s="3942" t="n"/>
      <c r="AQ89" s="3942" t="n"/>
      <c r="AR89" s="3942" t="n"/>
      <c r="AS89" s="3942" t="n"/>
    </row>
    <row r="90">
      <c r="A90" s="3944" t="n"/>
      <c r="B90" s="3944" t="n"/>
      <c r="C90" s="3944" t="n"/>
      <c r="D90" s="3944" t="n"/>
      <c r="E90" s="3944" t="n"/>
      <c r="F90" s="3944" t="n"/>
      <c r="G90" s="3942" t="n"/>
      <c r="H90" s="3942" t="n"/>
      <c r="I90" s="3942" t="n"/>
      <c r="J90" s="3942" t="n"/>
      <c r="K90" s="3942" t="n"/>
      <c r="L90" s="3942" t="n"/>
      <c r="M90" s="3942" t="n"/>
      <c r="N90" s="3942" t="n"/>
      <c r="O90" s="3942" t="n"/>
      <c r="P90" s="3942" t="n"/>
      <c r="Q90" s="3942" t="n"/>
      <c r="R90" s="3942" t="n"/>
      <c r="S90" s="3942" t="n"/>
      <c r="T90" s="3942" t="n"/>
      <c r="U90" s="3942" t="n"/>
      <c r="V90" s="3942" t="n"/>
      <c r="W90" s="3942" t="n"/>
      <c r="X90" s="3942" t="n"/>
      <c r="Y90" s="3942" t="n"/>
      <c r="Z90" s="3942" t="n"/>
      <c r="AA90" s="3942" t="n"/>
      <c r="AB90" s="3942" t="n"/>
      <c r="AC90" s="3942" t="n"/>
      <c r="AD90" s="3942" t="n"/>
      <c r="AE90" s="3942" t="n"/>
      <c r="AF90" s="3942" t="n"/>
      <c r="AG90" s="3942" t="n"/>
      <c r="AH90" s="3942" t="n"/>
      <c r="AI90" s="3942" t="n"/>
      <c r="AJ90" s="3942" t="n"/>
      <c r="AK90" s="3942" t="n"/>
      <c r="AL90" s="3942" t="n"/>
      <c r="AM90" s="3942" t="n"/>
      <c r="AN90" s="3942" t="n"/>
      <c r="AO90" s="3942" t="n"/>
      <c r="AP90" s="3942" t="n"/>
      <c r="AQ90" s="3942" t="n"/>
      <c r="AR90" s="3942" t="n"/>
      <c r="AS90" s="3942" t="n"/>
    </row>
    <row r="91">
      <c r="A91" s="3944" t="n"/>
      <c r="B91" s="3944" t="n"/>
      <c r="C91" s="3944" t="n"/>
      <c r="D91" s="3944" t="n"/>
      <c r="E91" s="3944" t="n"/>
      <c r="F91" s="3944" t="n"/>
      <c r="G91" s="3942" t="n"/>
      <c r="H91" s="3942" t="n"/>
      <c r="I91" s="3942" t="n"/>
      <c r="J91" s="3942" t="n"/>
      <c r="K91" s="3942" t="n"/>
      <c r="L91" s="3942" t="n"/>
      <c r="M91" s="3942" t="n"/>
      <c r="N91" s="3942" t="n"/>
      <c r="O91" s="3942" t="n"/>
      <c r="P91" s="3942" t="n"/>
      <c r="Q91" s="3942" t="n"/>
      <c r="R91" s="3942" t="n"/>
      <c r="S91" s="3942" t="n"/>
      <c r="T91" s="3942" t="n"/>
      <c r="U91" s="3942" t="n"/>
      <c r="V91" s="3942" t="n"/>
      <c r="W91" s="3942" t="n"/>
      <c r="X91" s="3942" t="n"/>
      <c r="Y91" s="3942" t="n"/>
      <c r="Z91" s="3942" t="n"/>
      <c r="AA91" s="3942" t="n"/>
      <c r="AB91" s="3942" t="n"/>
      <c r="AC91" s="3942" t="n"/>
      <c r="AD91" s="3942" t="n"/>
      <c r="AE91" s="3942" t="n"/>
      <c r="AF91" s="3942" t="n"/>
      <c r="AG91" s="3942" t="n"/>
      <c r="AH91" s="3942" t="n"/>
      <c r="AI91" s="3942" t="n"/>
      <c r="AJ91" s="3942" t="n"/>
      <c r="AK91" s="3942" t="n"/>
      <c r="AL91" s="3942" t="n"/>
      <c r="AM91" s="3942" t="n"/>
      <c r="AN91" s="3942" t="n"/>
      <c r="AO91" s="3942" t="n"/>
      <c r="AP91" s="3942" t="n"/>
      <c r="AQ91" s="3942" t="n"/>
      <c r="AR91" s="3942" t="n"/>
      <c r="AS91" s="3942" t="n"/>
    </row>
    <row r="92">
      <c r="A92" s="3944" t="n"/>
      <c r="B92" s="3944" t="n"/>
      <c r="C92" s="3944" t="n"/>
      <c r="D92" s="3944" t="n"/>
      <c r="E92" s="3944" t="n"/>
      <c r="F92" s="3944" t="n"/>
      <c r="G92" s="3942" t="n"/>
      <c r="H92" s="3942" t="n"/>
      <c r="I92" s="3942" t="n"/>
      <c r="J92" s="3942" t="n"/>
      <c r="K92" s="3942" t="n"/>
      <c r="L92" s="3942" t="n"/>
      <c r="M92" s="3942" t="n"/>
      <c r="N92" s="3942" t="n"/>
      <c r="O92" s="3942" t="n"/>
      <c r="P92" s="3942" t="n"/>
      <c r="Q92" s="3942" t="n"/>
      <c r="R92" s="3942" t="n"/>
      <c r="S92" s="3942" t="n"/>
      <c r="T92" s="3942" t="n"/>
      <c r="U92" s="3942" t="n"/>
      <c r="V92" s="3942" t="n"/>
      <c r="W92" s="3942" t="n"/>
      <c r="X92" s="3942" t="n"/>
      <c r="Y92" s="3942" t="n"/>
      <c r="Z92" s="3942" t="n"/>
      <c r="AA92" s="3942" t="n"/>
      <c r="AB92" s="3942" t="n"/>
      <c r="AC92" s="3942" t="n"/>
      <c r="AD92" s="3942" t="n"/>
      <c r="AE92" s="3942" t="n"/>
      <c r="AF92" s="3942" t="n"/>
      <c r="AG92" s="3942" t="n"/>
      <c r="AH92" s="3942" t="n"/>
      <c r="AI92" s="3942" t="n"/>
      <c r="AJ92" s="3942" t="n"/>
      <c r="AK92" s="3942" t="n"/>
      <c r="AL92" s="3942" t="n"/>
      <c r="AM92" s="3942" t="n"/>
      <c r="AN92" s="3942" t="n"/>
      <c r="AO92" s="3942" t="n"/>
      <c r="AP92" s="3942" t="n"/>
      <c r="AQ92" s="3942" t="n"/>
      <c r="AR92" s="3942" t="n"/>
      <c r="AS92" s="3942" t="n"/>
    </row>
    <row r="93">
      <c r="A93" s="3944" t="n"/>
      <c r="B93" s="3944" t="n"/>
      <c r="C93" s="3944" t="n"/>
      <c r="D93" s="3944" t="n"/>
      <c r="E93" s="3944" t="n"/>
      <c r="F93" s="3944" t="n"/>
      <c r="G93" s="3942" t="n"/>
      <c r="H93" s="3942" t="n"/>
      <c r="I93" s="3942" t="n"/>
      <c r="J93" s="3942" t="n"/>
      <c r="K93" s="3942" t="n"/>
      <c r="L93" s="3942" t="n"/>
      <c r="M93" s="3942" t="n"/>
      <c r="N93" s="3942" t="n"/>
      <c r="O93" s="3942" t="n"/>
      <c r="P93" s="3942" t="n"/>
      <c r="Q93" s="3942" t="n"/>
      <c r="R93" s="3942" t="n"/>
      <c r="S93" s="3942" t="n"/>
      <c r="T93" s="3942" t="n"/>
      <c r="U93" s="3942" t="n"/>
      <c r="V93" s="3942" t="n"/>
      <c r="W93" s="3942" t="n"/>
      <c r="X93" s="3942" t="n"/>
      <c r="Y93" s="3942" t="n"/>
      <c r="Z93" s="3942" t="n"/>
      <c r="AA93" s="3942" t="n"/>
      <c r="AB93" s="3942" t="n"/>
      <c r="AC93" s="3942" t="n"/>
      <c r="AD93" s="3942" t="n"/>
      <c r="AE93" s="3942" t="n"/>
      <c r="AF93" s="3942" t="n"/>
      <c r="AG93" s="3942" t="n"/>
      <c r="AH93" s="3942" t="n"/>
      <c r="AI93" s="3942" t="n"/>
      <c r="AJ93" s="3942" t="n"/>
      <c r="AK93" s="3942" t="n"/>
      <c r="AL93" s="3942" t="n"/>
      <c r="AM93" s="3942" t="n"/>
      <c r="AN93" s="3942" t="n"/>
      <c r="AO93" s="3942" t="n"/>
      <c r="AP93" s="3942" t="n"/>
      <c r="AQ93" s="3942" t="n"/>
      <c r="AR93" s="3942" t="n"/>
      <c r="AS93" s="3942" t="n"/>
    </row>
    <row r="94">
      <c r="A94" s="3944" t="n"/>
      <c r="B94" s="3944" t="n"/>
      <c r="C94" s="3944" t="n"/>
      <c r="D94" s="3944" t="n"/>
      <c r="E94" s="3944" t="n"/>
      <c r="F94" s="3944" t="n"/>
      <c r="G94" s="3942" t="n"/>
      <c r="H94" s="3942" t="n"/>
      <c r="I94" s="3942" t="n"/>
      <c r="J94" s="3942" t="n"/>
      <c r="K94" s="3942" t="n"/>
      <c r="L94" s="3942" t="n"/>
      <c r="M94" s="3942" t="n"/>
      <c r="N94" s="3942" t="n"/>
      <c r="O94" s="3942" t="n"/>
      <c r="P94" s="3942" t="n"/>
      <c r="Q94" s="3942" t="n"/>
      <c r="R94" s="3942" t="n"/>
      <c r="S94" s="3942" t="n"/>
      <c r="T94" s="3942" t="n"/>
      <c r="U94" s="3942" t="n"/>
      <c r="V94" s="3942" t="n"/>
      <c r="W94" s="3942" t="n"/>
      <c r="X94" s="3942" t="n"/>
      <c r="Y94" s="3942" t="n"/>
      <c r="Z94" s="3942" t="n"/>
      <c r="AA94" s="3942" t="n"/>
      <c r="AB94" s="3942" t="n"/>
      <c r="AC94" s="3942" t="n"/>
      <c r="AD94" s="3942" t="n"/>
      <c r="AE94" s="3942" t="n"/>
      <c r="AF94" s="3942" t="n"/>
      <c r="AG94" s="3942" t="n"/>
      <c r="AH94" s="3942" t="n"/>
      <c r="AI94" s="3942" t="n"/>
      <c r="AJ94" s="3942" t="n"/>
      <c r="AK94" s="3942" t="n"/>
      <c r="AL94" s="3942" t="n"/>
      <c r="AM94" s="3942" t="n"/>
      <c r="AN94" s="3942" t="n"/>
      <c r="AO94" s="3942" t="n"/>
      <c r="AP94" s="3942" t="n"/>
      <c r="AQ94" s="3942" t="n"/>
      <c r="AR94" s="3942" t="n"/>
      <c r="AS94" s="3942" t="n"/>
    </row>
    <row r="95">
      <c r="A95" s="3944" t="n"/>
      <c r="B95" s="3944" t="n"/>
      <c r="C95" s="3944" t="n"/>
      <c r="D95" s="3944" t="n"/>
      <c r="E95" s="3944" t="n"/>
      <c r="F95" s="3944" t="n"/>
      <c r="G95" s="3942" t="n"/>
      <c r="H95" s="3942" t="n"/>
      <c r="I95" s="3942" t="n"/>
      <c r="J95" s="3942" t="n"/>
      <c r="K95" s="3942" t="n"/>
      <c r="L95" s="3942" t="n"/>
      <c r="M95" s="3942" t="n"/>
      <c r="N95" s="3942" t="n"/>
      <c r="O95" s="3942" t="n"/>
      <c r="P95" s="3942" t="n"/>
      <c r="Q95" s="3942" t="n"/>
      <c r="R95" s="3942" t="n"/>
      <c r="S95" s="3942" t="n"/>
      <c r="T95" s="3942" t="n"/>
      <c r="U95" s="3942" t="n"/>
      <c r="V95" s="3942" t="n"/>
      <c r="W95" s="3942" t="n"/>
      <c r="X95" s="3942" t="n"/>
      <c r="Y95" s="3942" t="n"/>
      <c r="Z95" s="3942" t="n"/>
      <c r="AA95" s="3942" t="n"/>
      <c r="AB95" s="3942" t="n"/>
      <c r="AC95" s="3942" t="n"/>
      <c r="AD95" s="3942" t="n"/>
      <c r="AE95" s="3942" t="n"/>
      <c r="AF95" s="3942" t="n"/>
      <c r="AG95" s="3942" t="n"/>
      <c r="AH95" s="3942" t="n"/>
      <c r="AI95" s="3942" t="n"/>
      <c r="AJ95" s="3942" t="n"/>
      <c r="AK95" s="3942" t="n"/>
      <c r="AL95" s="3942" t="n"/>
      <c r="AM95" s="3942" t="n"/>
      <c r="AN95" s="3942" t="n"/>
      <c r="AO95" s="3942" t="n"/>
      <c r="AP95" s="3942" t="n"/>
      <c r="AQ95" s="3942" t="n"/>
      <c r="AR95" s="3942" t="n"/>
      <c r="AS95" s="3942" t="n"/>
    </row>
    <row r="96">
      <c r="A96" s="3944" t="n"/>
      <c r="B96" s="3944" t="n"/>
      <c r="C96" s="3944" t="n"/>
      <c r="D96" s="3944" t="n"/>
      <c r="E96" s="3944" t="n"/>
      <c r="F96" s="3944" t="n"/>
      <c r="G96" s="3942" t="n"/>
      <c r="H96" s="3942" t="n"/>
      <c r="I96" s="3942" t="n"/>
      <c r="J96" s="3942" t="n"/>
      <c r="K96" s="3942" t="n"/>
      <c r="L96" s="3942" t="n"/>
      <c r="M96" s="3942" t="n"/>
      <c r="N96" s="3942" t="n"/>
      <c r="O96" s="3942" t="n"/>
      <c r="P96" s="3942" t="n"/>
      <c r="Q96" s="3942" t="n"/>
      <c r="R96" s="3942" t="n"/>
      <c r="S96" s="3942" t="n"/>
      <c r="T96" s="3942" t="n"/>
      <c r="U96" s="3942" t="n"/>
      <c r="V96" s="3942" t="n"/>
      <c r="W96" s="3942" t="n"/>
      <c r="X96" s="3942" t="n"/>
      <c r="Y96" s="3942" t="n"/>
      <c r="Z96" s="3942" t="n"/>
      <c r="AA96" s="3942" t="n"/>
      <c r="AB96" s="3942" t="n"/>
      <c r="AC96" s="3942" t="n"/>
      <c r="AD96" s="3942" t="n"/>
      <c r="AE96" s="3942" t="n"/>
      <c r="AF96" s="3942" t="n"/>
      <c r="AG96" s="3942" t="n"/>
      <c r="AH96" s="3942" t="n"/>
      <c r="AI96" s="3942" t="n"/>
      <c r="AJ96" s="3942" t="n"/>
      <c r="AK96" s="3942" t="n"/>
      <c r="AL96" s="3942" t="n"/>
      <c r="AM96" s="3942" t="n"/>
      <c r="AN96" s="3942" t="n"/>
      <c r="AO96" s="3942" t="n"/>
      <c r="AP96" s="3942" t="n"/>
      <c r="AQ96" s="3942" t="n"/>
      <c r="AR96" s="3942" t="n"/>
      <c r="AS96" s="3942" t="n"/>
    </row>
    <row r="97">
      <c r="A97" s="3944" t="n"/>
      <c r="B97" s="3944" t="n"/>
      <c r="C97" s="3944" t="n"/>
      <c r="D97" s="3944" t="n"/>
      <c r="E97" s="3944" t="n"/>
      <c r="F97" s="3944" t="n"/>
      <c r="G97" s="3942" t="n"/>
      <c r="H97" s="3942" t="n"/>
      <c r="I97" s="3942" t="n"/>
      <c r="J97" s="3942" t="n"/>
      <c r="K97" s="3942" t="n"/>
      <c r="L97" s="3942" t="n"/>
      <c r="M97" s="3942" t="n"/>
      <c r="N97" s="3942" t="n"/>
      <c r="O97" s="3942" t="n"/>
      <c r="P97" s="3942" t="n"/>
      <c r="Q97" s="3942" t="n"/>
      <c r="R97" s="3942" t="n"/>
      <c r="S97" s="3942" t="n"/>
      <c r="T97" s="3942" t="n"/>
      <c r="U97" s="3942" t="n"/>
      <c r="V97" s="3942" t="n"/>
      <c r="W97" s="3942" t="n"/>
      <c r="X97" s="3942" t="n"/>
      <c r="Y97" s="3942" t="n"/>
      <c r="Z97" s="3942" t="n"/>
      <c r="AA97" s="3942" t="n"/>
      <c r="AB97" s="3942" t="n"/>
      <c r="AC97" s="3942" t="n"/>
      <c r="AD97" s="3942" t="n"/>
      <c r="AE97" s="3942" t="n"/>
      <c r="AF97" s="3942" t="n"/>
      <c r="AG97" s="3942" t="n"/>
      <c r="AH97" s="3942" t="n"/>
      <c r="AI97" s="3942" t="n"/>
      <c r="AJ97" s="3942" t="n"/>
      <c r="AK97" s="3942" t="n"/>
      <c r="AL97" s="3942" t="n"/>
      <c r="AM97" s="3942" t="n"/>
      <c r="AN97" s="3942" t="n"/>
      <c r="AO97" s="3942" t="n"/>
      <c r="AP97" s="3942" t="n"/>
      <c r="AQ97" s="3942" t="n"/>
      <c r="AR97" s="3942" t="n"/>
      <c r="AS97" s="3942" t="n"/>
    </row>
    <row r="98">
      <c r="A98" s="3944" t="n"/>
      <c r="B98" s="3944" t="n"/>
      <c r="C98" s="3944" t="n"/>
      <c r="D98" s="3944" t="n"/>
      <c r="E98" s="3944" t="n"/>
      <c r="F98" s="3944" t="n"/>
      <c r="G98" s="3942" t="n"/>
      <c r="H98" s="3942" t="n"/>
      <c r="I98" s="3942" t="n"/>
      <c r="J98" s="3942" t="n"/>
      <c r="K98" s="3942" t="n"/>
      <c r="L98" s="3942" t="n"/>
      <c r="M98" s="3942" t="n"/>
      <c r="N98" s="3942" t="n"/>
      <c r="O98" s="3942" t="n"/>
      <c r="P98" s="3942" t="n"/>
      <c r="Q98" s="3942" t="n"/>
      <c r="R98" s="3942" t="n"/>
      <c r="S98" s="3942" t="n"/>
      <c r="T98" s="3942" t="n"/>
      <c r="U98" s="3942" t="n"/>
      <c r="V98" s="3942" t="n"/>
      <c r="W98" s="3942" t="n"/>
      <c r="X98" s="3942" t="n"/>
      <c r="Y98" s="3942" t="n"/>
      <c r="Z98" s="3942" t="n"/>
      <c r="AA98" s="3942" t="n"/>
      <c r="AB98" s="3942" t="n"/>
      <c r="AC98" s="3942" t="n"/>
      <c r="AD98" s="3942" t="n"/>
      <c r="AE98" s="3942" t="n"/>
      <c r="AF98" s="3942" t="n"/>
      <c r="AG98" s="3942" t="n"/>
      <c r="AH98" s="3942" t="n"/>
      <c r="AI98" s="3942" t="n"/>
      <c r="AJ98" s="3942" t="n"/>
      <c r="AK98" s="3942" t="n"/>
      <c r="AL98" s="3942" t="n"/>
      <c r="AM98" s="3942" t="n"/>
      <c r="AN98" s="3942" t="n"/>
      <c r="AO98" s="3942" t="n"/>
      <c r="AP98" s="3942" t="n"/>
      <c r="AQ98" s="3942" t="n"/>
      <c r="AR98" s="3942" t="n"/>
      <c r="AS98" s="3942" t="n"/>
    </row>
    <row r="99">
      <c r="A99" s="3944" t="n"/>
      <c r="B99" s="3944" t="n"/>
      <c r="C99" s="3944" t="n"/>
      <c r="D99" s="3944" t="n"/>
      <c r="E99" s="3944" t="n"/>
      <c r="F99" s="3944" t="n"/>
      <c r="G99" s="3942" t="n"/>
      <c r="H99" s="3942" t="n"/>
      <c r="I99" s="3942" t="n"/>
      <c r="J99" s="3942" t="n"/>
      <c r="K99" s="3942" t="n"/>
      <c r="L99" s="3942" t="n"/>
      <c r="M99" s="3942" t="n"/>
      <c r="N99" s="3942" t="n"/>
      <c r="O99" s="3942" t="n"/>
      <c r="P99" s="3942" t="n"/>
      <c r="Q99" s="3942" t="n"/>
      <c r="R99" s="3942" t="n"/>
      <c r="S99" s="3942" t="n"/>
      <c r="T99" s="3942" t="n"/>
      <c r="U99" s="3942" t="n"/>
      <c r="V99" s="3942" t="n"/>
      <c r="W99" s="3942" t="n"/>
      <c r="X99" s="3942" t="n"/>
      <c r="Y99" s="3942" t="n"/>
      <c r="Z99" s="3942" t="n"/>
      <c r="AA99" s="3942" t="n"/>
      <c r="AB99" s="3942" t="n"/>
      <c r="AC99" s="3942" t="n"/>
      <c r="AD99" s="3942" t="n"/>
      <c r="AE99" s="3942" t="n"/>
      <c r="AF99" s="3942" t="n"/>
      <c r="AG99" s="3942" t="n"/>
      <c r="AH99" s="3942" t="n"/>
      <c r="AI99" s="3942" t="n"/>
      <c r="AJ99" s="3942" t="n"/>
      <c r="AK99" s="3942" t="n"/>
      <c r="AL99" s="3942" t="n"/>
      <c r="AM99" s="3942" t="n"/>
      <c r="AN99" s="3942" t="n"/>
      <c r="AO99" s="3942" t="n"/>
      <c r="AP99" s="3942" t="n"/>
      <c r="AQ99" s="3942" t="n"/>
      <c r="AR99" s="3942" t="n"/>
      <c r="AS99" s="3942" t="n"/>
    </row>
    <row r="100">
      <c r="A100" s="3944" t="n"/>
      <c r="B100" s="3944" t="n"/>
      <c r="C100" s="3944" t="n"/>
      <c r="D100" s="3944" t="n"/>
      <c r="E100" s="3944" t="n"/>
      <c r="F100" s="3944" t="n"/>
      <c r="G100" s="3942" t="n"/>
      <c r="H100" s="3942" t="n"/>
      <c r="I100" s="3942" t="n"/>
      <c r="J100" s="3942" t="n"/>
      <c r="K100" s="3942" t="n"/>
      <c r="L100" s="3942" t="n"/>
      <c r="M100" s="3942" t="n"/>
      <c r="N100" s="3942" t="n"/>
      <c r="O100" s="3942" t="n"/>
      <c r="P100" s="3942" t="n"/>
      <c r="Q100" s="3942" t="n"/>
      <c r="R100" s="3942" t="n"/>
      <c r="S100" s="3942" t="n"/>
      <c r="T100" s="3942" t="n"/>
      <c r="U100" s="3942" t="n"/>
      <c r="V100" s="3942" t="n"/>
      <c r="W100" s="3942" t="n"/>
      <c r="X100" s="3942" t="n"/>
      <c r="Y100" s="3942" t="n"/>
      <c r="Z100" s="3942" t="n"/>
      <c r="AA100" s="3942" t="n"/>
      <c r="AB100" s="3942" t="n"/>
      <c r="AC100" s="3942" t="n"/>
      <c r="AD100" s="3942" t="n"/>
      <c r="AE100" s="3942" t="n"/>
      <c r="AF100" s="3942" t="n"/>
      <c r="AG100" s="3942" t="n"/>
      <c r="AH100" s="3942" t="n"/>
      <c r="AI100" s="3942" t="n"/>
      <c r="AJ100" s="3942" t="n"/>
      <c r="AK100" s="3942" t="n"/>
      <c r="AL100" s="3942" t="n"/>
      <c r="AM100" s="3942" t="n"/>
      <c r="AN100" s="3942" t="n"/>
      <c r="AO100" s="3942" t="n"/>
      <c r="AP100" s="3942" t="n"/>
      <c r="AQ100" s="3942" t="n"/>
      <c r="AR100" s="3942" t="n"/>
      <c r="AS100" s="3942" t="n"/>
    </row>
    <row r="101">
      <c r="A101" s="3944" t="n"/>
      <c r="B101" s="3944" t="n"/>
      <c r="C101" s="3944" t="n"/>
      <c r="D101" s="3944" t="n"/>
      <c r="E101" s="3944" t="n"/>
      <c r="F101" s="3944" t="n"/>
      <c r="G101" s="3942" t="n"/>
      <c r="H101" s="3942" t="n"/>
      <c r="I101" s="3942" t="n"/>
      <c r="J101" s="3942" t="n"/>
      <c r="K101" s="3942" t="n"/>
      <c r="L101" s="3942" t="n"/>
      <c r="M101" s="3942" t="n"/>
      <c r="N101" s="3942" t="n"/>
      <c r="O101" s="3942" t="n"/>
      <c r="P101" s="3942" t="n"/>
      <c r="Q101" s="3942" t="n"/>
      <c r="R101" s="3942" t="n"/>
      <c r="S101" s="3942" t="n"/>
      <c r="T101" s="3942" t="n"/>
      <c r="U101" s="3942" t="n"/>
      <c r="V101" s="3942" t="n"/>
      <c r="W101" s="3942" t="n"/>
      <c r="X101" s="3942" t="n"/>
      <c r="Y101" s="3942" t="n"/>
      <c r="Z101" s="3942" t="n"/>
      <c r="AA101" s="3942" t="n"/>
      <c r="AB101" s="3942" t="n"/>
      <c r="AC101" s="3942" t="n"/>
      <c r="AD101" s="3942" t="n"/>
      <c r="AE101" s="3942" t="n"/>
      <c r="AF101" s="3942" t="n"/>
      <c r="AG101" s="3942" t="n"/>
      <c r="AH101" s="3942" t="n"/>
      <c r="AI101" s="3942" t="n"/>
      <c r="AJ101" s="3942" t="n"/>
      <c r="AK101" s="3942" t="n"/>
      <c r="AL101" s="3942" t="n"/>
      <c r="AM101" s="3942" t="n"/>
      <c r="AN101" s="3942" t="n"/>
      <c r="AO101" s="3942" t="n"/>
      <c r="AP101" s="3942" t="n"/>
      <c r="AQ101" s="3942" t="n"/>
      <c r="AR101" s="3942" t="n"/>
      <c r="AS101" s="3942" t="n"/>
    </row>
    <row r="102">
      <c r="A102" s="3944" t="n"/>
      <c r="B102" s="3944" t="n"/>
      <c r="C102" s="3944" t="n"/>
      <c r="D102" s="3944" t="n"/>
      <c r="E102" s="3944" t="n"/>
      <c r="F102" s="3944" t="n"/>
      <c r="G102" s="3942" t="n"/>
      <c r="H102" s="3942" t="n"/>
      <c r="I102" s="3942" t="n"/>
      <c r="J102" s="3942" t="n"/>
      <c r="K102" s="3942" t="n"/>
      <c r="L102" s="3942" t="n"/>
      <c r="M102" s="3942" t="n"/>
      <c r="N102" s="3942" t="n"/>
      <c r="O102" s="3942" t="n"/>
      <c r="P102" s="3942" t="n"/>
      <c r="Q102" s="3942" t="n"/>
      <c r="R102" s="3942" t="n"/>
      <c r="S102" s="3942" t="n"/>
      <c r="T102" s="3942" t="n"/>
      <c r="U102" s="3942" t="n"/>
      <c r="V102" s="3942" t="n"/>
      <c r="W102" s="3942" t="n"/>
      <c r="X102" s="3942" t="n"/>
      <c r="Y102" s="3942" t="n"/>
      <c r="Z102" s="3942" t="n"/>
      <c r="AA102" s="3942" t="n"/>
      <c r="AB102" s="3942" t="n"/>
      <c r="AC102" s="3942" t="n"/>
      <c r="AD102" s="3942" t="n"/>
      <c r="AE102" s="3942" t="n"/>
      <c r="AF102" s="3942" t="n"/>
      <c r="AG102" s="3942" t="n"/>
      <c r="AH102" s="3942" t="n"/>
      <c r="AI102" s="3942" t="n"/>
      <c r="AJ102" s="3942" t="n"/>
      <c r="AK102" s="3942" t="n"/>
      <c r="AL102" s="3942" t="n"/>
      <c r="AM102" s="3942" t="n"/>
      <c r="AN102" s="3942" t="n"/>
      <c r="AO102" s="3942" t="n"/>
      <c r="AP102" s="3942" t="n"/>
      <c r="AQ102" s="3942" t="n"/>
      <c r="AR102" s="3942" t="n"/>
      <c r="AS102" s="3942" t="n"/>
    </row>
    <row r="103">
      <c r="A103" s="3944" t="n"/>
      <c r="B103" s="3944" t="n"/>
      <c r="C103" s="3944" t="n"/>
      <c r="D103" s="3944" t="n"/>
      <c r="E103" s="3944" t="n"/>
      <c r="F103" s="3944" t="n"/>
      <c r="G103" s="3942" t="n"/>
      <c r="H103" s="3942" t="n"/>
      <c r="I103" s="3942" t="n"/>
      <c r="J103" s="3942" t="n"/>
      <c r="K103" s="3942" t="n"/>
      <c r="L103" s="3942" t="n"/>
      <c r="M103" s="3942" t="n"/>
      <c r="N103" s="3942" t="n"/>
      <c r="O103" s="3942" t="n"/>
      <c r="P103" s="3942" t="n"/>
      <c r="Q103" s="3942" t="n"/>
      <c r="R103" s="3942" t="n"/>
      <c r="S103" s="3942" t="n"/>
      <c r="T103" s="3942" t="n"/>
      <c r="U103" s="3942" t="n"/>
      <c r="V103" s="3942" t="n"/>
      <c r="W103" s="3942" t="n"/>
      <c r="X103" s="3942" t="n"/>
      <c r="Y103" s="3942" t="n"/>
      <c r="Z103" s="3942" t="n"/>
      <c r="AA103" s="3942" t="n"/>
      <c r="AB103" s="3942" t="n"/>
      <c r="AC103" s="3942" t="n"/>
      <c r="AD103" s="3942" t="n"/>
      <c r="AE103" s="3942" t="n"/>
      <c r="AF103" s="3942" t="n"/>
      <c r="AG103" s="3942" t="n"/>
      <c r="AH103" s="3942" t="n"/>
      <c r="AI103" s="3942" t="n"/>
      <c r="AJ103" s="3942" t="n"/>
      <c r="AK103" s="3942" t="n"/>
      <c r="AL103" s="3942" t="n"/>
      <c r="AM103" s="3942" t="n"/>
      <c r="AN103" s="3942" t="n"/>
      <c r="AO103" s="3942" t="n"/>
      <c r="AP103" s="3942" t="n"/>
      <c r="AQ103" s="3942" t="n"/>
      <c r="AR103" s="3942" t="n"/>
      <c r="AS103" s="3942" t="n"/>
    </row>
    <row r="104">
      <c r="A104" s="3944" t="n"/>
      <c r="B104" s="3944" t="n"/>
      <c r="C104" s="3944" t="n"/>
      <c r="D104" s="3944" t="n"/>
      <c r="E104" s="3944" t="n"/>
      <c r="F104" s="3944" t="n"/>
      <c r="G104" s="3942" t="n"/>
      <c r="H104" s="3942" t="n"/>
      <c r="I104" s="3942" t="n"/>
      <c r="J104" s="3942" t="n"/>
      <c r="K104" s="3942" t="n"/>
      <c r="L104" s="3942" t="n"/>
      <c r="M104" s="3942" t="n"/>
      <c r="N104" s="3942" t="n"/>
      <c r="O104" s="3942" t="n"/>
      <c r="P104" s="3942" t="n"/>
      <c r="Q104" s="3942" t="n"/>
      <c r="R104" s="3942" t="n"/>
      <c r="S104" s="3942" t="n"/>
      <c r="T104" s="3942" t="n"/>
      <c r="U104" s="3942" t="n"/>
      <c r="V104" s="3942" t="n"/>
      <c r="W104" s="3942" t="n"/>
      <c r="X104" s="3942" t="n"/>
      <c r="Y104" s="3942" t="n"/>
      <c r="Z104" s="3942" t="n"/>
      <c r="AA104" s="3942" t="n"/>
      <c r="AB104" s="3942" t="n"/>
      <c r="AC104" s="3942" t="n"/>
      <c r="AD104" s="3942" t="n"/>
      <c r="AE104" s="3942" t="n"/>
      <c r="AF104" s="3942" t="n"/>
      <c r="AG104" s="3942" t="n"/>
      <c r="AH104" s="3942" t="n"/>
      <c r="AI104" s="3942" t="n"/>
      <c r="AJ104" s="3942" t="n"/>
      <c r="AK104" s="3942" t="n"/>
      <c r="AL104" s="3942" t="n"/>
      <c r="AM104" s="3942" t="n"/>
      <c r="AN104" s="3942" t="n"/>
      <c r="AO104" s="3942" t="n"/>
      <c r="AP104" s="3942" t="n"/>
      <c r="AQ104" s="3942" t="n"/>
      <c r="AR104" s="3942" t="n"/>
      <c r="AS104" s="3942" t="n"/>
    </row>
    <row r="105">
      <c r="A105" s="3944" t="n"/>
      <c r="B105" s="3944" t="n"/>
      <c r="C105" s="3944" t="n"/>
      <c r="D105" s="3944" t="n"/>
      <c r="E105" s="3944" t="n"/>
      <c r="F105" s="3944" t="n"/>
      <c r="G105" s="3942" t="n"/>
      <c r="H105" s="3942" t="n"/>
      <c r="I105" s="3942" t="n"/>
      <c r="J105" s="3942" t="n"/>
      <c r="K105" s="3942" t="n"/>
      <c r="L105" s="3942" t="n"/>
      <c r="M105" s="3942" t="n"/>
      <c r="N105" s="3942" t="n"/>
      <c r="O105" s="3942" t="n"/>
      <c r="P105" s="3942" t="n"/>
      <c r="Q105" s="3942" t="n"/>
      <c r="R105" s="3942" t="n"/>
      <c r="S105" s="3942" t="n"/>
      <c r="T105" s="3942" t="n"/>
      <c r="U105" s="3942" t="n"/>
      <c r="V105" s="3942" t="n"/>
      <c r="W105" s="3942" t="n"/>
      <c r="X105" s="3942" t="n"/>
      <c r="Y105" s="3942" t="n"/>
      <c r="Z105" s="3942" t="n"/>
      <c r="AA105" s="3942" t="n"/>
      <c r="AB105" s="3942" t="n"/>
      <c r="AC105" s="3942" t="n"/>
      <c r="AD105" s="3942" t="n"/>
      <c r="AE105" s="3942" t="n"/>
      <c r="AF105" s="3942" t="n"/>
      <c r="AG105" s="3942" t="n"/>
      <c r="AH105" s="3942" t="n"/>
      <c r="AI105" s="3942" t="n"/>
      <c r="AJ105" s="3942" t="n"/>
      <c r="AK105" s="3942" t="n"/>
      <c r="AL105" s="3942" t="n"/>
      <c r="AM105" s="3942" t="n"/>
      <c r="AN105" s="3942" t="n"/>
      <c r="AO105" s="3942" t="n"/>
      <c r="AP105" s="3942" t="n"/>
      <c r="AQ105" s="3942" t="n"/>
      <c r="AR105" s="3942" t="n"/>
      <c r="AS105" s="3942" t="n"/>
    </row>
    <row r="106">
      <c r="A106" s="3944" t="n"/>
      <c r="B106" s="3944" t="n"/>
      <c r="C106" s="3944" t="n"/>
      <c r="D106" s="3944" t="n"/>
      <c r="E106" s="3944" t="n"/>
      <c r="F106" s="3944" t="n"/>
      <c r="G106" s="3942" t="n"/>
      <c r="H106" s="3942" t="n"/>
      <c r="I106" s="3942" t="n"/>
      <c r="J106" s="3942" t="n"/>
      <c r="K106" s="3942" t="n"/>
      <c r="L106" s="3942" t="n"/>
      <c r="M106" s="3942" t="n"/>
      <c r="N106" s="3942" t="n"/>
      <c r="O106" s="3942" t="n"/>
      <c r="P106" s="3942" t="n"/>
      <c r="Q106" s="3942" t="n"/>
      <c r="R106" s="3942" t="n"/>
      <c r="S106" s="3942" t="n"/>
      <c r="T106" s="3942" t="n"/>
      <c r="U106" s="3942" t="n"/>
      <c r="V106" s="3942" t="n"/>
      <c r="W106" s="3942" t="n"/>
      <c r="X106" s="3942" t="n"/>
      <c r="Y106" s="3942" t="n"/>
      <c r="Z106" s="3942" t="n"/>
      <c r="AA106" s="3942" t="n"/>
      <c r="AB106" s="3942" t="n"/>
      <c r="AC106" s="3942" t="n"/>
      <c r="AD106" s="3942" t="n"/>
      <c r="AE106" s="3942" t="n"/>
      <c r="AF106" s="3942" t="n"/>
      <c r="AG106" s="3942" t="n"/>
      <c r="AH106" s="3942" t="n"/>
      <c r="AI106" s="3942" t="n"/>
      <c r="AJ106" s="3942" t="n"/>
      <c r="AK106" s="3942" t="n"/>
      <c r="AL106" s="3942" t="n"/>
      <c r="AM106" s="3942" t="n"/>
      <c r="AN106" s="3942" t="n"/>
      <c r="AO106" s="3942" t="n"/>
      <c r="AP106" s="3942" t="n"/>
      <c r="AQ106" s="3942" t="n"/>
      <c r="AR106" s="3942" t="n"/>
      <c r="AS106" s="3942" t="n"/>
    </row>
    <row r="107">
      <c r="A107" s="3944" t="n"/>
      <c r="B107" s="3944" t="n"/>
      <c r="C107" s="3944" t="n"/>
      <c r="D107" s="3944" t="n"/>
      <c r="E107" s="3944" t="n"/>
      <c r="F107" s="3944" t="n"/>
      <c r="G107" s="3942" t="n"/>
      <c r="H107" s="3942" t="n"/>
      <c r="I107" s="3942" t="n"/>
      <c r="J107" s="3942" t="n"/>
      <c r="K107" s="3942" t="n"/>
      <c r="L107" s="3942" t="n"/>
      <c r="M107" s="3942" t="n"/>
      <c r="N107" s="3942" t="n"/>
      <c r="O107" s="3942" t="n"/>
      <c r="P107" s="3942" t="n"/>
      <c r="Q107" s="3942" t="n"/>
      <c r="R107" s="3942" t="n"/>
      <c r="S107" s="3942" t="n"/>
      <c r="T107" s="3942" t="n"/>
      <c r="U107" s="3942" t="n"/>
      <c r="V107" s="3942" t="n"/>
      <c r="W107" s="3942" t="n"/>
      <c r="X107" s="3942" t="n"/>
      <c r="Y107" s="3942" t="n"/>
      <c r="Z107" s="3942" t="n"/>
      <c r="AA107" s="3942" t="n"/>
      <c r="AB107" s="3942" t="n"/>
      <c r="AC107" s="3942" t="n"/>
      <c r="AD107" s="3942" t="n"/>
      <c r="AE107" s="3942" t="n"/>
      <c r="AF107" s="3942" t="n"/>
      <c r="AG107" s="3942" t="n"/>
      <c r="AH107" s="3942" t="n"/>
      <c r="AI107" s="3942" t="n"/>
      <c r="AJ107" s="3942" t="n"/>
      <c r="AK107" s="3942" t="n"/>
      <c r="AL107" s="3942" t="n"/>
      <c r="AM107" s="3942" t="n"/>
      <c r="AN107" s="3942" t="n"/>
      <c r="AO107" s="3942" t="n"/>
      <c r="AP107" s="3942" t="n"/>
      <c r="AQ107" s="3942" t="n"/>
      <c r="AR107" s="3942" t="n"/>
      <c r="AS107" s="3942" t="n"/>
    </row>
    <row r="108">
      <c r="A108" s="3944" t="n"/>
      <c r="B108" s="3944" t="n"/>
      <c r="C108" s="3944" t="n"/>
      <c r="D108" s="3944" t="n"/>
      <c r="E108" s="3944" t="n"/>
      <c r="F108" s="3944" t="n"/>
      <c r="G108" s="3942" t="n"/>
      <c r="H108" s="3942" t="n"/>
      <c r="I108" s="3942" t="n"/>
      <c r="J108" s="3942" t="n"/>
      <c r="K108" s="3942" t="n"/>
      <c r="L108" s="3942" t="n"/>
      <c r="M108" s="3942" t="n"/>
      <c r="N108" s="3942" t="n"/>
      <c r="O108" s="3942" t="n"/>
      <c r="P108" s="3942" t="n"/>
      <c r="Q108" s="3942" t="n"/>
      <c r="R108" s="3942" t="n"/>
      <c r="S108" s="3942" t="n"/>
      <c r="T108" s="3942" t="n"/>
      <c r="U108" s="3942" t="n"/>
      <c r="V108" s="3942" t="n"/>
      <c r="W108" s="3942" t="n"/>
      <c r="X108" s="3942" t="n"/>
      <c r="Y108" s="3942" t="n"/>
      <c r="Z108" s="3942" t="n"/>
      <c r="AA108" s="3942" t="n"/>
      <c r="AB108" s="3942" t="n"/>
      <c r="AC108" s="3942" t="n"/>
      <c r="AD108" s="3942" t="n"/>
      <c r="AE108" s="3942" t="n"/>
      <c r="AF108" s="3942" t="n"/>
      <c r="AG108" s="3942" t="n"/>
      <c r="AH108" s="3942" t="n"/>
      <c r="AI108" s="3942" t="n"/>
      <c r="AJ108" s="3942" t="n"/>
      <c r="AK108" s="3942" t="n"/>
      <c r="AL108" s="3942" t="n"/>
      <c r="AM108" s="3942" t="n"/>
      <c r="AN108" s="3942" t="n"/>
      <c r="AO108" s="3942" t="n"/>
      <c r="AP108" s="3942" t="n"/>
      <c r="AQ108" s="3942" t="n"/>
      <c r="AR108" s="3942" t="n"/>
      <c r="AS108" s="3942" t="n"/>
    </row>
    <row r="109">
      <c r="A109" s="3944" t="n"/>
      <c r="B109" s="3944" t="n"/>
      <c r="C109" s="3944" t="n"/>
      <c r="D109" s="3944" t="n"/>
      <c r="E109" s="3944" t="n"/>
      <c r="F109" s="3944" t="n"/>
      <c r="G109" s="3942" t="n"/>
      <c r="H109" s="3942" t="n"/>
      <c r="I109" s="3942" t="n"/>
      <c r="J109" s="3942" t="n"/>
      <c r="K109" s="3942" t="n"/>
      <c r="L109" s="3942" t="n"/>
      <c r="M109" s="3942" t="n"/>
      <c r="N109" s="3942" t="n"/>
      <c r="O109" s="3942" t="n"/>
      <c r="P109" s="3942" t="n"/>
      <c r="Q109" s="3942" t="n"/>
      <c r="R109" s="3942" t="n"/>
      <c r="S109" s="3942" t="n"/>
      <c r="T109" s="3942" t="n"/>
      <c r="U109" s="3942" t="n"/>
      <c r="V109" s="3942" t="n"/>
      <c r="W109" s="3942" t="n"/>
      <c r="X109" s="3942" t="n"/>
      <c r="Y109" s="3942" t="n"/>
      <c r="Z109" s="3942" t="n"/>
      <c r="AA109" s="3942" t="n"/>
      <c r="AB109" s="3942" t="n"/>
      <c r="AC109" s="3942" t="n"/>
      <c r="AD109" s="3942" t="n"/>
      <c r="AE109" s="3942" t="n"/>
      <c r="AF109" s="3942" t="n"/>
      <c r="AG109" s="3942" t="n"/>
      <c r="AH109" s="3942" t="n"/>
      <c r="AI109" s="3942" t="n"/>
      <c r="AJ109" s="3942" t="n"/>
      <c r="AK109" s="3942" t="n"/>
      <c r="AL109" s="3942" t="n"/>
      <c r="AM109" s="3942" t="n"/>
      <c r="AN109" s="3942" t="n"/>
      <c r="AO109" s="3942" t="n"/>
      <c r="AP109" s="3942" t="n"/>
      <c r="AQ109" s="3942" t="n"/>
      <c r="AR109" s="3942" t="n"/>
      <c r="AS109" s="3942" t="n"/>
    </row>
    <row r="110">
      <c r="A110" s="3944" t="n"/>
      <c r="B110" s="3944" t="n"/>
      <c r="C110" s="3944" t="n"/>
      <c r="D110" s="3944" t="n"/>
      <c r="E110" s="3944" t="n"/>
      <c r="F110" s="3944" t="n"/>
      <c r="G110" s="3942" t="n"/>
      <c r="H110" s="3942" t="n"/>
      <c r="I110" s="3942" t="n"/>
      <c r="J110" s="3942" t="n"/>
      <c r="K110" s="3942" t="n"/>
      <c r="L110" s="3942" t="n"/>
      <c r="M110" s="3942" t="n"/>
      <c r="N110" s="3942" t="n"/>
      <c r="O110" s="3942" t="n"/>
      <c r="P110" s="3942" t="n"/>
      <c r="Q110" s="3942" t="n"/>
      <c r="R110" s="3942" t="n"/>
      <c r="S110" s="3942" t="n"/>
      <c r="T110" s="3942" t="n"/>
      <c r="U110" s="3942" t="n"/>
      <c r="V110" s="3942" t="n"/>
      <c r="W110" s="3942" t="n"/>
      <c r="X110" s="3942" t="n"/>
      <c r="Y110" s="3942" t="n"/>
      <c r="Z110" s="3942" t="n"/>
      <c r="AA110" s="3942" t="n"/>
      <c r="AB110" s="3942" t="n"/>
      <c r="AC110" s="3942" t="n"/>
      <c r="AD110" s="3942" t="n"/>
      <c r="AE110" s="3942" t="n"/>
      <c r="AF110" s="3942" t="n"/>
      <c r="AG110" s="3942" t="n"/>
      <c r="AH110" s="3942" t="n"/>
      <c r="AI110" s="3942" t="n"/>
      <c r="AJ110" s="3942" t="n"/>
      <c r="AK110" s="3942" t="n"/>
      <c r="AL110" s="3942" t="n"/>
      <c r="AM110" s="3942" t="n"/>
      <c r="AN110" s="3942" t="n"/>
      <c r="AO110" s="3942" t="n"/>
      <c r="AP110" s="3942" t="n"/>
      <c r="AQ110" s="3942" t="n"/>
      <c r="AR110" s="3942" t="n"/>
      <c r="AS110" s="3942" t="n"/>
    </row>
    <row r="111">
      <c r="A111" s="3944" t="n"/>
      <c r="B111" s="3944" t="n"/>
      <c r="C111" s="3944" t="n"/>
      <c r="D111" s="3944" t="n"/>
      <c r="E111" s="3944" t="n"/>
      <c r="F111" s="3944" t="n"/>
      <c r="G111" s="3942" t="n"/>
      <c r="H111" s="3942" t="n"/>
      <c r="I111" s="3942" t="n"/>
      <c r="J111" s="3942" t="n"/>
      <c r="K111" s="3942" t="n"/>
      <c r="L111" s="3942" t="n"/>
      <c r="M111" s="3942" t="n"/>
      <c r="N111" s="3942" t="n"/>
      <c r="O111" s="3942" t="n"/>
      <c r="P111" s="3942" t="n"/>
      <c r="Q111" s="3942" t="n"/>
      <c r="R111" s="3942" t="n"/>
      <c r="S111" s="3942" t="n"/>
      <c r="T111" s="3942" t="n"/>
      <c r="U111" s="3942" t="n"/>
      <c r="V111" s="3942" t="n"/>
      <c r="W111" s="3942" t="n"/>
      <c r="X111" s="3942" t="n"/>
      <c r="Y111" s="3942" t="n"/>
      <c r="Z111" s="3942" t="n"/>
      <c r="AA111" s="3942" t="n"/>
      <c r="AB111" s="3942" t="n"/>
      <c r="AC111" s="3942" t="n"/>
      <c r="AD111" s="3942" t="n"/>
      <c r="AE111" s="3942" t="n"/>
      <c r="AF111" s="3942" t="n"/>
      <c r="AG111" s="3942" t="n"/>
      <c r="AH111" s="3942" t="n"/>
      <c r="AI111" s="3942" t="n"/>
      <c r="AJ111" s="3942" t="n"/>
      <c r="AK111" s="3942" t="n"/>
      <c r="AL111" s="3942" t="n"/>
      <c r="AM111" s="3942" t="n"/>
      <c r="AN111" s="3942" t="n"/>
      <c r="AO111" s="3942" t="n"/>
      <c r="AP111" s="3942" t="n"/>
      <c r="AQ111" s="3942" t="n"/>
      <c r="AR111" s="3942" t="n"/>
      <c r="AS111" s="3942" t="n"/>
    </row>
    <row r="112">
      <c r="A112" s="3944" t="n"/>
      <c r="B112" s="3944" t="n"/>
      <c r="C112" s="3944" t="n"/>
      <c r="D112" s="3944" t="n"/>
      <c r="E112" s="3944" t="n"/>
      <c r="F112" s="3944" t="n"/>
      <c r="G112" s="3942" t="n"/>
      <c r="H112" s="3942" t="n"/>
      <c r="I112" s="3942" t="n"/>
      <c r="J112" s="3942" t="n"/>
      <c r="K112" s="3942" t="n"/>
      <c r="L112" s="3942" t="n"/>
      <c r="M112" s="3942" t="n"/>
      <c r="N112" s="3942" t="n"/>
      <c r="O112" s="3942" t="n"/>
      <c r="P112" s="3942" t="n"/>
      <c r="Q112" s="3942" t="n"/>
      <c r="R112" s="3942" t="n"/>
      <c r="S112" s="3942" t="n"/>
      <c r="T112" s="3942" t="n"/>
      <c r="U112" s="3942" t="n"/>
      <c r="V112" s="3942" t="n"/>
      <c r="W112" s="3942" t="n"/>
      <c r="X112" s="3942" t="n"/>
      <c r="Y112" s="3942" t="n"/>
      <c r="Z112" s="3942" t="n"/>
      <c r="AA112" s="3942" t="n"/>
      <c r="AB112" s="3942" t="n"/>
      <c r="AC112" s="3942" t="n"/>
      <c r="AD112" s="3942" t="n"/>
      <c r="AE112" s="3942" t="n"/>
      <c r="AF112" s="3942" t="n"/>
      <c r="AG112" s="3942" t="n"/>
      <c r="AH112" s="3942" t="n"/>
      <c r="AI112" s="3942" t="n"/>
      <c r="AJ112" s="3942" t="n"/>
      <c r="AK112" s="3942" t="n"/>
      <c r="AL112" s="3942" t="n"/>
      <c r="AM112" s="3942" t="n"/>
      <c r="AN112" s="3942" t="n"/>
      <c r="AO112" s="3942" t="n"/>
      <c r="AP112" s="3942" t="n"/>
      <c r="AQ112" s="3942" t="n"/>
      <c r="AR112" s="3942" t="n"/>
      <c r="AS112" s="3942" t="n"/>
    </row>
    <row r="113">
      <c r="A113" s="3944" t="n"/>
      <c r="B113" s="3944" t="n"/>
      <c r="C113" s="3944" t="n"/>
      <c r="D113" s="3944" t="n"/>
      <c r="E113" s="3944" t="n"/>
      <c r="F113" s="3944" t="n"/>
      <c r="G113" s="3942" t="n"/>
      <c r="H113" s="3942" t="n"/>
      <c r="I113" s="3942" t="n"/>
      <c r="J113" s="3942" t="n"/>
      <c r="K113" s="3942" t="n"/>
      <c r="L113" s="3942" t="n"/>
      <c r="M113" s="3942" t="n"/>
      <c r="N113" s="3942" t="n"/>
      <c r="O113" s="3942" t="n"/>
      <c r="P113" s="3942" t="n"/>
      <c r="Q113" s="3942" t="n"/>
      <c r="R113" s="3942" t="n"/>
      <c r="S113" s="3942" t="n"/>
      <c r="T113" s="3942" t="n"/>
      <c r="U113" s="3942" t="n"/>
      <c r="V113" s="3942" t="n"/>
      <c r="W113" s="3942" t="n"/>
      <c r="X113" s="3942" t="n"/>
      <c r="Y113" s="3942" t="n"/>
      <c r="Z113" s="3942" t="n"/>
      <c r="AA113" s="3942" t="n"/>
      <c r="AB113" s="3942" t="n"/>
      <c r="AC113" s="3942" t="n"/>
      <c r="AD113" s="3942" t="n"/>
      <c r="AE113" s="3942" t="n"/>
      <c r="AF113" s="3942" t="n"/>
      <c r="AG113" s="3942" t="n"/>
      <c r="AH113" s="3942" t="n"/>
      <c r="AI113" s="3942" t="n"/>
      <c r="AJ113" s="3942" t="n"/>
      <c r="AK113" s="3942" t="n"/>
      <c r="AL113" s="3942" t="n"/>
      <c r="AM113" s="3942" t="n"/>
      <c r="AN113" s="3942" t="n"/>
      <c r="AO113" s="3942" t="n"/>
      <c r="AP113" s="3942" t="n"/>
      <c r="AQ113" s="3942" t="n"/>
      <c r="AR113" s="3942" t="n"/>
      <c r="AS113" s="3942" t="n"/>
    </row>
    <row r="114">
      <c r="A114" s="3944" t="n"/>
      <c r="B114" s="3944" t="n"/>
      <c r="C114" s="3944" t="n"/>
      <c r="D114" s="3944" t="n"/>
      <c r="E114" s="3944" t="n"/>
      <c r="F114" s="3944" t="n"/>
      <c r="G114" s="3942" t="n"/>
      <c r="H114" s="3942" t="n"/>
      <c r="I114" s="3942" t="n"/>
      <c r="J114" s="3942" t="n"/>
      <c r="K114" s="3942" t="n"/>
      <c r="L114" s="3942" t="n"/>
      <c r="M114" s="3942" t="n"/>
      <c r="N114" s="3942" t="n"/>
      <c r="O114" s="3942" t="n"/>
      <c r="P114" s="3942" t="n"/>
      <c r="Q114" s="3942" t="n"/>
      <c r="R114" s="3942" t="n"/>
      <c r="S114" s="3942" t="n"/>
      <c r="T114" s="3942" t="n"/>
      <c r="U114" s="3942" t="n"/>
      <c r="V114" s="3942" t="n"/>
      <c r="W114" s="3942" t="n"/>
      <c r="X114" s="3942" t="n"/>
      <c r="Y114" s="3942" t="n"/>
      <c r="Z114" s="3942" t="n"/>
      <c r="AA114" s="3942" t="n"/>
      <c r="AB114" s="3942" t="n"/>
      <c r="AC114" s="3942" t="n"/>
      <c r="AD114" s="3942" t="n"/>
      <c r="AE114" s="3942" t="n"/>
      <c r="AF114" s="3942" t="n"/>
      <c r="AG114" s="3942" t="n"/>
      <c r="AH114" s="3942" t="n"/>
      <c r="AI114" s="3942" t="n"/>
      <c r="AJ114" s="3942" t="n"/>
      <c r="AK114" s="3942" t="n"/>
      <c r="AL114" s="3942" t="n"/>
      <c r="AM114" s="3942" t="n"/>
      <c r="AN114" s="3942" t="n"/>
      <c r="AO114" s="3942" t="n"/>
      <c r="AP114" s="3942" t="n"/>
      <c r="AQ114" s="3942" t="n"/>
      <c r="AR114" s="3942" t="n"/>
      <c r="AS114" s="3942" t="n"/>
    </row>
    <row r="115">
      <c r="A115" s="3944" t="n"/>
      <c r="B115" s="3944" t="n"/>
      <c r="C115" s="3944" t="n"/>
      <c r="D115" s="3944" t="n"/>
      <c r="E115" s="3944" t="n"/>
      <c r="F115" s="3944" t="n"/>
      <c r="G115" s="3942" t="n"/>
      <c r="H115" s="3942" t="n"/>
      <c r="I115" s="3942" t="n"/>
      <c r="J115" s="3942" t="n"/>
      <c r="K115" s="3942" t="n"/>
      <c r="L115" s="3942" t="n"/>
      <c r="M115" s="3942" t="n"/>
      <c r="N115" s="3942" t="n"/>
      <c r="O115" s="3942" t="n"/>
      <c r="P115" s="3942" t="n"/>
      <c r="Q115" s="3942" t="n"/>
      <c r="R115" s="3942" t="n"/>
      <c r="S115" s="3942" t="n"/>
      <c r="T115" s="3942" t="n"/>
      <c r="U115" s="3942" t="n"/>
      <c r="V115" s="3942" t="n"/>
      <c r="W115" s="3942" t="n"/>
      <c r="X115" s="3942" t="n"/>
      <c r="Y115" s="3942" t="n"/>
      <c r="Z115" s="3942" t="n"/>
      <c r="AA115" s="3942" t="n"/>
      <c r="AB115" s="3942" t="n"/>
      <c r="AC115" s="3942" t="n"/>
      <c r="AD115" s="3942" t="n"/>
      <c r="AE115" s="3942" t="n"/>
      <c r="AF115" s="3942" t="n"/>
      <c r="AG115" s="3942" t="n"/>
      <c r="AH115" s="3942" t="n"/>
      <c r="AI115" s="3942" t="n"/>
      <c r="AJ115" s="3942" t="n"/>
      <c r="AK115" s="3942" t="n"/>
      <c r="AL115" s="3942" t="n"/>
      <c r="AM115" s="3942" t="n"/>
      <c r="AN115" s="3942" t="n"/>
      <c r="AO115" s="3942" t="n"/>
      <c r="AP115" s="3942" t="n"/>
      <c r="AQ115" s="3942" t="n"/>
      <c r="AR115" s="3942" t="n"/>
      <c r="AS115" s="3942" t="n"/>
    </row>
    <row r="116">
      <c r="A116" s="3944" t="n"/>
      <c r="B116" s="3944" t="n"/>
      <c r="C116" s="3944" t="n"/>
      <c r="D116" s="3944" t="n"/>
      <c r="E116" s="3944" t="n"/>
      <c r="F116" s="3944" t="n"/>
      <c r="G116" s="3942" t="n"/>
      <c r="H116" s="3942" t="n"/>
      <c r="I116" s="3942" t="n"/>
      <c r="J116" s="3942" t="n"/>
      <c r="K116" s="3942" t="n"/>
      <c r="L116" s="3942" t="n"/>
      <c r="M116" s="3942" t="n"/>
      <c r="N116" s="3942" t="n"/>
      <c r="O116" s="3942" t="n"/>
      <c r="P116" s="3942" t="n"/>
      <c r="Q116" s="3942" t="n"/>
      <c r="R116" s="3942" t="n"/>
      <c r="S116" s="3942" t="n"/>
      <c r="T116" s="3942" t="n"/>
      <c r="U116" s="3942" t="n"/>
      <c r="V116" s="3942" t="n"/>
      <c r="W116" s="3942" t="n"/>
      <c r="X116" s="3942" t="n"/>
      <c r="Y116" s="3942" t="n"/>
      <c r="Z116" s="3942" t="n"/>
      <c r="AA116" s="3942" t="n"/>
      <c r="AB116" s="3942" t="n"/>
      <c r="AC116" s="3942" t="n"/>
      <c r="AD116" s="3942" t="n"/>
      <c r="AE116" s="3942" t="n"/>
      <c r="AF116" s="3942" t="n"/>
      <c r="AG116" s="3942" t="n"/>
      <c r="AH116" s="3942" t="n"/>
      <c r="AI116" s="3942" t="n"/>
      <c r="AJ116" s="3942" t="n"/>
      <c r="AK116" s="3942" t="n"/>
      <c r="AL116" s="3942" t="n"/>
      <c r="AM116" s="3942" t="n"/>
      <c r="AN116" s="3942" t="n"/>
      <c r="AO116" s="3942" t="n"/>
      <c r="AP116" s="3942" t="n"/>
      <c r="AQ116" s="3942" t="n"/>
      <c r="AR116" s="3942" t="n"/>
      <c r="AS116" s="3942" t="n"/>
    </row>
    <row r="117">
      <c r="A117" s="3944" t="n"/>
      <c r="B117" s="3944" t="n"/>
      <c r="C117" s="3944" t="n"/>
      <c r="D117" s="3944" t="n"/>
      <c r="E117" s="3944" t="n"/>
      <c r="F117" s="3944" t="n"/>
      <c r="G117" s="3942" t="n"/>
      <c r="H117" s="3942" t="n"/>
      <c r="I117" s="3942" t="n"/>
      <c r="J117" s="3942" t="n"/>
      <c r="K117" s="3942" t="n"/>
      <c r="L117" s="3942" t="n"/>
      <c r="M117" s="3942" t="n"/>
      <c r="N117" s="3942" t="n"/>
      <c r="O117" s="3942" t="n"/>
      <c r="P117" s="3942" t="n"/>
      <c r="Q117" s="3942" t="n"/>
      <c r="R117" s="3942" t="n"/>
      <c r="S117" s="3942" t="n"/>
      <c r="T117" s="3942" t="n"/>
      <c r="U117" s="3942" t="n"/>
      <c r="V117" s="3942" t="n"/>
      <c r="W117" s="3942" t="n"/>
      <c r="X117" s="3942" t="n"/>
      <c r="Y117" s="3942" t="n"/>
      <c r="Z117" s="3942" t="n"/>
      <c r="AA117" s="3942" t="n"/>
      <c r="AB117" s="3942" t="n"/>
      <c r="AC117" s="3942" t="n"/>
      <c r="AD117" s="3942" t="n"/>
      <c r="AE117" s="3942" t="n"/>
      <c r="AF117" s="3942" t="n"/>
      <c r="AG117" s="3942" t="n"/>
      <c r="AH117" s="3942" t="n"/>
      <c r="AI117" s="3942" t="n"/>
      <c r="AJ117" s="3942" t="n"/>
      <c r="AK117" s="3942" t="n"/>
      <c r="AL117" s="3942" t="n"/>
      <c r="AM117" s="3942" t="n"/>
      <c r="AN117" s="3942" t="n"/>
      <c r="AO117" s="3942" t="n"/>
      <c r="AP117" s="3942" t="n"/>
      <c r="AQ117" s="3942" t="n"/>
      <c r="AR117" s="3942" t="n"/>
      <c r="AS117" s="3942" t="n"/>
    </row>
    <row r="118">
      <c r="A118" s="3944" t="n"/>
      <c r="B118" s="3944" t="n"/>
      <c r="C118" s="3944" t="n"/>
      <c r="D118" s="3944" t="n"/>
      <c r="E118" s="3944" t="n"/>
      <c r="F118" s="3944" t="n"/>
      <c r="G118" s="3942" t="n"/>
      <c r="H118" s="3942" t="n"/>
      <c r="I118" s="3942" t="n"/>
      <c r="J118" s="3942" t="n"/>
      <c r="K118" s="3942" t="n"/>
      <c r="L118" s="3942" t="n"/>
      <c r="M118" s="3942" t="n"/>
      <c r="N118" s="3942" t="n"/>
      <c r="O118" s="3942" t="n"/>
      <c r="P118" s="3942" t="n"/>
      <c r="Q118" s="3942" t="n"/>
      <c r="R118" s="3942" t="n"/>
      <c r="S118" s="3942" t="n"/>
      <c r="T118" s="3942" t="n"/>
      <c r="U118" s="3942" t="n"/>
      <c r="V118" s="3942" t="n"/>
      <c r="W118" s="3942" t="n"/>
      <c r="X118" s="3942" t="n"/>
      <c r="Y118" s="3942" t="n"/>
      <c r="Z118" s="3942" t="n"/>
      <c r="AA118" s="3942" t="n"/>
      <c r="AB118" s="3942" t="n"/>
      <c r="AC118" s="3942" t="n"/>
      <c r="AD118" s="3942" t="n"/>
      <c r="AE118" s="3942" t="n"/>
      <c r="AF118" s="3942" t="n"/>
      <c r="AG118" s="3942" t="n"/>
      <c r="AH118" s="3942" t="n"/>
      <c r="AI118" s="3942" t="n"/>
      <c r="AJ118" s="3942" t="n"/>
      <c r="AK118" s="3942" t="n"/>
      <c r="AL118" s="3942" t="n"/>
      <c r="AM118" s="3942" t="n"/>
      <c r="AN118" s="3942" t="n"/>
      <c r="AO118" s="3942" t="n"/>
      <c r="AP118" s="3942" t="n"/>
      <c r="AQ118" s="3942" t="n"/>
      <c r="AR118" s="3942" t="n"/>
      <c r="AS118" s="3942" t="n"/>
    </row>
    <row r="119">
      <c r="A119" s="3944" t="n"/>
      <c r="B119" s="3944" t="n"/>
      <c r="C119" s="3944" t="n"/>
      <c r="D119" s="3944" t="n"/>
      <c r="E119" s="3944" t="n"/>
      <c r="F119" s="3944" t="n"/>
      <c r="G119" s="3942" t="n"/>
      <c r="H119" s="3942" t="n"/>
      <c r="I119" s="3942" t="n"/>
      <c r="J119" s="3942" t="n"/>
      <c r="K119" s="3942" t="n"/>
      <c r="L119" s="3942" t="n"/>
      <c r="M119" s="3942" t="n"/>
      <c r="N119" s="3942" t="n"/>
      <c r="O119" s="3942" t="n"/>
      <c r="P119" s="3942" t="n"/>
      <c r="Q119" s="3942" t="n"/>
      <c r="R119" s="3942" t="n"/>
      <c r="S119" s="3942" t="n"/>
      <c r="T119" s="3942" t="n"/>
      <c r="U119" s="3942" t="n"/>
      <c r="V119" s="3942" t="n"/>
      <c r="W119" s="3942" t="n"/>
      <c r="X119" s="3942" t="n"/>
      <c r="Y119" s="3942" t="n"/>
      <c r="Z119" s="3942" t="n"/>
      <c r="AA119" s="3942" t="n"/>
      <c r="AB119" s="3942" t="n"/>
      <c r="AC119" s="3942" t="n"/>
      <c r="AD119" s="3942" t="n"/>
      <c r="AE119" s="3942" t="n"/>
      <c r="AF119" s="3942" t="n"/>
      <c r="AG119" s="3942" t="n"/>
      <c r="AH119" s="3942" t="n"/>
      <c r="AI119" s="3942" t="n"/>
      <c r="AJ119" s="3942" t="n"/>
      <c r="AK119" s="3942" t="n"/>
      <c r="AL119" s="3942" t="n"/>
      <c r="AM119" s="3942" t="n"/>
      <c r="AN119" s="3942" t="n"/>
      <c r="AO119" s="3942" t="n"/>
      <c r="AP119" s="3942" t="n"/>
      <c r="AQ119" s="3942" t="n"/>
      <c r="AR119" s="3942" t="n"/>
      <c r="AS119" s="3942" t="n"/>
    </row>
    <row r="120">
      <c r="A120" s="3944" t="n"/>
      <c r="B120" s="3944" t="n"/>
      <c r="C120" s="3944" t="n"/>
      <c r="D120" s="3944" t="n"/>
      <c r="E120" s="3944" t="n"/>
      <c r="F120" s="3944" t="n"/>
      <c r="G120" s="3942" t="n"/>
      <c r="H120" s="3942" t="n"/>
      <c r="I120" s="3942" t="n"/>
      <c r="J120" s="3942" t="n"/>
      <c r="K120" s="3942" t="n"/>
      <c r="L120" s="3942" t="n"/>
      <c r="M120" s="3942" t="n"/>
      <c r="N120" s="3942" t="n"/>
      <c r="O120" s="3942" t="n"/>
      <c r="P120" s="3942" t="n"/>
      <c r="Q120" s="3942" t="n"/>
      <c r="R120" s="3942" t="n"/>
      <c r="S120" s="3942" t="n"/>
      <c r="T120" s="3942" t="n"/>
      <c r="U120" s="3942" t="n"/>
      <c r="V120" s="3942" t="n"/>
      <c r="W120" s="3942" t="n"/>
      <c r="X120" s="3942" t="n"/>
      <c r="Y120" s="3942" t="n"/>
      <c r="Z120" s="3942" t="n"/>
      <c r="AA120" s="3942" t="n"/>
      <c r="AB120" s="3942" t="n"/>
      <c r="AC120" s="3942" t="n"/>
      <c r="AD120" s="3942" t="n"/>
      <c r="AE120" s="3942" t="n"/>
      <c r="AF120" s="3942" t="n"/>
      <c r="AG120" s="3942" t="n"/>
      <c r="AH120" s="3942" t="n"/>
      <c r="AI120" s="3942" t="n"/>
      <c r="AJ120" s="3942" t="n"/>
      <c r="AK120" s="3942" t="n"/>
      <c r="AL120" s="3942" t="n"/>
      <c r="AM120" s="3942" t="n"/>
      <c r="AN120" s="3942" t="n"/>
      <c r="AO120" s="3942" t="n"/>
      <c r="AP120" s="3942" t="n"/>
      <c r="AQ120" s="3942" t="n"/>
      <c r="AR120" s="3942" t="n"/>
      <c r="AS120" s="3942" t="n"/>
    </row>
    <row r="121">
      <c r="A121" s="3944" t="n"/>
      <c r="B121" s="3944" t="n"/>
      <c r="C121" s="3944" t="n"/>
      <c r="D121" s="3944" t="n"/>
      <c r="E121" s="3944" t="n"/>
      <c r="F121" s="3944" t="n"/>
      <c r="G121" s="3942" t="n"/>
      <c r="H121" s="3942" t="n"/>
      <c r="I121" s="3942" t="n"/>
      <c r="J121" s="3942" t="n"/>
      <c r="K121" s="3942" t="n"/>
      <c r="L121" s="3942" t="n"/>
      <c r="M121" s="3942" t="n"/>
      <c r="N121" s="3942" t="n"/>
      <c r="O121" s="3942" t="n"/>
      <c r="P121" s="3942" t="n"/>
      <c r="Q121" s="3942" t="n"/>
      <c r="R121" s="3942" t="n"/>
      <c r="S121" s="3942" t="n"/>
      <c r="T121" s="3942" t="n"/>
      <c r="U121" s="3942" t="n"/>
      <c r="V121" s="3942" t="n"/>
      <c r="W121" s="3942" t="n"/>
      <c r="X121" s="3942" t="n"/>
      <c r="Y121" s="3942" t="n"/>
      <c r="Z121" s="3942" t="n"/>
      <c r="AA121" s="3942" t="n"/>
      <c r="AB121" s="3942" t="n"/>
      <c r="AC121" s="3942" t="n"/>
      <c r="AD121" s="3942" t="n"/>
      <c r="AE121" s="3942" t="n"/>
      <c r="AF121" s="3942" t="n"/>
      <c r="AG121" s="3942" t="n"/>
      <c r="AH121" s="3942" t="n"/>
      <c r="AI121" s="3942" t="n"/>
      <c r="AJ121" s="3942" t="n"/>
      <c r="AK121" s="3942" t="n"/>
      <c r="AL121" s="3942" t="n"/>
      <c r="AM121" s="3942" t="n"/>
      <c r="AN121" s="3942" t="n"/>
      <c r="AO121" s="3942" t="n"/>
      <c r="AP121" s="3942" t="n"/>
      <c r="AQ121" s="3942" t="n"/>
      <c r="AR121" s="3942" t="n"/>
      <c r="AS121" s="3942" t="n"/>
    </row>
    <row r="122">
      <c r="A122" s="3944" t="n"/>
      <c r="B122" s="3944" t="n"/>
      <c r="C122" s="3944" t="n"/>
      <c r="D122" s="3944" t="n"/>
      <c r="E122" s="3944" t="n"/>
      <c r="F122" s="3944" t="n"/>
      <c r="G122" s="3942" t="n"/>
      <c r="H122" s="3942" t="n"/>
      <c r="I122" s="3942" t="n"/>
      <c r="J122" s="3942" t="n"/>
      <c r="K122" s="3942" t="n"/>
      <c r="L122" s="3942" t="n"/>
      <c r="M122" s="3942" t="n"/>
      <c r="N122" s="3942" t="n"/>
      <c r="O122" s="3942" t="n"/>
      <c r="P122" s="3942" t="n"/>
      <c r="Q122" s="3942" t="n"/>
      <c r="R122" s="3942" t="n"/>
      <c r="S122" s="3942" t="n"/>
      <c r="T122" s="3942" t="n"/>
      <c r="U122" s="3942" t="n"/>
      <c r="V122" s="3942" t="n"/>
      <c r="W122" s="3942" t="n"/>
      <c r="X122" s="3942" t="n"/>
      <c r="Y122" s="3942" t="n"/>
      <c r="Z122" s="3942" t="n"/>
      <c r="AA122" s="3942" t="n"/>
      <c r="AB122" s="3942" t="n"/>
      <c r="AC122" s="3942" t="n"/>
      <c r="AD122" s="3942" t="n"/>
      <c r="AE122" s="3942" t="n"/>
      <c r="AF122" s="3942" t="n"/>
      <c r="AG122" s="3942" t="n"/>
      <c r="AH122" s="3942" t="n"/>
      <c r="AI122" s="3942" t="n"/>
      <c r="AJ122" s="3942" t="n"/>
      <c r="AK122" s="3942" t="n"/>
      <c r="AL122" s="3942" t="n"/>
      <c r="AM122" s="3942" t="n"/>
      <c r="AN122" s="3942" t="n"/>
      <c r="AO122" s="3942" t="n"/>
      <c r="AP122" s="3942" t="n"/>
      <c r="AQ122" s="3942" t="n"/>
      <c r="AR122" s="3942" t="n"/>
      <c r="AS122" s="3942" t="n"/>
    </row>
    <row r="123">
      <c r="A123" s="3944" t="n"/>
      <c r="B123" s="3944" t="n"/>
      <c r="C123" s="3944" t="n"/>
      <c r="D123" s="3944" t="n"/>
      <c r="E123" s="3944" t="n"/>
      <c r="F123" s="3944" t="n"/>
      <c r="G123" s="3942" t="n"/>
      <c r="H123" s="3942" t="n"/>
      <c r="I123" s="3942" t="n"/>
      <c r="J123" s="3942" t="n"/>
      <c r="K123" s="3942" t="n"/>
      <c r="L123" s="3942" t="n"/>
      <c r="M123" s="3942" t="n"/>
      <c r="N123" s="3942" t="n"/>
      <c r="O123" s="3942" t="n"/>
      <c r="P123" s="3942" t="n"/>
      <c r="Q123" s="3942" t="n"/>
      <c r="R123" s="3942" t="n"/>
      <c r="S123" s="3942" t="n"/>
      <c r="T123" s="3942" t="n"/>
      <c r="U123" s="3942" t="n"/>
      <c r="V123" s="3942" t="n"/>
      <c r="W123" s="3942" t="n"/>
      <c r="X123" s="3942" t="n"/>
      <c r="Y123" s="3942" t="n"/>
      <c r="Z123" s="3942" t="n"/>
      <c r="AA123" s="3942" t="n"/>
      <c r="AB123" s="3942" t="n"/>
      <c r="AC123" s="3942" t="n"/>
      <c r="AD123" s="3942" t="n"/>
      <c r="AE123" s="3942" t="n"/>
      <c r="AF123" s="3942" t="n"/>
      <c r="AG123" s="3942" t="n"/>
      <c r="AH123" s="3942" t="n"/>
      <c r="AI123" s="3942" t="n"/>
      <c r="AJ123" s="3942" t="n"/>
      <c r="AK123" s="3942" t="n"/>
      <c r="AL123" s="3942" t="n"/>
      <c r="AM123" s="3942" t="n"/>
      <c r="AN123" s="3942" t="n"/>
      <c r="AO123" s="3942" t="n"/>
      <c r="AP123" s="3942" t="n"/>
      <c r="AQ123" s="3942" t="n"/>
      <c r="AR123" s="3942" t="n"/>
      <c r="AS123" s="3942" t="n"/>
    </row>
    <row r="124">
      <c r="A124" s="3944" t="n"/>
      <c r="B124" s="3944" t="n"/>
      <c r="C124" s="3944" t="n"/>
      <c r="D124" s="3944" t="n"/>
      <c r="E124" s="3944" t="n"/>
      <c r="F124" s="3944" t="n"/>
      <c r="G124" s="3942" t="n"/>
      <c r="H124" s="3942" t="n"/>
      <c r="I124" s="3942" t="n"/>
      <c r="J124" s="3942" t="n"/>
      <c r="K124" s="3942" t="n"/>
      <c r="L124" s="3942" t="n"/>
      <c r="M124" s="3942" t="n"/>
      <c r="N124" s="3942" t="n"/>
      <c r="O124" s="3942" t="n"/>
      <c r="P124" s="3942" t="n"/>
      <c r="Q124" s="3942" t="n"/>
      <c r="R124" s="3942" t="n"/>
      <c r="S124" s="3942" t="n"/>
      <c r="T124" s="3942" t="n"/>
      <c r="U124" s="3942" t="n"/>
      <c r="V124" s="3942" t="n"/>
      <c r="W124" s="3942" t="n"/>
      <c r="X124" s="3942" t="n"/>
      <c r="Y124" s="3942" t="n"/>
      <c r="Z124" s="3942" t="n"/>
      <c r="AA124" s="3942" t="n"/>
      <c r="AB124" s="3942" t="n"/>
      <c r="AC124" s="3942" t="n"/>
      <c r="AD124" s="3942" t="n"/>
      <c r="AE124" s="3942" t="n"/>
      <c r="AF124" s="3942" t="n"/>
      <c r="AG124" s="3942" t="n"/>
      <c r="AH124" s="3942" t="n"/>
      <c r="AI124" s="3942" t="n"/>
      <c r="AJ124" s="3942" t="n"/>
      <c r="AK124" s="3942" t="n"/>
      <c r="AL124" s="3942" t="n"/>
      <c r="AM124" s="3942" t="n"/>
      <c r="AN124" s="3942" t="n"/>
      <c r="AO124" s="3942" t="n"/>
      <c r="AP124" s="3942" t="n"/>
      <c r="AQ124" s="3942" t="n"/>
      <c r="AR124" s="3942" t="n"/>
      <c r="AS124" s="3942" t="n"/>
    </row>
    <row r="125">
      <c r="A125" s="3944" t="n"/>
      <c r="B125" s="3944" t="n"/>
      <c r="C125" s="3944" t="n"/>
      <c r="D125" s="3944" t="n"/>
      <c r="E125" s="3944" t="n"/>
      <c r="F125" s="3944" t="n"/>
      <c r="G125" s="3942" t="n"/>
      <c r="H125" s="3942" t="n"/>
      <c r="I125" s="3942" t="n"/>
      <c r="J125" s="3942" t="n"/>
      <c r="K125" s="3942" t="n"/>
      <c r="L125" s="3942" t="n"/>
      <c r="M125" s="3942" t="n"/>
      <c r="N125" s="3942" t="n"/>
      <c r="O125" s="3942" t="n"/>
      <c r="P125" s="3942" t="n"/>
      <c r="Q125" s="3942" t="n"/>
      <c r="R125" s="3942" t="n"/>
      <c r="S125" s="3942" t="n"/>
      <c r="T125" s="3942" t="n"/>
      <c r="U125" s="3942" t="n"/>
      <c r="V125" s="3942" t="n"/>
      <c r="W125" s="3942" t="n"/>
      <c r="X125" s="3942" t="n"/>
      <c r="Y125" s="3942" t="n"/>
      <c r="Z125" s="3942" t="n"/>
      <c r="AA125" s="3942" t="n"/>
      <c r="AB125" s="3942" t="n"/>
      <c r="AC125" s="3942" t="n"/>
      <c r="AD125" s="3942" t="n"/>
      <c r="AE125" s="3942" t="n"/>
      <c r="AF125" s="3942" t="n"/>
      <c r="AG125" s="3942" t="n"/>
      <c r="AH125" s="3942" t="n"/>
      <c r="AI125" s="3942" t="n"/>
      <c r="AJ125" s="3942" t="n"/>
      <c r="AK125" s="3942" t="n"/>
      <c r="AL125" s="3942" t="n"/>
      <c r="AM125" s="3942" t="n"/>
      <c r="AN125" s="3942" t="n"/>
      <c r="AO125" s="3942" t="n"/>
      <c r="AP125" s="3942" t="n"/>
      <c r="AQ125" s="3942" t="n"/>
      <c r="AR125" s="3942" t="n"/>
      <c r="AS125" s="3942" t="n"/>
    </row>
    <row r="126">
      <c r="A126" s="3944" t="n"/>
      <c r="B126" s="3944" t="n"/>
      <c r="C126" s="3944" t="n"/>
      <c r="D126" s="3944" t="n"/>
      <c r="E126" s="3944" t="n"/>
      <c r="F126" s="3944" t="n"/>
      <c r="G126" s="3942" t="n"/>
      <c r="H126" s="3942" t="n"/>
      <c r="I126" s="3942" t="n"/>
      <c r="J126" s="3942" t="n"/>
      <c r="K126" s="3942" t="n"/>
      <c r="L126" s="3942" t="n"/>
      <c r="M126" s="3942" t="n"/>
      <c r="N126" s="3942" t="n"/>
      <c r="O126" s="3942" t="n"/>
      <c r="P126" s="3942" t="n"/>
      <c r="Q126" s="3942" t="n"/>
      <c r="R126" s="3942" t="n"/>
      <c r="S126" s="3942" t="n"/>
      <c r="T126" s="3942" t="n"/>
      <c r="U126" s="3942" t="n"/>
      <c r="V126" s="3942" t="n"/>
      <c r="W126" s="3942" t="n"/>
      <c r="X126" s="3942" t="n"/>
      <c r="Y126" s="3942" t="n"/>
      <c r="Z126" s="3942" t="n"/>
      <c r="AA126" s="3942" t="n"/>
      <c r="AB126" s="3942" t="n"/>
      <c r="AC126" s="3942" t="n"/>
      <c r="AD126" s="3942" t="n"/>
      <c r="AE126" s="3942" t="n"/>
      <c r="AF126" s="3942" t="n"/>
      <c r="AG126" s="3942" t="n"/>
      <c r="AH126" s="3942" t="n"/>
      <c r="AI126" s="3942" t="n"/>
      <c r="AJ126" s="3942" t="n"/>
      <c r="AK126" s="3942" t="n"/>
      <c r="AL126" s="3942" t="n"/>
      <c r="AM126" s="3942" t="n"/>
      <c r="AN126" s="3942" t="n"/>
      <c r="AO126" s="3942" t="n"/>
      <c r="AP126" s="3942" t="n"/>
      <c r="AQ126" s="3942" t="n"/>
      <c r="AR126" s="3942" t="n"/>
      <c r="AS126" s="3942" t="n"/>
    </row>
    <row r="127">
      <c r="A127" s="3944" t="n"/>
      <c r="B127" s="3944" t="n"/>
      <c r="C127" s="3944" t="n"/>
      <c r="D127" s="3944" t="n"/>
      <c r="E127" s="3944" t="n"/>
      <c r="F127" s="3944" t="n"/>
      <c r="G127" s="3942" t="n"/>
      <c r="H127" s="3942" t="n"/>
      <c r="I127" s="3942" t="n"/>
      <c r="J127" s="3942" t="n"/>
      <c r="K127" s="3942" t="n"/>
      <c r="L127" s="3942" t="n"/>
      <c r="M127" s="3942" t="n"/>
      <c r="N127" s="3942" t="n"/>
      <c r="O127" s="3942" t="n"/>
      <c r="P127" s="3942" t="n"/>
      <c r="Q127" s="3942" t="n"/>
      <c r="R127" s="3942" t="n"/>
      <c r="S127" s="3942" t="n"/>
      <c r="T127" s="3942" t="n"/>
      <c r="U127" s="3942" t="n"/>
      <c r="V127" s="3942" t="n"/>
      <c r="W127" s="3942" t="n"/>
      <c r="X127" s="3942" t="n"/>
      <c r="Y127" s="3942" t="n"/>
      <c r="Z127" s="3942" t="n"/>
      <c r="AA127" s="3942" t="n"/>
      <c r="AB127" s="3942" t="n"/>
      <c r="AC127" s="3942" t="n"/>
      <c r="AD127" s="3942" t="n"/>
      <c r="AE127" s="3942" t="n"/>
      <c r="AF127" s="3942" t="n"/>
      <c r="AG127" s="3942" t="n"/>
      <c r="AH127" s="3942" t="n"/>
      <c r="AI127" s="3942" t="n"/>
      <c r="AJ127" s="3942" t="n"/>
      <c r="AK127" s="3942" t="n"/>
      <c r="AL127" s="3942" t="n"/>
      <c r="AM127" s="3942" t="n"/>
      <c r="AN127" s="3942" t="n"/>
      <c r="AO127" s="3942" t="n"/>
      <c r="AP127" s="3942" t="n"/>
      <c r="AQ127" s="3942" t="n"/>
      <c r="AR127" s="3942" t="n"/>
      <c r="AS127" s="3942" t="n"/>
    </row>
    <row r="128">
      <c r="A128" s="3944" t="n"/>
      <c r="B128" s="3944" t="n"/>
      <c r="C128" s="3944" t="n"/>
      <c r="D128" s="3944" t="n"/>
      <c r="E128" s="3944" t="n"/>
      <c r="F128" s="3944" t="n"/>
      <c r="G128" s="3942" t="n"/>
      <c r="H128" s="3942" t="n"/>
      <c r="I128" s="3942" t="n"/>
      <c r="J128" s="3942" t="n"/>
      <c r="K128" s="3942" t="n"/>
      <c r="L128" s="3942" t="n"/>
      <c r="M128" s="3942" t="n"/>
      <c r="N128" s="3942" t="n"/>
      <c r="O128" s="3942" t="n"/>
      <c r="P128" s="3942" t="n"/>
      <c r="Q128" s="3942" t="n"/>
      <c r="R128" s="3942" t="n"/>
      <c r="S128" s="3942" t="n"/>
      <c r="T128" s="3942" t="n"/>
      <c r="U128" s="3942" t="n"/>
      <c r="V128" s="3942" t="n"/>
      <c r="W128" s="3942" t="n"/>
      <c r="X128" s="3942" t="n"/>
      <c r="Y128" s="3942" t="n"/>
      <c r="Z128" s="3942" t="n"/>
      <c r="AA128" s="3942" t="n"/>
      <c r="AB128" s="3942" t="n"/>
      <c r="AC128" s="3942" t="n"/>
      <c r="AD128" s="3942" t="n"/>
      <c r="AE128" s="3942" t="n"/>
      <c r="AF128" s="3942" t="n"/>
      <c r="AG128" s="3942" t="n"/>
      <c r="AH128" s="3942" t="n"/>
      <c r="AI128" s="3942" t="n"/>
      <c r="AJ128" s="3942" t="n"/>
      <c r="AK128" s="3942" t="n"/>
      <c r="AL128" s="3942" t="n"/>
      <c r="AM128" s="3942" t="n"/>
      <c r="AN128" s="3942" t="n"/>
      <c r="AO128" s="3942" t="n"/>
      <c r="AP128" s="3942" t="n"/>
      <c r="AQ128" s="3942" t="n"/>
      <c r="AR128" s="3942" t="n"/>
      <c r="AS128" s="3942" t="n"/>
    </row>
    <row r="129">
      <c r="A129" s="3944" t="n"/>
      <c r="B129" s="3944" t="n"/>
      <c r="C129" s="3944" t="n"/>
      <c r="D129" s="3944" t="n"/>
      <c r="E129" s="3944" t="n"/>
      <c r="F129" s="3944" t="n"/>
      <c r="G129" s="3942" t="n"/>
      <c r="H129" s="3942" t="n"/>
      <c r="I129" s="3942" t="n"/>
      <c r="J129" s="3942" t="n"/>
      <c r="K129" s="3942" t="n"/>
      <c r="L129" s="3942" t="n"/>
      <c r="M129" s="3942" t="n"/>
      <c r="N129" s="3942" t="n"/>
      <c r="O129" s="3942" t="n"/>
      <c r="P129" s="3942" t="n"/>
      <c r="Q129" s="3942" t="n"/>
      <c r="R129" s="3942" t="n"/>
      <c r="S129" s="3942" t="n"/>
      <c r="T129" s="3942" t="n"/>
      <c r="U129" s="3942" t="n"/>
      <c r="V129" s="3942" t="n"/>
      <c r="W129" s="3942" t="n"/>
      <c r="X129" s="3942" t="n"/>
      <c r="Y129" s="3942" t="n"/>
      <c r="Z129" s="3942" t="n"/>
      <c r="AA129" s="3942" t="n"/>
      <c r="AB129" s="3942" t="n"/>
      <c r="AC129" s="3942" t="n"/>
      <c r="AD129" s="3942" t="n"/>
      <c r="AE129" s="3942" t="n"/>
      <c r="AF129" s="3942" t="n"/>
      <c r="AG129" s="3942" t="n"/>
      <c r="AH129" s="3942" t="n"/>
      <c r="AI129" s="3942" t="n"/>
      <c r="AJ129" s="3942" t="n"/>
      <c r="AK129" s="3942" t="n"/>
      <c r="AL129" s="3942" t="n"/>
      <c r="AM129" s="3942" t="n"/>
      <c r="AN129" s="3942" t="n"/>
      <c r="AO129" s="3942" t="n"/>
      <c r="AP129" s="3942" t="n"/>
      <c r="AQ129" s="3942" t="n"/>
      <c r="AR129" s="3942" t="n"/>
      <c r="AS129" s="3942" t="n"/>
    </row>
    <row r="130">
      <c r="A130" s="3944" t="n"/>
      <c r="B130" s="3944" t="n"/>
      <c r="C130" s="3944" t="n"/>
      <c r="D130" s="3944" t="n"/>
      <c r="E130" s="3944" t="n"/>
      <c r="F130" s="3944" t="n"/>
      <c r="G130" s="3942" t="n"/>
      <c r="H130" s="3942" t="n"/>
      <c r="I130" s="3942" t="n"/>
      <c r="J130" s="3942" t="n"/>
      <c r="K130" s="3942" t="n"/>
      <c r="L130" s="3942" t="n"/>
      <c r="M130" s="3942" t="n"/>
      <c r="N130" s="3942" t="n"/>
      <c r="O130" s="3942" t="n"/>
      <c r="P130" s="3942" t="n"/>
      <c r="Q130" s="3942" t="n"/>
      <c r="R130" s="3942" t="n"/>
      <c r="S130" s="3942" t="n"/>
      <c r="T130" s="3942" t="n"/>
      <c r="U130" s="3942" t="n"/>
      <c r="V130" s="3942" t="n"/>
      <c r="W130" s="3942" t="n"/>
      <c r="X130" s="3942" t="n"/>
      <c r="Y130" s="3942" t="n"/>
      <c r="Z130" s="3942" t="n"/>
      <c r="AA130" s="3942" t="n"/>
      <c r="AB130" s="3942" t="n"/>
      <c r="AC130" s="3942" t="n"/>
      <c r="AD130" s="3942" t="n"/>
      <c r="AE130" s="3942" t="n"/>
      <c r="AF130" s="3942" t="n"/>
      <c r="AG130" s="3942" t="n"/>
      <c r="AH130" s="3942" t="n"/>
      <c r="AI130" s="3942" t="n"/>
      <c r="AJ130" s="3942" t="n"/>
      <c r="AK130" s="3942" t="n"/>
      <c r="AL130" s="3942" t="n"/>
      <c r="AM130" s="3942" t="n"/>
      <c r="AN130" s="3942" t="n"/>
      <c r="AO130" s="3942" t="n"/>
      <c r="AP130" s="3942" t="n"/>
      <c r="AQ130" s="3942" t="n"/>
      <c r="AR130" s="3942" t="n"/>
      <c r="AS130" s="3942" t="n"/>
    </row>
    <row r="131">
      <c r="A131" s="3944" t="n"/>
      <c r="B131" s="3944" t="n"/>
      <c r="C131" s="3944" t="n"/>
      <c r="D131" s="3944" t="n"/>
      <c r="E131" s="3944" t="n"/>
      <c r="F131" s="3944" t="n"/>
      <c r="G131" s="3942" t="n"/>
      <c r="H131" s="3942" t="n"/>
      <c r="I131" s="3942" t="n"/>
      <c r="J131" s="3942" t="n"/>
      <c r="K131" s="3942" t="n"/>
      <c r="L131" s="3942" t="n"/>
      <c r="M131" s="3942" t="n"/>
      <c r="N131" s="3942" t="n"/>
      <c r="O131" s="3942" t="n"/>
      <c r="P131" s="3942" t="n"/>
      <c r="Q131" s="3942" t="n"/>
      <c r="R131" s="3942" t="n"/>
      <c r="S131" s="3942" t="n"/>
      <c r="T131" s="3942" t="n"/>
      <c r="U131" s="3942" t="n"/>
      <c r="V131" s="3942" t="n"/>
      <c r="W131" s="3942" t="n"/>
      <c r="X131" s="3942" t="n"/>
      <c r="Y131" s="3942" t="n"/>
      <c r="Z131" s="3942" t="n"/>
      <c r="AA131" s="3942" t="n"/>
      <c r="AB131" s="3942" t="n"/>
      <c r="AC131" s="3942" t="n"/>
      <c r="AD131" s="3942" t="n"/>
      <c r="AE131" s="3942" t="n"/>
      <c r="AF131" s="3942" t="n"/>
      <c r="AG131" s="3942" t="n"/>
      <c r="AH131" s="3942" t="n"/>
      <c r="AI131" s="3942" t="n"/>
      <c r="AJ131" s="3942" t="n"/>
      <c r="AK131" s="3942" t="n"/>
      <c r="AL131" s="3942" t="n"/>
      <c r="AM131" s="3942" t="n"/>
      <c r="AN131" s="3942" t="n"/>
      <c r="AO131" s="3942" t="n"/>
      <c r="AP131" s="3942" t="n"/>
      <c r="AQ131" s="3942" t="n"/>
      <c r="AR131" s="3942" t="n"/>
      <c r="AS131" s="3942" t="n"/>
    </row>
    <row r="132">
      <c r="A132" s="3944" t="n"/>
      <c r="B132" s="3944" t="n"/>
      <c r="C132" s="3944" t="n"/>
      <c r="D132" s="3944" t="n"/>
      <c r="E132" s="3944" t="n"/>
      <c r="F132" s="3944" t="n"/>
      <c r="G132" s="3942" t="n"/>
      <c r="H132" s="3942" t="n"/>
      <c r="I132" s="3942" t="n"/>
      <c r="J132" s="3942" t="n"/>
      <c r="K132" s="3942" t="n"/>
      <c r="L132" s="3942" t="n"/>
      <c r="M132" s="3942" t="n"/>
      <c r="N132" s="3942" t="n"/>
      <c r="O132" s="3942" t="n"/>
      <c r="P132" s="3942" t="n"/>
      <c r="Q132" s="3942" t="n"/>
      <c r="R132" s="3942" t="n"/>
      <c r="S132" s="3942" t="n"/>
      <c r="T132" s="3942" t="n"/>
      <c r="U132" s="3942" t="n"/>
      <c r="V132" s="3942" t="n"/>
      <c r="W132" s="3942" t="n"/>
      <c r="X132" s="3942" t="n"/>
      <c r="Y132" s="3942" t="n"/>
      <c r="Z132" s="3942" t="n"/>
      <c r="AA132" s="3942" t="n"/>
      <c r="AB132" s="3942" t="n"/>
      <c r="AC132" s="3942" t="n"/>
      <c r="AD132" s="3942" t="n"/>
      <c r="AE132" s="3942" t="n"/>
      <c r="AF132" s="3942" t="n"/>
      <c r="AG132" s="3942" t="n"/>
      <c r="AH132" s="3942" t="n"/>
      <c r="AI132" s="3942" t="n"/>
      <c r="AJ132" s="3942" t="n"/>
      <c r="AK132" s="3942" t="n"/>
      <c r="AL132" s="3942" t="n"/>
      <c r="AM132" s="3942" t="n"/>
      <c r="AN132" s="3942" t="n"/>
      <c r="AO132" s="3942" t="n"/>
      <c r="AP132" s="3942" t="n"/>
      <c r="AQ132" s="3942" t="n"/>
      <c r="AR132" s="3942" t="n"/>
      <c r="AS132" s="3942" t="n"/>
    </row>
    <row r="133">
      <c r="A133" s="3944" t="n"/>
      <c r="B133" s="3944" t="n"/>
      <c r="C133" s="3944" t="n"/>
      <c r="D133" s="3944" t="n"/>
      <c r="E133" s="3944" t="n"/>
      <c r="F133" s="3944" t="n"/>
      <c r="G133" s="3942" t="n"/>
      <c r="H133" s="3942" t="n"/>
      <c r="I133" s="3942" t="n"/>
      <c r="J133" s="3942" t="n"/>
      <c r="K133" s="3942" t="n"/>
      <c r="L133" s="3942" t="n"/>
      <c r="M133" s="3942" t="n"/>
      <c r="N133" s="3942" t="n"/>
      <c r="O133" s="3942" t="n"/>
      <c r="P133" s="3942" t="n"/>
      <c r="Q133" s="3942" t="n"/>
      <c r="R133" s="3942" t="n"/>
      <c r="S133" s="3942" t="n"/>
      <c r="T133" s="3942" t="n"/>
      <c r="U133" s="3942" t="n"/>
      <c r="V133" s="3942" t="n"/>
      <c r="W133" s="3942" t="n"/>
      <c r="X133" s="3942" t="n"/>
      <c r="Y133" s="3942" t="n"/>
      <c r="Z133" s="3942" t="n"/>
      <c r="AA133" s="3942" t="n"/>
      <c r="AB133" s="3942" t="n"/>
      <c r="AC133" s="3942" t="n"/>
      <c r="AD133" s="3942" t="n"/>
      <c r="AE133" s="3942" t="n"/>
      <c r="AF133" s="3942" t="n"/>
      <c r="AG133" s="3942" t="n"/>
      <c r="AH133" s="3942" t="n"/>
      <c r="AI133" s="3942" t="n"/>
      <c r="AJ133" s="3942" t="n"/>
      <c r="AK133" s="3942" t="n"/>
      <c r="AL133" s="3942" t="n"/>
      <c r="AM133" s="3942" t="n"/>
      <c r="AN133" s="3942" t="n"/>
      <c r="AO133" s="3942" t="n"/>
      <c r="AP133" s="3942" t="n"/>
      <c r="AQ133" s="3942" t="n"/>
      <c r="AR133" s="3942" t="n"/>
      <c r="AS133" s="3942" t="n"/>
    </row>
    <row r="134">
      <c r="A134" s="3944" t="n"/>
      <c r="B134" s="3944" t="n"/>
      <c r="C134" s="3944" t="n"/>
      <c r="D134" s="3944" t="n"/>
      <c r="E134" s="3944" t="n"/>
      <c r="F134" s="3944" t="n"/>
      <c r="G134" s="3942" t="n"/>
      <c r="H134" s="3942" t="n"/>
      <c r="I134" s="3942" t="n"/>
      <c r="J134" s="3942" t="n"/>
      <c r="K134" s="3942" t="n"/>
      <c r="L134" s="3942" t="n"/>
      <c r="M134" s="3942" t="n"/>
      <c r="N134" s="3942" t="n"/>
      <c r="O134" s="3942" t="n"/>
      <c r="P134" s="3942" t="n"/>
      <c r="Q134" s="3942" t="n"/>
      <c r="R134" s="3942" t="n"/>
      <c r="S134" s="3942" t="n"/>
      <c r="T134" s="3942" t="n"/>
      <c r="U134" s="3942" t="n"/>
      <c r="V134" s="3942" t="n"/>
      <c r="W134" s="3942" t="n"/>
      <c r="X134" s="3942" t="n"/>
      <c r="Y134" s="3942" t="n"/>
      <c r="Z134" s="3942" t="n"/>
      <c r="AA134" s="3942" t="n"/>
      <c r="AB134" s="3942" t="n"/>
      <c r="AC134" s="3942" t="n"/>
      <c r="AD134" s="3942" t="n"/>
      <c r="AE134" s="3942" t="n"/>
      <c r="AF134" s="3942" t="n"/>
      <c r="AG134" s="3942" t="n"/>
      <c r="AH134" s="3942" t="n"/>
      <c r="AI134" s="3942" t="n"/>
      <c r="AJ134" s="3942" t="n"/>
      <c r="AK134" s="3942" t="n"/>
      <c r="AL134" s="3942" t="n"/>
      <c r="AM134" s="3942" t="n"/>
      <c r="AN134" s="3942" t="n"/>
      <c r="AO134" s="3942" t="n"/>
      <c r="AP134" s="3942" t="n"/>
      <c r="AQ134" s="3942" t="n"/>
      <c r="AR134" s="3942" t="n"/>
      <c r="AS134" s="3942" t="n"/>
    </row>
    <row r="135">
      <c r="A135" s="3944" t="n"/>
      <c r="B135" s="3944" t="n"/>
      <c r="C135" s="3944" t="n"/>
      <c r="D135" s="3944" t="n"/>
      <c r="E135" s="3944" t="n"/>
      <c r="F135" s="3944" t="n"/>
      <c r="G135" s="3942" t="n"/>
      <c r="H135" s="3942" t="n"/>
      <c r="I135" s="3942" t="n"/>
      <c r="J135" s="3942" t="n"/>
      <c r="K135" s="3942" t="n"/>
      <c r="L135" s="3942" t="n"/>
      <c r="M135" s="3942" t="n"/>
      <c r="N135" s="3942" t="n"/>
      <c r="O135" s="3942" t="n"/>
      <c r="P135" s="3942" t="n"/>
      <c r="Q135" s="3942" t="n"/>
      <c r="R135" s="3942" t="n"/>
      <c r="S135" s="3942" t="n"/>
      <c r="T135" s="3942" t="n"/>
      <c r="U135" s="3942" t="n"/>
      <c r="V135" s="3942" t="n"/>
      <c r="W135" s="3942" t="n"/>
      <c r="X135" s="3942" t="n"/>
      <c r="Y135" s="3942" t="n"/>
      <c r="Z135" s="3942" t="n"/>
      <c r="AA135" s="3942" t="n"/>
      <c r="AB135" s="3942" t="n"/>
      <c r="AC135" s="3942" t="n"/>
      <c r="AD135" s="3942" t="n"/>
      <c r="AE135" s="3942" t="n"/>
      <c r="AF135" s="3942" t="n"/>
      <c r="AG135" s="3942" t="n"/>
      <c r="AH135" s="3942" t="n"/>
      <c r="AI135" s="3942" t="n"/>
      <c r="AJ135" s="3942" t="n"/>
      <c r="AK135" s="3942" t="n"/>
      <c r="AL135" s="3942" t="n"/>
      <c r="AM135" s="3942" t="n"/>
      <c r="AN135" s="3942" t="n"/>
      <c r="AO135" s="3942" t="n"/>
      <c r="AP135" s="3942" t="n"/>
      <c r="AQ135" s="3942" t="n"/>
      <c r="AR135" s="3942" t="n"/>
      <c r="AS135" s="3942" t="n"/>
    </row>
    <row r="136">
      <c r="A136" s="3944" t="n"/>
      <c r="B136" s="3944" t="n"/>
      <c r="C136" s="3944" t="n"/>
      <c r="D136" s="3944" t="n"/>
      <c r="E136" s="3944" t="n"/>
      <c r="F136" s="3944" t="n"/>
      <c r="G136" s="3942" t="n"/>
      <c r="H136" s="3942" t="n"/>
      <c r="I136" s="3942" t="n"/>
      <c r="J136" s="3942" t="n"/>
      <c r="K136" s="3942" t="n"/>
      <c r="L136" s="3942" t="n"/>
      <c r="M136" s="3942" t="n"/>
      <c r="N136" s="3942" t="n"/>
      <c r="O136" s="3942" t="n"/>
      <c r="P136" s="3942" t="n"/>
      <c r="Q136" s="3942" t="n"/>
      <c r="R136" s="3942" t="n"/>
      <c r="S136" s="3942" t="n"/>
      <c r="T136" s="3942" t="n"/>
      <c r="U136" s="3942" t="n"/>
      <c r="V136" s="3942" t="n"/>
      <c r="W136" s="3942" t="n"/>
      <c r="X136" s="3942" t="n"/>
      <c r="Y136" s="3942" t="n"/>
      <c r="Z136" s="3942" t="n"/>
      <c r="AA136" s="3942" t="n"/>
      <c r="AB136" s="3942" t="n"/>
      <c r="AC136" s="3942" t="n"/>
      <c r="AD136" s="3942" t="n"/>
      <c r="AE136" s="3942" t="n"/>
      <c r="AF136" s="3942" t="n"/>
      <c r="AG136" s="3942" t="n"/>
      <c r="AH136" s="3942" t="n"/>
      <c r="AI136" s="3942" t="n"/>
      <c r="AJ136" s="3942" t="n"/>
      <c r="AK136" s="3942" t="n"/>
      <c r="AL136" s="3942" t="n"/>
      <c r="AM136" s="3942" t="n"/>
      <c r="AN136" s="3942" t="n"/>
      <c r="AO136" s="3942" t="n"/>
      <c r="AP136" s="3942" t="n"/>
      <c r="AQ136" s="3942" t="n"/>
      <c r="AR136" s="3942" t="n"/>
      <c r="AS136" s="3942" t="n"/>
    </row>
    <row r="137">
      <c r="A137" s="3944" t="n"/>
      <c r="B137" s="3944" t="n"/>
      <c r="C137" s="3944" t="n"/>
      <c r="D137" s="3944" t="n"/>
      <c r="E137" s="3944" t="n"/>
      <c r="F137" s="3944" t="n"/>
      <c r="G137" s="3942" t="n"/>
      <c r="H137" s="3942" t="n"/>
      <c r="I137" s="3942" t="n"/>
      <c r="J137" s="3942" t="n"/>
      <c r="K137" s="3942" t="n"/>
      <c r="L137" s="3942" t="n"/>
      <c r="M137" s="3942" t="n"/>
      <c r="N137" s="3942" t="n"/>
      <c r="O137" s="3942" t="n"/>
      <c r="P137" s="3942" t="n"/>
      <c r="Q137" s="3942" t="n"/>
      <c r="R137" s="3942" t="n"/>
      <c r="S137" s="3942" t="n"/>
      <c r="T137" s="3942" t="n"/>
      <c r="U137" s="3942" t="n"/>
      <c r="V137" s="3942" t="n"/>
      <c r="W137" s="3942" t="n"/>
      <c r="X137" s="3942" t="n"/>
      <c r="Y137" s="3942" t="n"/>
      <c r="Z137" s="3942" t="n"/>
      <c r="AA137" s="3942" t="n"/>
      <c r="AB137" s="3942" t="n"/>
      <c r="AC137" s="3942" t="n"/>
      <c r="AD137" s="3942" t="n"/>
      <c r="AE137" s="3942" t="n"/>
      <c r="AF137" s="3942" t="n"/>
      <c r="AG137" s="3942" t="n"/>
      <c r="AH137" s="3942" t="n"/>
      <c r="AI137" s="3942" t="n"/>
      <c r="AJ137" s="3942" t="n"/>
      <c r="AK137" s="3942" t="n"/>
      <c r="AL137" s="3942" t="n"/>
      <c r="AM137" s="3942" t="n"/>
      <c r="AN137" s="3942" t="n"/>
      <c r="AO137" s="3942" t="n"/>
      <c r="AP137" s="3942" t="n"/>
      <c r="AQ137" s="3942" t="n"/>
      <c r="AR137" s="3942" t="n"/>
      <c r="AS137" s="3942" t="n"/>
    </row>
    <row r="138">
      <c r="A138" s="3944" t="n"/>
      <c r="B138" s="3944" t="n"/>
      <c r="C138" s="3944" t="n"/>
      <c r="D138" s="3944" t="n"/>
      <c r="E138" s="3944" t="n"/>
      <c r="F138" s="3944" t="n"/>
      <c r="G138" s="3942" t="n"/>
      <c r="H138" s="3942" t="n"/>
      <c r="I138" s="3942" t="n"/>
      <c r="J138" s="3942" t="n"/>
      <c r="K138" s="3942" t="n"/>
      <c r="L138" s="3942" t="n"/>
      <c r="M138" s="3942" t="n"/>
      <c r="N138" s="3942" t="n"/>
      <c r="O138" s="3942" t="n"/>
      <c r="P138" s="3942" t="n"/>
      <c r="Q138" s="3942" t="n"/>
      <c r="R138" s="3942" t="n"/>
      <c r="S138" s="3942" t="n"/>
      <c r="T138" s="3942" t="n"/>
      <c r="U138" s="3942" t="n"/>
      <c r="V138" s="3942" t="n"/>
      <c r="W138" s="3942" t="n"/>
      <c r="X138" s="3942" t="n"/>
      <c r="Y138" s="3942" t="n"/>
      <c r="Z138" s="3942" t="n"/>
      <c r="AA138" s="3942" t="n"/>
      <c r="AB138" s="3942" t="n"/>
      <c r="AC138" s="3942" t="n"/>
      <c r="AD138" s="3942" t="n"/>
      <c r="AE138" s="3942" t="n"/>
      <c r="AF138" s="3942" t="n"/>
      <c r="AG138" s="3942" t="n"/>
      <c r="AH138" s="3942" t="n"/>
      <c r="AI138" s="3942" t="n"/>
      <c r="AJ138" s="3942" t="n"/>
      <c r="AK138" s="3942" t="n"/>
      <c r="AL138" s="3942" t="n"/>
      <c r="AM138" s="3942" t="n"/>
      <c r="AN138" s="3942" t="n"/>
      <c r="AO138" s="3942" t="n"/>
      <c r="AP138" s="3942" t="n"/>
      <c r="AQ138" s="3942" t="n"/>
      <c r="AR138" s="3942" t="n"/>
      <c r="AS138" s="3942" t="n"/>
    </row>
    <row r="139">
      <c r="A139" s="3944" t="n"/>
      <c r="B139" s="3944" t="n"/>
      <c r="C139" s="3944" t="n"/>
      <c r="D139" s="3944" t="n"/>
      <c r="E139" s="3944" t="n"/>
      <c r="F139" s="3944" t="n"/>
      <c r="G139" s="3942" t="n"/>
      <c r="H139" s="3942" t="n"/>
      <c r="I139" s="3942" t="n"/>
      <c r="J139" s="3942" t="n"/>
      <c r="K139" s="3942" t="n"/>
      <c r="L139" s="3942" t="n"/>
      <c r="M139" s="3942" t="n"/>
      <c r="N139" s="3942" t="n"/>
      <c r="O139" s="3942" t="n"/>
      <c r="P139" s="3942" t="n"/>
      <c r="Q139" s="3942" t="n"/>
      <c r="R139" s="3942" t="n"/>
      <c r="S139" s="3942" t="n"/>
      <c r="T139" s="3942" t="n"/>
      <c r="U139" s="3942" t="n"/>
      <c r="V139" s="3942" t="n"/>
      <c r="W139" s="3942" t="n"/>
      <c r="X139" s="3942" t="n"/>
      <c r="Y139" s="3942" t="n"/>
      <c r="Z139" s="3942" t="n"/>
      <c r="AA139" s="3942" t="n"/>
      <c r="AB139" s="3942" t="n"/>
      <c r="AC139" s="3942" t="n"/>
      <c r="AD139" s="3942" t="n"/>
      <c r="AE139" s="3942" t="n"/>
      <c r="AF139" s="3942" t="n"/>
      <c r="AG139" s="3942" t="n"/>
      <c r="AH139" s="3942" t="n"/>
      <c r="AI139" s="3942" t="n"/>
      <c r="AJ139" s="3942" t="n"/>
      <c r="AK139" s="3942" t="n"/>
      <c r="AL139" s="3942" t="n"/>
      <c r="AM139" s="3942" t="n"/>
      <c r="AN139" s="3942" t="n"/>
      <c r="AO139" s="3942" t="n"/>
      <c r="AP139" s="3942" t="n"/>
      <c r="AQ139" s="3942" t="n"/>
      <c r="AR139" s="3942" t="n"/>
      <c r="AS139" s="3942" t="n"/>
    </row>
    <row r="140">
      <c r="A140" s="3944" t="n"/>
      <c r="B140" s="3944" t="n"/>
      <c r="C140" s="3944" t="n"/>
      <c r="D140" s="3944" t="n"/>
      <c r="E140" s="3944" t="n"/>
      <c r="F140" s="3944" t="n"/>
      <c r="G140" s="3942" t="n"/>
      <c r="H140" s="3942" t="n"/>
      <c r="I140" s="3942" t="n"/>
      <c r="J140" s="3942" t="n"/>
      <c r="K140" s="3942" t="n"/>
      <c r="L140" s="3942" t="n"/>
      <c r="M140" s="3942" t="n"/>
      <c r="N140" s="3942" t="n"/>
      <c r="O140" s="3942" t="n"/>
      <c r="P140" s="3942" t="n"/>
      <c r="Q140" s="3942" t="n"/>
      <c r="R140" s="3942" t="n"/>
      <c r="S140" s="3942" t="n"/>
      <c r="T140" s="3942" t="n"/>
      <c r="U140" s="3942" t="n"/>
      <c r="V140" s="3942" t="n"/>
      <c r="W140" s="3942" t="n"/>
      <c r="X140" s="3942" t="n"/>
      <c r="Y140" s="3942" t="n"/>
      <c r="Z140" s="3942" t="n"/>
      <c r="AA140" s="3942" t="n"/>
      <c r="AB140" s="3942" t="n"/>
      <c r="AC140" s="3942" t="n"/>
      <c r="AD140" s="3942" t="n"/>
      <c r="AE140" s="3942" t="n"/>
      <c r="AF140" s="3942" t="n"/>
      <c r="AG140" s="3942" t="n"/>
      <c r="AH140" s="3942" t="n"/>
      <c r="AI140" s="3942" t="n"/>
      <c r="AJ140" s="3942" t="n"/>
      <c r="AK140" s="3942" t="n"/>
      <c r="AL140" s="3942" t="n"/>
      <c r="AM140" s="3942" t="n"/>
      <c r="AN140" s="3942" t="n"/>
      <c r="AO140" s="3942" t="n"/>
      <c r="AP140" s="3942" t="n"/>
      <c r="AQ140" s="3942" t="n"/>
      <c r="AR140" s="3942" t="n"/>
      <c r="AS140" s="3942" t="n"/>
    </row>
    <row r="141">
      <c r="A141" s="3944" t="n"/>
      <c r="B141" s="3944" t="n"/>
      <c r="C141" s="3944" t="n"/>
      <c r="D141" s="3944" t="n"/>
      <c r="E141" s="3944" t="n"/>
      <c r="F141" s="3944" t="n"/>
      <c r="G141" s="3942" t="n"/>
      <c r="H141" s="3942" t="n"/>
      <c r="I141" s="3942" t="n"/>
      <c r="J141" s="3942" t="n"/>
      <c r="K141" s="3942" t="n"/>
      <c r="L141" s="3942" t="n"/>
      <c r="M141" s="3942" t="n"/>
      <c r="N141" s="3942" t="n"/>
      <c r="O141" s="3942" t="n"/>
      <c r="P141" s="3942" t="n"/>
      <c r="Q141" s="3942" t="n"/>
      <c r="R141" s="3942" t="n"/>
      <c r="S141" s="3942" t="n"/>
      <c r="T141" s="3942" t="n"/>
      <c r="U141" s="3942" t="n"/>
      <c r="V141" s="3942" t="n"/>
      <c r="W141" s="3942" t="n"/>
      <c r="X141" s="3942" t="n"/>
      <c r="Y141" s="3942" t="n"/>
      <c r="Z141" s="3942" t="n"/>
      <c r="AA141" s="3942" t="n"/>
      <c r="AB141" s="3942" t="n"/>
      <c r="AC141" s="3942" t="n"/>
      <c r="AD141" s="3942" t="n"/>
      <c r="AE141" s="3942" t="n"/>
      <c r="AF141" s="3942" t="n"/>
      <c r="AG141" s="3942" t="n"/>
      <c r="AH141" s="3942" t="n"/>
      <c r="AI141" s="3942" t="n"/>
      <c r="AJ141" s="3942" t="n"/>
      <c r="AK141" s="3942" t="n"/>
      <c r="AL141" s="3942" t="n"/>
      <c r="AM141" s="3942" t="n"/>
      <c r="AN141" s="3942" t="n"/>
      <c r="AO141" s="3942" t="n"/>
      <c r="AP141" s="3942" t="n"/>
      <c r="AQ141" s="3942" t="n"/>
      <c r="AR141" s="3942" t="n"/>
      <c r="AS141" s="3942" t="n"/>
    </row>
    <row r="142">
      <c r="A142" s="3944" t="n"/>
      <c r="B142" s="3944" t="n"/>
      <c r="C142" s="3944" t="n"/>
      <c r="D142" s="3944" t="n"/>
      <c r="E142" s="3944" t="n"/>
      <c r="F142" s="3944" t="n"/>
      <c r="G142" s="3942" t="n"/>
      <c r="H142" s="3942" t="n"/>
      <c r="I142" s="3942" t="n"/>
      <c r="J142" s="3942" t="n"/>
      <c r="K142" s="3942" t="n"/>
      <c r="L142" s="3942" t="n"/>
      <c r="M142" s="3942" t="n"/>
      <c r="N142" s="3942" t="n"/>
      <c r="O142" s="3942" t="n"/>
      <c r="P142" s="3942" t="n"/>
      <c r="Q142" s="3942" t="n"/>
      <c r="R142" s="3942" t="n"/>
      <c r="S142" s="3942" t="n"/>
      <c r="T142" s="3942" t="n"/>
      <c r="U142" s="3942" t="n"/>
      <c r="V142" s="3942" t="n"/>
      <c r="W142" s="3942" t="n"/>
      <c r="X142" s="3942" t="n"/>
      <c r="Y142" s="3942" t="n"/>
      <c r="Z142" s="3942" t="n"/>
      <c r="AA142" s="3942" t="n"/>
      <c r="AB142" s="3942" t="n"/>
      <c r="AC142" s="3942" t="n"/>
      <c r="AD142" s="3942" t="n"/>
      <c r="AE142" s="3942" t="n"/>
      <c r="AF142" s="3942" t="n"/>
      <c r="AG142" s="3942" t="n"/>
      <c r="AH142" s="3942" t="n"/>
      <c r="AI142" s="3942" t="n"/>
      <c r="AJ142" s="3942" t="n"/>
      <c r="AK142" s="3942" t="n"/>
      <c r="AL142" s="3942" t="n"/>
      <c r="AM142" s="3942" t="n"/>
      <c r="AN142" s="3942" t="n"/>
      <c r="AO142" s="3942" t="n"/>
      <c r="AP142" s="3942" t="n"/>
      <c r="AQ142" s="3942" t="n"/>
      <c r="AR142" s="3942" t="n"/>
      <c r="AS142" s="3942" t="n"/>
    </row>
    <row r="143">
      <c r="A143" s="3944" t="n"/>
      <c r="B143" s="3944" t="n"/>
      <c r="C143" s="3944" t="n"/>
      <c r="D143" s="3944" t="n"/>
      <c r="E143" s="3944" t="n"/>
      <c r="F143" s="3944" t="n"/>
      <c r="G143" s="3942" t="n"/>
      <c r="H143" s="3942" t="n"/>
      <c r="I143" s="3942" t="n"/>
      <c r="J143" s="3942" t="n"/>
      <c r="K143" s="3942" t="n"/>
      <c r="L143" s="3942" t="n"/>
      <c r="M143" s="3942" t="n"/>
      <c r="N143" s="3942" t="n"/>
      <c r="O143" s="3942" t="n"/>
      <c r="P143" s="3942" t="n"/>
      <c r="Q143" s="3942" t="n"/>
      <c r="R143" s="3942" t="n"/>
      <c r="S143" s="3942" t="n"/>
      <c r="T143" s="3942" t="n"/>
      <c r="U143" s="3942" t="n"/>
      <c r="V143" s="3942" t="n"/>
      <c r="W143" s="3942" t="n"/>
      <c r="X143" s="3942" t="n"/>
      <c r="Y143" s="3942" t="n"/>
      <c r="Z143" s="3942" t="n"/>
      <c r="AA143" s="3942" t="n"/>
      <c r="AB143" s="3942" t="n"/>
      <c r="AC143" s="3942" t="n"/>
      <c r="AD143" s="3942" t="n"/>
      <c r="AE143" s="3942" t="n"/>
      <c r="AF143" s="3942" t="n"/>
      <c r="AG143" s="3942" t="n"/>
      <c r="AH143" s="3942" t="n"/>
      <c r="AI143" s="3942" t="n"/>
      <c r="AJ143" s="3942" t="n"/>
      <c r="AK143" s="3942" t="n"/>
      <c r="AL143" s="3942" t="n"/>
      <c r="AM143" s="3942" t="n"/>
      <c r="AN143" s="3942" t="n"/>
      <c r="AO143" s="3942" t="n"/>
      <c r="AP143" s="3942" t="n"/>
      <c r="AQ143" s="3942" t="n"/>
      <c r="AR143" s="3942" t="n"/>
      <c r="AS143" s="3942" t="n"/>
    </row>
    <row r="144">
      <c r="A144" s="3944" t="n"/>
      <c r="B144" s="3944" t="n"/>
      <c r="C144" s="3944" t="n"/>
      <c r="D144" s="3944" t="n"/>
      <c r="E144" s="3944" t="n"/>
      <c r="F144" s="3944" t="n"/>
      <c r="G144" s="3942" t="n"/>
      <c r="H144" s="3942" t="n"/>
      <c r="I144" s="3942" t="n"/>
      <c r="J144" s="3942" t="n"/>
      <c r="K144" s="3942" t="n"/>
      <c r="L144" s="3942" t="n"/>
      <c r="M144" s="3942" t="n"/>
      <c r="N144" s="3942" t="n"/>
      <c r="O144" s="3942" t="n"/>
      <c r="P144" s="3942" t="n"/>
      <c r="Q144" s="3942" t="n"/>
      <c r="R144" s="3942" t="n"/>
      <c r="S144" s="3942" t="n"/>
      <c r="T144" s="3942" t="n"/>
      <c r="U144" s="3942" t="n"/>
      <c r="V144" s="3942" t="n"/>
      <c r="W144" s="3942" t="n"/>
      <c r="X144" s="3942" t="n"/>
      <c r="Y144" s="3942" t="n"/>
      <c r="Z144" s="3942" t="n"/>
      <c r="AA144" s="3942" t="n"/>
      <c r="AB144" s="3942" t="n"/>
      <c r="AC144" s="3942" t="n"/>
      <c r="AD144" s="3942" t="n"/>
      <c r="AE144" s="3942" t="n"/>
      <c r="AF144" s="3942" t="n"/>
      <c r="AG144" s="3942" t="n"/>
      <c r="AH144" s="3942" t="n"/>
      <c r="AI144" s="3942" t="n"/>
      <c r="AJ144" s="3942" t="n"/>
      <c r="AK144" s="3942" t="n"/>
      <c r="AL144" s="3942" t="n"/>
      <c r="AM144" s="3942" t="n"/>
      <c r="AN144" s="3942" t="n"/>
      <c r="AO144" s="3942" t="n"/>
      <c r="AP144" s="3942" t="n"/>
      <c r="AQ144" s="3942" t="n"/>
      <c r="AR144" s="3942" t="n"/>
      <c r="AS144" s="3942" t="n"/>
    </row>
    <row r="145">
      <c r="A145" s="3944" t="n"/>
      <c r="B145" s="3944" t="n"/>
      <c r="C145" s="3944" t="n"/>
      <c r="D145" s="3944" t="n"/>
      <c r="E145" s="3944" t="n"/>
      <c r="F145" s="3944" t="n"/>
      <c r="G145" s="3942" t="n"/>
      <c r="H145" s="3942" t="n"/>
      <c r="I145" s="3942" t="n"/>
      <c r="J145" s="3942" t="n"/>
      <c r="K145" s="3942" t="n"/>
      <c r="L145" s="3942" t="n"/>
      <c r="M145" s="3942" t="n"/>
      <c r="N145" s="3942" t="n"/>
      <c r="O145" s="3942" t="n"/>
      <c r="P145" s="3942" t="n"/>
      <c r="Q145" s="3942" t="n"/>
      <c r="R145" s="3942" t="n"/>
      <c r="S145" s="3942" t="n"/>
      <c r="T145" s="3942" t="n"/>
      <c r="U145" s="3942" t="n"/>
      <c r="V145" s="3942" t="n"/>
      <c r="W145" s="3942" t="n"/>
      <c r="X145" s="3942" t="n"/>
      <c r="Y145" s="3942" t="n"/>
      <c r="Z145" s="3942" t="n"/>
      <c r="AA145" s="3942" t="n"/>
      <c r="AB145" s="3942" t="n"/>
      <c r="AC145" s="3942" t="n"/>
      <c r="AD145" s="3942" t="n"/>
      <c r="AE145" s="3942" t="n"/>
      <c r="AF145" s="3942" t="n"/>
      <c r="AG145" s="3942" t="n"/>
      <c r="AH145" s="3942" t="n"/>
      <c r="AI145" s="3942" t="n"/>
      <c r="AJ145" s="3942" t="n"/>
      <c r="AK145" s="3942" t="n"/>
      <c r="AL145" s="3942" t="n"/>
      <c r="AM145" s="3942" t="n"/>
      <c r="AN145" s="3942" t="n"/>
      <c r="AO145" s="3942" t="n"/>
      <c r="AP145" s="3942" t="n"/>
      <c r="AQ145" s="3942" t="n"/>
      <c r="AR145" s="3942" t="n"/>
      <c r="AS145" s="3942" t="n"/>
    </row>
    <row r="146">
      <c r="A146" s="3944" t="n"/>
      <c r="B146" s="3944" t="n"/>
      <c r="C146" s="3944" t="n"/>
      <c r="D146" s="3944" t="n"/>
      <c r="E146" s="3944" t="n"/>
      <c r="F146" s="3944" t="n"/>
      <c r="G146" s="3942" t="n"/>
      <c r="H146" s="3942" t="n"/>
      <c r="I146" s="3942" t="n"/>
      <c r="J146" s="3942" t="n"/>
      <c r="K146" s="3942" t="n"/>
      <c r="L146" s="3942" t="n"/>
      <c r="M146" s="3942" t="n"/>
      <c r="N146" s="3942" t="n"/>
      <c r="O146" s="3942" t="n"/>
      <c r="P146" s="3942" t="n"/>
      <c r="Q146" s="3942" t="n"/>
      <c r="R146" s="3942" t="n"/>
      <c r="S146" s="3942" t="n"/>
      <c r="T146" s="3942" t="n"/>
      <c r="U146" s="3942" t="n"/>
      <c r="V146" s="3942" t="n"/>
      <c r="W146" s="3942" t="n"/>
      <c r="X146" s="3942" t="n"/>
      <c r="Y146" s="3942" t="n"/>
      <c r="Z146" s="3942" t="n"/>
      <c r="AA146" s="3942" t="n"/>
      <c r="AB146" s="3942" t="n"/>
      <c r="AC146" s="3942" t="n"/>
      <c r="AD146" s="3942" t="n"/>
      <c r="AE146" s="3942" t="n"/>
      <c r="AF146" s="3942" t="n"/>
      <c r="AG146" s="3942" t="n"/>
      <c r="AH146" s="3942" t="n"/>
      <c r="AI146" s="3942" t="n"/>
      <c r="AJ146" s="3942" t="n"/>
      <c r="AK146" s="3942" t="n"/>
      <c r="AL146" s="3942" t="n"/>
      <c r="AM146" s="3942" t="n"/>
      <c r="AN146" s="3942" t="n"/>
      <c r="AO146" s="3942" t="n"/>
      <c r="AP146" s="3942" t="n"/>
      <c r="AQ146" s="3942" t="n"/>
      <c r="AR146" s="3942" t="n"/>
      <c r="AS146" s="3942" t="n"/>
    </row>
    <row r="147">
      <c r="A147" s="3944" t="n"/>
      <c r="B147" s="3944" t="n"/>
      <c r="C147" s="3944" t="n"/>
      <c r="D147" s="3944" t="n"/>
      <c r="E147" s="3944" t="n"/>
      <c r="F147" s="3944" t="n"/>
      <c r="G147" s="3942" t="n"/>
      <c r="H147" s="3942" t="n"/>
      <c r="I147" s="3942" t="n"/>
      <c r="J147" s="3942" t="n"/>
      <c r="K147" s="3942" t="n"/>
      <c r="L147" s="3942" t="n"/>
      <c r="M147" s="3942" t="n"/>
      <c r="N147" s="3942" t="n"/>
      <c r="O147" s="3942" t="n"/>
      <c r="P147" s="3942" t="n"/>
      <c r="Q147" s="3942" t="n"/>
      <c r="R147" s="3942" t="n"/>
      <c r="S147" s="3942" t="n"/>
      <c r="T147" s="3942" t="n"/>
      <c r="U147" s="3942" t="n"/>
      <c r="V147" s="3942" t="n"/>
      <c r="W147" s="3942" t="n"/>
      <c r="X147" s="3942" t="n"/>
      <c r="Y147" s="3942" t="n"/>
      <c r="Z147" s="3942" t="n"/>
      <c r="AA147" s="3942" t="n"/>
      <c r="AB147" s="3942" t="n"/>
      <c r="AC147" s="3942" t="n"/>
      <c r="AD147" s="3942" t="n"/>
      <c r="AE147" s="3942" t="n"/>
      <c r="AF147" s="3942" t="n"/>
      <c r="AG147" s="3942" t="n"/>
      <c r="AH147" s="3942" t="n"/>
      <c r="AI147" s="3942" t="n"/>
      <c r="AJ147" s="3942" t="n"/>
      <c r="AK147" s="3942" t="n"/>
      <c r="AL147" s="3942" t="n"/>
      <c r="AM147" s="3942" t="n"/>
      <c r="AN147" s="3942" t="n"/>
      <c r="AO147" s="3942" t="n"/>
      <c r="AP147" s="3942" t="n"/>
      <c r="AQ147" s="3942" t="n"/>
      <c r="AR147" s="3942" t="n"/>
      <c r="AS147" s="3942" t="n"/>
    </row>
    <row r="148">
      <c r="A148" s="3944" t="n"/>
      <c r="B148" s="3944" t="n"/>
      <c r="C148" s="3944" t="n"/>
      <c r="D148" s="3944" t="n"/>
      <c r="E148" s="3944" t="n"/>
      <c r="F148" s="3944" t="n"/>
      <c r="G148" s="3942" t="n"/>
      <c r="H148" s="3942" t="n"/>
      <c r="I148" s="3942" t="n"/>
      <c r="J148" s="3942" t="n"/>
      <c r="K148" s="3942" t="n"/>
      <c r="L148" s="3942" t="n"/>
      <c r="M148" s="3942" t="n"/>
      <c r="N148" s="3942" t="n"/>
      <c r="O148" s="3942" t="n"/>
      <c r="P148" s="3942" t="n"/>
      <c r="Q148" s="3942" t="n"/>
      <c r="R148" s="3942" t="n"/>
      <c r="S148" s="3942" t="n"/>
      <c r="T148" s="3942" t="n"/>
      <c r="U148" s="3942" t="n"/>
      <c r="V148" s="3942" t="n"/>
      <c r="W148" s="3942" t="n"/>
      <c r="X148" s="3942" t="n"/>
      <c r="Y148" s="3942" t="n"/>
      <c r="Z148" s="3942" t="n"/>
      <c r="AA148" s="3942" t="n"/>
      <c r="AB148" s="3942" t="n"/>
      <c r="AC148" s="3942" t="n"/>
      <c r="AD148" s="3942" t="n"/>
      <c r="AE148" s="3942" t="n"/>
      <c r="AF148" s="3942" t="n"/>
      <c r="AG148" s="3942" t="n"/>
      <c r="AH148" s="3942" t="n"/>
      <c r="AI148" s="3942" t="n"/>
      <c r="AJ148" s="3942" t="n"/>
      <c r="AK148" s="3942" t="n"/>
      <c r="AL148" s="3942" t="n"/>
      <c r="AM148" s="3942" t="n"/>
      <c r="AN148" s="3942" t="n"/>
      <c r="AO148" s="3942" t="n"/>
      <c r="AP148" s="3942" t="n"/>
      <c r="AQ148" s="3942" t="n"/>
      <c r="AR148" s="3942" t="n"/>
      <c r="AS148" s="3942" t="n"/>
    </row>
    <row r="149">
      <c r="A149" s="3944" t="n"/>
      <c r="B149" s="3944" t="n"/>
      <c r="C149" s="3944" t="n"/>
      <c r="D149" s="3944" t="n"/>
      <c r="E149" s="3944" t="n"/>
      <c r="F149" s="3944" t="n"/>
      <c r="G149" s="3942" t="n"/>
      <c r="H149" s="3942" t="n"/>
      <c r="I149" s="3942" t="n"/>
      <c r="J149" s="3942" t="n"/>
      <c r="K149" s="3942" t="n"/>
      <c r="L149" s="3942" t="n"/>
      <c r="M149" s="3942" t="n"/>
      <c r="N149" s="3942" t="n"/>
      <c r="O149" s="3942" t="n"/>
      <c r="P149" s="3942" t="n"/>
      <c r="Q149" s="3942" t="n"/>
      <c r="R149" s="3942" t="n"/>
      <c r="S149" s="3942" t="n"/>
      <c r="T149" s="3942" t="n"/>
      <c r="U149" s="3942" t="n"/>
      <c r="V149" s="3942" t="n"/>
      <c r="W149" s="3942" t="n"/>
      <c r="X149" s="3942" t="n"/>
      <c r="Y149" s="3942" t="n"/>
      <c r="Z149" s="3942" t="n"/>
      <c r="AA149" s="3942" t="n"/>
      <c r="AB149" s="3942" t="n"/>
      <c r="AC149" s="3942" t="n"/>
      <c r="AD149" s="3942" t="n"/>
      <c r="AE149" s="3942" t="n"/>
      <c r="AF149" s="3942" t="n"/>
      <c r="AG149" s="3942" t="n"/>
      <c r="AH149" s="3942" t="n"/>
      <c r="AI149" s="3942" t="n"/>
      <c r="AJ149" s="3942" t="n"/>
      <c r="AK149" s="3942" t="n"/>
      <c r="AL149" s="3942" t="n"/>
      <c r="AM149" s="3942" t="n"/>
      <c r="AN149" s="3942" t="n"/>
      <c r="AO149" s="3942" t="n"/>
      <c r="AP149" s="3942" t="n"/>
      <c r="AQ149" s="3942" t="n"/>
      <c r="AR149" s="3942" t="n"/>
      <c r="AS149" s="3942" t="n"/>
    </row>
    <row r="150">
      <c r="A150" s="3944" t="n"/>
      <c r="B150" s="3944" t="n"/>
      <c r="C150" s="3944" t="n"/>
      <c r="D150" s="3944" t="n"/>
      <c r="E150" s="3944" t="n"/>
      <c r="F150" s="3944" t="n"/>
      <c r="G150" s="3942" t="n"/>
      <c r="H150" s="3942" t="n"/>
      <c r="I150" s="3942" t="n"/>
      <c r="J150" s="3942" t="n"/>
      <c r="K150" s="3942" t="n"/>
      <c r="L150" s="3942" t="n"/>
      <c r="M150" s="3942" t="n"/>
      <c r="N150" s="3942" t="n"/>
      <c r="O150" s="3942" t="n"/>
      <c r="P150" s="3942" t="n"/>
      <c r="Q150" s="3942" t="n"/>
      <c r="R150" s="3942" t="n"/>
      <c r="S150" s="3942" t="n"/>
      <c r="T150" s="3942" t="n"/>
      <c r="U150" s="3942" t="n"/>
      <c r="V150" s="3942" t="n"/>
      <c r="W150" s="3942" t="n"/>
      <c r="X150" s="3942" t="n"/>
      <c r="Y150" s="3942" t="n"/>
      <c r="Z150" s="3942" t="n"/>
      <c r="AA150" s="3942" t="n"/>
      <c r="AB150" s="3942" t="n"/>
      <c r="AC150" s="3942" t="n"/>
      <c r="AD150" s="3942" t="n"/>
      <c r="AE150" s="3942" t="n"/>
      <c r="AF150" s="3942" t="n"/>
      <c r="AG150" s="3942" t="n"/>
      <c r="AH150" s="3942" t="n"/>
      <c r="AI150" s="3942" t="n"/>
      <c r="AJ150" s="3942" t="n"/>
      <c r="AK150" s="3942" t="n"/>
      <c r="AL150" s="3942" t="n"/>
      <c r="AM150" s="3942" t="n"/>
      <c r="AN150" s="3942" t="n"/>
      <c r="AO150" s="3942" t="n"/>
      <c r="AP150" s="3942" t="n"/>
      <c r="AQ150" s="3942" t="n"/>
      <c r="AR150" s="3942" t="n"/>
      <c r="AS150" s="3942" t="n"/>
    </row>
    <row r="151">
      <c r="A151" s="3944" t="n"/>
      <c r="B151" s="3944" t="n"/>
      <c r="C151" s="3944" t="n"/>
      <c r="D151" s="3944" t="n"/>
      <c r="E151" s="3944" t="n"/>
      <c r="F151" s="3944" t="n"/>
      <c r="G151" s="3942" t="n"/>
      <c r="H151" s="3942" t="n"/>
      <c r="I151" s="3942" t="n"/>
      <c r="J151" s="3942" t="n"/>
      <c r="K151" s="3942" t="n"/>
      <c r="L151" s="3942" t="n"/>
      <c r="M151" s="3942" t="n"/>
      <c r="N151" s="3942" t="n"/>
      <c r="O151" s="3942" t="n"/>
      <c r="P151" s="3942" t="n"/>
      <c r="Q151" s="3942" t="n"/>
      <c r="R151" s="3942" t="n"/>
      <c r="S151" s="3942" t="n"/>
      <c r="T151" s="3942" t="n"/>
      <c r="U151" s="3942" t="n"/>
      <c r="V151" s="3942" t="n"/>
      <c r="W151" s="3942" t="n"/>
      <c r="X151" s="3942" t="n"/>
      <c r="Y151" s="3942" t="n"/>
      <c r="Z151" s="3942" t="n"/>
      <c r="AA151" s="3942" t="n"/>
      <c r="AB151" s="3942" t="n"/>
      <c r="AC151" s="3942" t="n"/>
      <c r="AD151" s="3942" t="n"/>
      <c r="AE151" s="3942" t="n"/>
      <c r="AF151" s="3942" t="n"/>
      <c r="AG151" s="3942" t="n"/>
      <c r="AH151" s="3942" t="n"/>
      <c r="AI151" s="3942" t="n"/>
      <c r="AJ151" s="3942" t="n"/>
      <c r="AK151" s="3942" t="n"/>
      <c r="AL151" s="3942" t="n"/>
      <c r="AM151" s="3942" t="n"/>
      <c r="AN151" s="3942" t="n"/>
      <c r="AO151" s="3942" t="n"/>
      <c r="AP151" s="3942" t="n"/>
      <c r="AQ151" s="3942" t="n"/>
      <c r="AR151" s="3942" t="n"/>
      <c r="AS151" s="3942" t="n"/>
    </row>
    <row r="152">
      <c r="A152" s="3944" t="n"/>
      <c r="B152" s="3944" t="n"/>
      <c r="C152" s="3944" t="n"/>
      <c r="D152" s="3944" t="n"/>
      <c r="E152" s="3944" t="n"/>
      <c r="F152" s="3944" t="n"/>
      <c r="G152" s="3942" t="n"/>
      <c r="H152" s="3942" t="n"/>
      <c r="I152" s="3942" t="n"/>
      <c r="J152" s="3942" t="n"/>
      <c r="K152" s="3942" t="n"/>
      <c r="L152" s="3942" t="n"/>
      <c r="M152" s="3942" t="n"/>
      <c r="N152" s="3942" t="n"/>
      <c r="O152" s="3942" t="n"/>
      <c r="P152" s="3942" t="n"/>
      <c r="Q152" s="3942" t="n"/>
      <c r="R152" s="3942" t="n"/>
      <c r="S152" s="3942" t="n"/>
      <c r="T152" s="3942" t="n"/>
      <c r="U152" s="3942" t="n"/>
      <c r="V152" s="3942" t="n"/>
      <c r="W152" s="3942" t="n"/>
      <c r="X152" s="3942" t="n"/>
      <c r="Y152" s="3942" t="n"/>
      <c r="Z152" s="3942" t="n"/>
      <c r="AA152" s="3942" t="n"/>
      <c r="AB152" s="3942" t="n"/>
      <c r="AC152" s="3942" t="n"/>
      <c r="AD152" s="3942" t="n"/>
      <c r="AE152" s="3942" t="n"/>
      <c r="AF152" s="3942" t="n"/>
      <c r="AG152" s="3942" t="n"/>
      <c r="AH152" s="3942" t="n"/>
      <c r="AI152" s="3942" t="n"/>
      <c r="AJ152" s="3942" t="n"/>
      <c r="AK152" s="3942" t="n"/>
      <c r="AL152" s="3942" t="n"/>
      <c r="AM152" s="3942" t="n"/>
      <c r="AN152" s="3942" t="n"/>
      <c r="AO152" s="3942" t="n"/>
      <c r="AP152" s="3942" t="n"/>
      <c r="AQ152" s="3942" t="n"/>
      <c r="AR152" s="3942" t="n"/>
      <c r="AS152" s="3942" t="n"/>
    </row>
    <row r="153">
      <c r="A153" s="3944" t="n"/>
      <c r="B153" s="3944" t="n"/>
      <c r="C153" s="3944" t="n"/>
      <c r="D153" s="3944" t="n"/>
      <c r="E153" s="3944" t="n"/>
      <c r="F153" s="3944" t="n"/>
      <c r="G153" s="3942" t="n"/>
      <c r="H153" s="3942" t="n"/>
      <c r="I153" s="3942" t="n"/>
      <c r="J153" s="3942" t="n"/>
      <c r="K153" s="3942" t="n"/>
      <c r="L153" s="3942" t="n"/>
      <c r="M153" s="3942" t="n"/>
      <c r="N153" s="3942" t="n"/>
      <c r="O153" s="3942" t="n"/>
      <c r="P153" s="3942" t="n"/>
      <c r="Q153" s="3942" t="n"/>
      <c r="R153" s="3942" t="n"/>
      <c r="S153" s="3942" t="n"/>
      <c r="T153" s="3942" t="n"/>
      <c r="U153" s="3942" t="n"/>
      <c r="V153" s="3942" t="n"/>
      <c r="W153" s="3942" t="n"/>
      <c r="X153" s="3942" t="n"/>
      <c r="Y153" s="3942" t="n"/>
      <c r="Z153" s="3942" t="n"/>
      <c r="AA153" s="3942" t="n"/>
      <c r="AB153" s="3942" t="n"/>
      <c r="AC153" s="3942" t="n"/>
      <c r="AD153" s="3942" t="n"/>
      <c r="AE153" s="3942" t="n"/>
      <c r="AF153" s="3942" t="n"/>
      <c r="AG153" s="3942" t="n"/>
      <c r="AH153" s="3942" t="n"/>
      <c r="AI153" s="3942" t="n"/>
      <c r="AJ153" s="3942" t="n"/>
      <c r="AK153" s="3942" t="n"/>
      <c r="AL153" s="3942" t="n"/>
      <c r="AM153" s="3942" t="n"/>
      <c r="AN153" s="3942" t="n"/>
      <c r="AO153" s="3942" t="n"/>
      <c r="AP153" s="3942" t="n"/>
      <c r="AQ153" s="3942" t="n"/>
      <c r="AR153" s="3942" t="n"/>
      <c r="AS153" s="3942" t="n"/>
    </row>
    <row r="154">
      <c r="A154" s="3944" t="n"/>
      <c r="B154" s="3944" t="n"/>
      <c r="C154" s="3944" t="n"/>
      <c r="D154" s="3944" t="n"/>
      <c r="E154" s="3944" t="n"/>
      <c r="F154" s="3944" t="n"/>
      <c r="G154" s="3942" t="n"/>
      <c r="H154" s="3942" t="n"/>
      <c r="I154" s="3942" t="n"/>
      <c r="J154" s="3942" t="n"/>
      <c r="K154" s="3942" t="n"/>
      <c r="L154" s="3942" t="n"/>
      <c r="M154" s="3942" t="n"/>
      <c r="N154" s="3942" t="n"/>
      <c r="O154" s="3942" t="n"/>
      <c r="P154" s="3942" t="n"/>
      <c r="Q154" s="3942" t="n"/>
      <c r="R154" s="3942" t="n"/>
      <c r="S154" s="3942" t="n"/>
      <c r="T154" s="3942" t="n"/>
      <c r="U154" s="3942" t="n"/>
      <c r="V154" s="3942" t="n"/>
      <c r="W154" s="3942" t="n"/>
      <c r="X154" s="3942" t="n"/>
      <c r="Y154" s="3942" t="n"/>
      <c r="Z154" s="3942" t="n"/>
      <c r="AA154" s="3942" t="n"/>
      <c r="AB154" s="3942" t="n"/>
      <c r="AC154" s="3942" t="n"/>
      <c r="AD154" s="3942" t="n"/>
      <c r="AE154" s="3942" t="n"/>
      <c r="AF154" s="3942" t="n"/>
      <c r="AG154" s="3942" t="n"/>
      <c r="AH154" s="3942" t="n"/>
      <c r="AI154" s="3942" t="n"/>
      <c r="AJ154" s="3942" t="n"/>
      <c r="AK154" s="3942" t="n"/>
      <c r="AL154" s="3942" t="n"/>
      <c r="AM154" s="3942" t="n"/>
      <c r="AN154" s="3942" t="n"/>
      <c r="AO154" s="3942" t="n"/>
      <c r="AP154" s="3942" t="n"/>
      <c r="AQ154" s="3942" t="n"/>
      <c r="AR154" s="3942" t="n"/>
      <c r="AS154" s="3942" t="n"/>
    </row>
    <row r="155">
      <c r="A155" s="3944" t="n"/>
      <c r="B155" s="3944" t="n"/>
      <c r="C155" s="3944" t="n"/>
      <c r="D155" s="3944" t="n"/>
      <c r="E155" s="3944" t="n"/>
      <c r="F155" s="3944" t="n"/>
      <c r="G155" s="3942" t="n"/>
      <c r="H155" s="3942" t="n"/>
      <c r="I155" s="3942" t="n"/>
      <c r="J155" s="3942" t="n"/>
      <c r="K155" s="3942" t="n"/>
      <c r="L155" s="3942" t="n"/>
      <c r="M155" s="3942" t="n"/>
      <c r="N155" s="3942" t="n"/>
      <c r="O155" s="3942" t="n"/>
      <c r="P155" s="3942" t="n"/>
      <c r="Q155" s="3942" t="n"/>
      <c r="R155" s="3942" t="n"/>
      <c r="S155" s="3942" t="n"/>
      <c r="T155" s="3942" t="n"/>
      <c r="U155" s="3942" t="n"/>
      <c r="V155" s="3942" t="n"/>
      <c r="W155" s="3942" t="n"/>
      <c r="X155" s="3942" t="n"/>
      <c r="Y155" s="3942" t="n"/>
      <c r="Z155" s="3942" t="n"/>
      <c r="AA155" s="3942" t="n"/>
      <c r="AB155" s="3942" t="n"/>
      <c r="AC155" s="3942" t="n"/>
      <c r="AD155" s="3942" t="n"/>
      <c r="AE155" s="3942" t="n"/>
      <c r="AF155" s="3942" t="n"/>
      <c r="AG155" s="3942" t="n"/>
      <c r="AH155" s="3942" t="n"/>
      <c r="AI155" s="3942" t="n"/>
      <c r="AJ155" s="3942" t="n"/>
      <c r="AK155" s="3942" t="n"/>
      <c r="AL155" s="3942" t="n"/>
      <c r="AM155" s="3942" t="n"/>
      <c r="AN155" s="3942" t="n"/>
      <c r="AO155" s="3942" t="n"/>
      <c r="AP155" s="3942" t="n"/>
      <c r="AQ155" s="3942" t="n"/>
      <c r="AR155" s="3942" t="n"/>
      <c r="AS155" s="3942" t="n"/>
    </row>
    <row r="156">
      <c r="A156" s="3944" t="n"/>
      <c r="B156" s="3944" t="n"/>
      <c r="C156" s="3944" t="n"/>
      <c r="D156" s="3944" t="n"/>
      <c r="E156" s="3944" t="n"/>
      <c r="F156" s="3944" t="n"/>
      <c r="G156" s="3942" t="n"/>
      <c r="H156" s="3942" t="n"/>
      <c r="I156" s="3942" t="n"/>
      <c r="J156" s="3942" t="n"/>
      <c r="K156" s="3942" t="n"/>
      <c r="L156" s="3942" t="n"/>
      <c r="M156" s="3942" t="n"/>
      <c r="N156" s="3942" t="n"/>
      <c r="O156" s="3942" t="n"/>
      <c r="P156" s="3942" t="n"/>
      <c r="Q156" s="3942" t="n"/>
      <c r="R156" s="3942" t="n"/>
      <c r="S156" s="3942" t="n"/>
      <c r="T156" s="3942" t="n"/>
      <c r="U156" s="3942" t="n"/>
      <c r="V156" s="3942" t="n"/>
      <c r="W156" s="3942" t="n"/>
      <c r="X156" s="3942" t="n"/>
      <c r="Y156" s="3942" t="n"/>
      <c r="Z156" s="3942" t="n"/>
      <c r="AA156" s="3942" t="n"/>
      <c r="AB156" s="3942" t="n"/>
      <c r="AC156" s="3942" t="n"/>
      <c r="AD156" s="3942" t="n"/>
      <c r="AE156" s="3942" t="n"/>
      <c r="AF156" s="3942" t="n"/>
      <c r="AG156" s="3942" t="n"/>
      <c r="AH156" s="3942" t="n"/>
      <c r="AI156" s="3942" t="n"/>
      <c r="AJ156" s="3942" t="n"/>
      <c r="AK156" s="3942" t="n"/>
      <c r="AL156" s="3942" t="n"/>
      <c r="AM156" s="3942" t="n"/>
      <c r="AN156" s="3942" t="n"/>
      <c r="AO156" s="3942" t="n"/>
      <c r="AP156" s="3942" t="n"/>
      <c r="AQ156" s="3942" t="n"/>
      <c r="AR156" s="3942" t="n"/>
      <c r="AS156" s="3942" t="n"/>
    </row>
    <row r="157">
      <c r="A157" s="3944" t="n"/>
      <c r="B157" s="3944" t="n"/>
      <c r="C157" s="3944" t="n"/>
      <c r="D157" s="3944" t="n"/>
      <c r="E157" s="3944" t="n"/>
      <c r="F157" s="3944" t="n"/>
      <c r="G157" s="3942" t="n"/>
      <c r="H157" s="3942" t="n"/>
      <c r="I157" s="3942" t="n"/>
      <c r="J157" s="3942" t="n"/>
      <c r="K157" s="3942" t="n"/>
      <c r="L157" s="3942" t="n"/>
      <c r="M157" s="3942" t="n"/>
      <c r="N157" s="3942" t="n"/>
      <c r="O157" s="3942" t="n"/>
      <c r="P157" s="3942" t="n"/>
      <c r="Q157" s="3942" t="n"/>
      <c r="R157" s="3942" t="n"/>
      <c r="S157" s="3942" t="n"/>
      <c r="T157" s="3942" t="n"/>
      <c r="U157" s="3942" t="n"/>
      <c r="V157" s="3942" t="n"/>
      <c r="W157" s="3942" t="n"/>
      <c r="X157" s="3942" t="n"/>
      <c r="Y157" s="3942" t="n"/>
      <c r="Z157" s="3942" t="n"/>
      <c r="AA157" s="3942" t="n"/>
      <c r="AB157" s="3942" t="n"/>
      <c r="AC157" s="3942" t="n"/>
      <c r="AD157" s="3942" t="n"/>
      <c r="AE157" s="3942" t="n"/>
      <c r="AF157" s="3942" t="n"/>
      <c r="AG157" s="3942" t="n"/>
      <c r="AH157" s="3942" t="n"/>
      <c r="AI157" s="3942" t="n"/>
      <c r="AJ157" s="3942" t="n"/>
      <c r="AK157" s="3942" t="n"/>
      <c r="AL157" s="3942" t="n"/>
      <c r="AM157" s="3942" t="n"/>
      <c r="AN157" s="3942" t="n"/>
      <c r="AO157" s="3942" t="n"/>
      <c r="AP157" s="3942" t="n"/>
      <c r="AQ157" s="3942" t="n"/>
      <c r="AR157" s="3942" t="n"/>
      <c r="AS157" s="3942" t="n"/>
    </row>
    <row r="158">
      <c r="A158" s="3944" t="n"/>
      <c r="B158" s="3944" t="n"/>
      <c r="C158" s="3944" t="n"/>
      <c r="D158" s="3944" t="n"/>
      <c r="E158" s="3944" t="n"/>
      <c r="F158" s="3944" t="n"/>
      <c r="G158" s="3942" t="n"/>
      <c r="H158" s="3942" t="n"/>
      <c r="I158" s="3942" t="n"/>
      <c r="J158" s="3942" t="n"/>
      <c r="K158" s="3942" t="n"/>
      <c r="L158" s="3942" t="n"/>
      <c r="M158" s="3942" t="n"/>
      <c r="N158" s="3942" t="n"/>
      <c r="O158" s="3942" t="n"/>
      <c r="P158" s="3942" t="n"/>
      <c r="Q158" s="3942" t="n"/>
      <c r="R158" s="3942" t="n"/>
      <c r="S158" s="3942" t="n"/>
      <c r="T158" s="3942" t="n"/>
      <c r="U158" s="3942" t="n"/>
      <c r="V158" s="3942" t="n"/>
      <c r="W158" s="3942" t="n"/>
      <c r="X158" s="3942" t="n"/>
      <c r="Y158" s="3942" t="n"/>
      <c r="Z158" s="3942" t="n"/>
      <c r="AA158" s="3942" t="n"/>
      <c r="AB158" s="3942" t="n"/>
      <c r="AC158" s="3942" t="n"/>
      <c r="AD158" s="3942" t="n"/>
      <c r="AE158" s="3942" t="n"/>
      <c r="AF158" s="3942" t="n"/>
      <c r="AG158" s="3942" t="n"/>
      <c r="AH158" s="3942" t="n"/>
      <c r="AI158" s="3942" t="n"/>
      <c r="AJ158" s="3942" t="n"/>
      <c r="AK158" s="3942" t="n"/>
      <c r="AL158" s="3942" t="n"/>
      <c r="AM158" s="3942" t="n"/>
      <c r="AN158" s="3942" t="n"/>
      <c r="AO158" s="3942" t="n"/>
      <c r="AP158" s="3942" t="n"/>
      <c r="AQ158" s="3942" t="n"/>
      <c r="AR158" s="3942" t="n"/>
      <c r="AS158" s="3942" t="n"/>
    </row>
    <row r="159">
      <c r="A159" s="3944" t="n"/>
      <c r="B159" s="3944" t="n"/>
      <c r="C159" s="3944" t="n"/>
      <c r="D159" s="3944" t="n"/>
      <c r="E159" s="3944" t="n"/>
      <c r="F159" s="3944" t="n"/>
      <c r="G159" s="3942" t="n"/>
      <c r="H159" s="3942" t="n"/>
      <c r="I159" s="3942" t="n"/>
      <c r="J159" s="3942" t="n"/>
      <c r="K159" s="3942" t="n"/>
      <c r="L159" s="3942" t="n"/>
      <c r="M159" s="3942" t="n"/>
      <c r="N159" s="3942" t="n"/>
      <c r="O159" s="3942" t="n"/>
      <c r="P159" s="3942" t="n"/>
      <c r="Q159" s="3942" t="n"/>
      <c r="R159" s="3942" t="n"/>
      <c r="S159" s="3942" t="n"/>
      <c r="T159" s="3942" t="n"/>
      <c r="U159" s="3942" t="n"/>
      <c r="V159" s="3942" t="n"/>
      <c r="W159" s="3942" t="n"/>
      <c r="X159" s="3942" t="n"/>
      <c r="Y159" s="3942" t="n"/>
      <c r="Z159" s="3942" t="n"/>
      <c r="AA159" s="3942" t="n"/>
      <c r="AB159" s="3942" t="n"/>
      <c r="AC159" s="3942" t="n"/>
      <c r="AD159" s="3942" t="n"/>
      <c r="AE159" s="3942" t="n"/>
      <c r="AF159" s="3942" t="n"/>
      <c r="AG159" s="3942" t="n"/>
      <c r="AH159" s="3942" t="n"/>
      <c r="AI159" s="3942" t="n"/>
      <c r="AJ159" s="3942" t="n"/>
      <c r="AK159" s="3942" t="n"/>
      <c r="AL159" s="3942" t="n"/>
      <c r="AM159" s="3942" t="n"/>
      <c r="AN159" s="3942" t="n"/>
      <c r="AO159" s="3942" t="n"/>
      <c r="AP159" s="3942" t="n"/>
      <c r="AQ159" s="3942" t="n"/>
      <c r="AR159" s="3942" t="n"/>
      <c r="AS159" s="3942" t="n"/>
    </row>
    <row r="160">
      <c r="A160" s="3944" t="n"/>
      <c r="B160" s="3944" t="n"/>
      <c r="C160" s="3944" t="n"/>
      <c r="D160" s="3944" t="n"/>
      <c r="E160" s="3944" t="n"/>
      <c r="F160" s="3944" t="n"/>
      <c r="G160" s="3942" t="n"/>
      <c r="H160" s="3942" t="n"/>
      <c r="I160" s="3942" t="n"/>
      <c r="J160" s="3942" t="n"/>
      <c r="K160" s="3942" t="n"/>
      <c r="L160" s="3942" t="n"/>
      <c r="M160" s="3942" t="n"/>
      <c r="N160" s="3942" t="n"/>
      <c r="O160" s="3942" t="n"/>
      <c r="P160" s="3942" t="n"/>
      <c r="Q160" s="3942" t="n"/>
      <c r="R160" s="3942" t="n"/>
      <c r="S160" s="3942" t="n"/>
      <c r="T160" s="3942" t="n"/>
      <c r="U160" s="3942" t="n"/>
      <c r="V160" s="3942" t="n"/>
      <c r="W160" s="3942" t="n"/>
      <c r="X160" s="3942" t="n"/>
      <c r="Y160" s="3942" t="n"/>
      <c r="Z160" s="3942" t="n"/>
      <c r="AA160" s="3942" t="n"/>
      <c r="AB160" s="3942" t="n"/>
      <c r="AC160" s="3942" t="n"/>
      <c r="AD160" s="3942" t="n"/>
      <c r="AE160" s="3942" t="n"/>
      <c r="AF160" s="3942" t="n"/>
      <c r="AG160" s="3942" t="n"/>
      <c r="AH160" s="3942" t="n"/>
      <c r="AI160" s="3942" t="n"/>
      <c r="AJ160" s="3942" t="n"/>
      <c r="AK160" s="3942" t="n"/>
      <c r="AL160" s="3942" t="n"/>
      <c r="AM160" s="3942" t="n"/>
      <c r="AN160" s="3942" t="n"/>
      <c r="AO160" s="3942" t="n"/>
      <c r="AP160" s="3942" t="n"/>
      <c r="AQ160" s="3942" t="n"/>
      <c r="AR160" s="3942" t="n"/>
      <c r="AS160" s="3942" t="n"/>
    </row>
    <row r="161">
      <c r="A161" s="3944" t="n"/>
      <c r="B161" s="3944" t="n"/>
      <c r="C161" s="3944" t="n"/>
      <c r="D161" s="3944" t="n"/>
      <c r="E161" s="3944" t="n"/>
      <c r="F161" s="3944" t="n"/>
      <c r="G161" s="3942" t="n"/>
      <c r="H161" s="3942" t="n"/>
      <c r="I161" s="3942" t="n"/>
      <c r="J161" s="3942" t="n"/>
      <c r="K161" s="3942" t="n"/>
      <c r="L161" s="3942" t="n"/>
      <c r="M161" s="3942" t="n"/>
      <c r="N161" s="3942" t="n"/>
      <c r="O161" s="3942" t="n"/>
      <c r="P161" s="3942" t="n"/>
      <c r="Q161" s="3942" t="n"/>
      <c r="R161" s="3942" t="n"/>
      <c r="S161" s="3942" t="n"/>
      <c r="T161" s="3942" t="n"/>
      <c r="U161" s="3942" t="n"/>
      <c r="V161" s="3942" t="n"/>
      <c r="W161" s="3942" t="n"/>
      <c r="X161" s="3942" t="n"/>
      <c r="Y161" s="3942" t="n"/>
      <c r="Z161" s="3942" t="n"/>
      <c r="AA161" s="3942" t="n"/>
      <c r="AB161" s="3942" t="n"/>
      <c r="AC161" s="3942" t="n"/>
      <c r="AD161" s="3942" t="n"/>
      <c r="AE161" s="3942" t="n"/>
      <c r="AF161" s="3942" t="n"/>
      <c r="AG161" s="3942" t="n"/>
      <c r="AH161" s="3942" t="n"/>
      <c r="AI161" s="3942" t="n"/>
      <c r="AJ161" s="3942" t="n"/>
      <c r="AK161" s="3942" t="n"/>
      <c r="AL161" s="3942" t="n"/>
      <c r="AM161" s="3942" t="n"/>
      <c r="AN161" s="3942" t="n"/>
      <c r="AO161" s="3942" t="n"/>
      <c r="AP161" s="3942" t="n"/>
      <c r="AQ161" s="3942" t="n"/>
      <c r="AR161" s="3942" t="n"/>
      <c r="AS161" s="3942" t="n"/>
    </row>
    <row r="162">
      <c r="A162" s="3944" t="n"/>
      <c r="B162" s="3944" t="n"/>
      <c r="C162" s="3944" t="n"/>
      <c r="D162" s="3944" t="n"/>
      <c r="E162" s="3944" t="n"/>
      <c r="F162" s="3944" t="n"/>
      <c r="G162" s="3942" t="n"/>
      <c r="H162" s="3942" t="n"/>
      <c r="I162" s="3942" t="n"/>
      <c r="J162" s="3942" t="n"/>
      <c r="K162" s="3942" t="n"/>
      <c r="L162" s="3942" t="n"/>
      <c r="M162" s="3942" t="n"/>
      <c r="N162" s="3942" t="n"/>
      <c r="O162" s="3942" t="n"/>
      <c r="P162" s="3942" t="n"/>
      <c r="Q162" s="3942" t="n"/>
      <c r="R162" s="3942" t="n"/>
      <c r="S162" s="3942" t="n"/>
      <c r="T162" s="3942" t="n"/>
      <c r="U162" s="3942" t="n"/>
      <c r="V162" s="3942" t="n"/>
      <c r="W162" s="3942" t="n"/>
      <c r="X162" s="3942" t="n"/>
      <c r="Y162" s="3942" t="n"/>
      <c r="Z162" s="3942" t="n"/>
      <c r="AA162" s="3942" t="n"/>
      <c r="AB162" s="3942" t="n"/>
      <c r="AC162" s="3942" t="n"/>
      <c r="AD162" s="3942" t="n"/>
      <c r="AE162" s="3942" t="n"/>
      <c r="AF162" s="3942" t="n"/>
      <c r="AG162" s="3942" t="n"/>
      <c r="AH162" s="3942" t="n"/>
      <c r="AI162" s="3942" t="n"/>
      <c r="AJ162" s="3942" t="n"/>
      <c r="AK162" s="3942" t="n"/>
      <c r="AL162" s="3942" t="n"/>
      <c r="AM162" s="3942" t="n"/>
      <c r="AN162" s="3942" t="n"/>
      <c r="AO162" s="3942" t="n"/>
      <c r="AP162" s="3942" t="n"/>
      <c r="AQ162" s="3942" t="n"/>
      <c r="AR162" s="3942" t="n"/>
      <c r="AS162" s="3942" t="n"/>
    </row>
    <row r="163">
      <c r="A163" s="3944" t="n"/>
      <c r="B163" s="3944" t="n"/>
      <c r="C163" s="3944" t="n"/>
      <c r="D163" s="3944" t="n"/>
      <c r="E163" s="3944" t="n"/>
      <c r="F163" s="3944" t="n"/>
      <c r="G163" s="3942" t="n"/>
      <c r="H163" s="3942" t="n"/>
      <c r="I163" s="3942" t="n"/>
      <c r="J163" s="3942" t="n"/>
      <c r="K163" s="3942" t="n"/>
      <c r="L163" s="3942" t="n"/>
      <c r="M163" s="3942" t="n"/>
      <c r="N163" s="3942" t="n"/>
      <c r="O163" s="3942" t="n"/>
      <c r="P163" s="3942" t="n"/>
      <c r="Q163" s="3942" t="n"/>
      <c r="R163" s="3942" t="n"/>
      <c r="S163" s="3942" t="n"/>
      <c r="T163" s="3942" t="n"/>
      <c r="U163" s="3942" t="n"/>
      <c r="V163" s="3942" t="n"/>
      <c r="W163" s="3942" t="n"/>
      <c r="X163" s="3942" t="n"/>
      <c r="Y163" s="3942" t="n"/>
      <c r="Z163" s="3942" t="n"/>
      <c r="AA163" s="3942" t="n"/>
      <c r="AB163" s="3942" t="n"/>
      <c r="AC163" s="3942" t="n"/>
      <c r="AD163" s="3942" t="n"/>
      <c r="AE163" s="3942" t="n"/>
      <c r="AF163" s="3942" t="n"/>
      <c r="AG163" s="3942" t="n"/>
      <c r="AH163" s="3942" t="n"/>
      <c r="AI163" s="3942" t="n"/>
      <c r="AJ163" s="3942" t="n"/>
      <c r="AK163" s="3942" t="n"/>
      <c r="AL163" s="3942" t="n"/>
      <c r="AM163" s="3942" t="n"/>
      <c r="AN163" s="3942" t="n"/>
      <c r="AO163" s="3942" t="n"/>
      <c r="AP163" s="3942" t="n"/>
      <c r="AQ163" s="3942" t="n"/>
      <c r="AR163" s="3942" t="n"/>
      <c r="AS163" s="3942" t="n"/>
    </row>
    <row r="164">
      <c r="A164" s="3944" t="n"/>
      <c r="B164" s="3944" t="n"/>
      <c r="C164" s="3944" t="n"/>
      <c r="D164" s="3944" t="n"/>
      <c r="E164" s="3944" t="n"/>
      <c r="F164" s="3944" t="n"/>
      <c r="G164" s="3942" t="n"/>
      <c r="H164" s="3942" t="n"/>
      <c r="I164" s="3942" t="n"/>
      <c r="J164" s="3942" t="n"/>
      <c r="K164" s="3942" t="n"/>
      <c r="L164" s="3942" t="n"/>
      <c r="M164" s="3942" t="n"/>
      <c r="N164" s="3942" t="n"/>
      <c r="O164" s="3942" t="n"/>
      <c r="P164" s="3942" t="n"/>
      <c r="Q164" s="3942" t="n"/>
      <c r="R164" s="3942" t="n"/>
      <c r="S164" s="3942" t="n"/>
      <c r="T164" s="3942" t="n"/>
      <c r="U164" s="3942" t="n"/>
      <c r="V164" s="3942" t="n"/>
      <c r="W164" s="3942" t="n"/>
      <c r="X164" s="3942" t="n"/>
      <c r="Y164" s="3942" t="n"/>
      <c r="Z164" s="3942" t="n"/>
      <c r="AA164" s="3942" t="n"/>
      <c r="AB164" s="3942" t="n"/>
      <c r="AC164" s="3942" t="n"/>
      <c r="AD164" s="3942" t="n"/>
      <c r="AE164" s="3942" t="n"/>
      <c r="AF164" s="3942" t="n"/>
      <c r="AG164" s="3942" t="n"/>
      <c r="AH164" s="3942" t="n"/>
      <c r="AI164" s="3942" t="n"/>
      <c r="AJ164" s="3942" t="n"/>
      <c r="AK164" s="3942" t="n"/>
      <c r="AL164" s="3942" t="n"/>
      <c r="AM164" s="3942" t="n"/>
      <c r="AN164" s="3942" t="n"/>
      <c r="AO164" s="3942" t="n"/>
      <c r="AP164" s="3942" t="n"/>
      <c r="AQ164" s="3942" t="n"/>
      <c r="AR164" s="3942" t="n"/>
      <c r="AS164" s="3942" t="n"/>
    </row>
    <row r="165">
      <c r="A165" s="3944" t="n"/>
      <c r="B165" s="3944" t="n"/>
      <c r="C165" s="3944" t="n"/>
      <c r="D165" s="3944" t="n"/>
      <c r="E165" s="3944" t="n"/>
      <c r="F165" s="3944" t="n"/>
      <c r="G165" s="3942" t="n"/>
      <c r="H165" s="3942" t="n"/>
      <c r="I165" s="3942" t="n"/>
      <c r="J165" s="3942" t="n"/>
      <c r="K165" s="3942" t="n"/>
      <c r="L165" s="3942" t="n"/>
      <c r="M165" s="3942" t="n"/>
      <c r="N165" s="3942" t="n"/>
      <c r="O165" s="3942" t="n"/>
      <c r="P165" s="3942" t="n"/>
      <c r="Q165" s="3942" t="n"/>
      <c r="R165" s="3942" t="n"/>
      <c r="S165" s="3942" t="n"/>
      <c r="T165" s="3942" t="n"/>
      <c r="U165" s="3942" t="n"/>
      <c r="V165" s="3942" t="n"/>
      <c r="W165" s="3942" t="n"/>
      <c r="X165" s="3942" t="n"/>
      <c r="Y165" s="3942" t="n"/>
      <c r="Z165" s="3942" t="n"/>
      <c r="AA165" s="3942" t="n"/>
      <c r="AB165" s="3942" t="n"/>
      <c r="AC165" s="3942" t="n"/>
      <c r="AD165" s="3942" t="n"/>
      <c r="AE165" s="3942" t="n"/>
      <c r="AF165" s="3942" t="n"/>
      <c r="AG165" s="3942" t="n"/>
      <c r="AH165" s="3942" t="n"/>
      <c r="AI165" s="3942" t="n"/>
      <c r="AJ165" s="3942" t="n"/>
      <c r="AK165" s="3942" t="n"/>
      <c r="AL165" s="3942" t="n"/>
      <c r="AM165" s="3942" t="n"/>
      <c r="AN165" s="3942" t="n"/>
      <c r="AO165" s="3942" t="n"/>
      <c r="AP165" s="3942" t="n"/>
      <c r="AQ165" s="3942" t="n"/>
      <c r="AR165" s="3942" t="n"/>
      <c r="AS165" s="3942" t="n"/>
    </row>
    <row r="166">
      <c r="A166" s="3944" t="n"/>
      <c r="B166" s="3944" t="n"/>
      <c r="C166" s="3944" t="n"/>
      <c r="D166" s="3944" t="n"/>
      <c r="E166" s="3944" t="n"/>
      <c r="F166" s="3944" t="n"/>
      <c r="G166" s="3942" t="n"/>
      <c r="H166" s="3942" t="n"/>
      <c r="I166" s="3942" t="n"/>
      <c r="J166" s="3942" t="n"/>
      <c r="K166" s="3942" t="n"/>
      <c r="L166" s="3942" t="n"/>
      <c r="M166" s="3942" t="n"/>
      <c r="N166" s="3942" t="n"/>
      <c r="O166" s="3942" t="n"/>
      <c r="P166" s="3942" t="n"/>
      <c r="Q166" s="3942" t="n"/>
      <c r="R166" s="3942" t="n"/>
      <c r="S166" s="3942" t="n"/>
      <c r="T166" s="3942" t="n"/>
      <c r="U166" s="3942" t="n"/>
      <c r="V166" s="3942" t="n"/>
      <c r="W166" s="3942" t="n"/>
      <c r="X166" s="3942" t="n"/>
      <c r="Y166" s="3942" t="n"/>
      <c r="Z166" s="3942" t="n"/>
      <c r="AA166" s="3942" t="n"/>
      <c r="AB166" s="3942" t="n"/>
      <c r="AC166" s="3942" t="n"/>
      <c r="AD166" s="3942" t="n"/>
      <c r="AE166" s="3942" t="n"/>
      <c r="AF166" s="3942" t="n"/>
      <c r="AG166" s="3942" t="n"/>
      <c r="AH166" s="3942" t="n"/>
      <c r="AI166" s="3942" t="n"/>
      <c r="AJ166" s="3942" t="n"/>
      <c r="AK166" s="3942" t="n"/>
      <c r="AL166" s="3942" t="n"/>
      <c r="AM166" s="3942" t="n"/>
      <c r="AN166" s="3942" t="n"/>
      <c r="AO166" s="3942" t="n"/>
      <c r="AP166" s="3942" t="n"/>
      <c r="AQ166" s="3942" t="n"/>
      <c r="AR166" s="3942" t="n"/>
      <c r="AS166" s="3942" t="n"/>
    </row>
    <row r="167">
      <c r="A167" s="3944" t="n"/>
      <c r="B167" s="3944" t="n"/>
      <c r="C167" s="3944" t="n"/>
      <c r="D167" s="3944" t="n"/>
      <c r="E167" s="3944" t="n"/>
      <c r="F167" s="3944" t="n"/>
      <c r="G167" s="3942" t="n"/>
      <c r="H167" s="3942" t="n"/>
      <c r="I167" s="3942" t="n"/>
      <c r="J167" s="3942" t="n"/>
      <c r="K167" s="3942" t="n"/>
      <c r="L167" s="3942" t="n"/>
      <c r="M167" s="3942" t="n"/>
      <c r="N167" s="3942" t="n"/>
      <c r="O167" s="3942" t="n"/>
      <c r="P167" s="3942" t="n"/>
      <c r="Q167" s="3942" t="n"/>
      <c r="R167" s="3942" t="n"/>
      <c r="S167" s="3942" t="n"/>
      <c r="T167" s="3942" t="n"/>
      <c r="U167" s="3942" t="n"/>
      <c r="V167" s="3942" t="n"/>
      <c r="W167" s="3942" t="n"/>
      <c r="X167" s="3942" t="n"/>
      <c r="Y167" s="3942" t="n"/>
      <c r="Z167" s="3942" t="n"/>
      <c r="AA167" s="3942" t="n"/>
      <c r="AB167" s="3942" t="n"/>
      <c r="AC167" s="3942" t="n"/>
      <c r="AD167" s="3942" t="n"/>
      <c r="AE167" s="3942" t="n"/>
      <c r="AF167" s="3942" t="n"/>
      <c r="AG167" s="3942" t="n"/>
      <c r="AH167" s="3942" t="n"/>
      <c r="AI167" s="3942" t="n"/>
      <c r="AJ167" s="3942" t="n"/>
      <c r="AK167" s="3942" t="n"/>
      <c r="AL167" s="3942" t="n"/>
      <c r="AM167" s="3942" t="n"/>
      <c r="AN167" s="3942" t="n"/>
      <c r="AO167" s="3942" t="n"/>
      <c r="AP167" s="3942" t="n"/>
      <c r="AQ167" s="3942" t="n"/>
      <c r="AR167" s="3942" t="n"/>
      <c r="AS167" s="3942" t="n"/>
    </row>
    <row r="168">
      <c r="A168" s="3944" t="n"/>
      <c r="B168" s="3944" t="n"/>
      <c r="C168" s="3944" t="n"/>
      <c r="D168" s="3944" t="n"/>
      <c r="E168" s="3944" t="n"/>
      <c r="F168" s="3944" t="n"/>
      <c r="G168" s="3942" t="n"/>
      <c r="H168" s="3942" t="n"/>
      <c r="I168" s="3942" t="n"/>
      <c r="J168" s="3942" t="n"/>
      <c r="K168" s="3942" t="n"/>
      <c r="L168" s="3942" t="n"/>
      <c r="M168" s="3942" t="n"/>
      <c r="N168" s="3942" t="n"/>
      <c r="O168" s="3942" t="n"/>
      <c r="P168" s="3942" t="n"/>
      <c r="Q168" s="3942" t="n"/>
      <c r="R168" s="3942" t="n"/>
      <c r="S168" s="3942" t="n"/>
      <c r="T168" s="3942" t="n"/>
      <c r="U168" s="3942" t="n"/>
      <c r="V168" s="3942" t="n"/>
      <c r="W168" s="3942" t="n"/>
      <c r="X168" s="3942" t="n"/>
      <c r="Y168" s="3942" t="n"/>
      <c r="Z168" s="3942" t="n"/>
      <c r="AA168" s="3942" t="n"/>
      <c r="AB168" s="3942" t="n"/>
      <c r="AC168" s="3942" t="n"/>
      <c r="AD168" s="3942" t="n"/>
      <c r="AE168" s="3942" t="n"/>
      <c r="AF168" s="3942" t="n"/>
      <c r="AG168" s="3942" t="n"/>
      <c r="AH168" s="3942" t="n"/>
      <c r="AI168" s="3942" t="n"/>
      <c r="AJ168" s="3942" t="n"/>
      <c r="AK168" s="3942" t="n"/>
      <c r="AL168" s="3942" t="n"/>
      <c r="AM168" s="3942" t="n"/>
      <c r="AN168" s="3942" t="n"/>
      <c r="AO168" s="3942" t="n"/>
      <c r="AP168" s="3942" t="n"/>
      <c r="AQ168" s="3942" t="n"/>
      <c r="AR168" s="3942" t="n"/>
      <c r="AS168" s="3942" t="n"/>
    </row>
    <row r="169">
      <c r="A169" s="3944" t="n"/>
      <c r="B169" s="3944" t="n"/>
      <c r="C169" s="3944" t="n"/>
      <c r="D169" s="3944" t="n"/>
      <c r="E169" s="3944" t="n"/>
      <c r="F169" s="3944" t="n"/>
      <c r="G169" s="3942" t="n"/>
      <c r="H169" s="3942" t="n"/>
      <c r="I169" s="3942" t="n"/>
      <c r="J169" s="3942" t="n"/>
      <c r="K169" s="3942" t="n"/>
      <c r="L169" s="3942" t="n"/>
      <c r="M169" s="3942" t="n"/>
      <c r="N169" s="3942" t="n"/>
      <c r="O169" s="3942" t="n"/>
      <c r="P169" s="3942" t="n"/>
      <c r="Q169" s="3942" t="n"/>
      <c r="R169" s="3942" t="n"/>
      <c r="S169" s="3942" t="n"/>
      <c r="T169" s="3942" t="n"/>
      <c r="U169" s="3942" t="n"/>
      <c r="V169" s="3942" t="n"/>
      <c r="W169" s="3942" t="n"/>
      <c r="X169" s="3942" t="n"/>
      <c r="Y169" s="3942" t="n"/>
      <c r="Z169" s="3942" t="n"/>
      <c r="AA169" s="3942" t="n"/>
      <c r="AB169" s="3942" t="n"/>
      <c r="AC169" s="3942" t="n"/>
      <c r="AD169" s="3942" t="n"/>
      <c r="AE169" s="3942" t="n"/>
      <c r="AF169" s="3942" t="n"/>
      <c r="AG169" s="3942" t="n"/>
      <c r="AH169" s="3942" t="n"/>
      <c r="AI169" s="3942" t="n"/>
      <c r="AJ169" s="3942" t="n"/>
      <c r="AK169" s="3942" t="n"/>
      <c r="AL169" s="3942" t="n"/>
      <c r="AM169" s="3942" t="n"/>
      <c r="AN169" s="3942" t="n"/>
      <c r="AO169" s="3942" t="n"/>
      <c r="AP169" s="3942" t="n"/>
      <c r="AQ169" s="3942" t="n"/>
      <c r="AR169" s="3942" t="n"/>
      <c r="AS169" s="3942" t="n"/>
    </row>
    <row r="170">
      <c r="A170" s="3944" t="n"/>
      <c r="B170" s="3944" t="n"/>
      <c r="C170" s="3944" t="n"/>
      <c r="D170" s="3944" t="n"/>
      <c r="E170" s="3944" t="n"/>
      <c r="F170" s="3944" t="n"/>
      <c r="G170" s="3942" t="n"/>
      <c r="H170" s="3942" t="n"/>
      <c r="I170" s="3942" t="n"/>
      <c r="J170" s="3942" t="n"/>
      <c r="K170" s="3942" t="n"/>
      <c r="L170" s="3942" t="n"/>
      <c r="M170" s="3942" t="n"/>
      <c r="N170" s="3942" t="n"/>
      <c r="O170" s="3942" t="n"/>
      <c r="P170" s="3942" t="n"/>
      <c r="Q170" s="3942" t="n"/>
      <c r="R170" s="3942" t="n"/>
      <c r="S170" s="3942" t="n"/>
      <c r="T170" s="3942" t="n"/>
      <c r="U170" s="3942" t="n"/>
      <c r="V170" s="3942" t="n"/>
      <c r="W170" s="3942" t="n"/>
      <c r="X170" s="3942" t="n"/>
      <c r="Y170" s="3942" t="n"/>
      <c r="Z170" s="3942" t="n"/>
      <c r="AA170" s="3942" t="n"/>
      <c r="AB170" s="3942" t="n"/>
      <c r="AC170" s="3942" t="n"/>
      <c r="AD170" s="3942" t="n"/>
      <c r="AE170" s="3942" t="n"/>
      <c r="AF170" s="3942" t="n"/>
      <c r="AG170" s="3942" t="n"/>
      <c r="AH170" s="3942" t="n"/>
      <c r="AI170" s="3942" t="n"/>
      <c r="AJ170" s="3942" t="n"/>
      <c r="AK170" s="3942" t="n"/>
      <c r="AL170" s="3942" t="n"/>
      <c r="AM170" s="3942" t="n"/>
      <c r="AN170" s="3942" t="n"/>
      <c r="AO170" s="3942" t="n"/>
      <c r="AP170" s="3942" t="n"/>
      <c r="AQ170" s="3942" t="n"/>
      <c r="AR170" s="3942" t="n"/>
      <c r="AS170" s="3942" t="n"/>
    </row>
    <row r="171">
      <c r="A171" s="3944" t="n"/>
      <c r="B171" s="3944" t="n"/>
      <c r="C171" s="3944" t="n"/>
      <c r="D171" s="3944" t="n"/>
      <c r="E171" s="3944" t="n"/>
      <c r="F171" s="3944" t="n"/>
      <c r="G171" s="3942" t="n"/>
      <c r="H171" s="3942" t="n"/>
      <c r="I171" s="3942" t="n"/>
      <c r="J171" s="3942" t="n"/>
      <c r="K171" s="3942" t="n"/>
      <c r="L171" s="3942" t="n"/>
      <c r="M171" s="3942" t="n"/>
      <c r="N171" s="3942" t="n"/>
      <c r="O171" s="3942" t="n"/>
      <c r="P171" s="3942" t="n"/>
      <c r="Q171" s="3942" t="n"/>
      <c r="R171" s="3942" t="n"/>
      <c r="S171" s="3942" t="n"/>
      <c r="T171" s="3942" t="n"/>
      <c r="U171" s="3942" t="n"/>
      <c r="V171" s="3942" t="n"/>
      <c r="W171" s="3942" t="n"/>
      <c r="X171" s="3942" t="n"/>
      <c r="Y171" s="3942" t="n"/>
      <c r="Z171" s="3942" t="n"/>
      <c r="AA171" s="3942" t="n"/>
      <c r="AB171" s="3942" t="n"/>
      <c r="AC171" s="3942" t="n"/>
      <c r="AD171" s="3942" t="n"/>
      <c r="AE171" s="3942" t="n"/>
      <c r="AF171" s="3942" t="n"/>
      <c r="AG171" s="3942" t="n"/>
      <c r="AH171" s="3942" t="n"/>
      <c r="AI171" s="3942" t="n"/>
      <c r="AJ171" s="3942" t="n"/>
      <c r="AK171" s="3942" t="n"/>
      <c r="AL171" s="3942" t="n"/>
      <c r="AM171" s="3942" t="n"/>
      <c r="AN171" s="3942" t="n"/>
      <c r="AO171" s="3942" t="n"/>
      <c r="AP171" s="3942" t="n"/>
      <c r="AQ171" s="3942" t="n"/>
      <c r="AR171" s="3942" t="n"/>
      <c r="AS171" s="3942" t="n"/>
    </row>
    <row r="172">
      <c r="A172" s="3944" t="n"/>
      <c r="B172" s="3944" t="n"/>
      <c r="C172" s="3944" t="n"/>
      <c r="D172" s="3944" t="n"/>
      <c r="E172" s="3944" t="n"/>
      <c r="F172" s="3944" t="n"/>
      <c r="G172" s="3942" t="n"/>
      <c r="H172" s="3942" t="n"/>
      <c r="I172" s="3942" t="n"/>
      <c r="J172" s="3942" t="n"/>
      <c r="K172" s="3942" t="n"/>
      <c r="L172" s="3942" t="n"/>
      <c r="M172" s="3942" t="n"/>
      <c r="N172" s="3942" t="n"/>
      <c r="O172" s="3942" t="n"/>
      <c r="P172" s="3942" t="n"/>
      <c r="Q172" s="3942" t="n"/>
      <c r="R172" s="3942" t="n"/>
      <c r="S172" s="3942" t="n"/>
      <c r="T172" s="3942" t="n"/>
      <c r="U172" s="3942" t="n"/>
      <c r="V172" s="3942" t="n"/>
      <c r="W172" s="3942" t="n"/>
      <c r="X172" s="3942" t="n"/>
      <c r="Y172" s="3942" t="n"/>
      <c r="Z172" s="3942" t="n"/>
      <c r="AA172" s="3942" t="n"/>
      <c r="AB172" s="3942" t="n"/>
      <c r="AC172" s="3942" t="n"/>
      <c r="AD172" s="3942" t="n"/>
      <c r="AE172" s="3942" t="n"/>
      <c r="AF172" s="3942" t="n"/>
      <c r="AG172" s="3942" t="n"/>
      <c r="AH172" s="3942" t="n"/>
      <c r="AI172" s="3942" t="n"/>
      <c r="AJ172" s="3942" t="n"/>
      <c r="AK172" s="3942" t="n"/>
      <c r="AL172" s="3942" t="n"/>
      <c r="AM172" s="3942" t="n"/>
      <c r="AN172" s="3942" t="n"/>
      <c r="AO172" s="3942" t="n"/>
      <c r="AP172" s="3942" t="n"/>
      <c r="AQ172" s="3942" t="n"/>
      <c r="AR172" s="3942" t="n"/>
      <c r="AS172" s="3942" t="n"/>
    </row>
    <row r="173">
      <c r="A173" s="3944" t="n"/>
      <c r="B173" s="3944" t="n"/>
      <c r="C173" s="3944" t="n"/>
      <c r="D173" s="3944" t="n"/>
      <c r="E173" s="3944" t="n"/>
      <c r="F173" s="3944" t="n"/>
      <c r="G173" s="3942" t="n"/>
      <c r="H173" s="3942" t="n"/>
      <c r="I173" s="3942" t="n"/>
      <c r="J173" s="3942" t="n"/>
      <c r="K173" s="3942" t="n"/>
      <c r="L173" s="3942" t="n"/>
      <c r="M173" s="3942" t="n"/>
      <c r="N173" s="3942" t="n"/>
      <c r="O173" s="3942" t="n"/>
      <c r="P173" s="3942" t="n"/>
      <c r="Q173" s="3942" t="n"/>
      <c r="R173" s="3942" t="n"/>
      <c r="S173" s="3942" t="n"/>
      <c r="T173" s="3942" t="n"/>
      <c r="U173" s="3942" t="n"/>
      <c r="V173" s="3942" t="n"/>
      <c r="W173" s="3942" t="n"/>
      <c r="X173" s="3942" t="n"/>
      <c r="Y173" s="3942" t="n"/>
      <c r="Z173" s="3942" t="n"/>
      <c r="AA173" s="3942" t="n"/>
      <c r="AB173" s="3942" t="n"/>
      <c r="AC173" s="3942" t="n"/>
      <c r="AD173" s="3942" t="n"/>
      <c r="AE173" s="3942" t="n"/>
      <c r="AF173" s="3942" t="n"/>
      <c r="AG173" s="3942" t="n"/>
      <c r="AH173" s="3942" t="n"/>
      <c r="AI173" s="3942" t="n"/>
      <c r="AJ173" s="3942" t="n"/>
      <c r="AK173" s="3942" t="n"/>
      <c r="AL173" s="3942" t="n"/>
      <c r="AM173" s="3942" t="n"/>
      <c r="AN173" s="3942" t="n"/>
      <c r="AO173" s="3942" t="n"/>
      <c r="AP173" s="3942" t="n"/>
      <c r="AQ173" s="3942" t="n"/>
      <c r="AR173" s="3942" t="n"/>
      <c r="AS173" s="3942" t="n"/>
    </row>
    <row r="174">
      <c r="A174" s="3944" t="n"/>
      <c r="B174" s="3944" t="n"/>
      <c r="C174" s="3944" t="n"/>
      <c r="D174" s="3944" t="n"/>
      <c r="E174" s="3944" t="n"/>
      <c r="F174" s="3944" t="n"/>
      <c r="G174" s="3942" t="n"/>
      <c r="H174" s="3942" t="n"/>
      <c r="I174" s="3942" t="n"/>
      <c r="J174" s="3942" t="n"/>
      <c r="K174" s="3942" t="n"/>
      <c r="L174" s="3942" t="n"/>
      <c r="M174" s="3942" t="n"/>
      <c r="N174" s="3942" t="n"/>
      <c r="O174" s="3942" t="n"/>
      <c r="P174" s="3942" t="n"/>
      <c r="Q174" s="3942" t="n"/>
      <c r="R174" s="3942" t="n"/>
      <c r="S174" s="3942" t="n"/>
      <c r="T174" s="3942" t="n"/>
      <c r="U174" s="3942" t="n"/>
      <c r="V174" s="3942" t="n"/>
      <c r="W174" s="3942" t="n"/>
      <c r="X174" s="3942" t="n"/>
      <c r="Y174" s="3942" t="n"/>
      <c r="Z174" s="3942" t="n"/>
      <c r="AA174" s="3942" t="n"/>
      <c r="AB174" s="3942" t="n"/>
      <c r="AC174" s="3942" t="n"/>
      <c r="AD174" s="3942" t="n"/>
      <c r="AE174" s="3942" t="n"/>
      <c r="AF174" s="3942" t="n"/>
      <c r="AG174" s="3942" t="n"/>
      <c r="AH174" s="3942" t="n"/>
      <c r="AI174" s="3942" t="n"/>
      <c r="AJ174" s="3942" t="n"/>
      <c r="AK174" s="3942" t="n"/>
      <c r="AL174" s="3942" t="n"/>
      <c r="AM174" s="3942" t="n"/>
      <c r="AN174" s="3942" t="n"/>
      <c r="AO174" s="3942" t="n"/>
      <c r="AP174" s="3942" t="n"/>
      <c r="AQ174" s="3942" t="n"/>
      <c r="AR174" s="3942" t="n"/>
      <c r="AS174" s="3942" t="n"/>
    </row>
    <row r="175">
      <c r="A175" s="3944" t="n"/>
      <c r="B175" s="3944" t="n"/>
      <c r="C175" s="3944" t="n"/>
      <c r="D175" s="3944" t="n"/>
      <c r="E175" s="3944" t="n"/>
      <c r="F175" s="3944" t="n"/>
      <c r="G175" s="3942" t="n"/>
      <c r="H175" s="3942" t="n"/>
      <c r="I175" s="3942" t="n"/>
      <c r="J175" s="3942" t="n"/>
      <c r="K175" s="3942" t="n"/>
      <c r="L175" s="3942" t="n"/>
      <c r="M175" s="3942" t="n"/>
      <c r="N175" s="3942" t="n"/>
      <c r="O175" s="3942" t="n"/>
      <c r="P175" s="3942" t="n"/>
      <c r="Q175" s="3942" t="n"/>
      <c r="R175" s="3942" t="n"/>
      <c r="S175" s="3942" t="n"/>
      <c r="T175" s="3942" t="n"/>
      <c r="U175" s="3942" t="n"/>
      <c r="V175" s="3942" t="n"/>
      <c r="W175" s="3942" t="n"/>
      <c r="X175" s="3942" t="n"/>
      <c r="Y175" s="3942" t="n"/>
      <c r="Z175" s="3942" t="n"/>
      <c r="AA175" s="3942" t="n"/>
      <c r="AB175" s="3942" t="n"/>
      <c r="AC175" s="3942" t="n"/>
      <c r="AD175" s="3942" t="n"/>
      <c r="AE175" s="3942" t="n"/>
      <c r="AF175" s="3942" t="n"/>
      <c r="AG175" s="3942" t="n"/>
      <c r="AH175" s="3942" t="n"/>
      <c r="AI175" s="3942" t="n"/>
      <c r="AJ175" s="3942" t="n"/>
      <c r="AK175" s="3942" t="n"/>
      <c r="AL175" s="3942" t="n"/>
      <c r="AM175" s="3942" t="n"/>
      <c r="AN175" s="3942" t="n"/>
      <c r="AO175" s="3942" t="n"/>
      <c r="AP175" s="3942" t="n"/>
      <c r="AQ175" s="3942" t="n"/>
      <c r="AR175" s="3942" t="n"/>
      <c r="AS175" s="3942" t="n"/>
    </row>
    <row r="176">
      <c r="A176" s="3944" t="n"/>
      <c r="B176" s="3944" t="n"/>
      <c r="C176" s="3944" t="n"/>
      <c r="D176" s="3944" t="n"/>
      <c r="E176" s="3944" t="n"/>
      <c r="F176" s="3944" t="n"/>
      <c r="G176" s="3942" t="n"/>
      <c r="H176" s="3942" t="n"/>
      <c r="I176" s="3942" t="n"/>
      <c r="J176" s="3942" t="n"/>
      <c r="K176" s="3942" t="n"/>
      <c r="L176" s="3942" t="n"/>
      <c r="M176" s="3942" t="n"/>
      <c r="N176" s="3942" t="n"/>
      <c r="O176" s="3942" t="n"/>
      <c r="P176" s="3942" t="n"/>
      <c r="Q176" s="3942" t="n"/>
      <c r="R176" s="3942" t="n"/>
      <c r="S176" s="3942" t="n"/>
      <c r="T176" s="3942" t="n"/>
      <c r="U176" s="3942" t="n"/>
      <c r="V176" s="3942" t="n"/>
      <c r="W176" s="3942" t="n"/>
      <c r="X176" s="3942" t="n"/>
      <c r="Y176" s="3942" t="n"/>
      <c r="Z176" s="3942" t="n"/>
      <c r="AA176" s="3942" t="n"/>
      <c r="AB176" s="3942" t="n"/>
      <c r="AC176" s="3942" t="n"/>
      <c r="AD176" s="3942" t="n"/>
      <c r="AE176" s="3942" t="n"/>
      <c r="AF176" s="3942" t="n"/>
      <c r="AG176" s="3942" t="n"/>
      <c r="AH176" s="3942" t="n"/>
      <c r="AI176" s="3942" t="n"/>
      <c r="AJ176" s="3942" t="n"/>
      <c r="AK176" s="3942" t="n"/>
      <c r="AL176" s="3942" t="n"/>
      <c r="AM176" s="3942" t="n"/>
      <c r="AN176" s="3942" t="n"/>
      <c r="AO176" s="3942" t="n"/>
      <c r="AP176" s="3942" t="n"/>
      <c r="AQ176" s="3942" t="n"/>
      <c r="AR176" s="3942" t="n"/>
      <c r="AS176" s="3942" t="n"/>
    </row>
    <row r="177">
      <c r="A177" s="3944" t="n"/>
      <c r="B177" s="3944" t="n"/>
      <c r="C177" s="3944" t="n"/>
      <c r="D177" s="3944" t="n"/>
      <c r="E177" s="3944" t="n"/>
      <c r="F177" s="3944" t="n"/>
      <c r="G177" s="3942" t="n"/>
      <c r="H177" s="3942" t="n"/>
      <c r="I177" s="3942" t="n"/>
      <c r="J177" s="3942" t="n"/>
      <c r="K177" s="3942" t="n"/>
      <c r="L177" s="3942" t="n"/>
      <c r="M177" s="3942" t="n"/>
      <c r="N177" s="3942" t="n"/>
      <c r="O177" s="3942" t="n"/>
      <c r="P177" s="3942" t="n"/>
      <c r="Q177" s="3942" t="n"/>
      <c r="R177" s="3942" t="n"/>
      <c r="S177" s="3942" t="n"/>
      <c r="T177" s="3942" t="n"/>
      <c r="U177" s="3942" t="n"/>
      <c r="V177" s="3942" t="n"/>
      <c r="W177" s="3942" t="n"/>
      <c r="X177" s="3942" t="n"/>
      <c r="Y177" s="3942" t="n"/>
      <c r="Z177" s="3942" t="n"/>
      <c r="AA177" s="3942" t="n"/>
      <c r="AB177" s="3942" t="n"/>
      <c r="AC177" s="3942" t="n"/>
      <c r="AD177" s="3942" t="n"/>
      <c r="AE177" s="3942" t="n"/>
      <c r="AF177" s="3942" t="n"/>
      <c r="AG177" s="3942" t="n"/>
      <c r="AH177" s="3942" t="n"/>
      <c r="AI177" s="3942" t="n"/>
      <c r="AJ177" s="3942" t="n"/>
      <c r="AK177" s="3942" t="n"/>
      <c r="AL177" s="3942" t="n"/>
      <c r="AM177" s="3942" t="n"/>
      <c r="AN177" s="3942" t="n"/>
      <c r="AO177" s="3942" t="n"/>
      <c r="AP177" s="3942" t="n"/>
      <c r="AQ177" s="3942" t="n"/>
      <c r="AR177" s="3942" t="n"/>
      <c r="AS177" s="3942" t="n"/>
    </row>
    <row r="178">
      <c r="A178" s="3944" t="n"/>
      <c r="B178" s="3944" t="n"/>
      <c r="C178" s="3944" t="n"/>
      <c r="D178" s="3944" t="n"/>
      <c r="E178" s="3944" t="n"/>
      <c r="F178" s="3944" t="n"/>
      <c r="G178" s="3942" t="n"/>
      <c r="H178" s="3942" t="n"/>
      <c r="I178" s="3942" t="n"/>
      <c r="J178" s="3942" t="n"/>
      <c r="K178" s="3942" t="n"/>
      <c r="L178" s="3942" t="n"/>
      <c r="M178" s="3942" t="n"/>
      <c r="N178" s="3942" t="n"/>
      <c r="O178" s="3942" t="n"/>
      <c r="P178" s="3942" t="n"/>
      <c r="Q178" s="3942" t="n"/>
      <c r="R178" s="3942" t="n"/>
      <c r="S178" s="3942" t="n"/>
      <c r="T178" s="3942" t="n"/>
      <c r="U178" s="3942" t="n"/>
      <c r="V178" s="3942" t="n"/>
      <c r="W178" s="3942" t="n"/>
      <c r="X178" s="3942" t="n"/>
      <c r="Y178" s="3942" t="n"/>
      <c r="Z178" s="3942" t="n"/>
      <c r="AA178" s="3942" t="n"/>
      <c r="AB178" s="3942" t="n"/>
      <c r="AC178" s="3942" t="n"/>
      <c r="AD178" s="3942" t="n"/>
      <c r="AE178" s="3942" t="n"/>
      <c r="AF178" s="3942" t="n"/>
      <c r="AG178" s="3942" t="n"/>
      <c r="AH178" s="3942" t="n"/>
      <c r="AI178" s="3942" t="n"/>
      <c r="AJ178" s="3942" t="n"/>
      <c r="AK178" s="3942" t="n"/>
      <c r="AL178" s="3942" t="n"/>
      <c r="AM178" s="3942" t="n"/>
      <c r="AN178" s="3942" t="n"/>
      <c r="AO178" s="3942" t="n"/>
      <c r="AP178" s="3942" t="n"/>
      <c r="AQ178" s="3942" t="n"/>
      <c r="AR178" s="3942" t="n"/>
      <c r="AS178" s="3942" t="n"/>
    </row>
    <row r="179">
      <c r="A179" s="3944" t="n"/>
      <c r="B179" s="3944" t="n"/>
      <c r="C179" s="3944" t="n"/>
      <c r="D179" s="3944" t="n"/>
      <c r="E179" s="3944" t="n"/>
      <c r="F179" s="3944" t="n"/>
      <c r="G179" s="3942" t="n"/>
      <c r="H179" s="3942" t="n"/>
      <c r="I179" s="3942" t="n"/>
      <c r="J179" s="3942" t="n"/>
      <c r="K179" s="3942" t="n"/>
      <c r="L179" s="3942" t="n"/>
      <c r="M179" s="3942" t="n"/>
      <c r="N179" s="3942" t="n"/>
      <c r="O179" s="3942" t="n"/>
      <c r="P179" s="3942" t="n"/>
      <c r="Q179" s="3942" t="n"/>
      <c r="R179" s="3942" t="n"/>
      <c r="S179" s="3942" t="n"/>
      <c r="T179" s="3942" t="n"/>
      <c r="U179" s="3942" t="n"/>
      <c r="V179" s="3942" t="n"/>
      <c r="W179" s="3942" t="n"/>
      <c r="X179" s="3942" t="n"/>
      <c r="Y179" s="3942" t="n"/>
      <c r="Z179" s="3942" t="n"/>
      <c r="AA179" s="3942" t="n"/>
      <c r="AB179" s="3942" t="n"/>
      <c r="AC179" s="3942" t="n"/>
      <c r="AD179" s="3942" t="n"/>
      <c r="AE179" s="3942" t="n"/>
      <c r="AF179" s="3942" t="n"/>
      <c r="AG179" s="3942" t="n"/>
      <c r="AH179" s="3942" t="n"/>
      <c r="AI179" s="3942" t="n"/>
      <c r="AJ179" s="3942" t="n"/>
      <c r="AK179" s="3942" t="n"/>
      <c r="AL179" s="3942" t="n"/>
      <c r="AM179" s="3942" t="n"/>
      <c r="AN179" s="3942" t="n"/>
      <c r="AO179" s="3942" t="n"/>
      <c r="AP179" s="3942" t="n"/>
      <c r="AQ179" s="3942" t="n"/>
      <c r="AR179" s="3942" t="n"/>
      <c r="AS179" s="3942" t="n"/>
    </row>
    <row r="180">
      <c r="A180" s="3944" t="n"/>
      <c r="B180" s="3944" t="n"/>
      <c r="C180" s="3944" t="n"/>
      <c r="D180" s="3944" t="n"/>
      <c r="E180" s="3944" t="n"/>
      <c r="F180" s="3944" t="n"/>
      <c r="G180" s="3942" t="n"/>
      <c r="H180" s="3942" t="n"/>
      <c r="I180" s="3942" t="n"/>
      <c r="J180" s="3942" t="n"/>
      <c r="K180" s="3942" t="n"/>
      <c r="L180" s="3942" t="n"/>
      <c r="M180" s="3942" t="n"/>
      <c r="N180" s="3942" t="n"/>
      <c r="O180" s="3942" t="n"/>
      <c r="P180" s="3942" t="n"/>
      <c r="Q180" s="3942" t="n"/>
      <c r="R180" s="3942" t="n"/>
      <c r="S180" s="3942" t="n"/>
      <c r="T180" s="3942" t="n"/>
      <c r="U180" s="3942" t="n"/>
      <c r="V180" s="3942" t="n"/>
      <c r="W180" s="3942" t="n"/>
      <c r="X180" s="3942" t="n"/>
      <c r="Y180" s="3942" t="n"/>
      <c r="Z180" s="3942" t="n"/>
      <c r="AA180" s="3942" t="n"/>
      <c r="AB180" s="3942" t="n"/>
      <c r="AC180" s="3942" t="n"/>
      <c r="AD180" s="3942" t="n"/>
      <c r="AE180" s="3942" t="n"/>
      <c r="AF180" s="3942" t="n"/>
      <c r="AG180" s="3942" t="n"/>
      <c r="AH180" s="3942" t="n"/>
      <c r="AI180" s="3942" t="n"/>
      <c r="AJ180" s="3942" t="n"/>
      <c r="AK180" s="3942" t="n"/>
      <c r="AL180" s="3942" t="n"/>
      <c r="AM180" s="3942" t="n"/>
      <c r="AN180" s="3942" t="n"/>
      <c r="AO180" s="3942" t="n"/>
      <c r="AP180" s="3942" t="n"/>
      <c r="AQ180" s="3942" t="n"/>
      <c r="AR180" s="3942" t="n"/>
      <c r="AS180" s="3942" t="n"/>
    </row>
    <row r="181">
      <c r="A181" s="3944" t="n"/>
      <c r="B181" s="3944" t="n"/>
      <c r="C181" s="3944" t="n"/>
      <c r="D181" s="3944" t="n"/>
      <c r="E181" s="3944" t="n"/>
      <c r="F181" s="3944" t="n"/>
      <c r="G181" s="3942" t="n"/>
      <c r="H181" s="3942" t="n"/>
      <c r="I181" s="3942" t="n"/>
      <c r="J181" s="3942" t="n"/>
      <c r="K181" s="3942" t="n"/>
      <c r="L181" s="3942" t="n"/>
      <c r="M181" s="3942" t="n"/>
      <c r="N181" s="3942" t="n"/>
      <c r="O181" s="3942" t="n"/>
      <c r="P181" s="3942" t="n"/>
      <c r="Q181" s="3942" t="n"/>
      <c r="R181" s="3942" t="n"/>
      <c r="S181" s="3942" t="n"/>
      <c r="T181" s="3942" t="n"/>
      <c r="U181" s="3942" t="n"/>
      <c r="V181" s="3942" t="n"/>
      <c r="W181" s="3942" t="n"/>
      <c r="X181" s="3942" t="n"/>
      <c r="Y181" s="3942" t="n"/>
      <c r="Z181" s="3942" t="n"/>
      <c r="AA181" s="3942" t="n"/>
      <c r="AB181" s="3942" t="n"/>
      <c r="AC181" s="3942" t="n"/>
      <c r="AD181" s="3942" t="n"/>
      <c r="AE181" s="3942" t="n"/>
      <c r="AF181" s="3942" t="n"/>
      <c r="AG181" s="3942" t="n"/>
      <c r="AH181" s="3942" t="n"/>
      <c r="AI181" s="3942" t="n"/>
      <c r="AJ181" s="3942" t="n"/>
      <c r="AK181" s="3942" t="n"/>
      <c r="AL181" s="3942" t="n"/>
      <c r="AM181" s="3942" t="n"/>
      <c r="AN181" s="3942" t="n"/>
      <c r="AO181" s="3942" t="n"/>
      <c r="AP181" s="3942" t="n"/>
      <c r="AQ181" s="3942" t="n"/>
      <c r="AR181" s="3942" t="n"/>
      <c r="AS181" s="3942" t="n"/>
    </row>
    <row r="182">
      <c r="A182" s="3944" t="n"/>
      <c r="B182" s="3944" t="n"/>
      <c r="C182" s="3944" t="n"/>
      <c r="D182" s="3944" t="n"/>
      <c r="E182" s="3944" t="n"/>
      <c r="F182" s="3944" t="n"/>
      <c r="G182" s="3942" t="n"/>
      <c r="H182" s="3942" t="n"/>
      <c r="I182" s="3942" t="n"/>
      <c r="J182" s="3942" t="n"/>
      <c r="K182" s="3942" t="n"/>
      <c r="L182" s="3942" t="n"/>
      <c r="M182" s="3942" t="n"/>
      <c r="N182" s="3942" t="n"/>
      <c r="O182" s="3942" t="n"/>
      <c r="P182" s="3942" t="n"/>
      <c r="Q182" s="3942" t="n"/>
      <c r="R182" s="3942" t="n"/>
      <c r="S182" s="3942" t="n"/>
      <c r="T182" s="3942" t="n"/>
      <c r="U182" s="3942" t="n"/>
      <c r="V182" s="3942" t="n"/>
      <c r="W182" s="3942" t="n"/>
      <c r="X182" s="3942" t="n"/>
      <c r="Y182" s="3942" t="n"/>
      <c r="Z182" s="3942" t="n"/>
      <c r="AA182" s="3942" t="n"/>
      <c r="AB182" s="3942" t="n"/>
      <c r="AC182" s="3942" t="n"/>
      <c r="AD182" s="3942" t="n"/>
      <c r="AE182" s="3942" t="n"/>
      <c r="AF182" s="3942" t="n"/>
      <c r="AG182" s="3942" t="n"/>
      <c r="AH182" s="3942" t="n"/>
      <c r="AI182" s="3942" t="n"/>
      <c r="AJ182" s="3942" t="n"/>
      <c r="AK182" s="3942" t="n"/>
      <c r="AL182" s="3942" t="n"/>
      <c r="AM182" s="3942" t="n"/>
      <c r="AN182" s="3942" t="n"/>
      <c r="AO182" s="3942" t="n"/>
      <c r="AP182" s="3942" t="n"/>
      <c r="AQ182" s="3942" t="n"/>
      <c r="AR182" s="3942" t="n"/>
      <c r="AS182" s="3942" t="n"/>
    </row>
    <row r="183">
      <c r="A183" s="3944" t="n"/>
      <c r="B183" s="3944" t="n"/>
      <c r="C183" s="3944" t="n"/>
      <c r="D183" s="3944" t="n"/>
      <c r="E183" s="3944" t="n"/>
      <c r="F183" s="3944" t="n"/>
      <c r="G183" s="3942" t="n"/>
      <c r="H183" s="3942" t="n"/>
      <c r="I183" s="3942" t="n"/>
      <c r="J183" s="3942" t="n"/>
      <c r="K183" s="3942" t="n"/>
      <c r="L183" s="3942" t="n"/>
      <c r="M183" s="3942" t="n"/>
      <c r="N183" s="3942" t="n"/>
      <c r="O183" s="3942" t="n"/>
      <c r="P183" s="3942" t="n"/>
      <c r="Q183" s="3942" t="n"/>
      <c r="R183" s="3942" t="n"/>
      <c r="S183" s="3942" t="n"/>
      <c r="T183" s="3942" t="n"/>
      <c r="U183" s="3942" t="n"/>
      <c r="V183" s="3942" t="n"/>
      <c r="W183" s="3942" t="n"/>
      <c r="X183" s="3942" t="n"/>
      <c r="Y183" s="3942" t="n"/>
      <c r="Z183" s="3942" t="n"/>
      <c r="AA183" s="3942" t="n"/>
      <c r="AB183" s="3942" t="n"/>
      <c r="AC183" s="3942" t="n"/>
      <c r="AD183" s="3942" t="n"/>
      <c r="AE183" s="3942" t="n"/>
      <c r="AF183" s="3942" t="n"/>
      <c r="AG183" s="3942" t="n"/>
      <c r="AH183" s="3942" t="n"/>
      <c r="AI183" s="3942" t="n"/>
      <c r="AJ183" s="3942" t="n"/>
      <c r="AK183" s="3942" t="n"/>
      <c r="AL183" s="3942" t="n"/>
      <c r="AM183" s="3942" t="n"/>
      <c r="AN183" s="3942" t="n"/>
      <c r="AO183" s="3942" t="n"/>
      <c r="AP183" s="3942" t="n"/>
      <c r="AQ183" s="3942" t="n"/>
      <c r="AR183" s="3942" t="n"/>
      <c r="AS183" s="3942" t="n"/>
    </row>
    <row r="184">
      <c r="A184" s="3944" t="n"/>
      <c r="B184" s="3944" t="n"/>
      <c r="C184" s="3944" t="n"/>
      <c r="D184" s="3944" t="n"/>
      <c r="E184" s="3944" t="n"/>
      <c r="F184" s="3944" t="n"/>
      <c r="G184" s="3942" t="n"/>
      <c r="H184" s="3942" t="n"/>
      <c r="I184" s="3942" t="n"/>
      <c r="J184" s="3942" t="n"/>
      <c r="K184" s="3942" t="n"/>
      <c r="L184" s="3942" t="n"/>
      <c r="M184" s="3942" t="n"/>
      <c r="N184" s="3942" t="n"/>
      <c r="O184" s="3942" t="n"/>
      <c r="P184" s="3942" t="n"/>
      <c r="Q184" s="3942" t="n"/>
      <c r="R184" s="3942" t="n"/>
      <c r="S184" s="3942" t="n"/>
      <c r="T184" s="3942" t="n"/>
      <c r="U184" s="3942" t="n"/>
      <c r="V184" s="3942" t="n"/>
      <c r="W184" s="3942" t="n"/>
      <c r="X184" s="3942" t="n"/>
      <c r="Y184" s="3942" t="n"/>
      <c r="Z184" s="3942" t="n"/>
      <c r="AA184" s="3942" t="n"/>
      <c r="AB184" s="3942" t="n"/>
      <c r="AC184" s="3942" t="n"/>
      <c r="AD184" s="3942" t="n"/>
      <c r="AE184" s="3942" t="n"/>
      <c r="AF184" s="3942" t="n"/>
      <c r="AG184" s="3942" t="n"/>
      <c r="AH184" s="3942" t="n"/>
      <c r="AI184" s="3942" t="n"/>
      <c r="AJ184" s="3942" t="n"/>
      <c r="AK184" s="3942" t="n"/>
      <c r="AL184" s="3942" t="n"/>
      <c r="AM184" s="3942" t="n"/>
      <c r="AN184" s="3942" t="n"/>
      <c r="AO184" s="3942" t="n"/>
      <c r="AP184" s="3942" t="n"/>
      <c r="AQ184" s="3942" t="n"/>
      <c r="AR184" s="3942" t="n"/>
      <c r="AS184" s="3942" t="n"/>
    </row>
    <row r="185">
      <c r="A185" s="3944" t="n"/>
      <c r="B185" s="3944" t="n"/>
      <c r="C185" s="3944" t="n"/>
      <c r="D185" s="3944" t="n"/>
      <c r="E185" s="3944" t="n"/>
      <c r="F185" s="3944" t="n"/>
      <c r="G185" s="3942" t="n"/>
      <c r="H185" s="3942" t="n"/>
      <c r="I185" s="3942" t="n"/>
      <c r="J185" s="3942" t="n"/>
      <c r="K185" s="3942" t="n"/>
      <c r="L185" s="3942" t="n"/>
      <c r="M185" s="3942" t="n"/>
      <c r="N185" s="3942" t="n"/>
      <c r="O185" s="3942" t="n"/>
      <c r="P185" s="3942" t="n"/>
      <c r="Q185" s="3942" t="n"/>
      <c r="R185" s="3942" t="n"/>
      <c r="S185" s="3942" t="n"/>
      <c r="T185" s="3942" t="n"/>
      <c r="U185" s="3942" t="n"/>
      <c r="V185" s="3942" t="n"/>
      <c r="W185" s="3942" t="n"/>
      <c r="X185" s="3942" t="n"/>
      <c r="Y185" s="3942" t="n"/>
      <c r="Z185" s="3942" t="n"/>
      <c r="AA185" s="3942" t="n"/>
      <c r="AB185" s="3942" t="n"/>
      <c r="AC185" s="3942" t="n"/>
      <c r="AD185" s="3942" t="n"/>
      <c r="AE185" s="3942" t="n"/>
      <c r="AF185" s="3942" t="n"/>
      <c r="AG185" s="3942" t="n"/>
      <c r="AH185" s="3942" t="n"/>
      <c r="AI185" s="3942" t="n"/>
      <c r="AJ185" s="3942" t="n"/>
      <c r="AK185" s="3942" t="n"/>
      <c r="AL185" s="3942" t="n"/>
      <c r="AM185" s="3942" t="n"/>
      <c r="AN185" s="3942" t="n"/>
      <c r="AO185" s="3942" t="n"/>
      <c r="AP185" s="3942" t="n"/>
      <c r="AQ185" s="3942" t="n"/>
      <c r="AR185" s="3942" t="n"/>
      <c r="AS185" s="3942" t="n"/>
    </row>
    <row r="186">
      <c r="A186" s="3944" t="n"/>
      <c r="B186" s="3944" t="n"/>
      <c r="C186" s="3944" t="n"/>
      <c r="D186" s="3944" t="n"/>
      <c r="E186" s="3944" t="n"/>
      <c r="F186" s="3944" t="n"/>
      <c r="G186" s="3942" t="n"/>
      <c r="H186" s="3942" t="n"/>
      <c r="I186" s="3942" t="n"/>
      <c r="J186" s="3942" t="n"/>
      <c r="K186" s="3942" t="n"/>
      <c r="L186" s="3942" t="n"/>
      <c r="M186" s="3942" t="n"/>
      <c r="N186" s="3942" t="n"/>
      <c r="O186" s="3942" t="n"/>
      <c r="P186" s="3942" t="n"/>
      <c r="Q186" s="3942" t="n"/>
      <c r="R186" s="3942" t="n"/>
      <c r="S186" s="3942" t="n"/>
      <c r="T186" s="3942" t="n"/>
      <c r="U186" s="3942" t="n"/>
      <c r="V186" s="3942" t="n"/>
      <c r="W186" s="3942" t="n"/>
      <c r="X186" s="3942" t="n"/>
      <c r="Y186" s="3942" t="n"/>
      <c r="Z186" s="3942" t="n"/>
      <c r="AA186" s="3942" t="n"/>
      <c r="AB186" s="3942" t="n"/>
      <c r="AC186" s="3942" t="n"/>
      <c r="AD186" s="3942" t="n"/>
      <c r="AE186" s="3942" t="n"/>
      <c r="AF186" s="3942" t="n"/>
      <c r="AG186" s="3942" t="n"/>
      <c r="AH186" s="3942" t="n"/>
      <c r="AI186" s="3942" t="n"/>
      <c r="AJ186" s="3942" t="n"/>
      <c r="AK186" s="3942" t="n"/>
      <c r="AL186" s="3942" t="n"/>
      <c r="AM186" s="3942" t="n"/>
      <c r="AN186" s="3942" t="n"/>
      <c r="AO186" s="3942" t="n"/>
      <c r="AP186" s="3942" t="n"/>
      <c r="AQ186" s="3942" t="n"/>
      <c r="AR186" s="3942" t="n"/>
      <c r="AS186" s="3942" t="n"/>
    </row>
    <row r="187">
      <c r="A187" s="3944" t="n"/>
      <c r="B187" s="3944" t="n"/>
      <c r="C187" s="3944" t="n"/>
      <c r="D187" s="3944" t="n"/>
      <c r="E187" s="3944" t="n"/>
      <c r="F187" s="3944" t="n"/>
      <c r="G187" s="3942" t="n"/>
      <c r="H187" s="3942" t="n"/>
      <c r="I187" s="3942" t="n"/>
      <c r="J187" s="3942" t="n"/>
      <c r="K187" s="3942" t="n"/>
      <c r="L187" s="3942" t="n"/>
      <c r="M187" s="3942" t="n"/>
      <c r="N187" s="3942" t="n"/>
      <c r="O187" s="3942" t="n"/>
      <c r="P187" s="3942" t="n"/>
      <c r="Q187" s="3942" t="n"/>
      <c r="R187" s="3942" t="n"/>
      <c r="S187" s="3942" t="n"/>
      <c r="T187" s="3942" t="n"/>
      <c r="U187" s="3942" t="n"/>
      <c r="V187" s="3942" t="n"/>
      <c r="W187" s="3942" t="n"/>
      <c r="X187" s="3942" t="n"/>
      <c r="Y187" s="3942" t="n"/>
      <c r="Z187" s="3942" t="n"/>
      <c r="AA187" s="3942" t="n"/>
      <c r="AB187" s="3942" t="n"/>
      <c r="AC187" s="3942" t="n"/>
      <c r="AD187" s="3942" t="n"/>
      <c r="AE187" s="3942" t="n"/>
      <c r="AF187" s="3942" t="n"/>
      <c r="AG187" s="3942" t="n"/>
      <c r="AH187" s="3942" t="n"/>
      <c r="AI187" s="3942" t="n"/>
      <c r="AJ187" s="3942" t="n"/>
      <c r="AK187" s="3942" t="n"/>
      <c r="AL187" s="3942" t="n"/>
      <c r="AM187" s="3942" t="n"/>
      <c r="AN187" s="3942" t="n"/>
      <c r="AO187" s="3942" t="n"/>
      <c r="AP187" s="3942" t="n"/>
      <c r="AQ187" s="3942" t="n"/>
      <c r="AR187" s="3942" t="n"/>
      <c r="AS187" s="3942" t="n"/>
    </row>
    <row r="188">
      <c r="A188" s="3944" t="n"/>
      <c r="B188" s="3944" t="n"/>
      <c r="C188" s="3944" t="n"/>
      <c r="D188" s="3944" t="n"/>
      <c r="E188" s="3944" t="n"/>
      <c r="F188" s="3944" t="n"/>
      <c r="G188" s="3942" t="n"/>
      <c r="H188" s="3942" t="n"/>
      <c r="I188" s="3942" t="n"/>
      <c r="J188" s="3942" t="n"/>
      <c r="K188" s="3942" t="n"/>
      <c r="L188" s="3942" t="n"/>
      <c r="M188" s="3942" t="n"/>
      <c r="N188" s="3942" t="n"/>
      <c r="O188" s="3942" t="n"/>
      <c r="P188" s="3942" t="n"/>
      <c r="Q188" s="3942" t="n"/>
      <c r="R188" s="3942" t="n"/>
      <c r="S188" s="3942" t="n"/>
      <c r="T188" s="3942" t="n"/>
      <c r="U188" s="3942" t="n"/>
      <c r="V188" s="3942" t="n"/>
      <c r="W188" s="3942" t="n"/>
      <c r="X188" s="3942" t="n"/>
      <c r="Y188" s="3942" t="n"/>
      <c r="Z188" s="3942" t="n"/>
      <c r="AA188" s="3942" t="n"/>
      <c r="AB188" s="3942" t="n"/>
      <c r="AC188" s="3942" t="n"/>
      <c r="AD188" s="3942" t="n"/>
      <c r="AE188" s="3942" t="n"/>
      <c r="AF188" s="3942" t="n"/>
      <c r="AG188" s="3942" t="n"/>
      <c r="AH188" s="3942" t="n"/>
      <c r="AI188" s="3942" t="n"/>
      <c r="AJ188" s="3942" t="n"/>
      <c r="AK188" s="3942" t="n"/>
      <c r="AL188" s="3942" t="n"/>
      <c r="AM188" s="3942" t="n"/>
      <c r="AN188" s="3942" t="n"/>
      <c r="AO188" s="3942" t="n"/>
      <c r="AP188" s="3942" t="n"/>
      <c r="AQ188" s="3942" t="n"/>
      <c r="AR188" s="3942" t="n"/>
      <c r="AS188" s="3942" t="n"/>
    </row>
    <row r="189">
      <c r="A189" s="3944" t="n"/>
      <c r="B189" s="3944" t="n"/>
      <c r="C189" s="3944" t="n"/>
      <c r="D189" s="3944" t="n"/>
      <c r="E189" s="3944" t="n"/>
      <c r="F189" s="3944" t="n"/>
      <c r="G189" s="3942" t="n"/>
      <c r="H189" s="3942" t="n"/>
      <c r="I189" s="3942" t="n"/>
      <c r="J189" s="3942" t="n"/>
      <c r="K189" s="3942" t="n"/>
      <c r="L189" s="3942" t="n"/>
      <c r="M189" s="3942" t="n"/>
      <c r="N189" s="3942" t="n"/>
      <c r="O189" s="3942" t="n"/>
      <c r="P189" s="3942" t="n"/>
      <c r="Q189" s="3942" t="n"/>
      <c r="R189" s="3942" t="n"/>
      <c r="S189" s="3942" t="n"/>
      <c r="T189" s="3942" t="n"/>
      <c r="U189" s="3942" t="n"/>
      <c r="V189" s="3942" t="n"/>
      <c r="W189" s="3942" t="n"/>
      <c r="X189" s="3942" t="n"/>
      <c r="Y189" s="3942" t="n"/>
      <c r="Z189" s="3942" t="n"/>
      <c r="AA189" s="3942" t="n"/>
      <c r="AB189" s="3942" t="n"/>
      <c r="AC189" s="3942" t="n"/>
      <c r="AD189" s="3942" t="n"/>
      <c r="AE189" s="3942" t="n"/>
      <c r="AF189" s="3942" t="n"/>
      <c r="AG189" s="3942" t="n"/>
      <c r="AH189" s="3942" t="n"/>
      <c r="AI189" s="3942" t="n"/>
      <c r="AJ189" s="3942" t="n"/>
      <c r="AK189" s="3942" t="n"/>
      <c r="AL189" s="3942" t="n"/>
      <c r="AM189" s="3942" t="n"/>
      <c r="AN189" s="3942" t="n"/>
      <c r="AO189" s="3942" t="n"/>
      <c r="AP189" s="3942" t="n"/>
      <c r="AQ189" s="3942" t="n"/>
      <c r="AR189" s="3942" t="n"/>
      <c r="AS189" s="3942" t="n"/>
    </row>
    <row r="190">
      <c r="A190" s="3944" t="n"/>
      <c r="B190" s="3944" t="n"/>
      <c r="C190" s="3944" t="n"/>
      <c r="D190" s="3944" t="n"/>
      <c r="E190" s="3944" t="n"/>
      <c r="F190" s="3944" t="n"/>
      <c r="G190" s="3942" t="n"/>
      <c r="H190" s="3942" t="n"/>
      <c r="I190" s="3942" t="n"/>
      <c r="J190" s="3942" t="n"/>
      <c r="K190" s="3942" t="n"/>
      <c r="L190" s="3942" t="n"/>
      <c r="M190" s="3942" t="n"/>
      <c r="N190" s="3942" t="n"/>
      <c r="O190" s="3942" t="n"/>
      <c r="P190" s="3942" t="n"/>
      <c r="Q190" s="3942" t="n"/>
      <c r="R190" s="3942" t="n"/>
      <c r="S190" s="3942" t="n"/>
      <c r="T190" s="3942" t="n"/>
      <c r="U190" s="3942" t="n"/>
      <c r="V190" s="3942" t="n"/>
      <c r="W190" s="3942" t="n"/>
      <c r="X190" s="3942" t="n"/>
      <c r="Y190" s="3942" t="n"/>
      <c r="Z190" s="3942" t="n"/>
      <c r="AA190" s="3942" t="n"/>
      <c r="AB190" s="3942" t="n"/>
      <c r="AC190" s="3942" t="n"/>
      <c r="AD190" s="3942" t="n"/>
      <c r="AE190" s="3942" t="n"/>
      <c r="AF190" s="3942" t="n"/>
      <c r="AG190" s="3942" t="n"/>
      <c r="AH190" s="3942" t="n"/>
      <c r="AI190" s="3942" t="n"/>
      <c r="AJ190" s="3942" t="n"/>
      <c r="AK190" s="3942" t="n"/>
      <c r="AL190" s="3942" t="n"/>
      <c r="AM190" s="3942" t="n"/>
      <c r="AN190" s="3942" t="n"/>
      <c r="AO190" s="3942" t="n"/>
      <c r="AP190" s="3942" t="n"/>
      <c r="AQ190" s="3942" t="n"/>
      <c r="AR190" s="3942" t="n"/>
      <c r="AS190" s="3942" t="n"/>
    </row>
    <row r="191">
      <c r="A191" s="3944" t="n"/>
      <c r="B191" s="3944" t="n"/>
      <c r="C191" s="3944" t="n"/>
      <c r="D191" s="3944" t="n"/>
      <c r="E191" s="3944" t="n"/>
      <c r="F191" s="3944" t="n"/>
      <c r="G191" s="3942" t="n"/>
      <c r="H191" s="3942" t="n"/>
      <c r="I191" s="3942" t="n"/>
      <c r="J191" s="3942" t="n"/>
      <c r="K191" s="3942" t="n"/>
      <c r="L191" s="3942" t="n"/>
      <c r="M191" s="3942" t="n"/>
      <c r="N191" s="3942" t="n"/>
      <c r="O191" s="3942" t="n"/>
      <c r="P191" s="3942" t="n"/>
      <c r="Q191" s="3942" t="n"/>
      <c r="R191" s="3942" t="n"/>
      <c r="S191" s="3942" t="n"/>
      <c r="T191" s="3942" t="n"/>
      <c r="U191" s="3942" t="n"/>
      <c r="V191" s="3942" t="n"/>
      <c r="W191" s="3942" t="n"/>
      <c r="X191" s="3942" t="n"/>
      <c r="Y191" s="3942" t="n"/>
      <c r="Z191" s="3942" t="n"/>
      <c r="AA191" s="3942" t="n"/>
      <c r="AB191" s="3942" t="n"/>
      <c r="AC191" s="3942" t="n"/>
      <c r="AD191" s="3942" t="n"/>
      <c r="AE191" s="3942" t="n"/>
      <c r="AF191" s="3942" t="n"/>
      <c r="AG191" s="3942" t="n"/>
      <c r="AH191" s="3942" t="n"/>
      <c r="AI191" s="3942" t="n"/>
      <c r="AJ191" s="3942" t="n"/>
      <c r="AK191" s="3942" t="n"/>
      <c r="AL191" s="3942" t="n"/>
      <c r="AM191" s="3942" t="n"/>
      <c r="AN191" s="3942" t="n"/>
      <c r="AO191" s="3942" t="n"/>
      <c r="AP191" s="3942" t="n"/>
      <c r="AQ191" s="3942" t="n"/>
      <c r="AR191" s="3942" t="n"/>
      <c r="AS191" s="3942" t="n"/>
    </row>
    <row r="192">
      <c r="A192" s="3944" t="n"/>
      <c r="B192" s="3944" t="n"/>
      <c r="C192" s="3944" t="n"/>
      <c r="D192" s="3944" t="n"/>
      <c r="E192" s="3944" t="n"/>
      <c r="F192" s="3944" t="n"/>
      <c r="G192" s="3942" t="n"/>
      <c r="H192" s="3942" t="n"/>
      <c r="I192" s="3942" t="n"/>
      <c r="J192" s="3942" t="n"/>
      <c r="K192" s="3942" t="n"/>
      <c r="L192" s="3942" t="n"/>
      <c r="M192" s="3942" t="n"/>
      <c r="N192" s="3942" t="n"/>
      <c r="O192" s="3942" t="n"/>
      <c r="P192" s="3942" t="n"/>
      <c r="Q192" s="3942" t="n"/>
      <c r="R192" s="3942" t="n"/>
      <c r="S192" s="3942" t="n"/>
      <c r="T192" s="3942" t="n"/>
      <c r="U192" s="3942" t="n"/>
      <c r="V192" s="3942" t="n"/>
      <c r="W192" s="3942" t="n"/>
      <c r="X192" s="3942" t="n"/>
      <c r="Y192" s="3942" t="n"/>
      <c r="Z192" s="3942" t="n"/>
      <c r="AA192" s="3942" t="n"/>
      <c r="AB192" s="3942" t="n"/>
      <c r="AC192" s="3942" t="n"/>
      <c r="AD192" s="3942" t="n"/>
      <c r="AE192" s="3942" t="n"/>
      <c r="AF192" s="3942" t="n"/>
      <c r="AG192" s="3942" t="n"/>
      <c r="AH192" s="3942" t="n"/>
      <c r="AI192" s="3942" t="n"/>
      <c r="AJ192" s="3942" t="n"/>
      <c r="AK192" s="3942" t="n"/>
      <c r="AL192" s="3942" t="n"/>
      <c r="AM192" s="3942" t="n"/>
      <c r="AN192" s="3942" t="n"/>
      <c r="AO192" s="3942" t="n"/>
      <c r="AP192" s="3942" t="n"/>
      <c r="AQ192" s="3942" t="n"/>
      <c r="AR192" s="3942" t="n"/>
      <c r="AS192" s="3942" t="n"/>
    </row>
    <row r="193">
      <c r="A193" s="3944" t="n"/>
      <c r="B193" s="3944" t="n"/>
      <c r="C193" s="3944" t="n"/>
      <c r="D193" s="3944" t="n"/>
      <c r="E193" s="3944" t="n"/>
      <c r="F193" s="3944" t="n"/>
      <c r="G193" s="3942" t="n"/>
      <c r="H193" s="3942" t="n"/>
      <c r="I193" s="3942" t="n"/>
      <c r="J193" s="3942" t="n"/>
      <c r="K193" s="3942" t="n"/>
      <c r="L193" s="3942" t="n"/>
      <c r="M193" s="3942" t="n"/>
      <c r="N193" s="3942" t="n"/>
      <c r="O193" s="3942" t="n"/>
      <c r="P193" s="3942" t="n"/>
      <c r="Q193" s="3942" t="n"/>
      <c r="R193" s="3942" t="n"/>
      <c r="S193" s="3942" t="n"/>
      <c r="T193" s="3942" t="n"/>
      <c r="U193" s="3942" t="n"/>
      <c r="V193" s="3942" t="n"/>
      <c r="W193" s="3942" t="n"/>
      <c r="X193" s="3942" t="n"/>
      <c r="Y193" s="3942" t="n"/>
      <c r="Z193" s="3942" t="n"/>
      <c r="AA193" s="3942" t="n"/>
      <c r="AB193" s="3942" t="n"/>
      <c r="AC193" s="3942" t="n"/>
      <c r="AD193" s="3942" t="n"/>
      <c r="AE193" s="3942" t="n"/>
      <c r="AF193" s="3942" t="n"/>
      <c r="AG193" s="3942" t="n"/>
      <c r="AH193" s="3942" t="n"/>
      <c r="AI193" s="3942" t="n"/>
      <c r="AJ193" s="3942" t="n"/>
      <c r="AK193" s="3942" t="n"/>
      <c r="AL193" s="3942" t="n"/>
      <c r="AM193" s="3942" t="n"/>
      <c r="AN193" s="3942" t="n"/>
      <c r="AO193" s="3942" t="n"/>
      <c r="AP193" s="3942" t="n"/>
      <c r="AQ193" s="3942" t="n"/>
      <c r="AR193" s="3942" t="n"/>
      <c r="AS193" s="3942" t="n"/>
    </row>
    <row r="194">
      <c r="A194" s="3944" t="n"/>
      <c r="B194" s="3944" t="n"/>
      <c r="C194" s="3944" t="n"/>
      <c r="D194" s="3944" t="n"/>
      <c r="E194" s="3944" t="n"/>
      <c r="F194" s="3944" t="n"/>
      <c r="G194" s="3942" t="n"/>
      <c r="H194" s="3942" t="n"/>
      <c r="I194" s="3942" t="n"/>
      <c r="J194" s="3942" t="n"/>
      <c r="K194" s="3942" t="n"/>
      <c r="L194" s="3942" t="n"/>
      <c r="M194" s="3942" t="n"/>
      <c r="N194" s="3942" t="n"/>
      <c r="O194" s="3942" t="n"/>
      <c r="P194" s="3942" t="n"/>
      <c r="Q194" s="3942" t="n"/>
      <c r="R194" s="3942" t="n"/>
      <c r="S194" s="3942" t="n"/>
      <c r="T194" s="3942" t="n"/>
      <c r="U194" s="3942" t="n"/>
      <c r="V194" s="3942" t="n"/>
      <c r="W194" s="3942" t="n"/>
      <c r="X194" s="3942" t="n"/>
      <c r="Y194" s="3942" t="n"/>
      <c r="Z194" s="3942" t="n"/>
      <c r="AA194" s="3942" t="n"/>
      <c r="AB194" s="3942" t="n"/>
      <c r="AC194" s="3942" t="n"/>
      <c r="AD194" s="3942" t="n"/>
      <c r="AE194" s="3942" t="n"/>
      <c r="AF194" s="3942" t="n"/>
      <c r="AG194" s="3942" t="n"/>
      <c r="AH194" s="3942" t="n"/>
      <c r="AI194" s="3942" t="n"/>
      <c r="AJ194" s="3942" t="n"/>
      <c r="AK194" s="3942" t="n"/>
      <c r="AL194" s="3942" t="n"/>
      <c r="AM194" s="3942" t="n"/>
      <c r="AN194" s="3942" t="n"/>
      <c r="AO194" s="3942" t="n"/>
      <c r="AP194" s="3942" t="n"/>
      <c r="AQ194" s="3942" t="n"/>
      <c r="AR194" s="3942" t="n"/>
      <c r="AS194" s="3942" t="n"/>
    </row>
    <row r="195">
      <c r="A195" s="3944" t="n"/>
      <c r="B195" s="3944" t="n"/>
      <c r="C195" s="3944" t="n"/>
      <c r="D195" s="3944" t="n"/>
      <c r="E195" s="3944" t="n"/>
      <c r="F195" s="3944" t="n"/>
      <c r="G195" s="3942" t="n"/>
      <c r="H195" s="3942" t="n"/>
      <c r="I195" s="3942" t="n"/>
      <c r="J195" s="3942" t="n"/>
      <c r="K195" s="3942" t="n"/>
      <c r="L195" s="3942" t="n"/>
      <c r="M195" s="3942" t="n"/>
      <c r="N195" s="3942" t="n"/>
      <c r="O195" s="3942" t="n"/>
      <c r="P195" s="3942" t="n"/>
      <c r="Q195" s="3942" t="n"/>
      <c r="R195" s="3942" t="n"/>
      <c r="S195" s="3942" t="n"/>
      <c r="T195" s="3942" t="n"/>
      <c r="U195" s="3942" t="n"/>
      <c r="V195" s="3942" t="n"/>
      <c r="W195" s="3942" t="n"/>
      <c r="X195" s="3942" t="n"/>
      <c r="Y195" s="3942" t="n"/>
      <c r="Z195" s="3942" t="n"/>
      <c r="AA195" s="3942" t="n"/>
      <c r="AB195" s="3942" t="n"/>
      <c r="AC195" s="3942" t="n"/>
      <c r="AD195" s="3942" t="n"/>
      <c r="AE195" s="3942" t="n"/>
      <c r="AF195" s="3942" t="n"/>
      <c r="AG195" s="3942" t="n"/>
      <c r="AH195" s="3942" t="n"/>
      <c r="AI195" s="3942" t="n"/>
      <c r="AJ195" s="3942" t="n"/>
      <c r="AK195" s="3942" t="n"/>
      <c r="AL195" s="3942" t="n"/>
      <c r="AM195" s="3942" t="n"/>
      <c r="AN195" s="3942" t="n"/>
      <c r="AO195" s="3942" t="n"/>
      <c r="AP195" s="3942" t="n"/>
      <c r="AQ195" s="3942" t="n"/>
      <c r="AR195" s="3942" t="n"/>
      <c r="AS195" s="3942" t="n"/>
    </row>
    <row r="196">
      <c r="A196" s="3944" t="n"/>
      <c r="B196" s="3944" t="n"/>
      <c r="C196" s="3944" t="n"/>
      <c r="D196" s="3944" t="n"/>
      <c r="E196" s="3944" t="n"/>
      <c r="F196" s="3944" t="n"/>
      <c r="G196" s="3942" t="n"/>
      <c r="H196" s="3942" t="n"/>
      <c r="I196" s="3942" t="n"/>
      <c r="J196" s="3942" t="n"/>
      <c r="K196" s="3942" t="n"/>
      <c r="L196" s="3942" t="n"/>
      <c r="M196" s="3942" t="n"/>
      <c r="N196" s="3942" t="n"/>
      <c r="O196" s="3942" t="n"/>
      <c r="P196" s="3942" t="n"/>
      <c r="Q196" s="3942" t="n"/>
      <c r="R196" s="3942" t="n"/>
      <c r="S196" s="3942" t="n"/>
      <c r="T196" s="3942" t="n"/>
      <c r="U196" s="3942" t="n"/>
      <c r="V196" s="3942" t="n"/>
      <c r="W196" s="3942" t="n"/>
      <c r="X196" s="3942" t="n"/>
      <c r="Y196" s="3942" t="n"/>
      <c r="Z196" s="3942" t="n"/>
      <c r="AA196" s="3942" t="n"/>
      <c r="AB196" s="3942" t="n"/>
      <c r="AC196" s="3942" t="n"/>
      <c r="AD196" s="3942" t="n"/>
      <c r="AE196" s="3942" t="n"/>
      <c r="AF196" s="3942" t="n"/>
      <c r="AG196" s="3942" t="n"/>
      <c r="AH196" s="3942" t="n"/>
      <c r="AI196" s="3942" t="n"/>
      <c r="AJ196" s="3942" t="n"/>
      <c r="AK196" s="3942" t="n"/>
      <c r="AL196" s="3942" t="n"/>
      <c r="AM196" s="3942" t="n"/>
      <c r="AN196" s="3942" t="n"/>
      <c r="AO196" s="3942" t="n"/>
      <c r="AP196" s="3942" t="n"/>
      <c r="AQ196" s="3942" t="n"/>
      <c r="AR196" s="3942" t="n"/>
      <c r="AS196" s="3942" t="n"/>
    </row>
    <row r="197">
      <c r="A197" s="3944" t="n"/>
      <c r="B197" s="3944" t="n"/>
      <c r="C197" s="3944" t="n"/>
      <c r="D197" s="3944" t="n"/>
      <c r="E197" s="3944" t="n"/>
      <c r="F197" s="3944" t="n"/>
      <c r="G197" s="3942" t="n"/>
      <c r="H197" s="3942" t="n"/>
      <c r="I197" s="3942" t="n"/>
      <c r="J197" s="3942" t="n"/>
      <c r="K197" s="3942" t="n"/>
      <c r="L197" s="3942" t="n"/>
      <c r="M197" s="3942" t="n"/>
      <c r="N197" s="3942" t="n"/>
      <c r="O197" s="3942" t="n"/>
      <c r="P197" s="3942" t="n"/>
      <c r="Q197" s="3942" t="n"/>
      <c r="R197" s="3942" t="n"/>
      <c r="S197" s="3942" t="n"/>
      <c r="T197" s="3942" t="n"/>
      <c r="U197" s="3942" t="n"/>
      <c r="V197" s="3942" t="n"/>
      <c r="W197" s="3942" t="n"/>
      <c r="X197" s="3942" t="n"/>
      <c r="Y197" s="3942" t="n"/>
      <c r="Z197" s="3942" t="n"/>
      <c r="AA197" s="3942" t="n"/>
      <c r="AB197" s="3942" t="n"/>
      <c r="AC197" s="3942" t="n"/>
      <c r="AD197" s="3942" t="n"/>
      <c r="AE197" s="3942" t="n"/>
      <c r="AF197" s="3942" t="n"/>
      <c r="AG197" s="3942" t="n"/>
      <c r="AH197" s="3942" t="n"/>
      <c r="AI197" s="3942" t="n"/>
      <c r="AJ197" s="3942" t="n"/>
      <c r="AK197" s="3942" t="n"/>
      <c r="AL197" s="3942" t="n"/>
      <c r="AM197" s="3942" t="n"/>
      <c r="AN197" s="3942" t="n"/>
      <c r="AO197" s="3942" t="n"/>
      <c r="AP197" s="3942" t="n"/>
      <c r="AQ197" s="3942" t="n"/>
      <c r="AR197" s="3942" t="n"/>
      <c r="AS197" s="3942" t="n"/>
    </row>
    <row r="198">
      <c r="A198" s="3944" t="n"/>
      <c r="B198" s="3944" t="n"/>
      <c r="C198" s="3944" t="n"/>
      <c r="D198" s="3944" t="n"/>
      <c r="E198" s="3944" t="n"/>
      <c r="F198" s="3944" t="n"/>
      <c r="G198" s="3942" t="n"/>
      <c r="H198" s="3942" t="n"/>
      <c r="I198" s="3942" t="n"/>
      <c r="J198" s="3942" t="n"/>
      <c r="K198" s="3942" t="n"/>
      <c r="L198" s="3942" t="n"/>
      <c r="M198" s="3942" t="n"/>
      <c r="N198" s="3942" t="n"/>
      <c r="O198" s="3942" t="n"/>
      <c r="P198" s="3942" t="n"/>
      <c r="Q198" s="3942" t="n"/>
      <c r="R198" s="3942" t="n"/>
      <c r="S198" s="3942" t="n"/>
      <c r="T198" s="3942" t="n"/>
      <c r="U198" s="3942" t="n"/>
      <c r="V198" s="3942" t="n"/>
      <c r="W198" s="3942" t="n"/>
      <c r="X198" s="3942" t="n"/>
      <c r="Y198" s="3942" t="n"/>
      <c r="Z198" s="3942" t="n"/>
      <c r="AA198" s="3942" t="n"/>
      <c r="AB198" s="3942" t="n"/>
      <c r="AC198" s="3942" t="n"/>
      <c r="AD198" s="3942" t="n"/>
      <c r="AE198" s="3942" t="n"/>
      <c r="AF198" s="3942" t="n"/>
      <c r="AG198" s="3942" t="n"/>
      <c r="AH198" s="3942" t="n"/>
      <c r="AI198" s="3942" t="n"/>
      <c r="AJ198" s="3942" t="n"/>
      <c r="AK198" s="3942" t="n"/>
      <c r="AL198" s="3942" t="n"/>
      <c r="AM198" s="3942" t="n"/>
      <c r="AN198" s="3942" t="n"/>
      <c r="AO198" s="3942" t="n"/>
      <c r="AP198" s="3942" t="n"/>
      <c r="AQ198" s="3942" t="n"/>
      <c r="AR198" s="3942" t="n"/>
      <c r="AS198" s="3942" t="n"/>
    </row>
    <row r="199">
      <c r="A199" s="3944" t="n"/>
      <c r="B199" s="3944" t="n"/>
      <c r="C199" s="3944" t="n"/>
      <c r="D199" s="3944" t="n"/>
      <c r="E199" s="3944" t="n"/>
      <c r="F199" s="3944" t="n"/>
      <c r="G199" s="3942" t="n"/>
      <c r="H199" s="3942" t="n"/>
      <c r="I199" s="3942" t="n"/>
      <c r="J199" s="3942" t="n"/>
      <c r="K199" s="3942" t="n"/>
      <c r="L199" s="3942" t="n"/>
      <c r="M199" s="3942" t="n"/>
      <c r="N199" s="3942" t="n"/>
      <c r="O199" s="3942" t="n"/>
      <c r="P199" s="3942" t="n"/>
      <c r="Q199" s="3942" t="n"/>
      <c r="R199" s="3942" t="n"/>
      <c r="S199" s="3942" t="n"/>
      <c r="T199" s="3942" t="n"/>
      <c r="U199" s="3942" t="n"/>
      <c r="V199" s="3942" t="n"/>
      <c r="W199" s="3942" t="n"/>
      <c r="X199" s="3942" t="n"/>
      <c r="Y199" s="3942" t="n"/>
      <c r="Z199" s="3942" t="n"/>
      <c r="AA199" s="3942" t="n"/>
      <c r="AB199" s="3942" t="n"/>
      <c r="AC199" s="3942" t="n"/>
      <c r="AD199" s="3942" t="n"/>
      <c r="AE199" s="3942" t="n"/>
      <c r="AF199" s="3942" t="n"/>
      <c r="AG199" s="3942" t="n"/>
      <c r="AH199" s="3942" t="n"/>
      <c r="AI199" s="3942" t="n"/>
      <c r="AJ199" s="3942" t="n"/>
      <c r="AK199" s="3942" t="n"/>
      <c r="AL199" s="3942" t="n"/>
      <c r="AM199" s="3942" t="n"/>
      <c r="AN199" s="3942" t="n"/>
      <c r="AO199" s="3942" t="n"/>
      <c r="AP199" s="3942" t="n"/>
      <c r="AQ199" s="3942" t="n"/>
      <c r="AR199" s="3942" t="n"/>
      <c r="AS199" s="3942" t="n"/>
    </row>
    <row r="200">
      <c r="A200" s="3944" t="n"/>
      <c r="B200" s="3944" t="n"/>
      <c r="C200" s="3944" t="n"/>
      <c r="D200" s="3944" t="n"/>
      <c r="E200" s="3944" t="n"/>
      <c r="F200" s="3944" t="n"/>
      <c r="G200" s="3942" t="n"/>
      <c r="H200" s="3942" t="n"/>
      <c r="I200" s="3942" t="n"/>
      <c r="J200" s="3942" t="n"/>
      <c r="K200" s="3942" t="n"/>
      <c r="L200" s="3942" t="n"/>
      <c r="M200" s="3942" t="n"/>
      <c r="N200" s="3942" t="n"/>
      <c r="O200" s="3942" t="n"/>
      <c r="P200" s="3942" t="n"/>
      <c r="Q200" s="3942" t="n"/>
      <c r="R200" s="3942" t="n"/>
      <c r="S200" s="3942" t="n"/>
      <c r="T200" s="3942" t="n"/>
      <c r="U200" s="3942" t="n"/>
      <c r="V200" s="3942" t="n"/>
      <c r="W200" s="3942" t="n"/>
      <c r="X200" s="3942" t="n"/>
      <c r="Y200" s="3942" t="n"/>
      <c r="Z200" s="3942" t="n"/>
      <c r="AA200" s="3942" t="n"/>
      <c r="AB200" s="3942" t="n"/>
      <c r="AC200" s="3942" t="n"/>
      <c r="AD200" s="3942" t="n"/>
      <c r="AE200" s="3942" t="n"/>
      <c r="AF200" s="3942" t="n"/>
      <c r="AG200" s="3942" t="n"/>
      <c r="AH200" s="3942" t="n"/>
      <c r="AI200" s="3942" t="n"/>
      <c r="AJ200" s="3942" t="n"/>
      <c r="AK200" s="3942" t="n"/>
      <c r="AL200" s="3942" t="n"/>
      <c r="AM200" s="3942" t="n"/>
      <c r="AN200" s="3942" t="n"/>
      <c r="AO200" s="3942" t="n"/>
      <c r="AP200" s="3942" t="n"/>
      <c r="AQ200" s="3942" t="n"/>
      <c r="AR200" s="3942" t="n"/>
      <c r="AS200" s="3942" t="n"/>
    </row>
    <row r="201">
      <c r="A201" s="3944" t="n"/>
      <c r="B201" s="3944" t="n"/>
      <c r="C201" s="3944" t="n"/>
      <c r="D201" s="3944" t="n"/>
      <c r="E201" s="3944" t="n"/>
      <c r="F201" s="3944" t="n"/>
      <c r="G201" s="3942" t="n"/>
      <c r="H201" s="3942" t="n"/>
      <c r="I201" s="3942" t="n"/>
      <c r="J201" s="3942" t="n"/>
      <c r="K201" s="3942" t="n"/>
      <c r="L201" s="3942" t="n"/>
      <c r="M201" s="3942" t="n"/>
      <c r="N201" s="3942" t="n"/>
      <c r="O201" s="3942" t="n"/>
      <c r="P201" s="3942" t="n"/>
      <c r="Q201" s="3942" t="n"/>
      <c r="R201" s="3942" t="n"/>
      <c r="S201" s="3942" t="n"/>
      <c r="T201" s="3942" t="n"/>
      <c r="U201" s="3942" t="n"/>
      <c r="V201" s="3942" t="n"/>
      <c r="W201" s="3942" t="n"/>
      <c r="X201" s="3942" t="n"/>
      <c r="Y201" s="3942" t="n"/>
      <c r="Z201" s="3942" t="n"/>
      <c r="AA201" s="3942" t="n"/>
      <c r="AB201" s="3942" t="n"/>
      <c r="AC201" s="3942" t="n"/>
      <c r="AD201" s="3942" t="n"/>
      <c r="AE201" s="3942" t="n"/>
      <c r="AF201" s="3942" t="n"/>
      <c r="AG201" s="3942" t="n"/>
      <c r="AH201" s="3942" t="n"/>
      <c r="AI201" s="3942" t="n"/>
      <c r="AJ201" s="3942" t="n"/>
      <c r="AK201" s="3942" t="n"/>
      <c r="AL201" s="3942" t="n"/>
      <c r="AM201" s="3942" t="n"/>
      <c r="AN201" s="3942" t="n"/>
      <c r="AO201" s="3942" t="n"/>
      <c r="AP201" s="3942" t="n"/>
      <c r="AQ201" s="3942" t="n"/>
      <c r="AR201" s="3942" t="n"/>
      <c r="AS201" s="3942" t="n"/>
    </row>
    <row r="202">
      <c r="A202" s="3944" t="n"/>
      <c r="B202" s="3944" t="n"/>
      <c r="C202" s="3944" t="n"/>
      <c r="D202" s="3944" t="n"/>
      <c r="E202" s="3944" t="n"/>
      <c r="F202" s="3944" t="n"/>
      <c r="G202" s="3942" t="n"/>
      <c r="H202" s="3942" t="n"/>
      <c r="I202" s="3942" t="n"/>
      <c r="J202" s="3942" t="n"/>
      <c r="K202" s="3942" t="n"/>
      <c r="L202" s="3942" t="n"/>
      <c r="M202" s="3942" t="n"/>
      <c r="N202" s="3942" t="n"/>
      <c r="O202" s="3942" t="n"/>
      <c r="P202" s="3942" t="n"/>
      <c r="Q202" s="3942" t="n"/>
      <c r="R202" s="3942" t="n"/>
      <c r="S202" s="3942" t="n"/>
      <c r="T202" s="3942" t="n"/>
      <c r="U202" s="3942" t="n"/>
      <c r="V202" s="3942" t="n"/>
      <c r="W202" s="3942" t="n"/>
      <c r="X202" s="3942" t="n"/>
      <c r="Y202" s="3942" t="n"/>
      <c r="Z202" s="3942" t="n"/>
      <c r="AA202" s="3942" t="n"/>
      <c r="AB202" s="3942" t="n"/>
      <c r="AC202" s="3942" t="n"/>
      <c r="AD202" s="3942" t="n"/>
      <c r="AE202" s="3942" t="n"/>
      <c r="AF202" s="3942" t="n"/>
      <c r="AG202" s="3942" t="n"/>
      <c r="AH202" s="3942" t="n"/>
      <c r="AI202" s="3942" t="n"/>
      <c r="AJ202" s="3942" t="n"/>
      <c r="AK202" s="3942" t="n"/>
      <c r="AL202" s="3942" t="n"/>
      <c r="AM202" s="3942" t="n"/>
      <c r="AN202" s="3942" t="n"/>
      <c r="AO202" s="3942" t="n"/>
      <c r="AP202" s="3942" t="n"/>
      <c r="AQ202" s="3942" t="n"/>
      <c r="AR202" s="3942" t="n"/>
      <c r="AS202" s="3942" t="n"/>
    </row>
    <row r="203">
      <c r="A203" s="3944" t="n"/>
      <c r="B203" s="3944" t="n"/>
      <c r="C203" s="3944" t="n"/>
      <c r="D203" s="3944" t="n"/>
      <c r="E203" s="3944" t="n"/>
      <c r="F203" s="3944" t="n"/>
      <c r="G203" s="3942" t="n"/>
      <c r="H203" s="3942" t="n"/>
      <c r="I203" s="3942" t="n"/>
      <c r="J203" s="3942" t="n"/>
      <c r="K203" s="3942" t="n"/>
      <c r="L203" s="3942" t="n"/>
      <c r="M203" s="3942" t="n"/>
      <c r="N203" s="3942" t="n"/>
      <c r="O203" s="3942" t="n"/>
      <c r="P203" s="3942" t="n"/>
      <c r="Q203" s="3942" t="n"/>
      <c r="R203" s="3942" t="n"/>
      <c r="S203" s="3942" t="n"/>
      <c r="T203" s="3942" t="n"/>
      <c r="U203" s="3942" t="n"/>
      <c r="V203" s="3942" t="n"/>
      <c r="W203" s="3942" t="n"/>
      <c r="X203" s="3942" t="n"/>
      <c r="Y203" s="3942" t="n"/>
      <c r="Z203" s="3942" t="n"/>
      <c r="AA203" s="3942" t="n"/>
      <c r="AB203" s="3942" t="n"/>
      <c r="AC203" s="3942" t="n"/>
      <c r="AD203" s="3942" t="n"/>
      <c r="AE203" s="3942" t="n"/>
      <c r="AF203" s="3942" t="n"/>
      <c r="AG203" s="3942" t="n"/>
      <c r="AH203" s="3942" t="n"/>
      <c r="AI203" s="3942" t="n"/>
      <c r="AJ203" s="3942" t="n"/>
      <c r="AK203" s="3942" t="n"/>
      <c r="AL203" s="3942" t="n"/>
      <c r="AM203" s="3942" t="n"/>
      <c r="AN203" s="3942" t="n"/>
      <c r="AO203" s="3942" t="n"/>
      <c r="AP203" s="3942" t="n"/>
      <c r="AQ203" s="3942" t="n"/>
      <c r="AR203" s="3942" t="n"/>
      <c r="AS203" s="3942" t="n"/>
    </row>
    <row r="204">
      <c r="A204" s="3944" t="n"/>
      <c r="B204" s="3944" t="n"/>
      <c r="C204" s="3944" t="n"/>
      <c r="D204" s="3944" t="n"/>
      <c r="E204" s="3944" t="n"/>
      <c r="F204" s="3944" t="n"/>
      <c r="G204" s="3942" t="n"/>
      <c r="H204" s="3942" t="n"/>
      <c r="I204" s="3942" t="n"/>
      <c r="J204" s="3942" t="n"/>
      <c r="K204" s="3942" t="n"/>
      <c r="L204" s="3942" t="n"/>
      <c r="M204" s="3942" t="n"/>
      <c r="N204" s="3942" t="n"/>
      <c r="O204" s="3942" t="n"/>
      <c r="P204" s="3942" t="n"/>
      <c r="Q204" s="3942" t="n"/>
      <c r="R204" s="3942" t="n"/>
      <c r="S204" s="3942" t="n"/>
      <c r="T204" s="3942" t="n"/>
      <c r="U204" s="3942" t="n"/>
      <c r="V204" s="3942" t="n"/>
      <c r="W204" s="3942" t="n"/>
      <c r="X204" s="3942" t="n"/>
      <c r="Y204" s="3942" t="n"/>
      <c r="Z204" s="3942" t="n"/>
      <c r="AA204" s="3942" t="n"/>
      <c r="AB204" s="3942" t="n"/>
      <c r="AC204" s="3942" t="n"/>
      <c r="AD204" s="3942" t="n"/>
      <c r="AE204" s="3942" t="n"/>
      <c r="AF204" s="3942" t="n"/>
      <c r="AG204" s="3942" t="n"/>
      <c r="AH204" s="3942" t="n"/>
      <c r="AI204" s="3942" t="n"/>
      <c r="AJ204" s="3942" t="n"/>
      <c r="AK204" s="3942" t="n"/>
      <c r="AL204" s="3942" t="n"/>
      <c r="AM204" s="3942" t="n"/>
      <c r="AN204" s="3942" t="n"/>
      <c r="AO204" s="3942" t="n"/>
      <c r="AP204" s="3942" t="n"/>
      <c r="AQ204" s="3942" t="n"/>
      <c r="AR204" s="3942" t="n"/>
      <c r="AS204" s="3942" t="n"/>
    </row>
    <row r="205">
      <c r="A205" s="3944" t="n"/>
      <c r="B205" s="3944" t="n"/>
      <c r="C205" s="3944" t="n"/>
      <c r="D205" s="3944" t="n"/>
      <c r="E205" s="3944" t="n"/>
      <c r="F205" s="3944" t="n"/>
      <c r="G205" s="3942" t="n"/>
      <c r="H205" s="3942" t="n"/>
      <c r="I205" s="3942" t="n"/>
      <c r="J205" s="3942" t="n"/>
      <c r="K205" s="3942" t="n"/>
      <c r="L205" s="3942" t="n"/>
      <c r="M205" s="3942" t="n"/>
      <c r="N205" s="3942" t="n"/>
      <c r="O205" s="3942" t="n"/>
      <c r="P205" s="3942" t="n"/>
      <c r="Q205" s="3942" t="n"/>
      <c r="R205" s="3942" t="n"/>
      <c r="S205" s="3942" t="n"/>
      <c r="T205" s="3942" t="n"/>
      <c r="U205" s="3942" t="n"/>
      <c r="V205" s="3942" t="n"/>
      <c r="W205" s="3942" t="n"/>
      <c r="X205" s="3942" t="n"/>
      <c r="Y205" s="3942" t="n"/>
      <c r="Z205" s="3942" t="n"/>
      <c r="AA205" s="3942" t="n"/>
      <c r="AB205" s="3942" t="n"/>
      <c r="AC205" s="3942" t="n"/>
      <c r="AD205" s="3942" t="n"/>
      <c r="AE205" s="3942" t="n"/>
      <c r="AF205" s="3942" t="n"/>
      <c r="AG205" s="3942" t="n"/>
      <c r="AH205" s="3942" t="n"/>
      <c r="AI205" s="3942" t="n"/>
      <c r="AJ205" s="3942" t="n"/>
      <c r="AK205" s="3942" t="n"/>
      <c r="AL205" s="3942" t="n"/>
      <c r="AM205" s="3942" t="n"/>
      <c r="AN205" s="3942" t="n"/>
      <c r="AO205" s="3942" t="n"/>
      <c r="AP205" s="3942" t="n"/>
      <c r="AQ205" s="3942" t="n"/>
      <c r="AR205" s="3942" t="n"/>
      <c r="AS205" s="3942" t="n"/>
    </row>
    <row r="206">
      <c r="A206" s="3944" t="n"/>
      <c r="B206" s="3944" t="n"/>
      <c r="C206" s="3944" t="n"/>
      <c r="D206" s="3944" t="n"/>
      <c r="E206" s="3944" t="n"/>
      <c r="F206" s="3944" t="n"/>
      <c r="G206" s="3942" t="n"/>
      <c r="H206" s="3942" t="n"/>
      <c r="I206" s="3942" t="n"/>
      <c r="J206" s="3942" t="n"/>
      <c r="K206" s="3942" t="n"/>
      <c r="L206" s="3942" t="n"/>
      <c r="M206" s="3942" t="n"/>
      <c r="N206" s="3942" t="n"/>
      <c r="O206" s="3942" t="n"/>
      <c r="P206" s="3942" t="n"/>
      <c r="Q206" s="3942" t="n"/>
      <c r="R206" s="3942" t="n"/>
      <c r="S206" s="3942" t="n"/>
      <c r="T206" s="3942" t="n"/>
      <c r="U206" s="3942" t="n"/>
      <c r="V206" s="3942" t="n"/>
      <c r="W206" s="3942" t="n"/>
      <c r="X206" s="3942" t="n"/>
      <c r="Y206" s="3942" t="n"/>
      <c r="Z206" s="3942" t="n"/>
      <c r="AA206" s="3942" t="n"/>
      <c r="AB206" s="3942" t="n"/>
      <c r="AC206" s="3942" t="n"/>
      <c r="AD206" s="3942" t="n"/>
      <c r="AE206" s="3942" t="n"/>
      <c r="AF206" s="3942" t="n"/>
      <c r="AG206" s="3942" t="n"/>
      <c r="AH206" s="3942" t="n"/>
      <c r="AI206" s="3942" t="n"/>
      <c r="AJ206" s="3942" t="n"/>
      <c r="AK206" s="3942" t="n"/>
      <c r="AL206" s="3942" t="n"/>
      <c r="AM206" s="3942" t="n"/>
      <c r="AN206" s="3942" t="n"/>
      <c r="AO206" s="3942" t="n"/>
      <c r="AP206" s="3942" t="n"/>
      <c r="AQ206" s="3942" t="n"/>
      <c r="AR206" s="3942" t="n"/>
      <c r="AS206" s="3942" t="n"/>
    </row>
    <row r="207">
      <c r="A207" s="3944" t="n"/>
      <c r="B207" s="3944" t="n"/>
      <c r="C207" s="3944" t="n"/>
      <c r="D207" s="3944" t="n"/>
      <c r="E207" s="3944" t="n"/>
      <c r="F207" s="3944" t="n"/>
      <c r="G207" s="3942" t="n"/>
      <c r="H207" s="3942" t="n"/>
      <c r="I207" s="3942" t="n"/>
      <c r="J207" s="3942" t="n"/>
      <c r="K207" s="3942" t="n"/>
      <c r="L207" s="3942" t="n"/>
      <c r="M207" s="3942" t="n"/>
      <c r="N207" s="3942" t="n"/>
      <c r="O207" s="3942" t="n"/>
      <c r="P207" s="3942" t="n"/>
      <c r="Q207" s="3942" t="n"/>
      <c r="R207" s="3942" t="n"/>
      <c r="S207" s="3942" t="n"/>
      <c r="T207" s="3942" t="n"/>
      <c r="U207" s="3942" t="n"/>
      <c r="V207" s="3942" t="n"/>
      <c r="W207" s="3942" t="n"/>
      <c r="X207" s="3942" t="n"/>
      <c r="Y207" s="3942" t="n"/>
      <c r="Z207" s="3942" t="n"/>
      <c r="AA207" s="3942" t="n"/>
      <c r="AB207" s="3942" t="n"/>
      <c r="AC207" s="3942" t="n"/>
      <c r="AD207" s="3942" t="n"/>
      <c r="AE207" s="3942" t="n"/>
      <c r="AF207" s="3942" t="n"/>
      <c r="AG207" s="3942" t="n"/>
      <c r="AH207" s="3942" t="n"/>
      <c r="AI207" s="3942" t="n"/>
      <c r="AJ207" s="3942" t="n"/>
      <c r="AK207" s="3942" t="n"/>
      <c r="AL207" s="3942" t="n"/>
      <c r="AM207" s="3942" t="n"/>
      <c r="AN207" s="3942" t="n"/>
      <c r="AO207" s="3942" t="n"/>
      <c r="AP207" s="3942" t="n"/>
      <c r="AQ207" s="3942" t="n"/>
      <c r="AR207" s="3942" t="n"/>
      <c r="AS207" s="3942" t="n"/>
    </row>
    <row r="208">
      <c r="A208" s="3944" t="n"/>
      <c r="B208" s="3944" t="n"/>
      <c r="C208" s="3944" t="n"/>
      <c r="D208" s="3944" t="n"/>
      <c r="E208" s="3944" t="n"/>
      <c r="F208" s="3944" t="n"/>
      <c r="G208" s="3942" t="n"/>
      <c r="H208" s="3942" t="n"/>
      <c r="I208" s="3942" t="n"/>
      <c r="J208" s="3942" t="n"/>
      <c r="K208" s="3942" t="n"/>
      <c r="L208" s="3942" t="n"/>
      <c r="M208" s="3942" t="n"/>
      <c r="N208" s="3942" t="n"/>
      <c r="O208" s="3942" t="n"/>
      <c r="P208" s="3942" t="n"/>
      <c r="Q208" s="3942" t="n"/>
      <c r="R208" s="3942" t="n"/>
      <c r="S208" s="3942" t="n"/>
      <c r="T208" s="3942" t="n"/>
      <c r="U208" s="3942" t="n"/>
      <c r="V208" s="3942" t="n"/>
      <c r="W208" s="3942" t="n"/>
      <c r="X208" s="3942" t="n"/>
      <c r="Y208" s="3942" t="n"/>
      <c r="Z208" s="3942" t="n"/>
      <c r="AA208" s="3942" t="n"/>
      <c r="AB208" s="3942" t="n"/>
      <c r="AC208" s="3942" t="n"/>
      <c r="AD208" s="3942" t="n"/>
      <c r="AE208" s="3942" t="n"/>
      <c r="AF208" s="3942" t="n"/>
      <c r="AG208" s="3942" t="n"/>
      <c r="AH208" s="3942" t="n"/>
      <c r="AI208" s="3942" t="n"/>
      <c r="AJ208" s="3942" t="n"/>
      <c r="AK208" s="3942" t="n"/>
      <c r="AL208" s="3942" t="n"/>
      <c r="AM208" s="3942" t="n"/>
      <c r="AN208" s="3942" t="n"/>
      <c r="AO208" s="3942" t="n"/>
      <c r="AP208" s="3942" t="n"/>
      <c r="AQ208" s="3942" t="n"/>
      <c r="AR208" s="3942" t="n"/>
      <c r="AS208" s="394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508"/>
  <sheetViews>
    <sheetView showGridLines="0" zoomScale="100" zoomScaleNormal="10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0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3921" t="inlineStr">
        <is>
          <t>Data | AR Aging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</row>
    <row r="2">
      <c r="A2" s="3978" t="inlineStr">
        <is>
          <t>Source: &lt;document_source&gt;</t>
        </is>
      </c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</row>
    <row r="4">
      <c r="A4" s="3936" t="inlineStr">
        <is>
          <t>Template Note</t>
        </is>
      </c>
      <c r="B4" s="3937" t="inlineStr">
        <is>
          <t>Pack A scaffold only: direct formulas/values, no Excel Tables, no required named ranges.</t>
        </is>
      </c>
      <c r="C4" s="3934" t="n"/>
      <c r="D4" s="3934" t="n"/>
      <c r="E4" s="3934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</row>
    <row r="5">
      <c r="A5" s="3934" t="n"/>
      <c r="B5" s="3934" t="n"/>
      <c r="C5" s="3934" t="n"/>
      <c r="D5" s="3934" t="n"/>
      <c r="E5" s="3934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</row>
    <row r="7">
      <c r="A7" s="3979" t="inlineStr">
        <is>
          <t>Data | AR Aging</t>
        </is>
      </c>
      <c r="B7" s="3980" t="n"/>
      <c r="C7" s="3980" t="n"/>
      <c r="D7" s="3980" t="n"/>
      <c r="E7" s="3980" t="n"/>
      <c r="F7" s="3980" t="n"/>
      <c r="G7" s="3980" t="n"/>
      <c r="H7" s="3980" t="n"/>
      <c r="I7" s="3980" t="n"/>
      <c r="J7" s="3980" t="n"/>
      <c r="K7" s="3980" t="n"/>
      <c r="L7" s="3934" t="n"/>
      <c r="M7" s="3934" t="n"/>
      <c r="N7" s="3934" t="n"/>
      <c r="O7" s="3934" t="n"/>
      <c r="P7" s="3934" t="n"/>
      <c r="Q7" s="3934" t="n"/>
      <c r="R7" s="3934" t="n"/>
      <c r="S7" s="3934" t="n"/>
      <c r="T7" s="3934" t="n"/>
      <c r="U7" s="3934" t="n"/>
      <c r="V7" s="3934" t="n"/>
      <c r="W7" s="3934" t="n"/>
      <c r="X7" s="3934" t="n"/>
      <c r="Y7" s="3934" t="n"/>
      <c r="Z7" s="3934" t="n"/>
      <c r="AA7" s="3934" t="n"/>
      <c r="AB7" s="3934" t="n"/>
      <c r="AC7" s="3934" t="n"/>
      <c r="AD7" s="3934" t="n"/>
      <c r="AE7" s="3934" t="n"/>
      <c r="AF7" s="3934" t="n"/>
      <c r="AG7" s="3934" t="n"/>
      <c r="AH7" s="3934" t="n"/>
      <c r="AI7" s="3934" t="n"/>
      <c r="AJ7" s="3934" t="n"/>
      <c r="AK7" s="3934" t="n"/>
      <c r="AL7" s="3934" t="n"/>
      <c r="AM7" s="3934" t="n"/>
      <c r="AN7" s="3934" t="n"/>
      <c r="AO7" s="3934" t="n"/>
      <c r="AP7" s="3934" t="n"/>
      <c r="AQ7" s="3934" t="n"/>
      <c r="AR7" s="3934" t="n"/>
    </row>
    <row r="8">
      <c r="A8" s="3923" t="inlineStr">
        <is>
          <t>AsAtDate</t>
        </is>
      </c>
      <c r="B8" s="3923" t="inlineStr">
        <is>
          <t>Entity</t>
        </is>
      </c>
      <c r="C8" s="3923" t="inlineStr">
        <is>
          <t>CounterpartyName</t>
        </is>
      </c>
      <c r="D8" s="3923" t="inlineStr">
        <is>
          <t>CounterpartyID</t>
        </is>
      </c>
      <c r="E8" s="3923" t="inlineStr">
        <is>
          <t>Current</t>
        </is>
      </c>
      <c r="F8" s="3923" t="inlineStr">
        <is>
          <t>1-30</t>
        </is>
      </c>
      <c r="G8" s="3923" t="inlineStr">
        <is>
          <t>31-60</t>
        </is>
      </c>
      <c r="H8" s="3923" t="inlineStr">
        <is>
          <t>61-90</t>
        </is>
      </c>
      <c r="I8" s="3923" t="inlineStr">
        <is>
          <t>91-120</t>
        </is>
      </c>
      <c r="J8" s="3923" t="inlineStr">
        <is>
          <t>&gt;120</t>
        </is>
      </c>
      <c r="K8" s="3923" t="inlineStr">
        <is>
          <t>Total</t>
        </is>
      </c>
      <c r="L8" s="3934" t="n"/>
      <c r="M8" s="3934" t="n"/>
      <c r="N8" s="3934" t="n"/>
      <c r="O8" s="3934" t="n"/>
      <c r="P8" s="3934" t="n"/>
      <c r="Q8" s="3934" t="n"/>
      <c r="R8" s="3934" t="n"/>
      <c r="S8" s="3934" t="n"/>
      <c r="T8" s="3934" t="n"/>
      <c r="U8" s="3934" t="n"/>
      <c r="V8" s="3934" t="n"/>
      <c r="W8" s="3934" t="n"/>
      <c r="X8" s="3934" t="n"/>
      <c r="Y8" s="3934" t="n"/>
      <c r="Z8" s="3934" t="n"/>
      <c r="AA8" s="3934" t="n"/>
      <c r="AB8" s="3934" t="n"/>
      <c r="AC8" s="3934" t="n"/>
      <c r="AD8" s="3934" t="n"/>
      <c r="AE8" s="3934" t="n"/>
      <c r="AF8" s="3934" t="n"/>
      <c r="AG8" s="3934" t="n"/>
      <c r="AH8" s="3934" t="n"/>
      <c r="AI8" s="3934" t="n"/>
      <c r="AJ8" s="3934" t="n"/>
      <c r="AK8" s="3934" t="n"/>
      <c r="AL8" s="3934" t="n"/>
      <c r="AM8" s="3934" t="n"/>
      <c r="AN8" s="3934" t="n"/>
      <c r="AO8" s="3934" t="n"/>
      <c r="AP8" s="3934" t="n"/>
      <c r="AQ8" s="3934" t="n"/>
      <c r="AR8" s="3934" t="n"/>
    </row>
    <row r="9">
      <c r="A9" s="3941" t="n"/>
      <c r="B9" s="3944" t="n"/>
      <c r="C9" s="3944" t="n"/>
      <c r="D9" s="3944" t="n"/>
      <c r="E9" s="3944" t="n"/>
      <c r="F9" s="3944" t="n"/>
      <c r="G9" s="3944" t="n"/>
      <c r="H9" s="3944" t="n"/>
      <c r="I9" s="3944" t="n"/>
      <c r="J9" s="3944" t="n"/>
      <c r="K9" s="3942">
        <f>IF(A9="","",SUM(E9:J9))</f>
        <v/>
      </c>
      <c r="L9" s="3934" t="n"/>
      <c r="M9" s="3934" t="n"/>
      <c r="N9" s="3934" t="n"/>
      <c r="O9" s="3934" t="n"/>
      <c r="P9" s="3934" t="n"/>
      <c r="Q9" s="3934" t="n"/>
      <c r="R9" s="3934" t="n"/>
      <c r="S9" s="3934" t="n"/>
      <c r="T9" s="3934" t="n"/>
      <c r="U9" s="3934" t="n"/>
      <c r="V9" s="3934" t="n"/>
      <c r="W9" s="3934" t="n"/>
      <c r="X9" s="3934" t="n"/>
      <c r="Y9" s="3934" t="n"/>
      <c r="Z9" s="3934" t="n"/>
      <c r="AA9" s="3934" t="n"/>
      <c r="AB9" s="3934" t="n"/>
      <c r="AC9" s="3934" t="n"/>
      <c r="AD9" s="3934" t="n"/>
      <c r="AE9" s="3934" t="n"/>
      <c r="AF9" s="3934" t="n"/>
      <c r="AG9" s="3934" t="n"/>
      <c r="AH9" s="3934" t="n"/>
      <c r="AI9" s="3934" t="n"/>
      <c r="AJ9" s="3934" t="n"/>
      <c r="AK9" s="3934" t="n"/>
      <c r="AL9" s="3934" t="n"/>
      <c r="AM9" s="3934" t="n"/>
      <c r="AN9" s="3934" t="n"/>
      <c r="AO9" s="3934" t="n"/>
      <c r="AP9" s="3934" t="n"/>
      <c r="AQ9" s="3934" t="n"/>
      <c r="AR9" s="3934" t="n"/>
    </row>
    <row r="10">
      <c r="A10" s="3941" t="n"/>
      <c r="B10" s="3944" t="n"/>
      <c r="C10" s="3944" t="n"/>
      <c r="D10" s="3944" t="n"/>
      <c r="E10" s="3944" t="n"/>
      <c r="F10" s="3944" t="n"/>
      <c r="G10" s="3944" t="n"/>
      <c r="H10" s="3944" t="n"/>
      <c r="I10" s="3944" t="n"/>
      <c r="J10" s="3944" t="n"/>
      <c r="K10" s="3942">
        <f>IF(A10="","",SUM(E10:J10))</f>
        <v/>
      </c>
      <c r="L10" s="3934" t="n"/>
      <c r="M10" s="3934" t="n"/>
      <c r="N10" s="3934" t="n"/>
      <c r="O10" s="3934" t="n"/>
      <c r="P10" s="3934" t="n"/>
      <c r="Q10" s="3934" t="n"/>
      <c r="R10" s="3934" t="n"/>
      <c r="S10" s="3934" t="n"/>
      <c r="T10" s="3934" t="n"/>
      <c r="U10" s="3934" t="n"/>
      <c r="V10" s="3934" t="n"/>
      <c r="W10" s="3934" t="n"/>
      <c r="X10" s="3934" t="n"/>
      <c r="Y10" s="3934" t="n"/>
      <c r="Z10" s="3934" t="n"/>
      <c r="AA10" s="3934" t="n"/>
      <c r="AB10" s="3934" t="n"/>
      <c r="AC10" s="3934" t="n"/>
      <c r="AD10" s="3934" t="n"/>
      <c r="AE10" s="3934" t="n"/>
      <c r="AF10" s="3934" t="n"/>
      <c r="AG10" s="3934" t="n"/>
      <c r="AH10" s="3934" t="n"/>
      <c r="AI10" s="3934" t="n"/>
      <c r="AJ10" s="3934" t="n"/>
      <c r="AK10" s="3934" t="n"/>
      <c r="AL10" s="3934" t="n"/>
      <c r="AM10" s="3934" t="n"/>
      <c r="AN10" s="3934" t="n"/>
      <c r="AO10" s="3934" t="n"/>
      <c r="AP10" s="3934" t="n"/>
      <c r="AQ10" s="3934" t="n"/>
      <c r="AR10" s="3934" t="n"/>
    </row>
    <row r="11">
      <c r="A11" s="3941" t="n"/>
      <c r="B11" s="3944" t="n"/>
      <c r="C11" s="3944" t="n"/>
      <c r="D11" s="3944" t="n"/>
      <c r="E11" s="3944" t="n"/>
      <c r="F11" s="3944" t="n"/>
      <c r="G11" s="3944" t="n"/>
      <c r="H11" s="3944" t="n"/>
      <c r="I11" s="3944" t="n"/>
      <c r="J11" s="3944" t="n"/>
      <c r="K11" s="3942">
        <f>IF(A11="","",SUM(E11:J11))</f>
        <v/>
      </c>
      <c r="L11" s="3934" t="n"/>
      <c r="M11" s="3934" t="n"/>
      <c r="N11" s="3934" t="n"/>
      <c r="O11" s="3934" t="n"/>
      <c r="P11" s="3934" t="n"/>
      <c r="Q11" s="3934" t="n"/>
      <c r="R11" s="3934" t="n"/>
      <c r="S11" s="3934" t="n"/>
      <c r="T11" s="3934" t="n"/>
      <c r="U11" s="3934" t="n"/>
      <c r="V11" s="3934" t="n"/>
      <c r="W11" s="3934" t="n"/>
      <c r="X11" s="3934" t="n"/>
      <c r="Y11" s="3934" t="n"/>
      <c r="Z11" s="3934" t="n"/>
      <c r="AA11" s="3934" t="n"/>
      <c r="AB11" s="3934" t="n"/>
      <c r="AC11" s="3934" t="n"/>
      <c r="AD11" s="3934" t="n"/>
      <c r="AE11" s="3934" t="n"/>
      <c r="AF11" s="3934" t="n"/>
      <c r="AG11" s="3934" t="n"/>
      <c r="AH11" s="3934" t="n"/>
      <c r="AI11" s="3934" t="n"/>
      <c r="AJ11" s="3934" t="n"/>
      <c r="AK11" s="3934" t="n"/>
      <c r="AL11" s="3934" t="n"/>
      <c r="AM11" s="3934" t="n"/>
      <c r="AN11" s="3934" t="n"/>
      <c r="AO11" s="3934" t="n"/>
      <c r="AP11" s="3934" t="n"/>
      <c r="AQ11" s="3934" t="n"/>
      <c r="AR11" s="3934" t="n"/>
    </row>
    <row r="12">
      <c r="A12" s="3941" t="n"/>
      <c r="B12" s="3944" t="n"/>
      <c r="C12" s="3944" t="n"/>
      <c r="D12" s="3944" t="n"/>
      <c r="E12" s="3944" t="n"/>
      <c r="F12" s="3944" t="n"/>
      <c r="G12" s="3944" t="n"/>
      <c r="H12" s="3944" t="n"/>
      <c r="I12" s="3944" t="n"/>
      <c r="J12" s="3944" t="n"/>
      <c r="K12" s="3942">
        <f>IF(A12="","",SUM(E12:J12))</f>
        <v/>
      </c>
      <c r="L12" s="3934" t="n"/>
      <c r="M12" s="3934" t="n"/>
      <c r="N12" s="3934" t="n"/>
      <c r="O12" s="3934" t="n"/>
      <c r="P12" s="3934" t="n"/>
      <c r="Q12" s="3934" t="n"/>
      <c r="R12" s="3934" t="n"/>
      <c r="S12" s="3934" t="n"/>
      <c r="T12" s="3934" t="n"/>
      <c r="U12" s="3934" t="n"/>
      <c r="V12" s="3934" t="n"/>
      <c r="W12" s="3934" t="n"/>
      <c r="X12" s="3934" t="n"/>
      <c r="Y12" s="3934" t="n"/>
      <c r="Z12" s="3934" t="n"/>
      <c r="AA12" s="3934" t="n"/>
      <c r="AB12" s="3934" t="n"/>
      <c r="AC12" s="3934" t="n"/>
      <c r="AD12" s="3934" t="n"/>
      <c r="AE12" s="3934" t="n"/>
      <c r="AF12" s="3934" t="n"/>
      <c r="AG12" s="3934" t="n"/>
      <c r="AH12" s="3934" t="n"/>
      <c r="AI12" s="3934" t="n"/>
      <c r="AJ12" s="3934" t="n"/>
      <c r="AK12" s="3934" t="n"/>
      <c r="AL12" s="3934" t="n"/>
      <c r="AM12" s="3934" t="n"/>
      <c r="AN12" s="3934" t="n"/>
      <c r="AO12" s="3934" t="n"/>
      <c r="AP12" s="3934" t="n"/>
      <c r="AQ12" s="3934" t="n"/>
      <c r="AR12" s="3934" t="n"/>
    </row>
    <row r="13">
      <c r="A13" s="3941" t="n"/>
      <c r="B13" s="3944" t="n"/>
      <c r="C13" s="3944" t="n"/>
      <c r="D13" s="3944" t="n"/>
      <c r="E13" s="3944" t="n"/>
      <c r="F13" s="3944" t="n"/>
      <c r="G13" s="3944" t="n"/>
      <c r="H13" s="3944" t="n"/>
      <c r="I13" s="3944" t="n"/>
      <c r="J13" s="3944" t="n"/>
      <c r="K13" s="3942">
        <f>IF(A13="","",SUM(E13:J13))</f>
        <v/>
      </c>
      <c r="L13" s="3934" t="n"/>
      <c r="M13" s="3934" t="n"/>
      <c r="N13" s="3934" t="n"/>
      <c r="O13" s="3934" t="n"/>
      <c r="P13" s="3934" t="n"/>
      <c r="Q13" s="3934" t="n"/>
      <c r="R13" s="3934" t="n"/>
      <c r="S13" s="3934" t="n"/>
      <c r="T13" s="3934" t="n"/>
      <c r="U13" s="3934" t="n"/>
      <c r="V13" s="3934" t="n"/>
      <c r="W13" s="3934" t="n"/>
      <c r="X13" s="3934" t="n"/>
      <c r="Y13" s="3934" t="n"/>
      <c r="Z13" s="3934" t="n"/>
      <c r="AA13" s="3934" t="n"/>
      <c r="AB13" s="3934" t="n"/>
      <c r="AC13" s="3934" t="n"/>
      <c r="AD13" s="3934" t="n"/>
      <c r="AE13" s="3934" t="n"/>
      <c r="AF13" s="3934" t="n"/>
      <c r="AG13" s="3934" t="n"/>
      <c r="AH13" s="3934" t="n"/>
      <c r="AI13" s="3934" t="n"/>
      <c r="AJ13" s="3934" t="n"/>
      <c r="AK13" s="3934" t="n"/>
      <c r="AL13" s="3934" t="n"/>
      <c r="AM13" s="3934" t="n"/>
      <c r="AN13" s="3934" t="n"/>
      <c r="AO13" s="3934" t="n"/>
      <c r="AP13" s="3934" t="n"/>
      <c r="AQ13" s="3934" t="n"/>
      <c r="AR13" s="3934" t="n"/>
    </row>
    <row r="14">
      <c r="A14" s="3941" t="n"/>
      <c r="B14" s="3944" t="n"/>
      <c r="C14" s="3944" t="n"/>
      <c r="D14" s="3944" t="n"/>
      <c r="E14" s="3944" t="n"/>
      <c r="F14" s="3944" t="n"/>
      <c r="G14" s="3944" t="n"/>
      <c r="H14" s="3944" t="n"/>
      <c r="I14" s="3944" t="n"/>
      <c r="J14" s="3944" t="n"/>
      <c r="K14" s="3942">
        <f>IF(A14="","",SUM(E14:J14))</f>
        <v/>
      </c>
      <c r="L14" s="3934" t="n"/>
      <c r="M14" s="3934" t="n"/>
      <c r="N14" s="3934" t="n"/>
      <c r="O14" s="3934" t="n"/>
      <c r="P14" s="3934" t="n"/>
      <c r="Q14" s="3934" t="n"/>
      <c r="R14" s="3934" t="n"/>
      <c r="S14" s="3934" t="n"/>
      <c r="T14" s="3934" t="n"/>
      <c r="U14" s="3934" t="n"/>
      <c r="V14" s="3934" t="n"/>
      <c r="W14" s="3934" t="n"/>
      <c r="X14" s="3934" t="n"/>
      <c r="Y14" s="3934" t="n"/>
      <c r="Z14" s="3934" t="n"/>
      <c r="AA14" s="3934" t="n"/>
      <c r="AB14" s="3934" t="n"/>
      <c r="AC14" s="3934" t="n"/>
      <c r="AD14" s="3934" t="n"/>
      <c r="AE14" s="3934" t="n"/>
      <c r="AF14" s="3934" t="n"/>
      <c r="AG14" s="3934" t="n"/>
      <c r="AH14" s="3934" t="n"/>
      <c r="AI14" s="3934" t="n"/>
      <c r="AJ14" s="3934" t="n"/>
      <c r="AK14" s="3934" t="n"/>
      <c r="AL14" s="3934" t="n"/>
      <c r="AM14" s="3934" t="n"/>
      <c r="AN14" s="3934" t="n"/>
      <c r="AO14" s="3934" t="n"/>
      <c r="AP14" s="3934" t="n"/>
      <c r="AQ14" s="3934" t="n"/>
      <c r="AR14" s="3934" t="n"/>
    </row>
    <row r="15">
      <c r="A15" s="3941" t="n"/>
      <c r="B15" s="3944" t="n"/>
      <c r="C15" s="3944" t="n"/>
      <c r="D15" s="3944" t="n"/>
      <c r="E15" s="3944" t="n"/>
      <c r="F15" s="3944" t="n"/>
      <c r="G15" s="3944" t="n"/>
      <c r="H15" s="3944" t="n"/>
      <c r="I15" s="3944" t="n"/>
      <c r="J15" s="3944" t="n"/>
      <c r="K15" s="3942">
        <f>IF(A15="","",SUM(E15:J15))</f>
        <v/>
      </c>
      <c r="L15" s="3934" t="n"/>
      <c r="M15" s="3934" t="n"/>
      <c r="N15" s="3934" t="n"/>
      <c r="O15" s="3934" t="n"/>
      <c r="P15" s="3934" t="n"/>
      <c r="Q15" s="3934" t="n"/>
      <c r="R15" s="3934" t="n"/>
      <c r="S15" s="3934" t="n"/>
      <c r="T15" s="3934" t="n"/>
      <c r="U15" s="3934" t="n"/>
      <c r="V15" s="3934" t="n"/>
      <c r="W15" s="3934" t="n"/>
      <c r="X15" s="3934" t="n"/>
      <c r="Y15" s="3934" t="n"/>
      <c r="Z15" s="3934" t="n"/>
      <c r="AA15" s="3934" t="n"/>
      <c r="AB15" s="3934" t="n"/>
      <c r="AC15" s="3934" t="n"/>
      <c r="AD15" s="3934" t="n"/>
      <c r="AE15" s="3934" t="n"/>
      <c r="AF15" s="3934" t="n"/>
      <c r="AG15" s="3934" t="n"/>
      <c r="AH15" s="3934" t="n"/>
      <c r="AI15" s="3934" t="n"/>
      <c r="AJ15" s="3934" t="n"/>
      <c r="AK15" s="3934" t="n"/>
      <c r="AL15" s="3934" t="n"/>
      <c r="AM15" s="3934" t="n"/>
      <c r="AN15" s="3934" t="n"/>
      <c r="AO15" s="3934" t="n"/>
      <c r="AP15" s="3934" t="n"/>
      <c r="AQ15" s="3934" t="n"/>
      <c r="AR15" s="3934" t="n"/>
    </row>
    <row r="16">
      <c r="A16" s="3941" t="n"/>
      <c r="B16" s="3944" t="n"/>
      <c r="C16" s="3944" t="n"/>
      <c r="D16" s="3944" t="n"/>
      <c r="E16" s="3944" t="n"/>
      <c r="F16" s="3944" t="n"/>
      <c r="G16" s="3944" t="n"/>
      <c r="H16" s="3944" t="n"/>
      <c r="I16" s="3944" t="n"/>
      <c r="J16" s="3944" t="n"/>
      <c r="K16" s="3942">
        <f>IF(A16="","",SUM(E16:J16))</f>
        <v/>
      </c>
      <c r="L16" s="3934" t="n"/>
      <c r="M16" s="3934" t="n"/>
      <c r="N16" s="3934" t="n"/>
      <c r="O16" s="3934" t="n"/>
      <c r="P16" s="3934" t="n"/>
      <c r="Q16" s="3934" t="n"/>
      <c r="R16" s="3934" t="n"/>
      <c r="S16" s="3934" t="n"/>
      <c r="T16" s="3934" t="n"/>
      <c r="U16" s="3934" t="n"/>
      <c r="V16" s="3934" t="n"/>
      <c r="W16" s="3934" t="n"/>
      <c r="X16" s="3934" t="n"/>
      <c r="Y16" s="3934" t="n"/>
      <c r="Z16" s="3934" t="n"/>
      <c r="AA16" s="3934" t="n"/>
      <c r="AB16" s="3934" t="n"/>
      <c r="AC16" s="3934" t="n"/>
      <c r="AD16" s="3934" t="n"/>
      <c r="AE16" s="3934" t="n"/>
      <c r="AF16" s="3934" t="n"/>
      <c r="AG16" s="3934" t="n"/>
      <c r="AH16" s="3934" t="n"/>
      <c r="AI16" s="3934" t="n"/>
      <c r="AJ16" s="3934" t="n"/>
      <c r="AK16" s="3934" t="n"/>
      <c r="AL16" s="3934" t="n"/>
      <c r="AM16" s="3934" t="n"/>
      <c r="AN16" s="3934" t="n"/>
      <c r="AO16" s="3934" t="n"/>
      <c r="AP16" s="3934" t="n"/>
      <c r="AQ16" s="3934" t="n"/>
      <c r="AR16" s="3934" t="n"/>
    </row>
    <row r="17">
      <c r="A17" s="3941" t="n"/>
      <c r="B17" s="3944" t="n"/>
      <c r="C17" s="3944" t="n"/>
      <c r="D17" s="3944" t="n"/>
      <c r="E17" s="3944" t="n"/>
      <c r="F17" s="3944" t="n"/>
      <c r="G17" s="3944" t="n"/>
      <c r="H17" s="3944" t="n"/>
      <c r="I17" s="3944" t="n"/>
      <c r="J17" s="3944" t="n"/>
      <c r="K17" s="3942">
        <f>IF(A17="","",SUM(E17:J17))</f>
        <v/>
      </c>
      <c r="L17" s="3934" t="n"/>
      <c r="M17" s="3934" t="n"/>
      <c r="N17" s="3934" t="n"/>
      <c r="O17" s="3934" t="n"/>
      <c r="P17" s="3934" t="n"/>
      <c r="Q17" s="3934" t="n"/>
      <c r="R17" s="3934" t="n"/>
      <c r="S17" s="3934" t="n"/>
      <c r="T17" s="3934" t="n"/>
      <c r="U17" s="3934" t="n"/>
      <c r="V17" s="3934" t="n"/>
      <c r="W17" s="3934" t="n"/>
      <c r="X17" s="3934" t="n"/>
      <c r="Y17" s="3934" t="n"/>
      <c r="Z17" s="3934" t="n"/>
      <c r="AA17" s="3934" t="n"/>
      <c r="AB17" s="3934" t="n"/>
      <c r="AC17" s="3934" t="n"/>
      <c r="AD17" s="3934" t="n"/>
      <c r="AE17" s="3934" t="n"/>
      <c r="AF17" s="3934" t="n"/>
      <c r="AG17" s="3934" t="n"/>
      <c r="AH17" s="3934" t="n"/>
      <c r="AI17" s="3934" t="n"/>
      <c r="AJ17" s="3934" t="n"/>
      <c r="AK17" s="3934" t="n"/>
      <c r="AL17" s="3934" t="n"/>
      <c r="AM17" s="3934" t="n"/>
      <c r="AN17" s="3934" t="n"/>
      <c r="AO17" s="3934" t="n"/>
      <c r="AP17" s="3934" t="n"/>
      <c r="AQ17" s="3934" t="n"/>
      <c r="AR17" s="3934" t="n"/>
    </row>
    <row r="18">
      <c r="A18" s="3941" t="n"/>
      <c r="B18" s="3944" t="n"/>
      <c r="C18" s="3944" t="n"/>
      <c r="D18" s="3944" t="n"/>
      <c r="E18" s="3944" t="n"/>
      <c r="F18" s="3944" t="n"/>
      <c r="G18" s="3944" t="n"/>
      <c r="H18" s="3944" t="n"/>
      <c r="I18" s="3944" t="n"/>
      <c r="J18" s="3944" t="n"/>
      <c r="K18" s="3942">
        <f>IF(A18="","",SUM(E18:J18))</f>
        <v/>
      </c>
      <c r="L18" s="3934" t="n"/>
      <c r="M18" s="3934" t="n"/>
      <c r="N18" s="3934" t="n"/>
      <c r="O18" s="3934" t="n"/>
      <c r="P18" s="3934" t="n"/>
      <c r="Q18" s="3934" t="n"/>
      <c r="R18" s="3934" t="n"/>
      <c r="S18" s="3934" t="n"/>
      <c r="T18" s="3934" t="n"/>
      <c r="U18" s="3934" t="n"/>
      <c r="V18" s="3934" t="n"/>
      <c r="W18" s="3934" t="n"/>
      <c r="X18" s="3934" t="n"/>
      <c r="Y18" s="3934" t="n"/>
      <c r="Z18" s="3934" t="n"/>
      <c r="AA18" s="3934" t="n"/>
      <c r="AB18" s="3934" t="n"/>
      <c r="AC18" s="3934" t="n"/>
      <c r="AD18" s="3934" t="n"/>
      <c r="AE18" s="3934" t="n"/>
      <c r="AF18" s="3934" t="n"/>
      <c r="AG18" s="3934" t="n"/>
      <c r="AH18" s="3934" t="n"/>
      <c r="AI18" s="3934" t="n"/>
      <c r="AJ18" s="3934" t="n"/>
      <c r="AK18" s="3934" t="n"/>
      <c r="AL18" s="3934" t="n"/>
      <c r="AM18" s="3934" t="n"/>
      <c r="AN18" s="3934" t="n"/>
      <c r="AO18" s="3934" t="n"/>
      <c r="AP18" s="3934" t="n"/>
      <c r="AQ18" s="3934" t="n"/>
      <c r="AR18" s="3934" t="n"/>
    </row>
    <row r="19">
      <c r="A19" s="3941" t="n"/>
      <c r="B19" s="3944" t="n"/>
      <c r="C19" s="3944" t="n"/>
      <c r="D19" s="3944" t="n"/>
      <c r="E19" s="3944" t="n"/>
      <c r="F19" s="3944" t="n"/>
      <c r="G19" s="3944" t="n"/>
      <c r="H19" s="3944" t="n"/>
      <c r="I19" s="3944" t="n"/>
      <c r="J19" s="3944" t="n"/>
      <c r="K19" s="3942">
        <f>IF(A19="","",SUM(E19:J19))</f>
        <v/>
      </c>
      <c r="L19" s="3934" t="n"/>
      <c r="M19" s="3934" t="n"/>
      <c r="N19" s="3934" t="n"/>
      <c r="O19" s="3934" t="n"/>
      <c r="P19" s="3934" t="n"/>
      <c r="Q19" s="3934" t="n"/>
      <c r="R19" s="3934" t="n"/>
      <c r="S19" s="3934" t="n"/>
      <c r="T19" s="3934" t="n"/>
      <c r="U19" s="3934" t="n"/>
      <c r="V19" s="3934" t="n"/>
      <c r="W19" s="3934" t="n"/>
      <c r="X19" s="3934" t="n"/>
      <c r="Y19" s="3934" t="n"/>
      <c r="Z19" s="3934" t="n"/>
      <c r="AA19" s="3934" t="n"/>
      <c r="AB19" s="3934" t="n"/>
      <c r="AC19" s="3934" t="n"/>
      <c r="AD19" s="3934" t="n"/>
      <c r="AE19" s="3934" t="n"/>
      <c r="AF19" s="3934" t="n"/>
      <c r="AG19" s="3934" t="n"/>
      <c r="AH19" s="3934" t="n"/>
      <c r="AI19" s="3934" t="n"/>
      <c r="AJ19" s="3934" t="n"/>
      <c r="AK19" s="3934" t="n"/>
      <c r="AL19" s="3934" t="n"/>
      <c r="AM19" s="3934" t="n"/>
      <c r="AN19" s="3934" t="n"/>
      <c r="AO19" s="3934" t="n"/>
      <c r="AP19" s="3934" t="n"/>
      <c r="AQ19" s="3934" t="n"/>
      <c r="AR19" s="3934" t="n"/>
    </row>
    <row r="20">
      <c r="A20" s="3941" t="n"/>
      <c r="B20" s="3944" t="n"/>
      <c r="C20" s="3944" t="n"/>
      <c r="D20" s="3944" t="n"/>
      <c r="E20" s="3944" t="n"/>
      <c r="F20" s="3944" t="n"/>
      <c r="G20" s="3944" t="n"/>
      <c r="H20" s="3944" t="n"/>
      <c r="I20" s="3944" t="n"/>
      <c r="J20" s="3944" t="n"/>
      <c r="K20" s="3942">
        <f>IF(A20="","",SUM(E20:J20))</f>
        <v/>
      </c>
      <c r="L20" s="3934" t="n"/>
      <c r="M20" s="3934" t="n"/>
      <c r="N20" s="3934" t="n"/>
      <c r="O20" s="3934" t="n"/>
      <c r="P20" s="3934" t="n"/>
      <c r="Q20" s="3934" t="n"/>
      <c r="R20" s="3934" t="n"/>
      <c r="S20" s="3934" t="n"/>
      <c r="T20" s="3934" t="n"/>
      <c r="U20" s="3934" t="n"/>
      <c r="V20" s="3934" t="n"/>
      <c r="W20" s="3934" t="n"/>
      <c r="X20" s="3934" t="n"/>
      <c r="Y20" s="3934" t="n"/>
      <c r="Z20" s="3934" t="n"/>
      <c r="AA20" s="3934" t="n"/>
      <c r="AB20" s="3934" t="n"/>
      <c r="AC20" s="3934" t="n"/>
      <c r="AD20" s="3934" t="n"/>
      <c r="AE20" s="3934" t="n"/>
      <c r="AF20" s="3934" t="n"/>
      <c r="AG20" s="3934" t="n"/>
      <c r="AH20" s="3934" t="n"/>
      <c r="AI20" s="3934" t="n"/>
      <c r="AJ20" s="3934" t="n"/>
      <c r="AK20" s="3934" t="n"/>
      <c r="AL20" s="3934" t="n"/>
      <c r="AM20" s="3934" t="n"/>
      <c r="AN20" s="3934" t="n"/>
      <c r="AO20" s="3934" t="n"/>
      <c r="AP20" s="3934" t="n"/>
      <c r="AQ20" s="3934" t="n"/>
      <c r="AR20" s="3934" t="n"/>
    </row>
    <row r="21">
      <c r="A21" s="3941" t="n"/>
      <c r="B21" s="3944" t="n"/>
      <c r="C21" s="3944" t="n"/>
      <c r="D21" s="3944" t="n"/>
      <c r="E21" s="3944" t="n"/>
      <c r="F21" s="3944" t="n"/>
      <c r="G21" s="3944" t="n"/>
      <c r="H21" s="3944" t="n"/>
      <c r="I21" s="3944" t="n"/>
      <c r="J21" s="3944" t="n"/>
      <c r="K21" s="3942">
        <f>IF(A21="","",SUM(E21:J21))</f>
        <v/>
      </c>
      <c r="L21" s="3934" t="n"/>
      <c r="M21" s="3934" t="n"/>
      <c r="N21" s="3934" t="n"/>
      <c r="O21" s="3934" t="n"/>
      <c r="P21" s="3934" t="n"/>
      <c r="Q21" s="3934" t="n"/>
      <c r="R21" s="3934" t="n"/>
      <c r="S21" s="3934" t="n"/>
      <c r="T21" s="3934" t="n"/>
      <c r="U21" s="3934" t="n"/>
      <c r="V21" s="3934" t="n"/>
      <c r="W21" s="3934" t="n"/>
      <c r="X21" s="3934" t="n"/>
      <c r="Y21" s="3934" t="n"/>
      <c r="Z21" s="3934" t="n"/>
      <c r="AA21" s="3934" t="n"/>
      <c r="AB21" s="3934" t="n"/>
      <c r="AC21" s="3934" t="n"/>
      <c r="AD21" s="3934" t="n"/>
      <c r="AE21" s="3934" t="n"/>
      <c r="AF21" s="3934" t="n"/>
      <c r="AG21" s="3934" t="n"/>
      <c r="AH21" s="3934" t="n"/>
      <c r="AI21" s="3934" t="n"/>
      <c r="AJ21" s="3934" t="n"/>
      <c r="AK21" s="3934" t="n"/>
      <c r="AL21" s="3934" t="n"/>
      <c r="AM21" s="3934" t="n"/>
      <c r="AN21" s="3934" t="n"/>
      <c r="AO21" s="3934" t="n"/>
      <c r="AP21" s="3934" t="n"/>
      <c r="AQ21" s="3934" t="n"/>
      <c r="AR21" s="3934" t="n"/>
    </row>
    <row r="22">
      <c r="A22" s="3941" t="n"/>
      <c r="B22" s="3944" t="n"/>
      <c r="C22" s="3944" t="n"/>
      <c r="D22" s="3944" t="n"/>
      <c r="E22" s="3944" t="n"/>
      <c r="F22" s="3944" t="n"/>
      <c r="G22" s="3944" t="n"/>
      <c r="H22" s="3944" t="n"/>
      <c r="I22" s="3944" t="n"/>
      <c r="J22" s="3944" t="n"/>
      <c r="K22" s="3942">
        <f>IF(A22="","",SUM(E22:J22))</f>
        <v/>
      </c>
      <c r="L22" s="3934" t="n"/>
      <c r="M22" s="3934" t="n"/>
      <c r="N22" s="3934" t="n"/>
      <c r="O22" s="3934" t="n"/>
      <c r="P22" s="3934" t="n"/>
      <c r="Q22" s="3934" t="n"/>
      <c r="R22" s="3934" t="n"/>
      <c r="S22" s="3934" t="n"/>
      <c r="T22" s="3934" t="n"/>
      <c r="U22" s="3934" t="n"/>
      <c r="V22" s="3934" t="n"/>
      <c r="W22" s="3934" t="n"/>
      <c r="X22" s="3934" t="n"/>
      <c r="Y22" s="3934" t="n"/>
      <c r="Z22" s="3934" t="n"/>
      <c r="AA22" s="3934" t="n"/>
      <c r="AB22" s="3934" t="n"/>
      <c r="AC22" s="3934" t="n"/>
      <c r="AD22" s="3934" t="n"/>
      <c r="AE22" s="3934" t="n"/>
      <c r="AF22" s="3934" t="n"/>
      <c r="AG22" s="3934" t="n"/>
      <c r="AH22" s="3934" t="n"/>
      <c r="AI22" s="3934" t="n"/>
      <c r="AJ22" s="3934" t="n"/>
      <c r="AK22" s="3934" t="n"/>
      <c r="AL22" s="3934" t="n"/>
      <c r="AM22" s="3934" t="n"/>
      <c r="AN22" s="3934" t="n"/>
      <c r="AO22" s="3934" t="n"/>
      <c r="AP22" s="3934" t="n"/>
      <c r="AQ22" s="3934" t="n"/>
      <c r="AR22" s="3934" t="n"/>
    </row>
    <row r="23">
      <c r="A23" s="3941" t="n"/>
      <c r="B23" s="3944" t="n"/>
      <c r="C23" s="3944" t="n"/>
      <c r="D23" s="3944" t="n"/>
      <c r="E23" s="3944" t="n"/>
      <c r="F23" s="3944" t="n"/>
      <c r="G23" s="3944" t="n"/>
      <c r="H23" s="3944" t="n"/>
      <c r="I23" s="3944" t="n"/>
      <c r="J23" s="3944" t="n"/>
      <c r="K23" s="3942">
        <f>IF(A23="","",SUM(E23:J23))</f>
        <v/>
      </c>
      <c r="L23" s="3934" t="n"/>
      <c r="M23" s="3934" t="n"/>
      <c r="N23" s="3934" t="n"/>
      <c r="O23" s="3934" t="n"/>
      <c r="P23" s="3934" t="n"/>
      <c r="Q23" s="3934" t="n"/>
      <c r="R23" s="3934" t="n"/>
      <c r="S23" s="3934" t="n"/>
      <c r="T23" s="3934" t="n"/>
      <c r="U23" s="3934" t="n"/>
      <c r="V23" s="3934" t="n"/>
      <c r="W23" s="3934" t="n"/>
      <c r="X23" s="3934" t="n"/>
      <c r="Y23" s="3934" t="n"/>
      <c r="Z23" s="3934" t="n"/>
      <c r="AA23" s="3934" t="n"/>
      <c r="AB23" s="3934" t="n"/>
      <c r="AC23" s="3934" t="n"/>
      <c r="AD23" s="3934" t="n"/>
      <c r="AE23" s="3934" t="n"/>
      <c r="AF23" s="3934" t="n"/>
      <c r="AG23" s="3934" t="n"/>
      <c r="AH23" s="3934" t="n"/>
      <c r="AI23" s="3934" t="n"/>
      <c r="AJ23" s="3934" t="n"/>
      <c r="AK23" s="3934" t="n"/>
      <c r="AL23" s="3934" t="n"/>
      <c r="AM23" s="3934" t="n"/>
      <c r="AN23" s="3934" t="n"/>
      <c r="AO23" s="3934" t="n"/>
      <c r="AP23" s="3934" t="n"/>
      <c r="AQ23" s="3934" t="n"/>
      <c r="AR23" s="3934" t="n"/>
    </row>
    <row r="24">
      <c r="A24" s="3941" t="n"/>
      <c r="B24" s="3944" t="n"/>
      <c r="C24" s="3944" t="n"/>
      <c r="D24" s="3944" t="n"/>
      <c r="E24" s="3944" t="n"/>
      <c r="F24" s="3944" t="n"/>
      <c r="G24" s="3944" t="n"/>
      <c r="H24" s="3944" t="n"/>
      <c r="I24" s="3944" t="n"/>
      <c r="J24" s="3944" t="n"/>
      <c r="K24" s="3942">
        <f>IF(A24="","",SUM(E24:J24))</f>
        <v/>
      </c>
      <c r="L24" s="3934" t="n"/>
      <c r="M24" s="3934" t="n"/>
      <c r="N24" s="3934" t="n"/>
      <c r="O24" s="3934" t="n"/>
      <c r="P24" s="3934" t="n"/>
      <c r="Q24" s="3934" t="n"/>
      <c r="R24" s="3934" t="n"/>
      <c r="S24" s="3934" t="n"/>
      <c r="T24" s="3934" t="n"/>
      <c r="U24" s="3934" t="n"/>
      <c r="V24" s="3934" t="n"/>
      <c r="W24" s="3934" t="n"/>
      <c r="X24" s="3934" t="n"/>
      <c r="Y24" s="3934" t="n"/>
      <c r="Z24" s="3934" t="n"/>
      <c r="AA24" s="3934" t="n"/>
      <c r="AB24" s="3934" t="n"/>
      <c r="AC24" s="3934" t="n"/>
      <c r="AD24" s="3934" t="n"/>
      <c r="AE24" s="3934" t="n"/>
      <c r="AF24" s="3934" t="n"/>
      <c r="AG24" s="3934" t="n"/>
      <c r="AH24" s="3934" t="n"/>
      <c r="AI24" s="3934" t="n"/>
      <c r="AJ24" s="3934" t="n"/>
      <c r="AK24" s="3934" t="n"/>
      <c r="AL24" s="3934" t="n"/>
      <c r="AM24" s="3934" t="n"/>
      <c r="AN24" s="3934" t="n"/>
      <c r="AO24" s="3934" t="n"/>
      <c r="AP24" s="3934" t="n"/>
      <c r="AQ24" s="3934" t="n"/>
      <c r="AR24" s="3934" t="n"/>
    </row>
    <row r="25">
      <c r="A25" s="3941" t="n"/>
      <c r="B25" s="3944" t="n"/>
      <c r="C25" s="3944" t="n"/>
      <c r="D25" s="3944" t="n"/>
      <c r="E25" s="3944" t="n"/>
      <c r="F25" s="3944" t="n"/>
      <c r="G25" s="3944" t="n"/>
      <c r="H25" s="3944" t="n"/>
      <c r="I25" s="3944" t="n"/>
      <c r="J25" s="3944" t="n"/>
      <c r="K25" s="3942">
        <f>IF(A25="","",SUM(E25:J25))</f>
        <v/>
      </c>
      <c r="L25" s="3934" t="n"/>
      <c r="M25" s="3934" t="n"/>
      <c r="N25" s="3934" t="n"/>
      <c r="O25" s="3934" t="n"/>
      <c r="P25" s="3934" t="n"/>
      <c r="Q25" s="3934" t="n"/>
      <c r="R25" s="3934" t="n"/>
      <c r="S25" s="3934" t="n"/>
      <c r="T25" s="3934" t="n"/>
      <c r="U25" s="3934" t="n"/>
      <c r="V25" s="3934" t="n"/>
      <c r="W25" s="3934" t="n"/>
      <c r="X25" s="3934" t="n"/>
      <c r="Y25" s="3934" t="n"/>
      <c r="Z25" s="3934" t="n"/>
      <c r="AA25" s="3934" t="n"/>
      <c r="AB25" s="3934" t="n"/>
      <c r="AC25" s="3934" t="n"/>
      <c r="AD25" s="3934" t="n"/>
      <c r="AE25" s="3934" t="n"/>
      <c r="AF25" s="3934" t="n"/>
      <c r="AG25" s="3934" t="n"/>
      <c r="AH25" s="3934" t="n"/>
      <c r="AI25" s="3934" t="n"/>
      <c r="AJ25" s="3934" t="n"/>
      <c r="AK25" s="3934" t="n"/>
      <c r="AL25" s="3934" t="n"/>
      <c r="AM25" s="3934" t="n"/>
      <c r="AN25" s="3934" t="n"/>
      <c r="AO25" s="3934" t="n"/>
      <c r="AP25" s="3934" t="n"/>
      <c r="AQ25" s="3934" t="n"/>
      <c r="AR25" s="3934" t="n"/>
    </row>
    <row r="26">
      <c r="A26" s="3941" t="n"/>
      <c r="B26" s="3944" t="n"/>
      <c r="C26" s="3944" t="n"/>
      <c r="D26" s="3944" t="n"/>
      <c r="E26" s="3944" t="n"/>
      <c r="F26" s="3944" t="n"/>
      <c r="G26" s="3944" t="n"/>
      <c r="H26" s="3944" t="n"/>
      <c r="I26" s="3944" t="n"/>
      <c r="J26" s="3944" t="n"/>
      <c r="K26" s="3942">
        <f>IF(A26="","",SUM(E26:J26))</f>
        <v/>
      </c>
      <c r="L26" s="3934" t="n"/>
      <c r="M26" s="3934" t="n"/>
      <c r="N26" s="3934" t="n"/>
      <c r="O26" s="3934" t="n"/>
      <c r="P26" s="3934" t="n"/>
      <c r="Q26" s="3934" t="n"/>
      <c r="R26" s="3934" t="n"/>
      <c r="S26" s="3934" t="n"/>
      <c r="T26" s="3934" t="n"/>
      <c r="U26" s="3934" t="n"/>
      <c r="V26" s="3934" t="n"/>
      <c r="W26" s="3934" t="n"/>
      <c r="X26" s="3934" t="n"/>
      <c r="Y26" s="3934" t="n"/>
      <c r="Z26" s="3934" t="n"/>
      <c r="AA26" s="3934" t="n"/>
      <c r="AB26" s="3934" t="n"/>
      <c r="AC26" s="3934" t="n"/>
      <c r="AD26" s="3934" t="n"/>
      <c r="AE26" s="3934" t="n"/>
      <c r="AF26" s="3934" t="n"/>
      <c r="AG26" s="3934" t="n"/>
      <c r="AH26" s="3934" t="n"/>
      <c r="AI26" s="3934" t="n"/>
      <c r="AJ26" s="3934" t="n"/>
      <c r="AK26" s="3934" t="n"/>
      <c r="AL26" s="3934" t="n"/>
      <c r="AM26" s="3934" t="n"/>
      <c r="AN26" s="3934" t="n"/>
      <c r="AO26" s="3934" t="n"/>
      <c r="AP26" s="3934" t="n"/>
      <c r="AQ26" s="3934" t="n"/>
      <c r="AR26" s="3934" t="n"/>
    </row>
    <row r="27">
      <c r="A27" s="3941" t="n"/>
      <c r="B27" s="3944" t="n"/>
      <c r="C27" s="3944" t="n"/>
      <c r="D27" s="3944" t="n"/>
      <c r="E27" s="3944" t="n"/>
      <c r="F27" s="3944" t="n"/>
      <c r="G27" s="3944" t="n"/>
      <c r="H27" s="3944" t="n"/>
      <c r="I27" s="3944" t="n"/>
      <c r="J27" s="3944" t="n"/>
      <c r="K27" s="3942">
        <f>IF(A27="","",SUM(E27:J27))</f>
        <v/>
      </c>
      <c r="L27" s="3934" t="n"/>
      <c r="M27" s="3934" t="n"/>
      <c r="N27" s="3934" t="n"/>
      <c r="O27" s="3934" t="n"/>
      <c r="P27" s="3934" t="n"/>
      <c r="Q27" s="3934" t="n"/>
      <c r="R27" s="3934" t="n"/>
      <c r="S27" s="3934" t="n"/>
      <c r="T27" s="3934" t="n"/>
      <c r="U27" s="3934" t="n"/>
      <c r="V27" s="3934" t="n"/>
      <c r="W27" s="3934" t="n"/>
      <c r="X27" s="3934" t="n"/>
      <c r="Y27" s="3934" t="n"/>
      <c r="Z27" s="3934" t="n"/>
      <c r="AA27" s="3934" t="n"/>
      <c r="AB27" s="3934" t="n"/>
      <c r="AC27" s="3934" t="n"/>
      <c r="AD27" s="3934" t="n"/>
      <c r="AE27" s="3934" t="n"/>
      <c r="AF27" s="3934" t="n"/>
      <c r="AG27" s="3934" t="n"/>
      <c r="AH27" s="3934" t="n"/>
      <c r="AI27" s="3934" t="n"/>
      <c r="AJ27" s="3934" t="n"/>
      <c r="AK27" s="3934" t="n"/>
      <c r="AL27" s="3934" t="n"/>
      <c r="AM27" s="3934" t="n"/>
      <c r="AN27" s="3934" t="n"/>
      <c r="AO27" s="3934" t="n"/>
      <c r="AP27" s="3934" t="n"/>
      <c r="AQ27" s="3934" t="n"/>
      <c r="AR27" s="3934" t="n"/>
    </row>
    <row r="28">
      <c r="A28" s="3941" t="n"/>
      <c r="B28" s="3944" t="n"/>
      <c r="C28" s="3944" t="n"/>
      <c r="D28" s="3944" t="n"/>
      <c r="E28" s="3944" t="n"/>
      <c r="F28" s="3944" t="n"/>
      <c r="G28" s="3944" t="n"/>
      <c r="H28" s="3944" t="n"/>
      <c r="I28" s="3944" t="n"/>
      <c r="J28" s="3944" t="n"/>
      <c r="K28" s="3942">
        <f>IF(A28="","",SUM(E28:J28))</f>
        <v/>
      </c>
      <c r="L28" s="3934" t="n"/>
      <c r="M28" s="3934" t="n"/>
      <c r="N28" s="3934" t="n"/>
      <c r="O28" s="3934" t="n"/>
      <c r="P28" s="3934" t="n"/>
      <c r="Q28" s="3934" t="n"/>
      <c r="R28" s="3934" t="n"/>
      <c r="S28" s="3934" t="n"/>
      <c r="T28" s="3934" t="n"/>
      <c r="U28" s="3934" t="n"/>
      <c r="V28" s="3934" t="n"/>
      <c r="W28" s="3934" t="n"/>
      <c r="X28" s="3934" t="n"/>
      <c r="Y28" s="3934" t="n"/>
      <c r="Z28" s="3934" t="n"/>
      <c r="AA28" s="3934" t="n"/>
      <c r="AB28" s="3934" t="n"/>
      <c r="AC28" s="3934" t="n"/>
      <c r="AD28" s="3934" t="n"/>
      <c r="AE28" s="3934" t="n"/>
      <c r="AF28" s="3934" t="n"/>
      <c r="AG28" s="3934" t="n"/>
      <c r="AH28" s="3934" t="n"/>
      <c r="AI28" s="3934" t="n"/>
      <c r="AJ28" s="3934" t="n"/>
      <c r="AK28" s="3934" t="n"/>
      <c r="AL28" s="3934" t="n"/>
      <c r="AM28" s="3934" t="n"/>
      <c r="AN28" s="3934" t="n"/>
      <c r="AO28" s="3934" t="n"/>
      <c r="AP28" s="3934" t="n"/>
      <c r="AQ28" s="3934" t="n"/>
      <c r="AR28" s="3934" t="n"/>
    </row>
    <row r="29">
      <c r="A29" s="3941" t="n"/>
      <c r="B29" s="3944" t="n"/>
      <c r="C29" s="3944" t="n"/>
      <c r="D29" s="3944" t="n"/>
      <c r="E29" s="3944" t="n"/>
      <c r="F29" s="3944" t="n"/>
      <c r="G29" s="3944" t="n"/>
      <c r="H29" s="3944" t="n"/>
      <c r="I29" s="3944" t="n"/>
      <c r="J29" s="3944" t="n"/>
      <c r="K29" s="3942">
        <f>IF(A29="","",SUM(E29:J29))</f>
        <v/>
      </c>
      <c r="L29" s="3934" t="n"/>
      <c r="M29" s="3934" t="n"/>
      <c r="N29" s="3934" t="n"/>
      <c r="O29" s="3934" t="n"/>
      <c r="P29" s="3934" t="n"/>
      <c r="Q29" s="3934" t="n"/>
      <c r="R29" s="3934" t="n"/>
      <c r="S29" s="3934" t="n"/>
      <c r="T29" s="3934" t="n"/>
      <c r="U29" s="3934" t="n"/>
      <c r="V29" s="3934" t="n"/>
      <c r="W29" s="3934" t="n"/>
      <c r="X29" s="3934" t="n"/>
      <c r="Y29" s="3934" t="n"/>
      <c r="Z29" s="3934" t="n"/>
      <c r="AA29" s="3934" t="n"/>
      <c r="AB29" s="3934" t="n"/>
      <c r="AC29" s="3934" t="n"/>
      <c r="AD29" s="3934" t="n"/>
      <c r="AE29" s="3934" t="n"/>
      <c r="AF29" s="3934" t="n"/>
      <c r="AG29" s="3934" t="n"/>
      <c r="AH29" s="3934" t="n"/>
      <c r="AI29" s="3934" t="n"/>
      <c r="AJ29" s="3934" t="n"/>
      <c r="AK29" s="3934" t="n"/>
      <c r="AL29" s="3934" t="n"/>
      <c r="AM29" s="3934" t="n"/>
      <c r="AN29" s="3934" t="n"/>
      <c r="AO29" s="3934" t="n"/>
      <c r="AP29" s="3934" t="n"/>
      <c r="AQ29" s="3934" t="n"/>
      <c r="AR29" s="3934" t="n"/>
    </row>
    <row r="30">
      <c r="A30" s="3941" t="n"/>
      <c r="B30" s="3944" t="n"/>
      <c r="C30" s="3944" t="n"/>
      <c r="D30" s="3944" t="n"/>
      <c r="E30" s="3944" t="n"/>
      <c r="F30" s="3944" t="n"/>
      <c r="G30" s="3944" t="n"/>
      <c r="H30" s="3944" t="n"/>
      <c r="I30" s="3944" t="n"/>
      <c r="J30" s="3944" t="n"/>
      <c r="K30" s="3942">
        <f>IF(A30="","",SUM(E30:J30))</f>
        <v/>
      </c>
      <c r="L30" s="3934" t="n"/>
      <c r="M30" s="3934" t="n"/>
      <c r="N30" s="3934" t="n"/>
      <c r="O30" s="3934" t="n"/>
      <c r="P30" s="3934" t="n"/>
      <c r="Q30" s="3934" t="n"/>
      <c r="R30" s="3934" t="n"/>
      <c r="S30" s="3934" t="n"/>
      <c r="T30" s="3934" t="n"/>
      <c r="U30" s="3934" t="n"/>
      <c r="V30" s="3934" t="n"/>
      <c r="W30" s="3934" t="n"/>
      <c r="X30" s="3934" t="n"/>
      <c r="Y30" s="3934" t="n"/>
      <c r="Z30" s="3934" t="n"/>
      <c r="AA30" s="3934" t="n"/>
      <c r="AB30" s="3934" t="n"/>
      <c r="AC30" s="3934" t="n"/>
      <c r="AD30" s="3934" t="n"/>
      <c r="AE30" s="3934" t="n"/>
      <c r="AF30" s="3934" t="n"/>
      <c r="AG30" s="3934" t="n"/>
      <c r="AH30" s="3934" t="n"/>
      <c r="AI30" s="3934" t="n"/>
      <c r="AJ30" s="3934" t="n"/>
      <c r="AK30" s="3934" t="n"/>
      <c r="AL30" s="3934" t="n"/>
      <c r="AM30" s="3934" t="n"/>
      <c r="AN30" s="3934" t="n"/>
      <c r="AO30" s="3934" t="n"/>
      <c r="AP30" s="3934" t="n"/>
      <c r="AQ30" s="3934" t="n"/>
      <c r="AR30" s="3934" t="n"/>
    </row>
    <row r="31">
      <c r="A31" s="3941" t="n"/>
      <c r="B31" s="3944" t="n"/>
      <c r="C31" s="3944" t="n"/>
      <c r="D31" s="3944" t="n"/>
      <c r="E31" s="3944" t="n"/>
      <c r="F31" s="3944" t="n"/>
      <c r="G31" s="3944" t="n"/>
      <c r="H31" s="3944" t="n"/>
      <c r="I31" s="3944" t="n"/>
      <c r="J31" s="3944" t="n"/>
      <c r="K31" s="3942">
        <f>IF(A31="","",SUM(E31:J31))</f>
        <v/>
      </c>
      <c r="L31" s="3934" t="n"/>
      <c r="M31" s="3934" t="n"/>
      <c r="N31" s="3934" t="n"/>
      <c r="O31" s="3934" t="n"/>
      <c r="P31" s="3934" t="n"/>
      <c r="Q31" s="3934" t="n"/>
      <c r="R31" s="3934" t="n"/>
      <c r="S31" s="3934" t="n"/>
      <c r="T31" s="3934" t="n"/>
      <c r="U31" s="3934" t="n"/>
      <c r="V31" s="3934" t="n"/>
      <c r="W31" s="3934" t="n"/>
      <c r="X31" s="3934" t="n"/>
      <c r="Y31" s="3934" t="n"/>
      <c r="Z31" s="3934" t="n"/>
      <c r="AA31" s="3934" t="n"/>
      <c r="AB31" s="3934" t="n"/>
      <c r="AC31" s="3934" t="n"/>
      <c r="AD31" s="3934" t="n"/>
      <c r="AE31" s="3934" t="n"/>
      <c r="AF31" s="3934" t="n"/>
      <c r="AG31" s="3934" t="n"/>
      <c r="AH31" s="3934" t="n"/>
      <c r="AI31" s="3934" t="n"/>
      <c r="AJ31" s="3934" t="n"/>
      <c r="AK31" s="3934" t="n"/>
      <c r="AL31" s="3934" t="n"/>
      <c r="AM31" s="3934" t="n"/>
      <c r="AN31" s="3934" t="n"/>
      <c r="AO31" s="3934" t="n"/>
      <c r="AP31" s="3934" t="n"/>
      <c r="AQ31" s="3934" t="n"/>
      <c r="AR31" s="3934" t="n"/>
    </row>
    <row r="32">
      <c r="A32" s="3941" t="n"/>
      <c r="B32" s="3944" t="n"/>
      <c r="C32" s="3944" t="n"/>
      <c r="D32" s="3944" t="n"/>
      <c r="E32" s="3944" t="n"/>
      <c r="F32" s="3944" t="n"/>
      <c r="G32" s="3944" t="n"/>
      <c r="H32" s="3944" t="n"/>
      <c r="I32" s="3944" t="n"/>
      <c r="J32" s="3944" t="n"/>
      <c r="K32" s="3942">
        <f>IF(A32="","",SUM(E32:J32))</f>
        <v/>
      </c>
      <c r="L32" s="3934" t="n"/>
      <c r="M32" s="3934" t="n"/>
      <c r="N32" s="3934" t="n"/>
      <c r="O32" s="3934" t="n"/>
      <c r="P32" s="3934" t="n"/>
      <c r="Q32" s="3934" t="n"/>
      <c r="R32" s="3934" t="n"/>
      <c r="S32" s="3934" t="n"/>
      <c r="T32" s="3934" t="n"/>
      <c r="U32" s="3934" t="n"/>
      <c r="V32" s="3934" t="n"/>
      <c r="W32" s="3934" t="n"/>
      <c r="X32" s="3934" t="n"/>
      <c r="Y32" s="3934" t="n"/>
      <c r="Z32" s="3934" t="n"/>
      <c r="AA32" s="3934" t="n"/>
      <c r="AB32" s="3934" t="n"/>
      <c r="AC32" s="3934" t="n"/>
      <c r="AD32" s="3934" t="n"/>
      <c r="AE32" s="3934" t="n"/>
      <c r="AF32" s="3934" t="n"/>
      <c r="AG32" s="3934" t="n"/>
      <c r="AH32" s="3934" t="n"/>
      <c r="AI32" s="3934" t="n"/>
      <c r="AJ32" s="3934" t="n"/>
      <c r="AK32" s="3934" t="n"/>
      <c r="AL32" s="3934" t="n"/>
      <c r="AM32" s="3934" t="n"/>
      <c r="AN32" s="3934" t="n"/>
      <c r="AO32" s="3934" t="n"/>
      <c r="AP32" s="3934" t="n"/>
      <c r="AQ32" s="3934" t="n"/>
      <c r="AR32" s="3934" t="n"/>
    </row>
    <row r="33">
      <c r="A33" s="3941" t="n"/>
      <c r="B33" s="3944" t="n"/>
      <c r="C33" s="3944" t="n"/>
      <c r="D33" s="3944" t="n"/>
      <c r="E33" s="3944" t="n"/>
      <c r="F33" s="3944" t="n"/>
      <c r="G33" s="3944" t="n"/>
      <c r="H33" s="3944" t="n"/>
      <c r="I33" s="3944" t="n"/>
      <c r="J33" s="3944" t="n"/>
      <c r="K33" s="3942">
        <f>IF(A33="","",SUM(E33:J33))</f>
        <v/>
      </c>
      <c r="L33" s="3934" t="n"/>
      <c r="M33" s="3934" t="n"/>
      <c r="N33" s="3934" t="n"/>
      <c r="O33" s="3934" t="n"/>
      <c r="P33" s="3934" t="n"/>
      <c r="Q33" s="3934" t="n"/>
      <c r="R33" s="3934" t="n"/>
      <c r="S33" s="3934" t="n"/>
      <c r="T33" s="3934" t="n"/>
      <c r="U33" s="3934" t="n"/>
      <c r="V33" s="3934" t="n"/>
      <c r="W33" s="3934" t="n"/>
      <c r="X33" s="3934" t="n"/>
      <c r="Y33" s="3934" t="n"/>
      <c r="Z33" s="3934" t="n"/>
      <c r="AA33" s="3934" t="n"/>
      <c r="AB33" s="3934" t="n"/>
      <c r="AC33" s="3934" t="n"/>
      <c r="AD33" s="3934" t="n"/>
      <c r="AE33" s="3934" t="n"/>
      <c r="AF33" s="3934" t="n"/>
      <c r="AG33" s="3934" t="n"/>
      <c r="AH33" s="3934" t="n"/>
      <c r="AI33" s="3934" t="n"/>
      <c r="AJ33" s="3934" t="n"/>
      <c r="AK33" s="3934" t="n"/>
      <c r="AL33" s="3934" t="n"/>
      <c r="AM33" s="3934" t="n"/>
      <c r="AN33" s="3934" t="n"/>
      <c r="AO33" s="3934" t="n"/>
      <c r="AP33" s="3934" t="n"/>
      <c r="AQ33" s="3934" t="n"/>
      <c r="AR33" s="3934" t="n"/>
    </row>
    <row r="34">
      <c r="A34" s="3941" t="n"/>
      <c r="B34" s="3944" t="n"/>
      <c r="C34" s="3944" t="n"/>
      <c r="D34" s="3944" t="n"/>
      <c r="E34" s="3944" t="n"/>
      <c r="F34" s="3944" t="n"/>
      <c r="G34" s="3944" t="n"/>
      <c r="H34" s="3944" t="n"/>
      <c r="I34" s="3944" t="n"/>
      <c r="J34" s="3944" t="n"/>
      <c r="K34" s="3942">
        <f>IF(A34="","",SUM(E34:J34))</f>
        <v/>
      </c>
      <c r="L34" s="3934" t="n"/>
      <c r="M34" s="3934" t="n"/>
      <c r="N34" s="3934" t="n"/>
      <c r="O34" s="3934" t="n"/>
      <c r="P34" s="3934" t="n"/>
      <c r="Q34" s="3934" t="n"/>
      <c r="R34" s="3934" t="n"/>
      <c r="S34" s="3934" t="n"/>
      <c r="T34" s="3934" t="n"/>
      <c r="U34" s="3934" t="n"/>
      <c r="V34" s="3934" t="n"/>
      <c r="W34" s="3934" t="n"/>
      <c r="X34" s="3934" t="n"/>
      <c r="Y34" s="3934" t="n"/>
      <c r="Z34" s="3934" t="n"/>
      <c r="AA34" s="3934" t="n"/>
      <c r="AB34" s="3934" t="n"/>
      <c r="AC34" s="3934" t="n"/>
      <c r="AD34" s="3934" t="n"/>
      <c r="AE34" s="3934" t="n"/>
      <c r="AF34" s="3934" t="n"/>
      <c r="AG34" s="3934" t="n"/>
      <c r="AH34" s="3934" t="n"/>
      <c r="AI34" s="3934" t="n"/>
      <c r="AJ34" s="3934" t="n"/>
      <c r="AK34" s="3934" t="n"/>
      <c r="AL34" s="3934" t="n"/>
      <c r="AM34" s="3934" t="n"/>
      <c r="AN34" s="3934" t="n"/>
      <c r="AO34" s="3934" t="n"/>
      <c r="AP34" s="3934" t="n"/>
      <c r="AQ34" s="3934" t="n"/>
      <c r="AR34" s="3934" t="n"/>
    </row>
    <row r="35">
      <c r="A35" s="3941" t="n"/>
      <c r="B35" s="3944" t="n"/>
      <c r="C35" s="3944" t="n"/>
      <c r="D35" s="3944" t="n"/>
      <c r="E35" s="3944" t="n"/>
      <c r="F35" s="3944" t="n"/>
      <c r="G35" s="3944" t="n"/>
      <c r="H35" s="3944" t="n"/>
      <c r="I35" s="3944" t="n"/>
      <c r="J35" s="3944" t="n"/>
      <c r="K35" s="3942">
        <f>IF(A35="","",SUM(E35:J35))</f>
        <v/>
      </c>
      <c r="L35" s="3934" t="n"/>
      <c r="M35" s="3934" t="n"/>
      <c r="N35" s="3934" t="n"/>
      <c r="O35" s="3934" t="n"/>
      <c r="P35" s="3934" t="n"/>
      <c r="Q35" s="3934" t="n"/>
      <c r="R35" s="3934" t="n"/>
      <c r="S35" s="3934" t="n"/>
      <c r="T35" s="3934" t="n"/>
      <c r="U35" s="3934" t="n"/>
      <c r="V35" s="3934" t="n"/>
      <c r="W35" s="3934" t="n"/>
      <c r="X35" s="3934" t="n"/>
      <c r="Y35" s="3934" t="n"/>
      <c r="Z35" s="3934" t="n"/>
      <c r="AA35" s="3934" t="n"/>
      <c r="AB35" s="3934" t="n"/>
      <c r="AC35" s="3934" t="n"/>
      <c r="AD35" s="3934" t="n"/>
      <c r="AE35" s="3934" t="n"/>
      <c r="AF35" s="3934" t="n"/>
      <c r="AG35" s="3934" t="n"/>
      <c r="AH35" s="3934" t="n"/>
      <c r="AI35" s="3934" t="n"/>
      <c r="AJ35" s="3934" t="n"/>
      <c r="AK35" s="3934" t="n"/>
      <c r="AL35" s="3934" t="n"/>
      <c r="AM35" s="3934" t="n"/>
      <c r="AN35" s="3934" t="n"/>
      <c r="AO35" s="3934" t="n"/>
      <c r="AP35" s="3934" t="n"/>
      <c r="AQ35" s="3934" t="n"/>
      <c r="AR35" s="3934" t="n"/>
    </row>
    <row r="36">
      <c r="A36" s="3941" t="n"/>
      <c r="B36" s="3944" t="n"/>
      <c r="C36" s="3944" t="n"/>
      <c r="D36" s="3944" t="n"/>
      <c r="E36" s="3944" t="n"/>
      <c r="F36" s="3944" t="n"/>
      <c r="G36" s="3944" t="n"/>
      <c r="H36" s="3944" t="n"/>
      <c r="I36" s="3944" t="n"/>
      <c r="J36" s="3944" t="n"/>
      <c r="K36" s="3942">
        <f>IF(A36="","",SUM(E36:J36))</f>
        <v/>
      </c>
      <c r="L36" s="3934" t="n"/>
      <c r="M36" s="3934" t="n"/>
      <c r="N36" s="3934" t="n"/>
      <c r="O36" s="3934" t="n"/>
      <c r="P36" s="3934" t="n"/>
      <c r="Q36" s="3934" t="n"/>
      <c r="R36" s="3934" t="n"/>
      <c r="S36" s="3934" t="n"/>
      <c r="T36" s="3934" t="n"/>
      <c r="U36" s="3934" t="n"/>
      <c r="V36" s="3934" t="n"/>
      <c r="W36" s="3934" t="n"/>
      <c r="X36" s="3934" t="n"/>
      <c r="Y36" s="3934" t="n"/>
      <c r="Z36" s="3934" t="n"/>
      <c r="AA36" s="3934" t="n"/>
      <c r="AB36" s="3934" t="n"/>
      <c r="AC36" s="3934" t="n"/>
      <c r="AD36" s="3934" t="n"/>
      <c r="AE36" s="3934" t="n"/>
      <c r="AF36" s="3934" t="n"/>
      <c r="AG36" s="3934" t="n"/>
      <c r="AH36" s="3934" t="n"/>
      <c r="AI36" s="3934" t="n"/>
      <c r="AJ36" s="3934" t="n"/>
      <c r="AK36" s="3934" t="n"/>
      <c r="AL36" s="3934" t="n"/>
      <c r="AM36" s="3934" t="n"/>
      <c r="AN36" s="3934" t="n"/>
      <c r="AO36" s="3934" t="n"/>
      <c r="AP36" s="3934" t="n"/>
      <c r="AQ36" s="3934" t="n"/>
      <c r="AR36" s="3934" t="n"/>
    </row>
    <row r="37">
      <c r="A37" s="3941" t="n"/>
      <c r="B37" s="3944" t="n"/>
      <c r="C37" s="3944" t="n"/>
      <c r="D37" s="3944" t="n"/>
      <c r="E37" s="3944" t="n"/>
      <c r="F37" s="3944" t="n"/>
      <c r="G37" s="3944" t="n"/>
      <c r="H37" s="3944" t="n"/>
      <c r="I37" s="3944" t="n"/>
      <c r="J37" s="3944" t="n"/>
      <c r="K37" s="3942">
        <f>IF(A37="","",SUM(E37:J37))</f>
        <v/>
      </c>
      <c r="L37" s="3934" t="n"/>
      <c r="M37" s="3934" t="n"/>
      <c r="N37" s="3934" t="n"/>
      <c r="O37" s="3934" t="n"/>
      <c r="P37" s="3934" t="n"/>
      <c r="Q37" s="3934" t="n"/>
      <c r="R37" s="3934" t="n"/>
      <c r="S37" s="3934" t="n"/>
      <c r="T37" s="3934" t="n"/>
      <c r="U37" s="3934" t="n"/>
      <c r="V37" s="3934" t="n"/>
      <c r="W37" s="3934" t="n"/>
      <c r="X37" s="3934" t="n"/>
      <c r="Y37" s="3934" t="n"/>
      <c r="Z37" s="3934" t="n"/>
      <c r="AA37" s="3934" t="n"/>
      <c r="AB37" s="3934" t="n"/>
      <c r="AC37" s="3934" t="n"/>
      <c r="AD37" s="3934" t="n"/>
      <c r="AE37" s="3934" t="n"/>
      <c r="AF37" s="3934" t="n"/>
      <c r="AG37" s="3934" t="n"/>
      <c r="AH37" s="3934" t="n"/>
      <c r="AI37" s="3934" t="n"/>
      <c r="AJ37" s="3934" t="n"/>
      <c r="AK37" s="3934" t="n"/>
      <c r="AL37" s="3934" t="n"/>
      <c r="AM37" s="3934" t="n"/>
      <c r="AN37" s="3934" t="n"/>
      <c r="AO37" s="3934" t="n"/>
      <c r="AP37" s="3934" t="n"/>
      <c r="AQ37" s="3934" t="n"/>
      <c r="AR37" s="3934" t="n"/>
    </row>
    <row r="38">
      <c r="A38" s="3941" t="n"/>
      <c r="B38" s="3944" t="n"/>
      <c r="C38" s="3944" t="n"/>
      <c r="D38" s="3944" t="n"/>
      <c r="E38" s="3944" t="n"/>
      <c r="F38" s="3944" t="n"/>
      <c r="G38" s="3944" t="n"/>
      <c r="H38" s="3944" t="n"/>
      <c r="I38" s="3944" t="n"/>
      <c r="J38" s="3944" t="n"/>
      <c r="K38" s="3942">
        <f>IF(A38="","",SUM(E38:J38))</f>
        <v/>
      </c>
      <c r="L38" s="3934" t="n"/>
      <c r="M38" s="3934" t="n"/>
      <c r="N38" s="3934" t="n"/>
      <c r="O38" s="3934" t="n"/>
      <c r="P38" s="3934" t="n"/>
      <c r="Q38" s="3934" t="n"/>
      <c r="R38" s="3934" t="n"/>
      <c r="S38" s="3934" t="n"/>
      <c r="T38" s="3934" t="n"/>
      <c r="U38" s="3934" t="n"/>
      <c r="V38" s="3934" t="n"/>
      <c r="W38" s="3934" t="n"/>
      <c r="X38" s="3934" t="n"/>
      <c r="Y38" s="3934" t="n"/>
      <c r="Z38" s="3934" t="n"/>
      <c r="AA38" s="3934" t="n"/>
      <c r="AB38" s="3934" t="n"/>
      <c r="AC38" s="3934" t="n"/>
      <c r="AD38" s="3934" t="n"/>
      <c r="AE38" s="3934" t="n"/>
      <c r="AF38" s="3934" t="n"/>
      <c r="AG38" s="3934" t="n"/>
      <c r="AH38" s="3934" t="n"/>
      <c r="AI38" s="3934" t="n"/>
      <c r="AJ38" s="3934" t="n"/>
      <c r="AK38" s="3934" t="n"/>
      <c r="AL38" s="3934" t="n"/>
      <c r="AM38" s="3934" t="n"/>
      <c r="AN38" s="3934" t="n"/>
      <c r="AO38" s="3934" t="n"/>
      <c r="AP38" s="3934" t="n"/>
      <c r="AQ38" s="3934" t="n"/>
      <c r="AR38" s="3934" t="n"/>
    </row>
    <row r="39">
      <c r="A39" s="3941" t="n"/>
      <c r="B39" s="3944" t="n"/>
      <c r="C39" s="3944" t="n"/>
      <c r="D39" s="3944" t="n"/>
      <c r="E39" s="3944" t="n"/>
      <c r="F39" s="3944" t="n"/>
      <c r="G39" s="3944" t="n"/>
      <c r="H39" s="3944" t="n"/>
      <c r="I39" s="3944" t="n"/>
      <c r="J39" s="3944" t="n"/>
      <c r="K39" s="3942">
        <f>IF(A39="","",SUM(E39:J39))</f>
        <v/>
      </c>
      <c r="L39" s="3934" t="n"/>
      <c r="M39" s="3934" t="n"/>
      <c r="N39" s="3934" t="n"/>
      <c r="O39" s="3934" t="n"/>
      <c r="P39" s="3934" t="n"/>
      <c r="Q39" s="3934" t="n"/>
      <c r="R39" s="3934" t="n"/>
      <c r="S39" s="3934" t="n"/>
      <c r="T39" s="3934" t="n"/>
      <c r="U39" s="3934" t="n"/>
      <c r="V39" s="3934" t="n"/>
      <c r="W39" s="3934" t="n"/>
      <c r="X39" s="3934" t="n"/>
      <c r="Y39" s="3934" t="n"/>
      <c r="Z39" s="3934" t="n"/>
      <c r="AA39" s="3934" t="n"/>
      <c r="AB39" s="3934" t="n"/>
      <c r="AC39" s="3934" t="n"/>
      <c r="AD39" s="3934" t="n"/>
      <c r="AE39" s="3934" t="n"/>
      <c r="AF39" s="3934" t="n"/>
      <c r="AG39" s="3934" t="n"/>
      <c r="AH39" s="3934" t="n"/>
      <c r="AI39" s="3934" t="n"/>
      <c r="AJ39" s="3934" t="n"/>
      <c r="AK39" s="3934" t="n"/>
      <c r="AL39" s="3934" t="n"/>
      <c r="AM39" s="3934" t="n"/>
      <c r="AN39" s="3934" t="n"/>
      <c r="AO39" s="3934" t="n"/>
      <c r="AP39" s="3934" t="n"/>
      <c r="AQ39" s="3934" t="n"/>
      <c r="AR39" s="3934" t="n"/>
    </row>
    <row r="40">
      <c r="A40" s="3941" t="n"/>
      <c r="B40" s="3944" t="n"/>
      <c r="C40" s="3944" t="n"/>
      <c r="D40" s="3944" t="n"/>
      <c r="E40" s="3944" t="n"/>
      <c r="F40" s="3944" t="n"/>
      <c r="G40" s="3944" t="n"/>
      <c r="H40" s="3944" t="n"/>
      <c r="I40" s="3944" t="n"/>
      <c r="J40" s="3944" t="n"/>
      <c r="K40" s="3942">
        <f>IF(A40="","",SUM(E40:J40))</f>
        <v/>
      </c>
      <c r="L40" s="3934" t="n"/>
      <c r="M40" s="3934" t="n"/>
      <c r="N40" s="3934" t="n"/>
      <c r="O40" s="3934" t="n"/>
      <c r="P40" s="3934" t="n"/>
      <c r="Q40" s="3934" t="n"/>
      <c r="R40" s="3934" t="n"/>
      <c r="S40" s="3934" t="n"/>
      <c r="T40" s="3934" t="n"/>
      <c r="U40" s="3934" t="n"/>
      <c r="V40" s="3934" t="n"/>
      <c r="W40" s="3934" t="n"/>
      <c r="X40" s="3934" t="n"/>
      <c r="Y40" s="3934" t="n"/>
      <c r="Z40" s="3934" t="n"/>
      <c r="AA40" s="3934" t="n"/>
      <c r="AB40" s="3934" t="n"/>
      <c r="AC40" s="3934" t="n"/>
      <c r="AD40" s="3934" t="n"/>
      <c r="AE40" s="3934" t="n"/>
      <c r="AF40" s="3934" t="n"/>
      <c r="AG40" s="3934" t="n"/>
      <c r="AH40" s="3934" t="n"/>
      <c r="AI40" s="3934" t="n"/>
      <c r="AJ40" s="3934" t="n"/>
      <c r="AK40" s="3934" t="n"/>
      <c r="AL40" s="3934" t="n"/>
      <c r="AM40" s="3934" t="n"/>
      <c r="AN40" s="3934" t="n"/>
      <c r="AO40" s="3934" t="n"/>
      <c r="AP40" s="3934" t="n"/>
      <c r="AQ40" s="3934" t="n"/>
      <c r="AR40" s="3934" t="n"/>
    </row>
    <row r="41">
      <c r="A41" s="3941" t="n"/>
      <c r="B41" s="3944" t="n"/>
      <c r="C41" s="3944" t="n"/>
      <c r="D41" s="3944" t="n"/>
      <c r="E41" s="3944" t="n"/>
      <c r="F41" s="3944" t="n"/>
      <c r="G41" s="3944" t="n"/>
      <c r="H41" s="3944" t="n"/>
      <c r="I41" s="3944" t="n"/>
      <c r="J41" s="3944" t="n"/>
      <c r="K41" s="3942">
        <f>IF(A41="","",SUM(E41:J41))</f>
        <v/>
      </c>
      <c r="L41" s="3934" t="n"/>
      <c r="M41" s="3934" t="n"/>
      <c r="N41" s="3934" t="n"/>
      <c r="O41" s="3934" t="n"/>
      <c r="P41" s="3934" t="n"/>
      <c r="Q41" s="3934" t="n"/>
      <c r="R41" s="3934" t="n"/>
      <c r="S41" s="3934" t="n"/>
      <c r="T41" s="3934" t="n"/>
      <c r="U41" s="3934" t="n"/>
      <c r="V41" s="3934" t="n"/>
      <c r="W41" s="3934" t="n"/>
      <c r="X41" s="3934" t="n"/>
      <c r="Y41" s="3934" t="n"/>
      <c r="Z41" s="3934" t="n"/>
      <c r="AA41" s="3934" t="n"/>
      <c r="AB41" s="3934" t="n"/>
      <c r="AC41" s="3934" t="n"/>
      <c r="AD41" s="3934" t="n"/>
      <c r="AE41" s="3934" t="n"/>
      <c r="AF41" s="3934" t="n"/>
      <c r="AG41" s="3934" t="n"/>
      <c r="AH41" s="3934" t="n"/>
      <c r="AI41" s="3934" t="n"/>
      <c r="AJ41" s="3934" t="n"/>
      <c r="AK41" s="3934" t="n"/>
      <c r="AL41" s="3934" t="n"/>
      <c r="AM41" s="3934" t="n"/>
      <c r="AN41" s="3934" t="n"/>
      <c r="AO41" s="3934" t="n"/>
      <c r="AP41" s="3934" t="n"/>
      <c r="AQ41" s="3934" t="n"/>
      <c r="AR41" s="3934" t="n"/>
    </row>
    <row r="42">
      <c r="A42" s="3941" t="n"/>
      <c r="B42" s="3944" t="n"/>
      <c r="C42" s="3944" t="n"/>
      <c r="D42" s="3944" t="n"/>
      <c r="E42" s="3944" t="n"/>
      <c r="F42" s="3944" t="n"/>
      <c r="G42" s="3944" t="n"/>
      <c r="H42" s="3944" t="n"/>
      <c r="I42" s="3944" t="n"/>
      <c r="J42" s="3944" t="n"/>
      <c r="K42" s="3942">
        <f>IF(A42="","",SUM(E42:J42))</f>
        <v/>
      </c>
      <c r="L42" s="3934" t="n"/>
      <c r="M42" s="3934" t="n"/>
      <c r="N42" s="3934" t="n"/>
      <c r="O42" s="3934" t="n"/>
      <c r="P42" s="3934" t="n"/>
      <c r="Q42" s="3934" t="n"/>
      <c r="R42" s="3934" t="n"/>
      <c r="S42" s="3934" t="n"/>
      <c r="T42" s="3934" t="n"/>
      <c r="U42" s="3934" t="n"/>
      <c r="V42" s="3934" t="n"/>
      <c r="W42" s="3934" t="n"/>
      <c r="X42" s="3934" t="n"/>
      <c r="Y42" s="3934" t="n"/>
      <c r="Z42" s="3934" t="n"/>
      <c r="AA42" s="3934" t="n"/>
      <c r="AB42" s="3934" t="n"/>
      <c r="AC42" s="3934" t="n"/>
      <c r="AD42" s="3934" t="n"/>
      <c r="AE42" s="3934" t="n"/>
      <c r="AF42" s="3934" t="n"/>
      <c r="AG42" s="3934" t="n"/>
      <c r="AH42" s="3934" t="n"/>
      <c r="AI42" s="3934" t="n"/>
      <c r="AJ42" s="3934" t="n"/>
      <c r="AK42" s="3934" t="n"/>
      <c r="AL42" s="3934" t="n"/>
      <c r="AM42" s="3934" t="n"/>
      <c r="AN42" s="3934" t="n"/>
      <c r="AO42" s="3934" t="n"/>
      <c r="AP42" s="3934" t="n"/>
      <c r="AQ42" s="3934" t="n"/>
      <c r="AR42" s="3934" t="n"/>
    </row>
    <row r="43">
      <c r="A43" s="3941" t="n"/>
      <c r="B43" s="3944" t="n"/>
      <c r="C43" s="3944" t="n"/>
      <c r="D43" s="3944" t="n"/>
      <c r="E43" s="3944" t="n"/>
      <c r="F43" s="3944" t="n"/>
      <c r="G43" s="3944" t="n"/>
      <c r="H43" s="3944" t="n"/>
      <c r="I43" s="3944" t="n"/>
      <c r="J43" s="3944" t="n"/>
      <c r="K43" s="3942">
        <f>IF(A43="","",SUM(E43:J43))</f>
        <v/>
      </c>
      <c r="L43" s="3934" t="n"/>
      <c r="M43" s="3934" t="n"/>
      <c r="N43" s="3934" t="n"/>
      <c r="O43" s="3934" t="n"/>
      <c r="P43" s="3934" t="n"/>
      <c r="Q43" s="3934" t="n"/>
      <c r="R43" s="3934" t="n"/>
      <c r="S43" s="3934" t="n"/>
      <c r="T43" s="3934" t="n"/>
      <c r="U43" s="3934" t="n"/>
      <c r="V43" s="3934" t="n"/>
      <c r="W43" s="3934" t="n"/>
      <c r="X43" s="3934" t="n"/>
      <c r="Y43" s="3934" t="n"/>
      <c r="Z43" s="3934" t="n"/>
      <c r="AA43" s="3934" t="n"/>
      <c r="AB43" s="3934" t="n"/>
      <c r="AC43" s="3934" t="n"/>
      <c r="AD43" s="3934" t="n"/>
      <c r="AE43" s="3934" t="n"/>
      <c r="AF43" s="3934" t="n"/>
      <c r="AG43" s="3934" t="n"/>
      <c r="AH43" s="3934" t="n"/>
      <c r="AI43" s="3934" t="n"/>
      <c r="AJ43" s="3934" t="n"/>
      <c r="AK43" s="3934" t="n"/>
      <c r="AL43" s="3934" t="n"/>
      <c r="AM43" s="3934" t="n"/>
      <c r="AN43" s="3934" t="n"/>
      <c r="AO43" s="3934" t="n"/>
      <c r="AP43" s="3934" t="n"/>
      <c r="AQ43" s="3934" t="n"/>
      <c r="AR43" s="3934" t="n"/>
    </row>
    <row r="44">
      <c r="A44" s="3941" t="n"/>
      <c r="B44" s="3944" t="n"/>
      <c r="C44" s="3944" t="n"/>
      <c r="D44" s="3944" t="n"/>
      <c r="E44" s="3944" t="n"/>
      <c r="F44" s="3944" t="n"/>
      <c r="G44" s="3944" t="n"/>
      <c r="H44" s="3944" t="n"/>
      <c r="I44" s="3944" t="n"/>
      <c r="J44" s="3944" t="n"/>
      <c r="K44" s="3942">
        <f>IF(A44="","",SUM(E44:J44))</f>
        <v/>
      </c>
      <c r="L44" s="3934" t="n"/>
      <c r="M44" s="3934" t="n"/>
      <c r="N44" s="3934" t="n"/>
      <c r="O44" s="3934" t="n"/>
      <c r="P44" s="3934" t="n"/>
      <c r="Q44" s="3934" t="n"/>
      <c r="R44" s="3934" t="n"/>
      <c r="S44" s="3934" t="n"/>
      <c r="T44" s="3934" t="n"/>
      <c r="U44" s="3934" t="n"/>
      <c r="V44" s="3934" t="n"/>
      <c r="W44" s="3934" t="n"/>
      <c r="X44" s="3934" t="n"/>
      <c r="Y44" s="3934" t="n"/>
      <c r="Z44" s="3934" t="n"/>
      <c r="AA44" s="3934" t="n"/>
      <c r="AB44" s="3934" t="n"/>
      <c r="AC44" s="3934" t="n"/>
      <c r="AD44" s="3934" t="n"/>
      <c r="AE44" s="3934" t="n"/>
      <c r="AF44" s="3934" t="n"/>
      <c r="AG44" s="3934" t="n"/>
      <c r="AH44" s="3934" t="n"/>
      <c r="AI44" s="3934" t="n"/>
      <c r="AJ44" s="3934" t="n"/>
      <c r="AK44" s="3934" t="n"/>
      <c r="AL44" s="3934" t="n"/>
      <c r="AM44" s="3934" t="n"/>
      <c r="AN44" s="3934" t="n"/>
      <c r="AO44" s="3934" t="n"/>
      <c r="AP44" s="3934" t="n"/>
      <c r="AQ44" s="3934" t="n"/>
      <c r="AR44" s="3934" t="n"/>
    </row>
    <row r="45">
      <c r="A45" s="3941" t="n"/>
      <c r="B45" s="3944" t="n"/>
      <c r="C45" s="3944" t="n"/>
      <c r="D45" s="3944" t="n"/>
      <c r="E45" s="3944" t="n"/>
      <c r="F45" s="3944" t="n"/>
      <c r="G45" s="3944" t="n"/>
      <c r="H45" s="3944" t="n"/>
      <c r="I45" s="3944" t="n"/>
      <c r="J45" s="3944" t="n"/>
      <c r="K45" s="3942">
        <f>IF(A45="","",SUM(E45:J45))</f>
        <v/>
      </c>
      <c r="L45" s="3934" t="n"/>
      <c r="M45" s="3934" t="n"/>
      <c r="N45" s="3934" t="n"/>
      <c r="O45" s="3934" t="n"/>
      <c r="P45" s="3934" t="n"/>
      <c r="Q45" s="3934" t="n"/>
      <c r="R45" s="3934" t="n"/>
      <c r="S45" s="3934" t="n"/>
      <c r="T45" s="3934" t="n"/>
      <c r="U45" s="3934" t="n"/>
      <c r="V45" s="3934" t="n"/>
      <c r="W45" s="3934" t="n"/>
      <c r="X45" s="3934" t="n"/>
      <c r="Y45" s="3934" t="n"/>
      <c r="Z45" s="3934" t="n"/>
      <c r="AA45" s="3934" t="n"/>
      <c r="AB45" s="3934" t="n"/>
      <c r="AC45" s="3934" t="n"/>
      <c r="AD45" s="3934" t="n"/>
      <c r="AE45" s="3934" t="n"/>
      <c r="AF45" s="3934" t="n"/>
      <c r="AG45" s="3934" t="n"/>
      <c r="AH45" s="3934" t="n"/>
      <c r="AI45" s="3934" t="n"/>
      <c r="AJ45" s="3934" t="n"/>
      <c r="AK45" s="3934" t="n"/>
      <c r="AL45" s="3934" t="n"/>
      <c r="AM45" s="3934" t="n"/>
      <c r="AN45" s="3934" t="n"/>
      <c r="AO45" s="3934" t="n"/>
      <c r="AP45" s="3934" t="n"/>
      <c r="AQ45" s="3934" t="n"/>
      <c r="AR45" s="3934" t="n"/>
    </row>
    <row r="46">
      <c r="A46" s="3941" t="n"/>
      <c r="B46" s="3944" t="n"/>
      <c r="C46" s="3944" t="n"/>
      <c r="D46" s="3944" t="n"/>
      <c r="E46" s="3944" t="n"/>
      <c r="F46" s="3944" t="n"/>
      <c r="G46" s="3944" t="n"/>
      <c r="H46" s="3944" t="n"/>
      <c r="I46" s="3944" t="n"/>
      <c r="J46" s="3944" t="n"/>
      <c r="K46" s="3942">
        <f>IF(A46="","",SUM(E46:J46))</f>
        <v/>
      </c>
      <c r="L46" s="3934" t="n"/>
      <c r="M46" s="3934" t="n"/>
      <c r="N46" s="3934" t="n"/>
      <c r="O46" s="3934" t="n"/>
      <c r="P46" s="3934" t="n"/>
      <c r="Q46" s="3934" t="n"/>
      <c r="R46" s="3934" t="n"/>
      <c r="S46" s="3934" t="n"/>
      <c r="T46" s="3934" t="n"/>
      <c r="U46" s="3934" t="n"/>
      <c r="V46" s="3934" t="n"/>
      <c r="W46" s="3934" t="n"/>
      <c r="X46" s="3934" t="n"/>
      <c r="Y46" s="3934" t="n"/>
      <c r="Z46" s="3934" t="n"/>
      <c r="AA46" s="3934" t="n"/>
      <c r="AB46" s="3934" t="n"/>
      <c r="AC46" s="3934" t="n"/>
      <c r="AD46" s="3934" t="n"/>
      <c r="AE46" s="3934" t="n"/>
      <c r="AF46" s="3934" t="n"/>
      <c r="AG46" s="3934" t="n"/>
      <c r="AH46" s="3934" t="n"/>
      <c r="AI46" s="3934" t="n"/>
      <c r="AJ46" s="3934" t="n"/>
      <c r="AK46" s="3934" t="n"/>
      <c r="AL46" s="3934" t="n"/>
      <c r="AM46" s="3934" t="n"/>
      <c r="AN46" s="3934" t="n"/>
      <c r="AO46" s="3934" t="n"/>
      <c r="AP46" s="3934" t="n"/>
      <c r="AQ46" s="3934" t="n"/>
      <c r="AR46" s="3934" t="n"/>
    </row>
    <row r="47">
      <c r="A47" s="3941" t="n"/>
      <c r="B47" s="3944" t="n"/>
      <c r="C47" s="3944" t="n"/>
      <c r="D47" s="3944" t="n"/>
      <c r="E47" s="3944" t="n"/>
      <c r="F47" s="3944" t="n"/>
      <c r="G47" s="3944" t="n"/>
      <c r="H47" s="3944" t="n"/>
      <c r="I47" s="3944" t="n"/>
      <c r="J47" s="3944" t="n"/>
      <c r="K47" s="3942">
        <f>IF(A47="","",SUM(E47:J47))</f>
        <v/>
      </c>
      <c r="L47" s="3934" t="n"/>
      <c r="M47" s="3934" t="n"/>
      <c r="N47" s="3934" t="n"/>
      <c r="O47" s="3934" t="n"/>
      <c r="P47" s="3934" t="n"/>
      <c r="Q47" s="3934" t="n"/>
      <c r="R47" s="3934" t="n"/>
      <c r="S47" s="3934" t="n"/>
      <c r="T47" s="3934" t="n"/>
      <c r="U47" s="3934" t="n"/>
      <c r="V47" s="3934" t="n"/>
      <c r="W47" s="3934" t="n"/>
      <c r="X47" s="3934" t="n"/>
      <c r="Y47" s="3934" t="n"/>
      <c r="Z47" s="3934" t="n"/>
      <c r="AA47" s="3934" t="n"/>
      <c r="AB47" s="3934" t="n"/>
      <c r="AC47" s="3934" t="n"/>
      <c r="AD47" s="3934" t="n"/>
      <c r="AE47" s="3934" t="n"/>
      <c r="AF47" s="3934" t="n"/>
      <c r="AG47" s="3934" t="n"/>
      <c r="AH47" s="3934" t="n"/>
      <c r="AI47" s="3934" t="n"/>
      <c r="AJ47" s="3934" t="n"/>
      <c r="AK47" s="3934" t="n"/>
      <c r="AL47" s="3934" t="n"/>
      <c r="AM47" s="3934" t="n"/>
      <c r="AN47" s="3934" t="n"/>
      <c r="AO47" s="3934" t="n"/>
      <c r="AP47" s="3934" t="n"/>
      <c r="AQ47" s="3934" t="n"/>
      <c r="AR47" s="3934" t="n"/>
    </row>
    <row r="48">
      <c r="A48" s="3941" t="n"/>
      <c r="B48" s="3944" t="n"/>
      <c r="C48" s="3944" t="n"/>
      <c r="D48" s="3944" t="n"/>
      <c r="E48" s="3944" t="n"/>
      <c r="F48" s="3944" t="n"/>
      <c r="G48" s="3944" t="n"/>
      <c r="H48" s="3944" t="n"/>
      <c r="I48" s="3944" t="n"/>
      <c r="J48" s="3944" t="n"/>
      <c r="K48" s="3942">
        <f>IF(A48="","",SUM(E48:J48))</f>
        <v/>
      </c>
      <c r="L48" s="3934" t="n"/>
      <c r="M48" s="3934" t="n"/>
      <c r="N48" s="3934" t="n"/>
      <c r="O48" s="3934" t="n"/>
      <c r="P48" s="3934" t="n"/>
      <c r="Q48" s="3934" t="n"/>
      <c r="R48" s="3934" t="n"/>
      <c r="S48" s="3934" t="n"/>
      <c r="T48" s="3934" t="n"/>
      <c r="U48" s="3934" t="n"/>
      <c r="V48" s="3934" t="n"/>
      <c r="W48" s="3934" t="n"/>
      <c r="X48" s="3934" t="n"/>
      <c r="Y48" s="3934" t="n"/>
      <c r="Z48" s="3934" t="n"/>
      <c r="AA48" s="3934" t="n"/>
      <c r="AB48" s="3934" t="n"/>
      <c r="AC48" s="3934" t="n"/>
      <c r="AD48" s="3934" t="n"/>
      <c r="AE48" s="3934" t="n"/>
      <c r="AF48" s="3934" t="n"/>
      <c r="AG48" s="3934" t="n"/>
      <c r="AH48" s="3934" t="n"/>
      <c r="AI48" s="3934" t="n"/>
      <c r="AJ48" s="3934" t="n"/>
      <c r="AK48" s="3934" t="n"/>
      <c r="AL48" s="3934" t="n"/>
      <c r="AM48" s="3934" t="n"/>
      <c r="AN48" s="3934" t="n"/>
      <c r="AO48" s="3934" t="n"/>
      <c r="AP48" s="3934" t="n"/>
      <c r="AQ48" s="3934" t="n"/>
      <c r="AR48" s="3934" t="n"/>
    </row>
    <row r="49">
      <c r="A49" s="3941" t="n"/>
      <c r="B49" s="3944" t="n"/>
      <c r="C49" s="3944" t="n"/>
      <c r="D49" s="3944" t="n"/>
      <c r="E49" s="3944" t="n"/>
      <c r="F49" s="3944" t="n"/>
      <c r="G49" s="3944" t="n"/>
      <c r="H49" s="3944" t="n"/>
      <c r="I49" s="3944" t="n"/>
      <c r="J49" s="3944" t="n"/>
      <c r="K49" s="3942">
        <f>IF(A49="","",SUM(E49:J49))</f>
        <v/>
      </c>
      <c r="L49" s="3934" t="n"/>
      <c r="M49" s="3934" t="n"/>
      <c r="N49" s="3934" t="n"/>
      <c r="O49" s="3934" t="n"/>
      <c r="P49" s="3934" t="n"/>
      <c r="Q49" s="3934" t="n"/>
      <c r="R49" s="3934" t="n"/>
      <c r="S49" s="3934" t="n"/>
      <c r="T49" s="3934" t="n"/>
      <c r="U49" s="3934" t="n"/>
      <c r="V49" s="3934" t="n"/>
      <c r="W49" s="3934" t="n"/>
      <c r="X49" s="3934" t="n"/>
      <c r="Y49" s="3934" t="n"/>
      <c r="Z49" s="3934" t="n"/>
      <c r="AA49" s="3934" t="n"/>
      <c r="AB49" s="3934" t="n"/>
      <c r="AC49" s="3934" t="n"/>
      <c r="AD49" s="3934" t="n"/>
      <c r="AE49" s="3934" t="n"/>
      <c r="AF49" s="3934" t="n"/>
      <c r="AG49" s="3934" t="n"/>
      <c r="AH49" s="3934" t="n"/>
      <c r="AI49" s="3934" t="n"/>
      <c r="AJ49" s="3934" t="n"/>
      <c r="AK49" s="3934" t="n"/>
      <c r="AL49" s="3934" t="n"/>
      <c r="AM49" s="3934" t="n"/>
      <c r="AN49" s="3934" t="n"/>
      <c r="AO49" s="3934" t="n"/>
      <c r="AP49" s="3934" t="n"/>
      <c r="AQ49" s="3934" t="n"/>
      <c r="AR49" s="3934" t="n"/>
    </row>
    <row r="50">
      <c r="A50" s="3941" t="n"/>
      <c r="B50" s="3944" t="n"/>
      <c r="C50" s="3944" t="n"/>
      <c r="D50" s="3944" t="n"/>
      <c r="E50" s="3944" t="n"/>
      <c r="F50" s="3944" t="n"/>
      <c r="G50" s="3944" t="n"/>
      <c r="H50" s="3944" t="n"/>
      <c r="I50" s="3944" t="n"/>
      <c r="J50" s="3944" t="n"/>
      <c r="K50" s="3942">
        <f>IF(A50="","",SUM(E50:J50))</f>
        <v/>
      </c>
      <c r="L50" s="3934" t="n"/>
      <c r="M50" s="3934" t="n"/>
      <c r="N50" s="3934" t="n"/>
      <c r="O50" s="3934" t="n"/>
      <c r="P50" s="3934" t="n"/>
      <c r="Q50" s="3934" t="n"/>
      <c r="R50" s="3934" t="n"/>
      <c r="S50" s="3934" t="n"/>
      <c r="T50" s="3934" t="n"/>
      <c r="U50" s="3934" t="n"/>
      <c r="V50" s="3934" t="n"/>
      <c r="W50" s="3934" t="n"/>
      <c r="X50" s="3934" t="n"/>
      <c r="Y50" s="3934" t="n"/>
      <c r="Z50" s="3934" t="n"/>
      <c r="AA50" s="3934" t="n"/>
      <c r="AB50" s="3934" t="n"/>
      <c r="AC50" s="3934" t="n"/>
      <c r="AD50" s="3934" t="n"/>
      <c r="AE50" s="3934" t="n"/>
      <c r="AF50" s="3934" t="n"/>
      <c r="AG50" s="3934" t="n"/>
      <c r="AH50" s="3934" t="n"/>
      <c r="AI50" s="3934" t="n"/>
      <c r="AJ50" s="3934" t="n"/>
      <c r="AK50" s="3934" t="n"/>
      <c r="AL50" s="3934" t="n"/>
      <c r="AM50" s="3934" t="n"/>
      <c r="AN50" s="3934" t="n"/>
      <c r="AO50" s="3934" t="n"/>
      <c r="AP50" s="3934" t="n"/>
      <c r="AQ50" s="3934" t="n"/>
      <c r="AR50" s="3934" t="n"/>
    </row>
    <row r="51">
      <c r="A51" s="3941" t="n"/>
      <c r="B51" s="3944" t="n"/>
      <c r="C51" s="3944" t="n"/>
      <c r="D51" s="3944" t="n"/>
      <c r="E51" s="3944" t="n"/>
      <c r="F51" s="3944" t="n"/>
      <c r="G51" s="3944" t="n"/>
      <c r="H51" s="3944" t="n"/>
      <c r="I51" s="3944" t="n"/>
      <c r="J51" s="3944" t="n"/>
      <c r="K51" s="3942">
        <f>IF(A51="","",SUM(E51:J51))</f>
        <v/>
      </c>
      <c r="L51" s="3934" t="n"/>
      <c r="M51" s="3934" t="n"/>
      <c r="N51" s="3934" t="n"/>
      <c r="O51" s="3934" t="n"/>
      <c r="P51" s="3934" t="n"/>
      <c r="Q51" s="3934" t="n"/>
      <c r="R51" s="3934" t="n"/>
      <c r="S51" s="3934" t="n"/>
      <c r="T51" s="3934" t="n"/>
      <c r="U51" s="3934" t="n"/>
      <c r="V51" s="3934" t="n"/>
      <c r="W51" s="3934" t="n"/>
      <c r="X51" s="3934" t="n"/>
      <c r="Y51" s="3934" t="n"/>
      <c r="Z51" s="3934" t="n"/>
      <c r="AA51" s="3934" t="n"/>
      <c r="AB51" s="3934" t="n"/>
      <c r="AC51" s="3934" t="n"/>
      <c r="AD51" s="3934" t="n"/>
      <c r="AE51" s="3934" t="n"/>
      <c r="AF51" s="3934" t="n"/>
      <c r="AG51" s="3934" t="n"/>
      <c r="AH51" s="3934" t="n"/>
      <c r="AI51" s="3934" t="n"/>
      <c r="AJ51" s="3934" t="n"/>
      <c r="AK51" s="3934" t="n"/>
      <c r="AL51" s="3934" t="n"/>
      <c r="AM51" s="3934" t="n"/>
      <c r="AN51" s="3934" t="n"/>
      <c r="AO51" s="3934" t="n"/>
      <c r="AP51" s="3934" t="n"/>
      <c r="AQ51" s="3934" t="n"/>
      <c r="AR51" s="3934" t="n"/>
    </row>
    <row r="52">
      <c r="A52" s="3941" t="n"/>
      <c r="B52" s="3944" t="n"/>
      <c r="C52" s="3944" t="n"/>
      <c r="D52" s="3944" t="n"/>
      <c r="E52" s="3944" t="n"/>
      <c r="F52" s="3944" t="n"/>
      <c r="G52" s="3944" t="n"/>
      <c r="H52" s="3944" t="n"/>
      <c r="I52" s="3944" t="n"/>
      <c r="J52" s="3944" t="n"/>
      <c r="K52" s="3942">
        <f>IF(A52="","",SUM(E52:J52))</f>
        <v/>
      </c>
      <c r="L52" s="3934" t="n"/>
      <c r="M52" s="3934" t="n"/>
      <c r="N52" s="3934" t="n"/>
      <c r="O52" s="3934" t="n"/>
      <c r="P52" s="3934" t="n"/>
      <c r="Q52" s="3934" t="n"/>
      <c r="R52" s="3934" t="n"/>
      <c r="S52" s="3934" t="n"/>
      <c r="T52" s="3934" t="n"/>
      <c r="U52" s="3934" t="n"/>
      <c r="V52" s="3934" t="n"/>
      <c r="W52" s="3934" t="n"/>
      <c r="X52" s="3934" t="n"/>
      <c r="Y52" s="3934" t="n"/>
      <c r="Z52" s="3934" t="n"/>
      <c r="AA52" s="3934" t="n"/>
      <c r="AB52" s="3934" t="n"/>
      <c r="AC52" s="3934" t="n"/>
      <c r="AD52" s="3934" t="n"/>
      <c r="AE52" s="3934" t="n"/>
      <c r="AF52" s="3934" t="n"/>
      <c r="AG52" s="3934" t="n"/>
      <c r="AH52" s="3934" t="n"/>
      <c r="AI52" s="3934" t="n"/>
      <c r="AJ52" s="3934" t="n"/>
      <c r="AK52" s="3934" t="n"/>
      <c r="AL52" s="3934" t="n"/>
      <c r="AM52" s="3934" t="n"/>
      <c r="AN52" s="3934" t="n"/>
      <c r="AO52" s="3934" t="n"/>
      <c r="AP52" s="3934" t="n"/>
      <c r="AQ52" s="3934" t="n"/>
      <c r="AR52" s="3934" t="n"/>
    </row>
    <row r="53">
      <c r="A53" s="3941" t="n"/>
      <c r="B53" s="3944" t="n"/>
      <c r="C53" s="3944" t="n"/>
      <c r="D53" s="3944" t="n"/>
      <c r="E53" s="3944" t="n"/>
      <c r="F53" s="3944" t="n"/>
      <c r="G53" s="3944" t="n"/>
      <c r="H53" s="3944" t="n"/>
      <c r="I53" s="3944" t="n"/>
      <c r="J53" s="3944" t="n"/>
      <c r="K53" s="3942">
        <f>IF(A53="","",SUM(E53:J53))</f>
        <v/>
      </c>
      <c r="L53" s="3934" t="n"/>
      <c r="M53" s="3934" t="n"/>
      <c r="N53" s="3934" t="n"/>
      <c r="O53" s="3934" t="n"/>
      <c r="P53" s="3934" t="n"/>
      <c r="Q53" s="3934" t="n"/>
      <c r="R53" s="3934" t="n"/>
      <c r="S53" s="3934" t="n"/>
      <c r="T53" s="3934" t="n"/>
      <c r="U53" s="3934" t="n"/>
      <c r="V53" s="3934" t="n"/>
      <c r="W53" s="3934" t="n"/>
      <c r="X53" s="3934" t="n"/>
      <c r="Y53" s="3934" t="n"/>
      <c r="Z53" s="3934" t="n"/>
      <c r="AA53" s="3934" t="n"/>
      <c r="AB53" s="3934" t="n"/>
      <c r="AC53" s="3934" t="n"/>
      <c r="AD53" s="3934" t="n"/>
      <c r="AE53" s="3934" t="n"/>
      <c r="AF53" s="3934" t="n"/>
      <c r="AG53" s="3934" t="n"/>
      <c r="AH53" s="3934" t="n"/>
      <c r="AI53" s="3934" t="n"/>
      <c r="AJ53" s="3934" t="n"/>
      <c r="AK53" s="3934" t="n"/>
      <c r="AL53" s="3934" t="n"/>
      <c r="AM53" s="3934" t="n"/>
      <c r="AN53" s="3934" t="n"/>
      <c r="AO53" s="3934" t="n"/>
      <c r="AP53" s="3934" t="n"/>
      <c r="AQ53" s="3934" t="n"/>
      <c r="AR53" s="3934" t="n"/>
    </row>
    <row r="54">
      <c r="A54" s="3941" t="n"/>
      <c r="B54" s="3944" t="n"/>
      <c r="C54" s="3944" t="n"/>
      <c r="D54" s="3944" t="n"/>
      <c r="E54" s="3944" t="n"/>
      <c r="F54" s="3944" t="n"/>
      <c r="G54" s="3944" t="n"/>
      <c r="H54" s="3944" t="n"/>
      <c r="I54" s="3944" t="n"/>
      <c r="J54" s="3944" t="n"/>
      <c r="K54" s="3942">
        <f>IF(A54="","",SUM(E54:J54))</f>
        <v/>
      </c>
      <c r="L54" s="3934" t="n"/>
      <c r="M54" s="3934" t="n"/>
      <c r="N54" s="3934" t="n"/>
      <c r="O54" s="3934" t="n"/>
      <c r="P54" s="3934" t="n"/>
      <c r="Q54" s="3934" t="n"/>
      <c r="R54" s="3934" t="n"/>
      <c r="S54" s="3934" t="n"/>
      <c r="T54" s="3934" t="n"/>
      <c r="U54" s="3934" t="n"/>
      <c r="V54" s="3934" t="n"/>
      <c r="W54" s="3934" t="n"/>
      <c r="X54" s="3934" t="n"/>
      <c r="Y54" s="3934" t="n"/>
      <c r="Z54" s="3934" t="n"/>
      <c r="AA54" s="3934" t="n"/>
      <c r="AB54" s="3934" t="n"/>
      <c r="AC54" s="3934" t="n"/>
      <c r="AD54" s="3934" t="n"/>
      <c r="AE54" s="3934" t="n"/>
      <c r="AF54" s="3934" t="n"/>
      <c r="AG54" s="3934" t="n"/>
      <c r="AH54" s="3934" t="n"/>
      <c r="AI54" s="3934" t="n"/>
      <c r="AJ54" s="3934" t="n"/>
      <c r="AK54" s="3934" t="n"/>
      <c r="AL54" s="3934" t="n"/>
      <c r="AM54" s="3934" t="n"/>
      <c r="AN54" s="3934" t="n"/>
      <c r="AO54" s="3934" t="n"/>
      <c r="AP54" s="3934" t="n"/>
      <c r="AQ54" s="3934" t="n"/>
      <c r="AR54" s="3934" t="n"/>
    </row>
    <row r="55">
      <c r="A55" s="3941" t="n"/>
      <c r="B55" s="3944" t="n"/>
      <c r="C55" s="3944" t="n"/>
      <c r="D55" s="3944" t="n"/>
      <c r="E55" s="3944" t="n"/>
      <c r="F55" s="3944" t="n"/>
      <c r="G55" s="3944" t="n"/>
      <c r="H55" s="3944" t="n"/>
      <c r="I55" s="3944" t="n"/>
      <c r="J55" s="3944" t="n"/>
      <c r="K55" s="3942">
        <f>IF(A55="","",SUM(E55:J55))</f>
        <v/>
      </c>
      <c r="L55" s="3934" t="n"/>
      <c r="M55" s="3934" t="n"/>
      <c r="N55" s="3934" t="n"/>
      <c r="O55" s="3934" t="n"/>
      <c r="P55" s="3934" t="n"/>
      <c r="Q55" s="3934" t="n"/>
      <c r="R55" s="3934" t="n"/>
      <c r="S55" s="3934" t="n"/>
      <c r="T55" s="3934" t="n"/>
      <c r="U55" s="3934" t="n"/>
      <c r="V55" s="3934" t="n"/>
      <c r="W55" s="3934" t="n"/>
      <c r="X55" s="3934" t="n"/>
      <c r="Y55" s="3934" t="n"/>
      <c r="Z55" s="3934" t="n"/>
      <c r="AA55" s="3934" t="n"/>
      <c r="AB55" s="3934" t="n"/>
      <c r="AC55" s="3934" t="n"/>
      <c r="AD55" s="3934" t="n"/>
      <c r="AE55" s="3934" t="n"/>
      <c r="AF55" s="3934" t="n"/>
      <c r="AG55" s="3934" t="n"/>
      <c r="AH55" s="3934" t="n"/>
      <c r="AI55" s="3934" t="n"/>
      <c r="AJ55" s="3934" t="n"/>
      <c r="AK55" s="3934" t="n"/>
      <c r="AL55" s="3934" t="n"/>
      <c r="AM55" s="3934" t="n"/>
      <c r="AN55" s="3934" t="n"/>
      <c r="AO55" s="3934" t="n"/>
      <c r="AP55" s="3934" t="n"/>
      <c r="AQ55" s="3934" t="n"/>
      <c r="AR55" s="3934" t="n"/>
    </row>
    <row r="56">
      <c r="A56" s="3941" t="n"/>
      <c r="B56" s="3944" t="n"/>
      <c r="C56" s="3944" t="n"/>
      <c r="D56" s="3944" t="n"/>
      <c r="E56" s="3944" t="n"/>
      <c r="F56" s="3944" t="n"/>
      <c r="G56" s="3944" t="n"/>
      <c r="H56" s="3944" t="n"/>
      <c r="I56" s="3944" t="n"/>
      <c r="J56" s="3944" t="n"/>
      <c r="K56" s="3942">
        <f>IF(A56="","",SUM(E56:J56))</f>
        <v/>
      </c>
      <c r="L56" s="3934" t="n"/>
      <c r="M56" s="3934" t="n"/>
      <c r="N56" s="3934" t="n"/>
      <c r="O56" s="3934" t="n"/>
      <c r="P56" s="3934" t="n"/>
      <c r="Q56" s="3934" t="n"/>
      <c r="R56" s="3934" t="n"/>
      <c r="S56" s="3934" t="n"/>
      <c r="T56" s="3934" t="n"/>
      <c r="U56" s="3934" t="n"/>
      <c r="V56" s="3934" t="n"/>
      <c r="W56" s="3934" t="n"/>
      <c r="X56" s="3934" t="n"/>
      <c r="Y56" s="3934" t="n"/>
      <c r="Z56" s="3934" t="n"/>
      <c r="AA56" s="3934" t="n"/>
      <c r="AB56" s="3934" t="n"/>
      <c r="AC56" s="3934" t="n"/>
      <c r="AD56" s="3934" t="n"/>
      <c r="AE56" s="3934" t="n"/>
      <c r="AF56" s="3934" t="n"/>
      <c r="AG56" s="3934" t="n"/>
      <c r="AH56" s="3934" t="n"/>
      <c r="AI56" s="3934" t="n"/>
      <c r="AJ56" s="3934" t="n"/>
      <c r="AK56" s="3934" t="n"/>
      <c r="AL56" s="3934" t="n"/>
      <c r="AM56" s="3934" t="n"/>
      <c r="AN56" s="3934" t="n"/>
      <c r="AO56" s="3934" t="n"/>
      <c r="AP56" s="3934" t="n"/>
      <c r="AQ56" s="3934" t="n"/>
      <c r="AR56" s="3934" t="n"/>
    </row>
    <row r="57">
      <c r="A57" s="3941" t="n"/>
      <c r="B57" s="3944" t="n"/>
      <c r="C57" s="3944" t="n"/>
      <c r="D57" s="3944" t="n"/>
      <c r="E57" s="3944" t="n"/>
      <c r="F57" s="3944" t="n"/>
      <c r="G57" s="3944" t="n"/>
      <c r="H57" s="3944" t="n"/>
      <c r="I57" s="3944" t="n"/>
      <c r="J57" s="3944" t="n"/>
      <c r="K57" s="3942">
        <f>IF(A57="","",SUM(E57:J57))</f>
        <v/>
      </c>
      <c r="L57" s="3934" t="n"/>
      <c r="M57" s="3934" t="n"/>
      <c r="N57" s="3934" t="n"/>
      <c r="O57" s="3934" t="n"/>
      <c r="P57" s="3934" t="n"/>
      <c r="Q57" s="3934" t="n"/>
      <c r="R57" s="3934" t="n"/>
      <c r="S57" s="3934" t="n"/>
      <c r="T57" s="3934" t="n"/>
      <c r="U57" s="3934" t="n"/>
      <c r="V57" s="3934" t="n"/>
      <c r="W57" s="3934" t="n"/>
      <c r="X57" s="3934" t="n"/>
      <c r="Y57" s="3934" t="n"/>
      <c r="Z57" s="3934" t="n"/>
      <c r="AA57" s="3934" t="n"/>
      <c r="AB57" s="3934" t="n"/>
      <c r="AC57" s="3934" t="n"/>
      <c r="AD57" s="3934" t="n"/>
      <c r="AE57" s="3934" t="n"/>
      <c r="AF57" s="3934" t="n"/>
      <c r="AG57" s="3934" t="n"/>
      <c r="AH57" s="3934" t="n"/>
      <c r="AI57" s="3934" t="n"/>
      <c r="AJ57" s="3934" t="n"/>
      <c r="AK57" s="3934" t="n"/>
      <c r="AL57" s="3934" t="n"/>
      <c r="AM57" s="3934" t="n"/>
      <c r="AN57" s="3934" t="n"/>
      <c r="AO57" s="3934" t="n"/>
      <c r="AP57" s="3934" t="n"/>
      <c r="AQ57" s="3934" t="n"/>
      <c r="AR57" s="3934" t="n"/>
    </row>
    <row r="58">
      <c r="A58" s="3941" t="n"/>
      <c r="B58" s="3944" t="n"/>
      <c r="C58" s="3944" t="n"/>
      <c r="D58" s="3944" t="n"/>
      <c r="E58" s="3944" t="n"/>
      <c r="F58" s="3944" t="n"/>
      <c r="G58" s="3944" t="n"/>
      <c r="H58" s="3944" t="n"/>
      <c r="I58" s="3944" t="n"/>
      <c r="J58" s="3944" t="n"/>
      <c r="K58" s="3942">
        <f>IF(A58="","",SUM(E58:J58))</f>
        <v/>
      </c>
      <c r="L58" s="3934" t="n"/>
      <c r="M58" s="3934" t="n"/>
      <c r="N58" s="3934" t="n"/>
      <c r="O58" s="3934" t="n"/>
      <c r="P58" s="3934" t="n"/>
      <c r="Q58" s="3934" t="n"/>
      <c r="R58" s="3934" t="n"/>
      <c r="S58" s="3934" t="n"/>
      <c r="T58" s="3934" t="n"/>
      <c r="U58" s="3934" t="n"/>
      <c r="V58" s="3934" t="n"/>
      <c r="W58" s="3934" t="n"/>
      <c r="X58" s="3934" t="n"/>
      <c r="Y58" s="3934" t="n"/>
      <c r="Z58" s="3934" t="n"/>
      <c r="AA58" s="3934" t="n"/>
      <c r="AB58" s="3934" t="n"/>
      <c r="AC58" s="3934" t="n"/>
      <c r="AD58" s="3934" t="n"/>
      <c r="AE58" s="3934" t="n"/>
      <c r="AF58" s="3934" t="n"/>
      <c r="AG58" s="3934" t="n"/>
      <c r="AH58" s="3934" t="n"/>
      <c r="AI58" s="3934" t="n"/>
      <c r="AJ58" s="3934" t="n"/>
      <c r="AK58" s="3934" t="n"/>
      <c r="AL58" s="3934" t="n"/>
      <c r="AM58" s="3934" t="n"/>
      <c r="AN58" s="3934" t="n"/>
      <c r="AO58" s="3934" t="n"/>
      <c r="AP58" s="3934" t="n"/>
      <c r="AQ58" s="3934" t="n"/>
      <c r="AR58" s="3934" t="n"/>
    </row>
    <row r="59">
      <c r="A59" s="3941" t="n"/>
      <c r="B59" s="3944" t="n"/>
      <c r="C59" s="3944" t="n"/>
      <c r="D59" s="3944" t="n"/>
      <c r="E59" s="3944" t="n"/>
      <c r="F59" s="3944" t="n"/>
      <c r="G59" s="3944" t="n"/>
      <c r="H59" s="3944" t="n"/>
      <c r="I59" s="3944" t="n"/>
      <c r="J59" s="3944" t="n"/>
      <c r="K59" s="3942">
        <f>IF(A59="","",SUM(E59:J59))</f>
        <v/>
      </c>
      <c r="L59" s="3934" t="n"/>
      <c r="M59" s="3934" t="n"/>
      <c r="N59" s="3934" t="n"/>
      <c r="O59" s="3934" t="n"/>
      <c r="P59" s="3934" t="n"/>
      <c r="Q59" s="3934" t="n"/>
      <c r="R59" s="3934" t="n"/>
      <c r="S59" s="3934" t="n"/>
      <c r="T59" s="3934" t="n"/>
      <c r="U59" s="3934" t="n"/>
      <c r="V59" s="3934" t="n"/>
      <c r="W59" s="3934" t="n"/>
      <c r="X59" s="3934" t="n"/>
      <c r="Y59" s="3934" t="n"/>
      <c r="Z59" s="3934" t="n"/>
      <c r="AA59" s="3934" t="n"/>
      <c r="AB59" s="3934" t="n"/>
      <c r="AC59" s="3934" t="n"/>
      <c r="AD59" s="3934" t="n"/>
      <c r="AE59" s="3934" t="n"/>
      <c r="AF59" s="3934" t="n"/>
      <c r="AG59" s="3934" t="n"/>
      <c r="AH59" s="3934" t="n"/>
      <c r="AI59" s="3934" t="n"/>
      <c r="AJ59" s="3934" t="n"/>
      <c r="AK59" s="3934" t="n"/>
      <c r="AL59" s="3934" t="n"/>
      <c r="AM59" s="3934" t="n"/>
      <c r="AN59" s="3934" t="n"/>
      <c r="AO59" s="3934" t="n"/>
      <c r="AP59" s="3934" t="n"/>
      <c r="AQ59" s="3934" t="n"/>
      <c r="AR59" s="3934" t="n"/>
    </row>
    <row r="60">
      <c r="A60" s="3941" t="n"/>
      <c r="B60" s="3944" t="n"/>
      <c r="C60" s="3944" t="n"/>
      <c r="D60" s="3944" t="n"/>
      <c r="E60" s="3944" t="n"/>
      <c r="F60" s="3944" t="n"/>
      <c r="G60" s="3944" t="n"/>
      <c r="H60" s="3944" t="n"/>
      <c r="I60" s="3944" t="n"/>
      <c r="J60" s="3944" t="n"/>
      <c r="K60" s="3942">
        <f>IF(A60="","",SUM(E60:J60))</f>
        <v/>
      </c>
      <c r="L60" s="3934" t="n"/>
      <c r="M60" s="3934" t="n"/>
      <c r="N60" s="3934" t="n"/>
      <c r="O60" s="3934" t="n"/>
      <c r="P60" s="3934" t="n"/>
      <c r="Q60" s="3934" t="n"/>
      <c r="R60" s="3934" t="n"/>
      <c r="S60" s="3934" t="n"/>
      <c r="T60" s="3934" t="n"/>
      <c r="U60" s="3934" t="n"/>
      <c r="V60" s="3934" t="n"/>
      <c r="W60" s="3934" t="n"/>
      <c r="X60" s="3934" t="n"/>
      <c r="Y60" s="3934" t="n"/>
      <c r="Z60" s="3934" t="n"/>
      <c r="AA60" s="3934" t="n"/>
      <c r="AB60" s="3934" t="n"/>
      <c r="AC60" s="3934" t="n"/>
      <c r="AD60" s="3934" t="n"/>
      <c r="AE60" s="3934" t="n"/>
      <c r="AF60" s="3934" t="n"/>
      <c r="AG60" s="3934" t="n"/>
      <c r="AH60" s="3934" t="n"/>
      <c r="AI60" s="3934" t="n"/>
      <c r="AJ60" s="3934" t="n"/>
      <c r="AK60" s="3934" t="n"/>
      <c r="AL60" s="3934" t="n"/>
      <c r="AM60" s="3934" t="n"/>
      <c r="AN60" s="3934" t="n"/>
      <c r="AO60" s="3934" t="n"/>
      <c r="AP60" s="3934" t="n"/>
      <c r="AQ60" s="3934" t="n"/>
      <c r="AR60" s="3934" t="n"/>
    </row>
    <row r="61">
      <c r="A61" s="3941" t="n"/>
      <c r="B61" s="3944" t="n"/>
      <c r="C61" s="3944" t="n"/>
      <c r="D61" s="3944" t="n"/>
      <c r="E61" s="3944" t="n"/>
      <c r="F61" s="3944" t="n"/>
      <c r="G61" s="3944" t="n"/>
      <c r="H61" s="3944" t="n"/>
      <c r="I61" s="3944" t="n"/>
      <c r="J61" s="3944" t="n"/>
      <c r="K61" s="3942">
        <f>IF(A61="","",SUM(E61:J61))</f>
        <v/>
      </c>
      <c r="L61" s="3934" t="n"/>
      <c r="M61" s="3934" t="n"/>
      <c r="N61" s="3934" t="n"/>
      <c r="O61" s="3934" t="n"/>
      <c r="P61" s="3934" t="n"/>
      <c r="Q61" s="3934" t="n"/>
      <c r="R61" s="3934" t="n"/>
      <c r="S61" s="3934" t="n"/>
      <c r="T61" s="3934" t="n"/>
      <c r="U61" s="3934" t="n"/>
      <c r="V61" s="3934" t="n"/>
      <c r="W61" s="3934" t="n"/>
      <c r="X61" s="3934" t="n"/>
      <c r="Y61" s="3934" t="n"/>
      <c r="Z61" s="3934" t="n"/>
      <c r="AA61" s="3934" t="n"/>
      <c r="AB61" s="3934" t="n"/>
      <c r="AC61" s="3934" t="n"/>
      <c r="AD61" s="3934" t="n"/>
      <c r="AE61" s="3934" t="n"/>
      <c r="AF61" s="3934" t="n"/>
      <c r="AG61" s="3934" t="n"/>
      <c r="AH61" s="3934" t="n"/>
      <c r="AI61" s="3934" t="n"/>
      <c r="AJ61" s="3934" t="n"/>
      <c r="AK61" s="3934" t="n"/>
      <c r="AL61" s="3934" t="n"/>
      <c r="AM61" s="3934" t="n"/>
      <c r="AN61" s="3934" t="n"/>
      <c r="AO61" s="3934" t="n"/>
      <c r="AP61" s="3934" t="n"/>
      <c r="AQ61" s="3934" t="n"/>
      <c r="AR61" s="3934" t="n"/>
    </row>
    <row r="62">
      <c r="A62" s="3941" t="n"/>
      <c r="B62" s="3944" t="n"/>
      <c r="C62" s="3944" t="n"/>
      <c r="D62" s="3944" t="n"/>
      <c r="E62" s="3944" t="n"/>
      <c r="F62" s="3944" t="n"/>
      <c r="G62" s="3944" t="n"/>
      <c r="H62" s="3944" t="n"/>
      <c r="I62" s="3944" t="n"/>
      <c r="J62" s="3944" t="n"/>
      <c r="K62" s="3942">
        <f>IF(A62="","",SUM(E62:J62))</f>
        <v/>
      </c>
      <c r="L62" s="3934" t="n"/>
      <c r="M62" s="3934" t="n"/>
      <c r="N62" s="3934" t="n"/>
      <c r="O62" s="3934" t="n"/>
      <c r="P62" s="3934" t="n"/>
      <c r="Q62" s="3934" t="n"/>
      <c r="R62" s="3934" t="n"/>
      <c r="S62" s="3934" t="n"/>
      <c r="T62" s="3934" t="n"/>
      <c r="U62" s="3934" t="n"/>
      <c r="V62" s="3934" t="n"/>
      <c r="W62" s="3934" t="n"/>
      <c r="X62" s="3934" t="n"/>
      <c r="Y62" s="3934" t="n"/>
      <c r="Z62" s="3934" t="n"/>
      <c r="AA62" s="3934" t="n"/>
      <c r="AB62" s="3934" t="n"/>
      <c r="AC62" s="3934" t="n"/>
      <c r="AD62" s="3934" t="n"/>
      <c r="AE62" s="3934" t="n"/>
      <c r="AF62" s="3934" t="n"/>
      <c r="AG62" s="3934" t="n"/>
      <c r="AH62" s="3934" t="n"/>
      <c r="AI62" s="3934" t="n"/>
      <c r="AJ62" s="3934" t="n"/>
      <c r="AK62" s="3934" t="n"/>
      <c r="AL62" s="3934" t="n"/>
      <c r="AM62" s="3934" t="n"/>
      <c r="AN62" s="3934" t="n"/>
      <c r="AO62" s="3934" t="n"/>
      <c r="AP62" s="3934" t="n"/>
      <c r="AQ62" s="3934" t="n"/>
      <c r="AR62" s="3934" t="n"/>
    </row>
    <row r="63">
      <c r="A63" s="3941" t="n"/>
      <c r="B63" s="3944" t="n"/>
      <c r="C63" s="3944" t="n"/>
      <c r="D63" s="3944" t="n"/>
      <c r="E63" s="3944" t="n"/>
      <c r="F63" s="3944" t="n"/>
      <c r="G63" s="3944" t="n"/>
      <c r="H63" s="3944" t="n"/>
      <c r="I63" s="3944" t="n"/>
      <c r="J63" s="3944" t="n"/>
      <c r="K63" s="3942">
        <f>IF(A63="","",SUM(E63:J63))</f>
        <v/>
      </c>
      <c r="L63" s="3934" t="n"/>
      <c r="M63" s="3934" t="n"/>
      <c r="N63" s="3934" t="n"/>
      <c r="O63" s="3934" t="n"/>
      <c r="P63" s="3934" t="n"/>
      <c r="Q63" s="3934" t="n"/>
      <c r="R63" s="3934" t="n"/>
      <c r="S63" s="3934" t="n"/>
      <c r="T63" s="3934" t="n"/>
      <c r="U63" s="3934" t="n"/>
      <c r="V63" s="3934" t="n"/>
      <c r="W63" s="3934" t="n"/>
      <c r="X63" s="3934" t="n"/>
      <c r="Y63" s="3934" t="n"/>
      <c r="Z63" s="3934" t="n"/>
      <c r="AA63" s="3934" t="n"/>
      <c r="AB63" s="3934" t="n"/>
      <c r="AC63" s="3934" t="n"/>
      <c r="AD63" s="3934" t="n"/>
      <c r="AE63" s="3934" t="n"/>
      <c r="AF63" s="3934" t="n"/>
      <c r="AG63" s="3934" t="n"/>
      <c r="AH63" s="3934" t="n"/>
      <c r="AI63" s="3934" t="n"/>
      <c r="AJ63" s="3934" t="n"/>
      <c r="AK63" s="3934" t="n"/>
      <c r="AL63" s="3934" t="n"/>
      <c r="AM63" s="3934" t="n"/>
      <c r="AN63" s="3934" t="n"/>
      <c r="AO63" s="3934" t="n"/>
      <c r="AP63" s="3934" t="n"/>
      <c r="AQ63" s="3934" t="n"/>
      <c r="AR63" s="3934" t="n"/>
    </row>
    <row r="64">
      <c r="A64" s="3941" t="n"/>
      <c r="B64" s="3944" t="n"/>
      <c r="C64" s="3944" t="n"/>
      <c r="D64" s="3944" t="n"/>
      <c r="E64" s="3944" t="n"/>
      <c r="F64" s="3944" t="n"/>
      <c r="G64" s="3944" t="n"/>
      <c r="H64" s="3944" t="n"/>
      <c r="I64" s="3944" t="n"/>
      <c r="J64" s="3944" t="n"/>
      <c r="K64" s="3942">
        <f>IF(A64="","",SUM(E64:J64))</f>
        <v/>
      </c>
      <c r="L64" s="3934" t="n"/>
      <c r="M64" s="3934" t="n"/>
      <c r="N64" s="3934" t="n"/>
      <c r="O64" s="3934" t="n"/>
      <c r="P64" s="3934" t="n"/>
      <c r="Q64" s="3934" t="n"/>
      <c r="R64" s="3934" t="n"/>
      <c r="S64" s="3934" t="n"/>
      <c r="T64" s="3934" t="n"/>
      <c r="U64" s="3934" t="n"/>
      <c r="V64" s="3934" t="n"/>
      <c r="W64" s="3934" t="n"/>
      <c r="X64" s="3934" t="n"/>
      <c r="Y64" s="3934" t="n"/>
      <c r="Z64" s="3934" t="n"/>
      <c r="AA64" s="3934" t="n"/>
      <c r="AB64" s="3934" t="n"/>
      <c r="AC64" s="3934" t="n"/>
      <c r="AD64" s="3934" t="n"/>
      <c r="AE64" s="3934" t="n"/>
      <c r="AF64" s="3934" t="n"/>
      <c r="AG64" s="3934" t="n"/>
      <c r="AH64" s="3934" t="n"/>
      <c r="AI64" s="3934" t="n"/>
      <c r="AJ64" s="3934" t="n"/>
      <c r="AK64" s="3934" t="n"/>
      <c r="AL64" s="3934" t="n"/>
      <c r="AM64" s="3934" t="n"/>
      <c r="AN64" s="3934" t="n"/>
      <c r="AO64" s="3934" t="n"/>
      <c r="AP64" s="3934" t="n"/>
      <c r="AQ64" s="3934" t="n"/>
      <c r="AR64" s="3934" t="n"/>
    </row>
    <row r="65">
      <c r="A65" s="3941" t="n"/>
      <c r="B65" s="3944" t="n"/>
      <c r="C65" s="3944" t="n"/>
      <c r="D65" s="3944" t="n"/>
      <c r="E65" s="3944" t="n"/>
      <c r="F65" s="3944" t="n"/>
      <c r="G65" s="3944" t="n"/>
      <c r="H65" s="3944" t="n"/>
      <c r="I65" s="3944" t="n"/>
      <c r="J65" s="3944" t="n"/>
      <c r="K65" s="3942">
        <f>IF(A65="","",SUM(E65:J65))</f>
        <v/>
      </c>
      <c r="L65" s="3934" t="n"/>
      <c r="M65" s="3934" t="n"/>
      <c r="N65" s="3934" t="n"/>
      <c r="O65" s="3934" t="n"/>
      <c r="P65" s="3934" t="n"/>
      <c r="Q65" s="3934" t="n"/>
      <c r="R65" s="3934" t="n"/>
      <c r="S65" s="3934" t="n"/>
      <c r="T65" s="3934" t="n"/>
      <c r="U65" s="3934" t="n"/>
      <c r="V65" s="3934" t="n"/>
      <c r="W65" s="3934" t="n"/>
      <c r="X65" s="3934" t="n"/>
      <c r="Y65" s="3934" t="n"/>
      <c r="Z65" s="3934" t="n"/>
      <c r="AA65" s="3934" t="n"/>
      <c r="AB65" s="3934" t="n"/>
      <c r="AC65" s="3934" t="n"/>
      <c r="AD65" s="3934" t="n"/>
      <c r="AE65" s="3934" t="n"/>
      <c r="AF65" s="3934" t="n"/>
      <c r="AG65" s="3934" t="n"/>
      <c r="AH65" s="3934" t="n"/>
      <c r="AI65" s="3934" t="n"/>
      <c r="AJ65" s="3934" t="n"/>
      <c r="AK65" s="3934" t="n"/>
      <c r="AL65" s="3934" t="n"/>
      <c r="AM65" s="3934" t="n"/>
      <c r="AN65" s="3934" t="n"/>
      <c r="AO65" s="3934" t="n"/>
      <c r="AP65" s="3934" t="n"/>
      <c r="AQ65" s="3934" t="n"/>
      <c r="AR65" s="3934" t="n"/>
    </row>
    <row r="66">
      <c r="A66" s="3941" t="n"/>
      <c r="B66" s="3944" t="n"/>
      <c r="C66" s="3944" t="n"/>
      <c r="D66" s="3944" t="n"/>
      <c r="E66" s="3944" t="n"/>
      <c r="F66" s="3944" t="n"/>
      <c r="G66" s="3944" t="n"/>
      <c r="H66" s="3944" t="n"/>
      <c r="I66" s="3944" t="n"/>
      <c r="J66" s="3944" t="n"/>
      <c r="K66" s="3942">
        <f>IF(A66="","",SUM(E66:J66))</f>
        <v/>
      </c>
      <c r="L66" s="3934" t="n"/>
      <c r="M66" s="3934" t="n"/>
      <c r="N66" s="3934" t="n"/>
      <c r="O66" s="3934" t="n"/>
      <c r="P66" s="3934" t="n"/>
      <c r="Q66" s="3934" t="n"/>
      <c r="R66" s="3934" t="n"/>
      <c r="S66" s="3934" t="n"/>
      <c r="T66" s="3934" t="n"/>
      <c r="U66" s="3934" t="n"/>
      <c r="V66" s="3934" t="n"/>
      <c r="W66" s="3934" t="n"/>
      <c r="X66" s="3934" t="n"/>
      <c r="Y66" s="3934" t="n"/>
      <c r="Z66" s="3934" t="n"/>
      <c r="AA66" s="3934" t="n"/>
      <c r="AB66" s="3934" t="n"/>
      <c r="AC66" s="3934" t="n"/>
      <c r="AD66" s="3934" t="n"/>
      <c r="AE66" s="3934" t="n"/>
      <c r="AF66" s="3934" t="n"/>
      <c r="AG66" s="3934" t="n"/>
      <c r="AH66" s="3934" t="n"/>
      <c r="AI66" s="3934" t="n"/>
      <c r="AJ66" s="3934" t="n"/>
      <c r="AK66" s="3934" t="n"/>
      <c r="AL66" s="3934" t="n"/>
      <c r="AM66" s="3934" t="n"/>
      <c r="AN66" s="3934" t="n"/>
      <c r="AO66" s="3934" t="n"/>
      <c r="AP66" s="3934" t="n"/>
      <c r="AQ66" s="3934" t="n"/>
      <c r="AR66" s="3934" t="n"/>
    </row>
    <row r="67">
      <c r="A67" s="3941" t="n"/>
      <c r="B67" s="3944" t="n"/>
      <c r="C67" s="3944" t="n"/>
      <c r="D67" s="3944" t="n"/>
      <c r="E67" s="3944" t="n"/>
      <c r="F67" s="3944" t="n"/>
      <c r="G67" s="3944" t="n"/>
      <c r="H67" s="3944" t="n"/>
      <c r="I67" s="3944" t="n"/>
      <c r="J67" s="3944" t="n"/>
      <c r="K67" s="3942">
        <f>IF(A67="","",SUM(E67:J67))</f>
        <v/>
      </c>
      <c r="L67" s="3934" t="n"/>
      <c r="M67" s="3934" t="n"/>
      <c r="N67" s="3934" t="n"/>
      <c r="O67" s="3934" t="n"/>
      <c r="P67" s="3934" t="n"/>
      <c r="Q67" s="3934" t="n"/>
      <c r="R67" s="3934" t="n"/>
      <c r="S67" s="3934" t="n"/>
      <c r="T67" s="3934" t="n"/>
      <c r="U67" s="3934" t="n"/>
      <c r="V67" s="3934" t="n"/>
      <c r="W67" s="3934" t="n"/>
      <c r="X67" s="3934" t="n"/>
      <c r="Y67" s="3934" t="n"/>
      <c r="Z67" s="3934" t="n"/>
      <c r="AA67" s="3934" t="n"/>
      <c r="AB67" s="3934" t="n"/>
      <c r="AC67" s="3934" t="n"/>
      <c r="AD67" s="3934" t="n"/>
      <c r="AE67" s="3934" t="n"/>
      <c r="AF67" s="3934" t="n"/>
      <c r="AG67" s="3934" t="n"/>
      <c r="AH67" s="3934" t="n"/>
      <c r="AI67" s="3934" t="n"/>
      <c r="AJ67" s="3934" t="n"/>
      <c r="AK67" s="3934" t="n"/>
      <c r="AL67" s="3934" t="n"/>
      <c r="AM67" s="3934" t="n"/>
      <c r="AN67" s="3934" t="n"/>
      <c r="AO67" s="3934" t="n"/>
      <c r="AP67" s="3934" t="n"/>
      <c r="AQ67" s="3934" t="n"/>
      <c r="AR67" s="3934" t="n"/>
    </row>
    <row r="68">
      <c r="A68" s="3941" t="n"/>
      <c r="B68" s="3944" t="n"/>
      <c r="C68" s="3944" t="n"/>
      <c r="D68" s="3944" t="n"/>
      <c r="E68" s="3944" t="n"/>
      <c r="F68" s="3944" t="n"/>
      <c r="G68" s="3944" t="n"/>
      <c r="H68" s="3944" t="n"/>
      <c r="I68" s="3944" t="n"/>
      <c r="J68" s="3944" t="n"/>
      <c r="K68" s="3942">
        <f>IF(A68="","",SUM(E68:J68))</f>
        <v/>
      </c>
      <c r="L68" s="3934" t="n"/>
      <c r="M68" s="3934" t="n"/>
      <c r="N68" s="3934" t="n"/>
      <c r="O68" s="3934" t="n"/>
      <c r="P68" s="3934" t="n"/>
      <c r="Q68" s="3934" t="n"/>
      <c r="R68" s="3934" t="n"/>
      <c r="S68" s="3934" t="n"/>
      <c r="T68" s="3934" t="n"/>
      <c r="U68" s="3934" t="n"/>
      <c r="V68" s="3934" t="n"/>
      <c r="W68" s="3934" t="n"/>
      <c r="X68" s="3934" t="n"/>
      <c r="Y68" s="3934" t="n"/>
      <c r="Z68" s="3934" t="n"/>
      <c r="AA68" s="3934" t="n"/>
      <c r="AB68" s="3934" t="n"/>
      <c r="AC68" s="3934" t="n"/>
      <c r="AD68" s="3934" t="n"/>
      <c r="AE68" s="3934" t="n"/>
      <c r="AF68" s="3934" t="n"/>
      <c r="AG68" s="3934" t="n"/>
      <c r="AH68" s="3934" t="n"/>
      <c r="AI68" s="3934" t="n"/>
      <c r="AJ68" s="3934" t="n"/>
      <c r="AK68" s="3934" t="n"/>
      <c r="AL68" s="3934" t="n"/>
      <c r="AM68" s="3934" t="n"/>
      <c r="AN68" s="3934" t="n"/>
      <c r="AO68" s="3934" t="n"/>
      <c r="AP68" s="3934" t="n"/>
      <c r="AQ68" s="3934" t="n"/>
      <c r="AR68" s="3934" t="n"/>
    </row>
    <row r="69">
      <c r="A69" s="3941" t="n"/>
      <c r="B69" s="3944" t="n"/>
      <c r="C69" s="3944" t="n"/>
      <c r="D69" s="3944" t="n"/>
      <c r="E69" s="3944" t="n"/>
      <c r="F69" s="3944" t="n"/>
      <c r="G69" s="3944" t="n"/>
      <c r="H69" s="3944" t="n"/>
      <c r="I69" s="3944" t="n"/>
      <c r="J69" s="3944" t="n"/>
      <c r="K69" s="3942">
        <f>IF(A69="","",SUM(E69:J69))</f>
        <v/>
      </c>
      <c r="L69" s="3934" t="n"/>
      <c r="M69" s="3934" t="n"/>
      <c r="N69" s="3934" t="n"/>
      <c r="O69" s="3934" t="n"/>
      <c r="P69" s="3934" t="n"/>
      <c r="Q69" s="3934" t="n"/>
      <c r="R69" s="3934" t="n"/>
      <c r="S69" s="3934" t="n"/>
      <c r="T69" s="3934" t="n"/>
      <c r="U69" s="3934" t="n"/>
      <c r="V69" s="3934" t="n"/>
      <c r="W69" s="3934" t="n"/>
      <c r="X69" s="3934" t="n"/>
      <c r="Y69" s="3934" t="n"/>
      <c r="Z69" s="3934" t="n"/>
      <c r="AA69" s="3934" t="n"/>
      <c r="AB69" s="3934" t="n"/>
      <c r="AC69" s="3934" t="n"/>
      <c r="AD69" s="3934" t="n"/>
      <c r="AE69" s="3934" t="n"/>
      <c r="AF69" s="3934" t="n"/>
      <c r="AG69" s="3934" t="n"/>
      <c r="AH69" s="3934" t="n"/>
      <c r="AI69" s="3934" t="n"/>
      <c r="AJ69" s="3934" t="n"/>
      <c r="AK69" s="3934" t="n"/>
      <c r="AL69" s="3934" t="n"/>
      <c r="AM69" s="3934" t="n"/>
      <c r="AN69" s="3934" t="n"/>
      <c r="AO69" s="3934" t="n"/>
      <c r="AP69" s="3934" t="n"/>
      <c r="AQ69" s="3934" t="n"/>
      <c r="AR69" s="3934" t="n"/>
    </row>
    <row r="70">
      <c r="A70" s="3941" t="n"/>
      <c r="B70" s="3944" t="n"/>
      <c r="C70" s="3944" t="n"/>
      <c r="D70" s="3944" t="n"/>
      <c r="E70" s="3944" t="n"/>
      <c r="F70" s="3944" t="n"/>
      <c r="G70" s="3944" t="n"/>
      <c r="H70" s="3944" t="n"/>
      <c r="I70" s="3944" t="n"/>
      <c r="J70" s="3944" t="n"/>
      <c r="K70" s="3942">
        <f>IF(A70="","",SUM(E70:J70))</f>
        <v/>
      </c>
      <c r="L70" s="3934" t="n"/>
      <c r="M70" s="3934" t="n"/>
      <c r="N70" s="3934" t="n"/>
      <c r="O70" s="3934" t="n"/>
      <c r="P70" s="3934" t="n"/>
      <c r="Q70" s="3934" t="n"/>
      <c r="R70" s="3934" t="n"/>
      <c r="S70" s="3934" t="n"/>
      <c r="T70" s="3934" t="n"/>
      <c r="U70" s="3934" t="n"/>
      <c r="V70" s="3934" t="n"/>
      <c r="W70" s="3934" t="n"/>
      <c r="X70" s="3934" t="n"/>
      <c r="Y70" s="3934" t="n"/>
      <c r="Z70" s="3934" t="n"/>
      <c r="AA70" s="3934" t="n"/>
      <c r="AB70" s="3934" t="n"/>
      <c r="AC70" s="3934" t="n"/>
      <c r="AD70" s="3934" t="n"/>
      <c r="AE70" s="3934" t="n"/>
      <c r="AF70" s="3934" t="n"/>
      <c r="AG70" s="3934" t="n"/>
      <c r="AH70" s="3934" t="n"/>
      <c r="AI70" s="3934" t="n"/>
      <c r="AJ70" s="3934" t="n"/>
      <c r="AK70" s="3934" t="n"/>
      <c r="AL70" s="3934" t="n"/>
      <c r="AM70" s="3934" t="n"/>
      <c r="AN70" s="3934" t="n"/>
      <c r="AO70" s="3934" t="n"/>
      <c r="AP70" s="3934" t="n"/>
      <c r="AQ70" s="3934" t="n"/>
      <c r="AR70" s="3934" t="n"/>
    </row>
    <row r="71">
      <c r="A71" s="3941" t="n"/>
      <c r="B71" s="3944" t="n"/>
      <c r="C71" s="3944" t="n"/>
      <c r="D71" s="3944" t="n"/>
      <c r="E71" s="3944" t="n"/>
      <c r="F71" s="3944" t="n"/>
      <c r="G71" s="3944" t="n"/>
      <c r="H71" s="3944" t="n"/>
      <c r="I71" s="3944" t="n"/>
      <c r="J71" s="3944" t="n"/>
      <c r="K71" s="3942">
        <f>IF(A71="","",SUM(E71:J71))</f>
        <v/>
      </c>
      <c r="L71" s="3934" t="n"/>
      <c r="M71" s="3934" t="n"/>
      <c r="N71" s="3934" t="n"/>
      <c r="O71" s="3934" t="n"/>
      <c r="P71" s="3934" t="n"/>
      <c r="Q71" s="3934" t="n"/>
      <c r="R71" s="3934" t="n"/>
      <c r="S71" s="3934" t="n"/>
      <c r="T71" s="3934" t="n"/>
      <c r="U71" s="3934" t="n"/>
      <c r="V71" s="3934" t="n"/>
      <c r="W71" s="3934" t="n"/>
      <c r="X71" s="3934" t="n"/>
      <c r="Y71" s="3934" t="n"/>
      <c r="Z71" s="3934" t="n"/>
      <c r="AA71" s="3934" t="n"/>
      <c r="AB71" s="3934" t="n"/>
      <c r="AC71" s="3934" t="n"/>
      <c r="AD71" s="3934" t="n"/>
      <c r="AE71" s="3934" t="n"/>
      <c r="AF71" s="3934" t="n"/>
      <c r="AG71" s="3934" t="n"/>
      <c r="AH71" s="3934" t="n"/>
      <c r="AI71" s="3934" t="n"/>
      <c r="AJ71" s="3934" t="n"/>
      <c r="AK71" s="3934" t="n"/>
      <c r="AL71" s="3934" t="n"/>
      <c r="AM71" s="3934" t="n"/>
      <c r="AN71" s="3934" t="n"/>
      <c r="AO71" s="3934" t="n"/>
      <c r="AP71" s="3934" t="n"/>
      <c r="AQ71" s="3934" t="n"/>
      <c r="AR71" s="3934" t="n"/>
    </row>
    <row r="72">
      <c r="A72" s="3941" t="n"/>
      <c r="B72" s="3944" t="n"/>
      <c r="C72" s="3944" t="n"/>
      <c r="D72" s="3944" t="n"/>
      <c r="E72" s="3944" t="n"/>
      <c r="F72" s="3944" t="n"/>
      <c r="G72" s="3944" t="n"/>
      <c r="H72" s="3944" t="n"/>
      <c r="I72" s="3944" t="n"/>
      <c r="J72" s="3944" t="n"/>
      <c r="K72" s="3942">
        <f>IF(A72="","",SUM(E72:J72))</f>
        <v/>
      </c>
      <c r="L72" s="3934" t="n"/>
      <c r="M72" s="3934" t="n"/>
      <c r="N72" s="3934" t="n"/>
      <c r="O72" s="3934" t="n"/>
      <c r="P72" s="3934" t="n"/>
      <c r="Q72" s="3934" t="n"/>
      <c r="R72" s="3934" t="n"/>
      <c r="S72" s="3934" t="n"/>
      <c r="T72" s="3934" t="n"/>
      <c r="U72" s="3934" t="n"/>
      <c r="V72" s="3934" t="n"/>
      <c r="W72" s="3934" t="n"/>
      <c r="X72" s="3934" t="n"/>
      <c r="Y72" s="3934" t="n"/>
      <c r="Z72" s="3934" t="n"/>
      <c r="AA72" s="3934" t="n"/>
      <c r="AB72" s="3934" t="n"/>
      <c r="AC72" s="3934" t="n"/>
      <c r="AD72" s="3934" t="n"/>
      <c r="AE72" s="3934" t="n"/>
      <c r="AF72" s="3934" t="n"/>
      <c r="AG72" s="3934" t="n"/>
      <c r="AH72" s="3934" t="n"/>
      <c r="AI72" s="3934" t="n"/>
      <c r="AJ72" s="3934" t="n"/>
      <c r="AK72" s="3934" t="n"/>
      <c r="AL72" s="3934" t="n"/>
      <c r="AM72" s="3934" t="n"/>
      <c r="AN72" s="3934" t="n"/>
      <c r="AO72" s="3934" t="n"/>
      <c r="AP72" s="3934" t="n"/>
      <c r="AQ72" s="3934" t="n"/>
      <c r="AR72" s="3934" t="n"/>
    </row>
    <row r="73">
      <c r="A73" s="3941" t="n"/>
      <c r="B73" s="3944" t="n"/>
      <c r="C73" s="3944" t="n"/>
      <c r="D73" s="3944" t="n"/>
      <c r="E73" s="3944" t="n"/>
      <c r="F73" s="3944" t="n"/>
      <c r="G73" s="3944" t="n"/>
      <c r="H73" s="3944" t="n"/>
      <c r="I73" s="3944" t="n"/>
      <c r="J73" s="3944" t="n"/>
      <c r="K73" s="3942">
        <f>IF(A73="","",SUM(E73:J73))</f>
        <v/>
      </c>
      <c r="L73" s="3934" t="n"/>
      <c r="M73" s="3934" t="n"/>
      <c r="N73" s="3934" t="n"/>
      <c r="O73" s="3934" t="n"/>
      <c r="P73" s="3934" t="n"/>
      <c r="Q73" s="3934" t="n"/>
      <c r="R73" s="3934" t="n"/>
      <c r="S73" s="3934" t="n"/>
      <c r="T73" s="3934" t="n"/>
      <c r="U73" s="3934" t="n"/>
      <c r="V73" s="3934" t="n"/>
      <c r="W73" s="3934" t="n"/>
      <c r="X73" s="3934" t="n"/>
      <c r="Y73" s="3934" t="n"/>
      <c r="Z73" s="3934" t="n"/>
      <c r="AA73" s="3934" t="n"/>
      <c r="AB73" s="3934" t="n"/>
      <c r="AC73" s="3934" t="n"/>
      <c r="AD73" s="3934" t="n"/>
      <c r="AE73" s="3934" t="n"/>
      <c r="AF73" s="3934" t="n"/>
      <c r="AG73" s="3934" t="n"/>
      <c r="AH73" s="3934" t="n"/>
      <c r="AI73" s="3934" t="n"/>
      <c r="AJ73" s="3934" t="n"/>
      <c r="AK73" s="3934" t="n"/>
      <c r="AL73" s="3934" t="n"/>
      <c r="AM73" s="3934" t="n"/>
      <c r="AN73" s="3934" t="n"/>
      <c r="AO73" s="3934" t="n"/>
      <c r="AP73" s="3934" t="n"/>
      <c r="AQ73" s="3934" t="n"/>
      <c r="AR73" s="3934" t="n"/>
    </row>
    <row r="74">
      <c r="A74" s="3941" t="n"/>
      <c r="B74" s="3944" t="n"/>
      <c r="C74" s="3944" t="n"/>
      <c r="D74" s="3944" t="n"/>
      <c r="E74" s="3944" t="n"/>
      <c r="F74" s="3944" t="n"/>
      <c r="G74" s="3944" t="n"/>
      <c r="H74" s="3944" t="n"/>
      <c r="I74" s="3944" t="n"/>
      <c r="J74" s="3944" t="n"/>
      <c r="K74" s="3942">
        <f>IF(A74="","",SUM(E74:J74))</f>
        <v/>
      </c>
      <c r="L74" s="3934" t="n"/>
      <c r="M74" s="3934" t="n"/>
      <c r="N74" s="3934" t="n"/>
      <c r="O74" s="3934" t="n"/>
      <c r="P74" s="3934" t="n"/>
      <c r="Q74" s="3934" t="n"/>
      <c r="R74" s="3934" t="n"/>
      <c r="S74" s="3934" t="n"/>
      <c r="T74" s="3934" t="n"/>
      <c r="U74" s="3934" t="n"/>
      <c r="V74" s="3934" t="n"/>
      <c r="W74" s="3934" t="n"/>
      <c r="X74" s="3934" t="n"/>
      <c r="Y74" s="3934" t="n"/>
      <c r="Z74" s="3934" t="n"/>
      <c r="AA74" s="3934" t="n"/>
      <c r="AB74" s="3934" t="n"/>
      <c r="AC74" s="3934" t="n"/>
      <c r="AD74" s="3934" t="n"/>
      <c r="AE74" s="3934" t="n"/>
      <c r="AF74" s="3934" t="n"/>
      <c r="AG74" s="3934" t="n"/>
      <c r="AH74" s="3934" t="n"/>
      <c r="AI74" s="3934" t="n"/>
      <c r="AJ74" s="3934" t="n"/>
      <c r="AK74" s="3934" t="n"/>
      <c r="AL74" s="3934" t="n"/>
      <c r="AM74" s="3934" t="n"/>
      <c r="AN74" s="3934" t="n"/>
      <c r="AO74" s="3934" t="n"/>
      <c r="AP74" s="3934" t="n"/>
      <c r="AQ74" s="3934" t="n"/>
      <c r="AR74" s="3934" t="n"/>
    </row>
    <row r="75">
      <c r="A75" s="3941" t="n"/>
      <c r="B75" s="3944" t="n"/>
      <c r="C75" s="3944" t="n"/>
      <c r="D75" s="3944" t="n"/>
      <c r="E75" s="3944" t="n"/>
      <c r="F75" s="3944" t="n"/>
      <c r="G75" s="3944" t="n"/>
      <c r="H75" s="3944" t="n"/>
      <c r="I75" s="3944" t="n"/>
      <c r="J75" s="3944" t="n"/>
      <c r="K75" s="3942">
        <f>IF(A75="","",SUM(E75:J75))</f>
        <v/>
      </c>
      <c r="L75" s="3934" t="n"/>
      <c r="M75" s="3934" t="n"/>
      <c r="N75" s="3934" t="n"/>
      <c r="O75" s="3934" t="n"/>
      <c r="P75" s="3934" t="n"/>
      <c r="Q75" s="3934" t="n"/>
      <c r="R75" s="3934" t="n"/>
      <c r="S75" s="3934" t="n"/>
      <c r="T75" s="3934" t="n"/>
      <c r="U75" s="3934" t="n"/>
      <c r="V75" s="3934" t="n"/>
      <c r="W75" s="3934" t="n"/>
      <c r="X75" s="3934" t="n"/>
      <c r="Y75" s="3934" t="n"/>
      <c r="Z75" s="3934" t="n"/>
      <c r="AA75" s="3934" t="n"/>
      <c r="AB75" s="3934" t="n"/>
      <c r="AC75" s="3934" t="n"/>
      <c r="AD75" s="3934" t="n"/>
      <c r="AE75" s="3934" t="n"/>
      <c r="AF75" s="3934" t="n"/>
      <c r="AG75" s="3934" t="n"/>
      <c r="AH75" s="3934" t="n"/>
      <c r="AI75" s="3934" t="n"/>
      <c r="AJ75" s="3934" t="n"/>
      <c r="AK75" s="3934" t="n"/>
      <c r="AL75" s="3934" t="n"/>
      <c r="AM75" s="3934" t="n"/>
      <c r="AN75" s="3934" t="n"/>
      <c r="AO75" s="3934" t="n"/>
      <c r="AP75" s="3934" t="n"/>
      <c r="AQ75" s="3934" t="n"/>
      <c r="AR75" s="3934" t="n"/>
    </row>
    <row r="76">
      <c r="A76" s="3941" t="n"/>
      <c r="B76" s="3944" t="n"/>
      <c r="C76" s="3944" t="n"/>
      <c r="D76" s="3944" t="n"/>
      <c r="E76" s="3944" t="n"/>
      <c r="F76" s="3944" t="n"/>
      <c r="G76" s="3944" t="n"/>
      <c r="H76" s="3944" t="n"/>
      <c r="I76" s="3944" t="n"/>
      <c r="J76" s="3944" t="n"/>
      <c r="K76" s="3942">
        <f>IF(A76="","",SUM(E76:J76))</f>
        <v/>
      </c>
      <c r="L76" s="3934" t="n"/>
      <c r="M76" s="3934" t="n"/>
      <c r="N76" s="3934" t="n"/>
      <c r="O76" s="3934" t="n"/>
      <c r="P76" s="3934" t="n"/>
      <c r="Q76" s="3934" t="n"/>
      <c r="R76" s="3934" t="n"/>
      <c r="S76" s="3934" t="n"/>
      <c r="T76" s="3934" t="n"/>
      <c r="U76" s="3934" t="n"/>
      <c r="V76" s="3934" t="n"/>
      <c r="W76" s="3934" t="n"/>
      <c r="X76" s="3934" t="n"/>
      <c r="Y76" s="3934" t="n"/>
      <c r="Z76" s="3934" t="n"/>
      <c r="AA76" s="3934" t="n"/>
      <c r="AB76" s="3934" t="n"/>
      <c r="AC76" s="3934" t="n"/>
      <c r="AD76" s="3934" t="n"/>
      <c r="AE76" s="3934" t="n"/>
      <c r="AF76" s="3934" t="n"/>
      <c r="AG76" s="3934" t="n"/>
      <c r="AH76" s="3934" t="n"/>
      <c r="AI76" s="3934" t="n"/>
      <c r="AJ76" s="3934" t="n"/>
      <c r="AK76" s="3934" t="n"/>
      <c r="AL76" s="3934" t="n"/>
      <c r="AM76" s="3934" t="n"/>
      <c r="AN76" s="3934" t="n"/>
      <c r="AO76" s="3934" t="n"/>
      <c r="AP76" s="3934" t="n"/>
      <c r="AQ76" s="3934" t="n"/>
      <c r="AR76" s="3934" t="n"/>
    </row>
    <row r="77">
      <c r="A77" s="3941" t="n"/>
      <c r="B77" s="3944" t="n"/>
      <c r="C77" s="3944" t="n"/>
      <c r="D77" s="3944" t="n"/>
      <c r="E77" s="3944" t="n"/>
      <c r="F77" s="3944" t="n"/>
      <c r="G77" s="3944" t="n"/>
      <c r="H77" s="3944" t="n"/>
      <c r="I77" s="3944" t="n"/>
      <c r="J77" s="3944" t="n"/>
      <c r="K77" s="3942">
        <f>IF(A77="","",SUM(E77:J77))</f>
        <v/>
      </c>
      <c r="L77" s="3934" t="n"/>
      <c r="M77" s="3934" t="n"/>
      <c r="N77" s="3934" t="n"/>
      <c r="O77" s="3934" t="n"/>
      <c r="P77" s="3934" t="n"/>
      <c r="Q77" s="3934" t="n"/>
      <c r="R77" s="3934" t="n"/>
      <c r="S77" s="3934" t="n"/>
      <c r="T77" s="3934" t="n"/>
      <c r="U77" s="3934" t="n"/>
      <c r="V77" s="3934" t="n"/>
      <c r="W77" s="3934" t="n"/>
      <c r="X77" s="3934" t="n"/>
      <c r="Y77" s="3934" t="n"/>
      <c r="Z77" s="3934" t="n"/>
      <c r="AA77" s="3934" t="n"/>
      <c r="AB77" s="3934" t="n"/>
      <c r="AC77" s="3934" t="n"/>
      <c r="AD77" s="3934" t="n"/>
      <c r="AE77" s="3934" t="n"/>
      <c r="AF77" s="3934" t="n"/>
      <c r="AG77" s="3934" t="n"/>
      <c r="AH77" s="3934" t="n"/>
      <c r="AI77" s="3934" t="n"/>
      <c r="AJ77" s="3934" t="n"/>
      <c r="AK77" s="3934" t="n"/>
      <c r="AL77" s="3934" t="n"/>
      <c r="AM77" s="3934" t="n"/>
      <c r="AN77" s="3934" t="n"/>
      <c r="AO77" s="3934" t="n"/>
      <c r="AP77" s="3934" t="n"/>
      <c r="AQ77" s="3934" t="n"/>
      <c r="AR77" s="3934" t="n"/>
    </row>
    <row r="78">
      <c r="A78" s="3941" t="n"/>
      <c r="B78" s="3944" t="n"/>
      <c r="C78" s="3944" t="n"/>
      <c r="D78" s="3944" t="n"/>
      <c r="E78" s="3944" t="n"/>
      <c r="F78" s="3944" t="n"/>
      <c r="G78" s="3944" t="n"/>
      <c r="H78" s="3944" t="n"/>
      <c r="I78" s="3944" t="n"/>
      <c r="J78" s="3944" t="n"/>
      <c r="K78" s="3942">
        <f>IF(A78="","",SUM(E78:J78))</f>
        <v/>
      </c>
      <c r="L78" s="3934" t="n"/>
      <c r="M78" s="3934" t="n"/>
      <c r="N78" s="3934" t="n"/>
      <c r="O78" s="3934" t="n"/>
      <c r="P78" s="3934" t="n"/>
      <c r="Q78" s="3934" t="n"/>
      <c r="R78" s="3934" t="n"/>
      <c r="S78" s="3934" t="n"/>
      <c r="T78" s="3934" t="n"/>
      <c r="U78" s="3934" t="n"/>
      <c r="V78" s="3934" t="n"/>
      <c r="W78" s="3934" t="n"/>
      <c r="X78" s="3934" t="n"/>
      <c r="Y78" s="3934" t="n"/>
      <c r="Z78" s="3934" t="n"/>
      <c r="AA78" s="3934" t="n"/>
      <c r="AB78" s="3934" t="n"/>
      <c r="AC78" s="3934" t="n"/>
      <c r="AD78" s="3934" t="n"/>
      <c r="AE78" s="3934" t="n"/>
      <c r="AF78" s="3934" t="n"/>
      <c r="AG78" s="3934" t="n"/>
      <c r="AH78" s="3934" t="n"/>
      <c r="AI78" s="3934" t="n"/>
      <c r="AJ78" s="3934" t="n"/>
      <c r="AK78" s="3934" t="n"/>
      <c r="AL78" s="3934" t="n"/>
      <c r="AM78" s="3934" t="n"/>
      <c r="AN78" s="3934" t="n"/>
      <c r="AO78" s="3934" t="n"/>
      <c r="AP78" s="3934" t="n"/>
      <c r="AQ78" s="3934" t="n"/>
      <c r="AR78" s="3934" t="n"/>
    </row>
    <row r="79">
      <c r="A79" s="3941" t="n"/>
      <c r="B79" s="3944" t="n"/>
      <c r="C79" s="3944" t="n"/>
      <c r="D79" s="3944" t="n"/>
      <c r="E79" s="3944" t="n"/>
      <c r="F79" s="3944" t="n"/>
      <c r="G79" s="3944" t="n"/>
      <c r="H79" s="3944" t="n"/>
      <c r="I79" s="3944" t="n"/>
      <c r="J79" s="3944" t="n"/>
      <c r="K79" s="3942">
        <f>IF(A79="","",SUM(E79:J79))</f>
        <v/>
      </c>
      <c r="L79" s="3934" t="n"/>
      <c r="M79" s="3934" t="n"/>
      <c r="N79" s="3934" t="n"/>
      <c r="O79" s="3934" t="n"/>
      <c r="P79" s="3934" t="n"/>
      <c r="Q79" s="3934" t="n"/>
      <c r="R79" s="3934" t="n"/>
      <c r="S79" s="3934" t="n"/>
      <c r="T79" s="3934" t="n"/>
      <c r="U79" s="3934" t="n"/>
      <c r="V79" s="3934" t="n"/>
      <c r="W79" s="3934" t="n"/>
      <c r="X79" s="3934" t="n"/>
      <c r="Y79" s="3934" t="n"/>
      <c r="Z79" s="3934" t="n"/>
      <c r="AA79" s="3934" t="n"/>
      <c r="AB79" s="3934" t="n"/>
      <c r="AC79" s="3934" t="n"/>
      <c r="AD79" s="3934" t="n"/>
      <c r="AE79" s="3934" t="n"/>
      <c r="AF79" s="3934" t="n"/>
      <c r="AG79" s="3934" t="n"/>
      <c r="AH79" s="3934" t="n"/>
      <c r="AI79" s="3934" t="n"/>
      <c r="AJ79" s="3934" t="n"/>
      <c r="AK79" s="3934" t="n"/>
      <c r="AL79" s="3934" t="n"/>
      <c r="AM79" s="3934" t="n"/>
      <c r="AN79" s="3934" t="n"/>
      <c r="AO79" s="3934" t="n"/>
      <c r="AP79" s="3934" t="n"/>
      <c r="AQ79" s="3934" t="n"/>
      <c r="AR79" s="3934" t="n"/>
    </row>
    <row r="80">
      <c r="A80" s="3941" t="n"/>
      <c r="B80" s="3944" t="n"/>
      <c r="C80" s="3944" t="n"/>
      <c r="D80" s="3944" t="n"/>
      <c r="E80" s="3944" t="n"/>
      <c r="F80" s="3944" t="n"/>
      <c r="G80" s="3944" t="n"/>
      <c r="H80" s="3944" t="n"/>
      <c r="I80" s="3944" t="n"/>
      <c r="J80" s="3944" t="n"/>
      <c r="K80" s="3942">
        <f>IF(A80="","",SUM(E80:J80))</f>
        <v/>
      </c>
      <c r="L80" s="3934" t="n"/>
      <c r="M80" s="3934" t="n"/>
      <c r="N80" s="3934" t="n"/>
      <c r="O80" s="3934" t="n"/>
      <c r="P80" s="3934" t="n"/>
      <c r="Q80" s="3934" t="n"/>
      <c r="R80" s="3934" t="n"/>
      <c r="S80" s="3934" t="n"/>
      <c r="T80" s="3934" t="n"/>
      <c r="U80" s="3934" t="n"/>
      <c r="V80" s="3934" t="n"/>
      <c r="W80" s="3934" t="n"/>
      <c r="X80" s="3934" t="n"/>
      <c r="Y80" s="3934" t="n"/>
      <c r="Z80" s="3934" t="n"/>
      <c r="AA80" s="3934" t="n"/>
      <c r="AB80" s="3934" t="n"/>
      <c r="AC80" s="3934" t="n"/>
      <c r="AD80" s="3934" t="n"/>
      <c r="AE80" s="3934" t="n"/>
      <c r="AF80" s="3934" t="n"/>
      <c r="AG80" s="3934" t="n"/>
      <c r="AH80" s="3934" t="n"/>
      <c r="AI80" s="3934" t="n"/>
      <c r="AJ80" s="3934" t="n"/>
      <c r="AK80" s="3934" t="n"/>
      <c r="AL80" s="3934" t="n"/>
      <c r="AM80" s="3934" t="n"/>
      <c r="AN80" s="3934" t="n"/>
      <c r="AO80" s="3934" t="n"/>
      <c r="AP80" s="3934" t="n"/>
      <c r="AQ80" s="3934" t="n"/>
      <c r="AR80" s="3934" t="n"/>
    </row>
    <row r="81">
      <c r="A81" s="3941" t="n"/>
      <c r="B81" s="3944" t="n"/>
      <c r="C81" s="3944" t="n"/>
      <c r="D81" s="3944" t="n"/>
      <c r="E81" s="3944" t="n"/>
      <c r="F81" s="3944" t="n"/>
      <c r="G81" s="3944" t="n"/>
      <c r="H81" s="3944" t="n"/>
      <c r="I81" s="3944" t="n"/>
      <c r="J81" s="3944" t="n"/>
      <c r="K81" s="3942">
        <f>IF(A81="","",SUM(E81:J81))</f>
        <v/>
      </c>
      <c r="L81" s="3934" t="n"/>
      <c r="M81" s="3934" t="n"/>
      <c r="N81" s="3934" t="n"/>
      <c r="O81" s="3934" t="n"/>
      <c r="P81" s="3934" t="n"/>
      <c r="Q81" s="3934" t="n"/>
      <c r="R81" s="3934" t="n"/>
      <c r="S81" s="3934" t="n"/>
      <c r="T81" s="3934" t="n"/>
      <c r="U81" s="3934" t="n"/>
      <c r="V81" s="3934" t="n"/>
      <c r="W81" s="3934" t="n"/>
      <c r="X81" s="3934" t="n"/>
      <c r="Y81" s="3934" t="n"/>
      <c r="Z81" s="3934" t="n"/>
      <c r="AA81" s="3934" t="n"/>
      <c r="AB81" s="3934" t="n"/>
      <c r="AC81" s="3934" t="n"/>
      <c r="AD81" s="3934" t="n"/>
      <c r="AE81" s="3934" t="n"/>
      <c r="AF81" s="3934" t="n"/>
      <c r="AG81" s="3934" t="n"/>
      <c r="AH81" s="3934" t="n"/>
      <c r="AI81" s="3934" t="n"/>
      <c r="AJ81" s="3934" t="n"/>
      <c r="AK81" s="3934" t="n"/>
      <c r="AL81" s="3934" t="n"/>
      <c r="AM81" s="3934" t="n"/>
      <c r="AN81" s="3934" t="n"/>
      <c r="AO81" s="3934" t="n"/>
      <c r="AP81" s="3934" t="n"/>
      <c r="AQ81" s="3934" t="n"/>
      <c r="AR81" s="3934" t="n"/>
    </row>
    <row r="82">
      <c r="A82" s="3941" t="n"/>
      <c r="B82" s="3944" t="n"/>
      <c r="C82" s="3944" t="n"/>
      <c r="D82" s="3944" t="n"/>
      <c r="E82" s="3944" t="n"/>
      <c r="F82" s="3944" t="n"/>
      <c r="G82" s="3944" t="n"/>
      <c r="H82" s="3944" t="n"/>
      <c r="I82" s="3944" t="n"/>
      <c r="J82" s="3944" t="n"/>
      <c r="K82" s="3942">
        <f>IF(A82="","",SUM(E82:J82))</f>
        <v/>
      </c>
      <c r="L82" s="3934" t="n"/>
      <c r="M82" s="3934" t="n"/>
      <c r="N82" s="3934" t="n"/>
      <c r="O82" s="3934" t="n"/>
      <c r="P82" s="3934" t="n"/>
      <c r="Q82" s="3934" t="n"/>
      <c r="R82" s="3934" t="n"/>
      <c r="S82" s="3934" t="n"/>
      <c r="T82" s="3934" t="n"/>
      <c r="U82" s="3934" t="n"/>
      <c r="V82" s="3934" t="n"/>
      <c r="W82" s="3934" t="n"/>
      <c r="X82" s="3934" t="n"/>
      <c r="Y82" s="3934" t="n"/>
      <c r="Z82" s="3934" t="n"/>
      <c r="AA82" s="3934" t="n"/>
      <c r="AB82" s="3934" t="n"/>
      <c r="AC82" s="3934" t="n"/>
      <c r="AD82" s="3934" t="n"/>
      <c r="AE82" s="3934" t="n"/>
      <c r="AF82" s="3934" t="n"/>
      <c r="AG82" s="3934" t="n"/>
      <c r="AH82" s="3934" t="n"/>
      <c r="AI82" s="3934" t="n"/>
      <c r="AJ82" s="3934" t="n"/>
      <c r="AK82" s="3934" t="n"/>
      <c r="AL82" s="3934" t="n"/>
      <c r="AM82" s="3934" t="n"/>
      <c r="AN82" s="3934" t="n"/>
      <c r="AO82" s="3934" t="n"/>
      <c r="AP82" s="3934" t="n"/>
      <c r="AQ82" s="3934" t="n"/>
      <c r="AR82" s="3934" t="n"/>
    </row>
    <row r="83">
      <c r="A83" s="3941" t="n"/>
      <c r="B83" s="3944" t="n"/>
      <c r="C83" s="3944" t="n"/>
      <c r="D83" s="3944" t="n"/>
      <c r="E83" s="3944" t="n"/>
      <c r="F83" s="3944" t="n"/>
      <c r="G83" s="3944" t="n"/>
      <c r="H83" s="3944" t="n"/>
      <c r="I83" s="3944" t="n"/>
      <c r="J83" s="3944" t="n"/>
      <c r="K83" s="3942">
        <f>IF(A83="","",SUM(E83:J83))</f>
        <v/>
      </c>
      <c r="L83" s="3934" t="n"/>
      <c r="M83" s="3934" t="n"/>
      <c r="N83" s="3934" t="n"/>
      <c r="O83" s="3934" t="n"/>
      <c r="P83" s="3934" t="n"/>
      <c r="Q83" s="3934" t="n"/>
      <c r="R83" s="3934" t="n"/>
      <c r="S83" s="3934" t="n"/>
      <c r="T83" s="3934" t="n"/>
      <c r="U83" s="3934" t="n"/>
      <c r="V83" s="3934" t="n"/>
      <c r="W83" s="3934" t="n"/>
      <c r="X83" s="3934" t="n"/>
      <c r="Y83" s="3934" t="n"/>
      <c r="Z83" s="3934" t="n"/>
      <c r="AA83" s="3934" t="n"/>
      <c r="AB83" s="3934" t="n"/>
      <c r="AC83" s="3934" t="n"/>
      <c r="AD83" s="3934" t="n"/>
      <c r="AE83" s="3934" t="n"/>
      <c r="AF83" s="3934" t="n"/>
      <c r="AG83" s="3934" t="n"/>
      <c r="AH83" s="3934" t="n"/>
      <c r="AI83" s="3934" t="n"/>
      <c r="AJ83" s="3934" t="n"/>
      <c r="AK83" s="3934" t="n"/>
      <c r="AL83" s="3934" t="n"/>
      <c r="AM83" s="3934" t="n"/>
      <c r="AN83" s="3934" t="n"/>
      <c r="AO83" s="3934" t="n"/>
      <c r="AP83" s="3934" t="n"/>
      <c r="AQ83" s="3934" t="n"/>
      <c r="AR83" s="3934" t="n"/>
    </row>
    <row r="84">
      <c r="A84" s="3941" t="n"/>
      <c r="B84" s="3944" t="n"/>
      <c r="C84" s="3944" t="n"/>
      <c r="D84" s="3944" t="n"/>
      <c r="E84" s="3944" t="n"/>
      <c r="F84" s="3944" t="n"/>
      <c r="G84" s="3944" t="n"/>
      <c r="H84" s="3944" t="n"/>
      <c r="I84" s="3944" t="n"/>
      <c r="J84" s="3944" t="n"/>
      <c r="K84" s="3942">
        <f>IF(A84="","",SUM(E84:J84))</f>
        <v/>
      </c>
      <c r="L84" s="3934" t="n"/>
      <c r="M84" s="3934" t="n"/>
      <c r="N84" s="3934" t="n"/>
      <c r="O84" s="3934" t="n"/>
      <c r="P84" s="3934" t="n"/>
      <c r="Q84" s="3934" t="n"/>
      <c r="R84" s="3934" t="n"/>
      <c r="S84" s="3934" t="n"/>
      <c r="T84" s="3934" t="n"/>
      <c r="U84" s="3934" t="n"/>
      <c r="V84" s="3934" t="n"/>
      <c r="W84" s="3934" t="n"/>
      <c r="X84" s="3934" t="n"/>
      <c r="Y84" s="3934" t="n"/>
      <c r="Z84" s="3934" t="n"/>
      <c r="AA84" s="3934" t="n"/>
      <c r="AB84" s="3934" t="n"/>
      <c r="AC84" s="3934" t="n"/>
      <c r="AD84" s="3934" t="n"/>
      <c r="AE84" s="3934" t="n"/>
      <c r="AF84" s="3934" t="n"/>
      <c r="AG84" s="3934" t="n"/>
      <c r="AH84" s="3934" t="n"/>
      <c r="AI84" s="3934" t="n"/>
      <c r="AJ84" s="3934" t="n"/>
      <c r="AK84" s="3934" t="n"/>
      <c r="AL84" s="3934" t="n"/>
      <c r="AM84" s="3934" t="n"/>
      <c r="AN84" s="3934" t="n"/>
      <c r="AO84" s="3934" t="n"/>
      <c r="AP84" s="3934" t="n"/>
      <c r="AQ84" s="3934" t="n"/>
      <c r="AR84" s="3934" t="n"/>
    </row>
    <row r="85">
      <c r="A85" s="3941" t="n"/>
      <c r="B85" s="3944" t="n"/>
      <c r="C85" s="3944" t="n"/>
      <c r="D85" s="3944" t="n"/>
      <c r="E85" s="3944" t="n"/>
      <c r="F85" s="3944" t="n"/>
      <c r="G85" s="3944" t="n"/>
      <c r="H85" s="3944" t="n"/>
      <c r="I85" s="3944" t="n"/>
      <c r="J85" s="3944" t="n"/>
      <c r="K85" s="3942">
        <f>IF(A85="","",SUM(E85:J85))</f>
        <v/>
      </c>
      <c r="L85" s="3934" t="n"/>
      <c r="M85" s="3934" t="n"/>
      <c r="N85" s="3934" t="n"/>
      <c r="O85" s="3934" t="n"/>
      <c r="P85" s="3934" t="n"/>
      <c r="Q85" s="3934" t="n"/>
      <c r="R85" s="3934" t="n"/>
      <c r="S85" s="3934" t="n"/>
      <c r="T85" s="3934" t="n"/>
      <c r="U85" s="3934" t="n"/>
      <c r="V85" s="3934" t="n"/>
      <c r="W85" s="3934" t="n"/>
      <c r="X85" s="3934" t="n"/>
      <c r="Y85" s="3934" t="n"/>
      <c r="Z85" s="3934" t="n"/>
      <c r="AA85" s="3934" t="n"/>
      <c r="AB85" s="3934" t="n"/>
      <c r="AC85" s="3934" t="n"/>
      <c r="AD85" s="3934" t="n"/>
      <c r="AE85" s="3934" t="n"/>
      <c r="AF85" s="3934" t="n"/>
      <c r="AG85" s="3934" t="n"/>
      <c r="AH85" s="3934" t="n"/>
      <c r="AI85" s="3934" t="n"/>
      <c r="AJ85" s="3934" t="n"/>
      <c r="AK85" s="3934" t="n"/>
      <c r="AL85" s="3934" t="n"/>
      <c r="AM85" s="3934" t="n"/>
      <c r="AN85" s="3934" t="n"/>
      <c r="AO85" s="3934" t="n"/>
      <c r="AP85" s="3934" t="n"/>
      <c r="AQ85" s="3934" t="n"/>
      <c r="AR85" s="3934" t="n"/>
    </row>
    <row r="86">
      <c r="A86" s="3941" t="n"/>
      <c r="B86" s="3944" t="n"/>
      <c r="C86" s="3944" t="n"/>
      <c r="D86" s="3944" t="n"/>
      <c r="E86" s="3944" t="n"/>
      <c r="F86" s="3944" t="n"/>
      <c r="G86" s="3944" t="n"/>
      <c r="H86" s="3944" t="n"/>
      <c r="I86" s="3944" t="n"/>
      <c r="J86" s="3944" t="n"/>
      <c r="K86" s="3942">
        <f>IF(A86="","",SUM(E86:J86))</f>
        <v/>
      </c>
      <c r="L86" s="3934" t="n"/>
      <c r="M86" s="3934" t="n"/>
      <c r="N86" s="3934" t="n"/>
      <c r="O86" s="3934" t="n"/>
      <c r="P86" s="3934" t="n"/>
      <c r="Q86" s="3934" t="n"/>
      <c r="R86" s="3934" t="n"/>
      <c r="S86" s="3934" t="n"/>
      <c r="T86" s="3934" t="n"/>
      <c r="U86" s="3934" t="n"/>
      <c r="V86" s="3934" t="n"/>
      <c r="W86" s="3934" t="n"/>
      <c r="X86" s="3934" t="n"/>
      <c r="Y86" s="3934" t="n"/>
      <c r="Z86" s="3934" t="n"/>
      <c r="AA86" s="3934" t="n"/>
      <c r="AB86" s="3934" t="n"/>
      <c r="AC86" s="3934" t="n"/>
      <c r="AD86" s="3934" t="n"/>
      <c r="AE86" s="3934" t="n"/>
      <c r="AF86" s="3934" t="n"/>
      <c r="AG86" s="3934" t="n"/>
      <c r="AH86" s="3934" t="n"/>
      <c r="AI86" s="3934" t="n"/>
      <c r="AJ86" s="3934" t="n"/>
      <c r="AK86" s="3934" t="n"/>
      <c r="AL86" s="3934" t="n"/>
      <c r="AM86" s="3934" t="n"/>
      <c r="AN86" s="3934" t="n"/>
      <c r="AO86" s="3934" t="n"/>
      <c r="AP86" s="3934" t="n"/>
      <c r="AQ86" s="3934" t="n"/>
      <c r="AR86" s="3934" t="n"/>
    </row>
    <row r="87">
      <c r="A87" s="3941" t="n"/>
      <c r="B87" s="3944" t="n"/>
      <c r="C87" s="3944" t="n"/>
      <c r="D87" s="3944" t="n"/>
      <c r="E87" s="3944" t="n"/>
      <c r="F87" s="3944" t="n"/>
      <c r="G87" s="3944" t="n"/>
      <c r="H87" s="3944" t="n"/>
      <c r="I87" s="3944" t="n"/>
      <c r="J87" s="3944" t="n"/>
      <c r="K87" s="3942">
        <f>IF(A87="","",SUM(E87:J87))</f>
        <v/>
      </c>
      <c r="L87" s="3934" t="n"/>
      <c r="M87" s="3934" t="n"/>
      <c r="N87" s="3934" t="n"/>
      <c r="O87" s="3934" t="n"/>
      <c r="P87" s="3934" t="n"/>
      <c r="Q87" s="3934" t="n"/>
      <c r="R87" s="3934" t="n"/>
      <c r="S87" s="3934" t="n"/>
      <c r="T87" s="3934" t="n"/>
      <c r="U87" s="3934" t="n"/>
      <c r="V87" s="3934" t="n"/>
      <c r="W87" s="3934" t="n"/>
      <c r="X87" s="3934" t="n"/>
      <c r="Y87" s="3934" t="n"/>
      <c r="Z87" s="3934" t="n"/>
      <c r="AA87" s="3934" t="n"/>
      <c r="AB87" s="3934" t="n"/>
      <c r="AC87" s="3934" t="n"/>
      <c r="AD87" s="3934" t="n"/>
      <c r="AE87" s="3934" t="n"/>
      <c r="AF87" s="3934" t="n"/>
      <c r="AG87" s="3934" t="n"/>
      <c r="AH87" s="3934" t="n"/>
      <c r="AI87" s="3934" t="n"/>
      <c r="AJ87" s="3934" t="n"/>
      <c r="AK87" s="3934" t="n"/>
      <c r="AL87" s="3934" t="n"/>
      <c r="AM87" s="3934" t="n"/>
      <c r="AN87" s="3934" t="n"/>
      <c r="AO87" s="3934" t="n"/>
      <c r="AP87" s="3934" t="n"/>
      <c r="AQ87" s="3934" t="n"/>
      <c r="AR87" s="3934" t="n"/>
    </row>
    <row r="88">
      <c r="A88" s="3941" t="n"/>
      <c r="B88" s="3944" t="n"/>
      <c r="C88" s="3944" t="n"/>
      <c r="D88" s="3944" t="n"/>
      <c r="E88" s="3944" t="n"/>
      <c r="F88" s="3944" t="n"/>
      <c r="G88" s="3944" t="n"/>
      <c r="H88" s="3944" t="n"/>
      <c r="I88" s="3944" t="n"/>
      <c r="J88" s="3944" t="n"/>
      <c r="K88" s="3942">
        <f>IF(A88="","",SUM(E88:J88))</f>
        <v/>
      </c>
      <c r="L88" s="3934" t="n"/>
      <c r="M88" s="3934" t="n"/>
      <c r="N88" s="3934" t="n"/>
      <c r="O88" s="3934" t="n"/>
      <c r="P88" s="3934" t="n"/>
      <c r="Q88" s="3934" t="n"/>
      <c r="R88" s="3934" t="n"/>
      <c r="S88" s="3934" t="n"/>
      <c r="T88" s="3934" t="n"/>
      <c r="U88" s="3934" t="n"/>
      <c r="V88" s="3934" t="n"/>
      <c r="W88" s="3934" t="n"/>
      <c r="X88" s="3934" t="n"/>
      <c r="Y88" s="3934" t="n"/>
      <c r="Z88" s="3934" t="n"/>
      <c r="AA88" s="3934" t="n"/>
      <c r="AB88" s="3934" t="n"/>
      <c r="AC88" s="3934" t="n"/>
      <c r="AD88" s="3934" t="n"/>
      <c r="AE88" s="3934" t="n"/>
      <c r="AF88" s="3934" t="n"/>
      <c r="AG88" s="3934" t="n"/>
      <c r="AH88" s="3934" t="n"/>
      <c r="AI88" s="3934" t="n"/>
      <c r="AJ88" s="3934" t="n"/>
      <c r="AK88" s="3934" t="n"/>
      <c r="AL88" s="3934" t="n"/>
      <c r="AM88" s="3934" t="n"/>
      <c r="AN88" s="3934" t="n"/>
      <c r="AO88" s="3934" t="n"/>
      <c r="AP88" s="3934" t="n"/>
      <c r="AQ88" s="3934" t="n"/>
      <c r="AR88" s="3934" t="n"/>
    </row>
    <row r="89">
      <c r="A89" s="3941" t="n"/>
      <c r="B89" s="3944" t="n"/>
      <c r="C89" s="3944" t="n"/>
      <c r="D89" s="3944" t="n"/>
      <c r="E89" s="3944" t="n"/>
      <c r="F89" s="3944" t="n"/>
      <c r="G89" s="3944" t="n"/>
      <c r="H89" s="3944" t="n"/>
      <c r="I89" s="3944" t="n"/>
      <c r="J89" s="3944" t="n"/>
      <c r="K89" s="3942">
        <f>IF(A89="","",SUM(E89:J89))</f>
        <v/>
      </c>
      <c r="L89" s="3934" t="n"/>
      <c r="M89" s="3934" t="n"/>
      <c r="N89" s="3934" t="n"/>
      <c r="O89" s="3934" t="n"/>
      <c r="P89" s="3934" t="n"/>
      <c r="Q89" s="3934" t="n"/>
      <c r="R89" s="3934" t="n"/>
      <c r="S89" s="3934" t="n"/>
      <c r="T89" s="3934" t="n"/>
      <c r="U89" s="3934" t="n"/>
      <c r="V89" s="3934" t="n"/>
      <c r="W89" s="3934" t="n"/>
      <c r="X89" s="3934" t="n"/>
      <c r="Y89" s="3934" t="n"/>
      <c r="Z89" s="3934" t="n"/>
      <c r="AA89" s="3934" t="n"/>
      <c r="AB89" s="3934" t="n"/>
      <c r="AC89" s="3934" t="n"/>
      <c r="AD89" s="3934" t="n"/>
      <c r="AE89" s="3934" t="n"/>
      <c r="AF89" s="3934" t="n"/>
      <c r="AG89" s="3934" t="n"/>
      <c r="AH89" s="3934" t="n"/>
      <c r="AI89" s="3934" t="n"/>
      <c r="AJ89" s="3934" t="n"/>
      <c r="AK89" s="3934" t="n"/>
      <c r="AL89" s="3934" t="n"/>
      <c r="AM89" s="3934" t="n"/>
      <c r="AN89" s="3934" t="n"/>
      <c r="AO89" s="3934" t="n"/>
      <c r="AP89" s="3934" t="n"/>
      <c r="AQ89" s="3934" t="n"/>
      <c r="AR89" s="3934" t="n"/>
    </row>
    <row r="90">
      <c r="A90" s="3941" t="n"/>
      <c r="B90" s="3944" t="n"/>
      <c r="C90" s="3944" t="n"/>
      <c r="D90" s="3944" t="n"/>
      <c r="E90" s="3944" t="n"/>
      <c r="F90" s="3944" t="n"/>
      <c r="G90" s="3944" t="n"/>
      <c r="H90" s="3944" t="n"/>
      <c r="I90" s="3944" t="n"/>
      <c r="J90" s="3944" t="n"/>
      <c r="K90" s="3942">
        <f>IF(A90="","",SUM(E90:J90))</f>
        <v/>
      </c>
      <c r="L90" s="3934" t="n"/>
      <c r="M90" s="3934" t="n"/>
      <c r="N90" s="3934" t="n"/>
      <c r="O90" s="3934" t="n"/>
      <c r="P90" s="3934" t="n"/>
      <c r="Q90" s="3934" t="n"/>
      <c r="R90" s="3934" t="n"/>
      <c r="S90" s="3934" t="n"/>
      <c r="T90" s="3934" t="n"/>
      <c r="U90" s="3934" t="n"/>
      <c r="V90" s="3934" t="n"/>
      <c r="W90" s="3934" t="n"/>
      <c r="X90" s="3934" t="n"/>
      <c r="Y90" s="3934" t="n"/>
      <c r="Z90" s="3934" t="n"/>
      <c r="AA90" s="3934" t="n"/>
      <c r="AB90" s="3934" t="n"/>
      <c r="AC90" s="3934" t="n"/>
      <c r="AD90" s="3934" t="n"/>
      <c r="AE90" s="3934" t="n"/>
      <c r="AF90" s="3934" t="n"/>
      <c r="AG90" s="3934" t="n"/>
      <c r="AH90" s="3934" t="n"/>
      <c r="AI90" s="3934" t="n"/>
      <c r="AJ90" s="3934" t="n"/>
      <c r="AK90" s="3934" t="n"/>
      <c r="AL90" s="3934" t="n"/>
      <c r="AM90" s="3934" t="n"/>
      <c r="AN90" s="3934" t="n"/>
      <c r="AO90" s="3934" t="n"/>
      <c r="AP90" s="3934" t="n"/>
      <c r="AQ90" s="3934" t="n"/>
      <c r="AR90" s="3934" t="n"/>
    </row>
    <row r="91">
      <c r="A91" s="3941" t="n"/>
      <c r="B91" s="3944" t="n"/>
      <c r="C91" s="3944" t="n"/>
      <c r="D91" s="3944" t="n"/>
      <c r="E91" s="3944" t="n"/>
      <c r="F91" s="3944" t="n"/>
      <c r="G91" s="3944" t="n"/>
      <c r="H91" s="3944" t="n"/>
      <c r="I91" s="3944" t="n"/>
      <c r="J91" s="3944" t="n"/>
      <c r="K91" s="3942">
        <f>IF(A91="","",SUM(E91:J91))</f>
        <v/>
      </c>
      <c r="L91" s="3934" t="n"/>
      <c r="M91" s="3934" t="n"/>
      <c r="N91" s="3934" t="n"/>
      <c r="O91" s="3934" t="n"/>
      <c r="P91" s="3934" t="n"/>
      <c r="Q91" s="3934" t="n"/>
      <c r="R91" s="3934" t="n"/>
      <c r="S91" s="3934" t="n"/>
      <c r="T91" s="3934" t="n"/>
      <c r="U91" s="3934" t="n"/>
      <c r="V91" s="3934" t="n"/>
      <c r="W91" s="3934" t="n"/>
      <c r="X91" s="3934" t="n"/>
      <c r="Y91" s="3934" t="n"/>
      <c r="Z91" s="3934" t="n"/>
      <c r="AA91" s="3934" t="n"/>
      <c r="AB91" s="3934" t="n"/>
      <c r="AC91" s="3934" t="n"/>
      <c r="AD91" s="3934" t="n"/>
      <c r="AE91" s="3934" t="n"/>
      <c r="AF91" s="3934" t="n"/>
      <c r="AG91" s="3934" t="n"/>
      <c r="AH91" s="3934" t="n"/>
      <c r="AI91" s="3934" t="n"/>
      <c r="AJ91" s="3934" t="n"/>
      <c r="AK91" s="3934" t="n"/>
      <c r="AL91" s="3934" t="n"/>
      <c r="AM91" s="3934" t="n"/>
      <c r="AN91" s="3934" t="n"/>
      <c r="AO91" s="3934" t="n"/>
      <c r="AP91" s="3934" t="n"/>
      <c r="AQ91" s="3934" t="n"/>
      <c r="AR91" s="3934" t="n"/>
    </row>
    <row r="92">
      <c r="A92" s="3941" t="n"/>
      <c r="B92" s="3944" t="n"/>
      <c r="C92" s="3944" t="n"/>
      <c r="D92" s="3944" t="n"/>
      <c r="E92" s="3944" t="n"/>
      <c r="F92" s="3944" t="n"/>
      <c r="G92" s="3944" t="n"/>
      <c r="H92" s="3944" t="n"/>
      <c r="I92" s="3944" t="n"/>
      <c r="J92" s="3944" t="n"/>
      <c r="K92" s="3942">
        <f>IF(A92="","",SUM(E92:J92))</f>
        <v/>
      </c>
      <c r="L92" s="3934" t="n"/>
      <c r="M92" s="3934" t="n"/>
      <c r="N92" s="3934" t="n"/>
      <c r="O92" s="3934" t="n"/>
      <c r="P92" s="3934" t="n"/>
      <c r="Q92" s="3934" t="n"/>
      <c r="R92" s="3934" t="n"/>
      <c r="S92" s="3934" t="n"/>
      <c r="T92" s="3934" t="n"/>
      <c r="U92" s="3934" t="n"/>
      <c r="V92" s="3934" t="n"/>
      <c r="W92" s="3934" t="n"/>
      <c r="X92" s="3934" t="n"/>
      <c r="Y92" s="3934" t="n"/>
      <c r="Z92" s="3934" t="n"/>
      <c r="AA92" s="3934" t="n"/>
      <c r="AB92" s="3934" t="n"/>
      <c r="AC92" s="3934" t="n"/>
      <c r="AD92" s="3934" t="n"/>
      <c r="AE92" s="3934" t="n"/>
      <c r="AF92" s="3934" t="n"/>
      <c r="AG92" s="3934" t="n"/>
      <c r="AH92" s="3934" t="n"/>
      <c r="AI92" s="3934" t="n"/>
      <c r="AJ92" s="3934" t="n"/>
      <c r="AK92" s="3934" t="n"/>
      <c r="AL92" s="3934" t="n"/>
      <c r="AM92" s="3934" t="n"/>
      <c r="AN92" s="3934" t="n"/>
      <c r="AO92" s="3934" t="n"/>
      <c r="AP92" s="3934" t="n"/>
      <c r="AQ92" s="3934" t="n"/>
      <c r="AR92" s="3934" t="n"/>
    </row>
    <row r="93">
      <c r="A93" s="3941" t="n"/>
      <c r="B93" s="3944" t="n"/>
      <c r="C93" s="3944" t="n"/>
      <c r="D93" s="3944" t="n"/>
      <c r="E93" s="3944" t="n"/>
      <c r="F93" s="3944" t="n"/>
      <c r="G93" s="3944" t="n"/>
      <c r="H93" s="3944" t="n"/>
      <c r="I93" s="3944" t="n"/>
      <c r="J93" s="3944" t="n"/>
      <c r="K93" s="3942">
        <f>IF(A93="","",SUM(E93:J93))</f>
        <v/>
      </c>
      <c r="L93" s="3934" t="n"/>
      <c r="M93" s="3934" t="n"/>
      <c r="N93" s="3934" t="n"/>
      <c r="O93" s="3934" t="n"/>
      <c r="P93" s="3934" t="n"/>
      <c r="Q93" s="3934" t="n"/>
      <c r="R93" s="3934" t="n"/>
      <c r="S93" s="3934" t="n"/>
      <c r="T93" s="3934" t="n"/>
      <c r="U93" s="3934" t="n"/>
      <c r="V93" s="3934" t="n"/>
      <c r="W93" s="3934" t="n"/>
      <c r="X93" s="3934" t="n"/>
      <c r="Y93" s="3934" t="n"/>
      <c r="Z93" s="3934" t="n"/>
      <c r="AA93" s="3934" t="n"/>
      <c r="AB93" s="3934" t="n"/>
      <c r="AC93" s="3934" t="n"/>
      <c r="AD93" s="3934" t="n"/>
      <c r="AE93" s="3934" t="n"/>
      <c r="AF93" s="3934" t="n"/>
      <c r="AG93" s="3934" t="n"/>
      <c r="AH93" s="3934" t="n"/>
      <c r="AI93" s="3934" t="n"/>
      <c r="AJ93" s="3934" t="n"/>
      <c r="AK93" s="3934" t="n"/>
      <c r="AL93" s="3934" t="n"/>
      <c r="AM93" s="3934" t="n"/>
      <c r="AN93" s="3934" t="n"/>
      <c r="AO93" s="3934" t="n"/>
      <c r="AP93" s="3934" t="n"/>
      <c r="AQ93" s="3934" t="n"/>
      <c r="AR93" s="3934" t="n"/>
    </row>
    <row r="94">
      <c r="A94" s="3941" t="n"/>
      <c r="B94" s="3944" t="n"/>
      <c r="C94" s="3944" t="n"/>
      <c r="D94" s="3944" t="n"/>
      <c r="E94" s="3944" t="n"/>
      <c r="F94" s="3944" t="n"/>
      <c r="G94" s="3944" t="n"/>
      <c r="H94" s="3944" t="n"/>
      <c r="I94" s="3944" t="n"/>
      <c r="J94" s="3944" t="n"/>
      <c r="K94" s="3942">
        <f>IF(A94="","",SUM(E94:J94))</f>
        <v/>
      </c>
      <c r="L94" s="3934" t="n"/>
      <c r="M94" s="3934" t="n"/>
      <c r="N94" s="3934" t="n"/>
      <c r="O94" s="3934" t="n"/>
      <c r="P94" s="3934" t="n"/>
      <c r="Q94" s="3934" t="n"/>
      <c r="R94" s="3934" t="n"/>
      <c r="S94" s="3934" t="n"/>
      <c r="T94" s="3934" t="n"/>
      <c r="U94" s="3934" t="n"/>
      <c r="V94" s="3934" t="n"/>
      <c r="W94" s="3934" t="n"/>
      <c r="X94" s="3934" t="n"/>
      <c r="Y94" s="3934" t="n"/>
      <c r="Z94" s="3934" t="n"/>
      <c r="AA94" s="3934" t="n"/>
      <c r="AB94" s="3934" t="n"/>
      <c r="AC94" s="3934" t="n"/>
      <c r="AD94" s="3934" t="n"/>
      <c r="AE94" s="3934" t="n"/>
      <c r="AF94" s="3934" t="n"/>
      <c r="AG94" s="3934" t="n"/>
      <c r="AH94" s="3934" t="n"/>
      <c r="AI94" s="3934" t="n"/>
      <c r="AJ94" s="3934" t="n"/>
      <c r="AK94" s="3934" t="n"/>
      <c r="AL94" s="3934" t="n"/>
      <c r="AM94" s="3934" t="n"/>
      <c r="AN94" s="3934" t="n"/>
      <c r="AO94" s="3934" t="n"/>
      <c r="AP94" s="3934" t="n"/>
      <c r="AQ94" s="3934" t="n"/>
      <c r="AR94" s="3934" t="n"/>
    </row>
    <row r="95">
      <c r="A95" s="3941" t="n"/>
      <c r="B95" s="3944" t="n"/>
      <c r="C95" s="3944" t="n"/>
      <c r="D95" s="3944" t="n"/>
      <c r="E95" s="3944" t="n"/>
      <c r="F95" s="3944" t="n"/>
      <c r="G95" s="3944" t="n"/>
      <c r="H95" s="3944" t="n"/>
      <c r="I95" s="3944" t="n"/>
      <c r="J95" s="3944" t="n"/>
      <c r="K95" s="3942">
        <f>IF(A95="","",SUM(E95:J95))</f>
        <v/>
      </c>
      <c r="L95" s="3934" t="n"/>
      <c r="M95" s="3934" t="n"/>
      <c r="N95" s="3934" t="n"/>
      <c r="O95" s="3934" t="n"/>
      <c r="P95" s="3934" t="n"/>
      <c r="Q95" s="3934" t="n"/>
      <c r="R95" s="3934" t="n"/>
      <c r="S95" s="3934" t="n"/>
      <c r="T95" s="3934" t="n"/>
      <c r="U95" s="3934" t="n"/>
      <c r="V95" s="3934" t="n"/>
      <c r="W95" s="3934" t="n"/>
      <c r="X95" s="3934" t="n"/>
      <c r="Y95" s="3934" t="n"/>
      <c r="Z95" s="3934" t="n"/>
      <c r="AA95" s="3934" t="n"/>
      <c r="AB95" s="3934" t="n"/>
      <c r="AC95" s="3934" t="n"/>
      <c r="AD95" s="3934" t="n"/>
      <c r="AE95" s="3934" t="n"/>
      <c r="AF95" s="3934" t="n"/>
      <c r="AG95" s="3934" t="n"/>
      <c r="AH95" s="3934" t="n"/>
      <c r="AI95" s="3934" t="n"/>
      <c r="AJ95" s="3934" t="n"/>
      <c r="AK95" s="3934" t="n"/>
      <c r="AL95" s="3934" t="n"/>
      <c r="AM95" s="3934" t="n"/>
      <c r="AN95" s="3934" t="n"/>
      <c r="AO95" s="3934" t="n"/>
      <c r="AP95" s="3934" t="n"/>
      <c r="AQ95" s="3934" t="n"/>
      <c r="AR95" s="3934" t="n"/>
    </row>
    <row r="96">
      <c r="A96" s="3941" t="n"/>
      <c r="B96" s="3944" t="n"/>
      <c r="C96" s="3944" t="n"/>
      <c r="D96" s="3944" t="n"/>
      <c r="E96" s="3944" t="n"/>
      <c r="F96" s="3944" t="n"/>
      <c r="G96" s="3944" t="n"/>
      <c r="H96" s="3944" t="n"/>
      <c r="I96" s="3944" t="n"/>
      <c r="J96" s="3944" t="n"/>
      <c r="K96" s="3942">
        <f>IF(A96="","",SUM(E96:J96))</f>
        <v/>
      </c>
      <c r="L96" s="3934" t="n"/>
      <c r="M96" s="3934" t="n"/>
      <c r="N96" s="3934" t="n"/>
      <c r="O96" s="3934" t="n"/>
      <c r="P96" s="3934" t="n"/>
      <c r="Q96" s="3934" t="n"/>
      <c r="R96" s="3934" t="n"/>
      <c r="S96" s="3934" t="n"/>
      <c r="T96" s="3934" t="n"/>
      <c r="U96" s="3934" t="n"/>
      <c r="V96" s="3934" t="n"/>
      <c r="W96" s="3934" t="n"/>
      <c r="X96" s="3934" t="n"/>
      <c r="Y96" s="3934" t="n"/>
      <c r="Z96" s="3934" t="n"/>
      <c r="AA96" s="3934" t="n"/>
      <c r="AB96" s="3934" t="n"/>
      <c r="AC96" s="3934" t="n"/>
      <c r="AD96" s="3934" t="n"/>
      <c r="AE96" s="3934" t="n"/>
      <c r="AF96" s="3934" t="n"/>
      <c r="AG96" s="3934" t="n"/>
      <c r="AH96" s="3934" t="n"/>
      <c r="AI96" s="3934" t="n"/>
      <c r="AJ96" s="3934" t="n"/>
      <c r="AK96" s="3934" t="n"/>
      <c r="AL96" s="3934" t="n"/>
      <c r="AM96" s="3934" t="n"/>
      <c r="AN96" s="3934" t="n"/>
      <c r="AO96" s="3934" t="n"/>
      <c r="AP96" s="3934" t="n"/>
      <c r="AQ96" s="3934" t="n"/>
      <c r="AR96" s="3934" t="n"/>
    </row>
    <row r="97">
      <c r="A97" s="3941" t="n"/>
      <c r="B97" s="3944" t="n"/>
      <c r="C97" s="3944" t="n"/>
      <c r="D97" s="3944" t="n"/>
      <c r="E97" s="3944" t="n"/>
      <c r="F97" s="3944" t="n"/>
      <c r="G97" s="3944" t="n"/>
      <c r="H97" s="3944" t="n"/>
      <c r="I97" s="3944" t="n"/>
      <c r="J97" s="3944" t="n"/>
      <c r="K97" s="3942">
        <f>IF(A97="","",SUM(E97:J97))</f>
        <v/>
      </c>
      <c r="L97" s="3934" t="n"/>
      <c r="M97" s="3934" t="n"/>
      <c r="N97" s="3934" t="n"/>
      <c r="O97" s="3934" t="n"/>
      <c r="P97" s="3934" t="n"/>
      <c r="Q97" s="3934" t="n"/>
      <c r="R97" s="3934" t="n"/>
      <c r="S97" s="3934" t="n"/>
      <c r="T97" s="3934" t="n"/>
      <c r="U97" s="3934" t="n"/>
      <c r="V97" s="3934" t="n"/>
      <c r="W97" s="3934" t="n"/>
      <c r="X97" s="3934" t="n"/>
      <c r="Y97" s="3934" t="n"/>
      <c r="Z97" s="3934" t="n"/>
      <c r="AA97" s="3934" t="n"/>
      <c r="AB97" s="3934" t="n"/>
      <c r="AC97" s="3934" t="n"/>
      <c r="AD97" s="3934" t="n"/>
      <c r="AE97" s="3934" t="n"/>
      <c r="AF97" s="3934" t="n"/>
      <c r="AG97" s="3934" t="n"/>
      <c r="AH97" s="3934" t="n"/>
      <c r="AI97" s="3934" t="n"/>
      <c r="AJ97" s="3934" t="n"/>
      <c r="AK97" s="3934" t="n"/>
      <c r="AL97" s="3934" t="n"/>
      <c r="AM97" s="3934" t="n"/>
      <c r="AN97" s="3934" t="n"/>
      <c r="AO97" s="3934" t="n"/>
      <c r="AP97" s="3934" t="n"/>
      <c r="AQ97" s="3934" t="n"/>
      <c r="AR97" s="3934" t="n"/>
    </row>
    <row r="98">
      <c r="A98" s="3941" t="n"/>
      <c r="B98" s="3944" t="n"/>
      <c r="C98" s="3944" t="n"/>
      <c r="D98" s="3944" t="n"/>
      <c r="E98" s="3944" t="n"/>
      <c r="F98" s="3944" t="n"/>
      <c r="G98" s="3944" t="n"/>
      <c r="H98" s="3944" t="n"/>
      <c r="I98" s="3944" t="n"/>
      <c r="J98" s="3944" t="n"/>
      <c r="K98" s="3942">
        <f>IF(A98="","",SUM(E98:J98))</f>
        <v/>
      </c>
      <c r="L98" s="3934" t="n"/>
      <c r="M98" s="3934" t="n"/>
      <c r="N98" s="3934" t="n"/>
      <c r="O98" s="3934" t="n"/>
      <c r="P98" s="3934" t="n"/>
      <c r="Q98" s="3934" t="n"/>
      <c r="R98" s="3934" t="n"/>
      <c r="S98" s="3934" t="n"/>
      <c r="T98" s="3934" t="n"/>
      <c r="U98" s="3934" t="n"/>
      <c r="V98" s="3934" t="n"/>
      <c r="W98" s="3934" t="n"/>
      <c r="X98" s="3934" t="n"/>
      <c r="Y98" s="3934" t="n"/>
      <c r="Z98" s="3934" t="n"/>
      <c r="AA98" s="3934" t="n"/>
      <c r="AB98" s="3934" t="n"/>
      <c r="AC98" s="3934" t="n"/>
      <c r="AD98" s="3934" t="n"/>
      <c r="AE98" s="3934" t="n"/>
      <c r="AF98" s="3934" t="n"/>
      <c r="AG98" s="3934" t="n"/>
      <c r="AH98" s="3934" t="n"/>
      <c r="AI98" s="3934" t="n"/>
      <c r="AJ98" s="3934" t="n"/>
      <c r="AK98" s="3934" t="n"/>
      <c r="AL98" s="3934" t="n"/>
      <c r="AM98" s="3934" t="n"/>
      <c r="AN98" s="3934" t="n"/>
      <c r="AO98" s="3934" t="n"/>
      <c r="AP98" s="3934" t="n"/>
      <c r="AQ98" s="3934" t="n"/>
      <c r="AR98" s="3934" t="n"/>
    </row>
    <row r="99">
      <c r="A99" s="3941" t="n"/>
      <c r="B99" s="3944" t="n"/>
      <c r="C99" s="3944" t="n"/>
      <c r="D99" s="3944" t="n"/>
      <c r="E99" s="3944" t="n"/>
      <c r="F99" s="3944" t="n"/>
      <c r="G99" s="3944" t="n"/>
      <c r="H99" s="3944" t="n"/>
      <c r="I99" s="3944" t="n"/>
      <c r="J99" s="3944" t="n"/>
      <c r="K99" s="3942">
        <f>IF(A99="","",SUM(E99:J99))</f>
        <v/>
      </c>
      <c r="L99" s="3934" t="n"/>
      <c r="M99" s="3934" t="n"/>
      <c r="N99" s="3934" t="n"/>
      <c r="O99" s="3934" t="n"/>
      <c r="P99" s="3934" t="n"/>
      <c r="Q99" s="3934" t="n"/>
      <c r="R99" s="3934" t="n"/>
      <c r="S99" s="3934" t="n"/>
      <c r="T99" s="3934" t="n"/>
      <c r="U99" s="3934" t="n"/>
      <c r="V99" s="3934" t="n"/>
      <c r="W99" s="3934" t="n"/>
      <c r="X99" s="3934" t="n"/>
      <c r="Y99" s="3934" t="n"/>
      <c r="Z99" s="3934" t="n"/>
      <c r="AA99" s="3934" t="n"/>
      <c r="AB99" s="3934" t="n"/>
      <c r="AC99" s="3934" t="n"/>
      <c r="AD99" s="3934" t="n"/>
      <c r="AE99" s="3934" t="n"/>
      <c r="AF99" s="3934" t="n"/>
      <c r="AG99" s="3934" t="n"/>
      <c r="AH99" s="3934" t="n"/>
      <c r="AI99" s="3934" t="n"/>
      <c r="AJ99" s="3934" t="n"/>
      <c r="AK99" s="3934" t="n"/>
      <c r="AL99" s="3934" t="n"/>
      <c r="AM99" s="3934" t="n"/>
      <c r="AN99" s="3934" t="n"/>
      <c r="AO99" s="3934" t="n"/>
      <c r="AP99" s="3934" t="n"/>
      <c r="AQ99" s="3934" t="n"/>
      <c r="AR99" s="3934" t="n"/>
    </row>
    <row r="100">
      <c r="A100" s="3941" t="n"/>
      <c r="B100" s="3944" t="n"/>
      <c r="C100" s="3944" t="n"/>
      <c r="D100" s="3944" t="n"/>
      <c r="E100" s="3944" t="n"/>
      <c r="F100" s="3944" t="n"/>
      <c r="G100" s="3944" t="n"/>
      <c r="H100" s="3944" t="n"/>
      <c r="I100" s="3944" t="n"/>
      <c r="J100" s="3944" t="n"/>
      <c r="K100" s="3942">
        <f>IF(A100="","",SUM(E100:J100))</f>
        <v/>
      </c>
      <c r="L100" s="3934" t="n"/>
      <c r="M100" s="3934" t="n"/>
      <c r="N100" s="3934" t="n"/>
      <c r="O100" s="3934" t="n"/>
      <c r="P100" s="3934" t="n"/>
      <c r="Q100" s="3934" t="n"/>
      <c r="R100" s="3934" t="n"/>
      <c r="S100" s="3934" t="n"/>
      <c r="T100" s="3934" t="n"/>
      <c r="U100" s="3934" t="n"/>
      <c r="V100" s="3934" t="n"/>
      <c r="W100" s="3934" t="n"/>
      <c r="X100" s="3934" t="n"/>
      <c r="Y100" s="3934" t="n"/>
      <c r="Z100" s="3934" t="n"/>
      <c r="AA100" s="3934" t="n"/>
      <c r="AB100" s="3934" t="n"/>
      <c r="AC100" s="3934" t="n"/>
      <c r="AD100" s="3934" t="n"/>
      <c r="AE100" s="3934" t="n"/>
      <c r="AF100" s="3934" t="n"/>
      <c r="AG100" s="3934" t="n"/>
      <c r="AH100" s="3934" t="n"/>
      <c r="AI100" s="3934" t="n"/>
      <c r="AJ100" s="3934" t="n"/>
      <c r="AK100" s="3934" t="n"/>
      <c r="AL100" s="3934" t="n"/>
      <c r="AM100" s="3934" t="n"/>
      <c r="AN100" s="3934" t="n"/>
      <c r="AO100" s="3934" t="n"/>
      <c r="AP100" s="3934" t="n"/>
      <c r="AQ100" s="3934" t="n"/>
      <c r="AR100" s="3934" t="n"/>
    </row>
    <row r="101">
      <c r="A101" s="3941" t="n"/>
      <c r="B101" s="3944" t="n"/>
      <c r="C101" s="3944" t="n"/>
      <c r="D101" s="3944" t="n"/>
      <c r="E101" s="3944" t="n"/>
      <c r="F101" s="3944" t="n"/>
      <c r="G101" s="3944" t="n"/>
      <c r="H101" s="3944" t="n"/>
      <c r="I101" s="3944" t="n"/>
      <c r="J101" s="3944" t="n"/>
      <c r="K101" s="3942">
        <f>IF(A101="","",SUM(E101:J101))</f>
        <v/>
      </c>
      <c r="L101" s="3934" t="n"/>
      <c r="M101" s="3934" t="n"/>
      <c r="N101" s="3934" t="n"/>
      <c r="O101" s="3934" t="n"/>
      <c r="P101" s="3934" t="n"/>
      <c r="Q101" s="3934" t="n"/>
      <c r="R101" s="3934" t="n"/>
      <c r="S101" s="3934" t="n"/>
      <c r="T101" s="3934" t="n"/>
      <c r="U101" s="3934" t="n"/>
      <c r="V101" s="3934" t="n"/>
      <c r="W101" s="3934" t="n"/>
      <c r="X101" s="3934" t="n"/>
      <c r="Y101" s="3934" t="n"/>
      <c r="Z101" s="3934" t="n"/>
      <c r="AA101" s="3934" t="n"/>
      <c r="AB101" s="3934" t="n"/>
      <c r="AC101" s="3934" t="n"/>
      <c r="AD101" s="3934" t="n"/>
      <c r="AE101" s="3934" t="n"/>
      <c r="AF101" s="3934" t="n"/>
      <c r="AG101" s="3934" t="n"/>
      <c r="AH101" s="3934" t="n"/>
      <c r="AI101" s="3934" t="n"/>
      <c r="AJ101" s="3934" t="n"/>
      <c r="AK101" s="3934" t="n"/>
      <c r="AL101" s="3934" t="n"/>
      <c r="AM101" s="3934" t="n"/>
      <c r="AN101" s="3934" t="n"/>
      <c r="AO101" s="3934" t="n"/>
      <c r="AP101" s="3934" t="n"/>
      <c r="AQ101" s="3934" t="n"/>
      <c r="AR101" s="3934" t="n"/>
    </row>
    <row r="102">
      <c r="A102" s="3941" t="n"/>
      <c r="B102" s="3944" t="n"/>
      <c r="C102" s="3944" t="n"/>
      <c r="D102" s="3944" t="n"/>
      <c r="E102" s="3944" t="n"/>
      <c r="F102" s="3944" t="n"/>
      <c r="G102" s="3944" t="n"/>
      <c r="H102" s="3944" t="n"/>
      <c r="I102" s="3944" t="n"/>
      <c r="J102" s="3944" t="n"/>
      <c r="K102" s="3942">
        <f>IF(A102="","",SUM(E102:J102))</f>
        <v/>
      </c>
      <c r="L102" s="3934" t="n"/>
      <c r="M102" s="3934" t="n"/>
      <c r="N102" s="3934" t="n"/>
      <c r="O102" s="3934" t="n"/>
      <c r="P102" s="3934" t="n"/>
      <c r="Q102" s="3934" t="n"/>
      <c r="R102" s="3934" t="n"/>
      <c r="S102" s="3934" t="n"/>
      <c r="T102" s="3934" t="n"/>
      <c r="U102" s="3934" t="n"/>
      <c r="V102" s="3934" t="n"/>
      <c r="W102" s="3934" t="n"/>
      <c r="X102" s="3934" t="n"/>
      <c r="Y102" s="3934" t="n"/>
      <c r="Z102" s="3934" t="n"/>
      <c r="AA102" s="3934" t="n"/>
      <c r="AB102" s="3934" t="n"/>
      <c r="AC102" s="3934" t="n"/>
      <c r="AD102" s="3934" t="n"/>
      <c r="AE102" s="3934" t="n"/>
      <c r="AF102" s="3934" t="n"/>
      <c r="AG102" s="3934" t="n"/>
      <c r="AH102" s="3934" t="n"/>
      <c r="AI102" s="3934" t="n"/>
      <c r="AJ102" s="3934" t="n"/>
      <c r="AK102" s="3934" t="n"/>
      <c r="AL102" s="3934" t="n"/>
      <c r="AM102" s="3934" t="n"/>
      <c r="AN102" s="3934" t="n"/>
      <c r="AO102" s="3934" t="n"/>
      <c r="AP102" s="3934" t="n"/>
      <c r="AQ102" s="3934" t="n"/>
      <c r="AR102" s="3934" t="n"/>
    </row>
    <row r="103">
      <c r="A103" s="3941" t="n"/>
      <c r="B103" s="3944" t="n"/>
      <c r="C103" s="3944" t="n"/>
      <c r="D103" s="3944" t="n"/>
      <c r="E103" s="3944" t="n"/>
      <c r="F103" s="3944" t="n"/>
      <c r="G103" s="3944" t="n"/>
      <c r="H103" s="3944" t="n"/>
      <c r="I103" s="3944" t="n"/>
      <c r="J103" s="3944" t="n"/>
      <c r="K103" s="3942">
        <f>IF(A103="","",SUM(E103:J103))</f>
        <v/>
      </c>
      <c r="L103" s="3934" t="n"/>
      <c r="M103" s="3934" t="n"/>
      <c r="N103" s="3934" t="n"/>
      <c r="O103" s="3934" t="n"/>
      <c r="P103" s="3934" t="n"/>
      <c r="Q103" s="3934" t="n"/>
      <c r="R103" s="3934" t="n"/>
      <c r="S103" s="3934" t="n"/>
      <c r="T103" s="3934" t="n"/>
      <c r="U103" s="3934" t="n"/>
      <c r="V103" s="3934" t="n"/>
      <c r="W103" s="3934" t="n"/>
      <c r="X103" s="3934" t="n"/>
      <c r="Y103" s="3934" t="n"/>
      <c r="Z103" s="3934" t="n"/>
      <c r="AA103" s="3934" t="n"/>
      <c r="AB103" s="3934" t="n"/>
      <c r="AC103" s="3934" t="n"/>
      <c r="AD103" s="3934" t="n"/>
      <c r="AE103" s="3934" t="n"/>
      <c r="AF103" s="3934" t="n"/>
      <c r="AG103" s="3934" t="n"/>
      <c r="AH103" s="3934" t="n"/>
      <c r="AI103" s="3934" t="n"/>
      <c r="AJ103" s="3934" t="n"/>
      <c r="AK103" s="3934" t="n"/>
      <c r="AL103" s="3934" t="n"/>
      <c r="AM103" s="3934" t="n"/>
      <c r="AN103" s="3934" t="n"/>
      <c r="AO103" s="3934" t="n"/>
      <c r="AP103" s="3934" t="n"/>
      <c r="AQ103" s="3934" t="n"/>
      <c r="AR103" s="3934" t="n"/>
    </row>
    <row r="104">
      <c r="A104" s="3941" t="n"/>
      <c r="B104" s="3944" t="n"/>
      <c r="C104" s="3944" t="n"/>
      <c r="D104" s="3944" t="n"/>
      <c r="E104" s="3944" t="n"/>
      <c r="F104" s="3944" t="n"/>
      <c r="G104" s="3944" t="n"/>
      <c r="H104" s="3944" t="n"/>
      <c r="I104" s="3944" t="n"/>
      <c r="J104" s="3944" t="n"/>
      <c r="K104" s="3942">
        <f>IF(A104="","",SUM(E104:J104))</f>
        <v/>
      </c>
      <c r="L104" s="3934" t="n"/>
      <c r="M104" s="3934" t="n"/>
      <c r="N104" s="3934" t="n"/>
      <c r="O104" s="3934" t="n"/>
      <c r="P104" s="3934" t="n"/>
      <c r="Q104" s="3934" t="n"/>
      <c r="R104" s="3934" t="n"/>
      <c r="S104" s="3934" t="n"/>
      <c r="T104" s="3934" t="n"/>
      <c r="U104" s="3934" t="n"/>
      <c r="V104" s="3934" t="n"/>
      <c r="W104" s="3934" t="n"/>
      <c r="X104" s="3934" t="n"/>
      <c r="Y104" s="3934" t="n"/>
      <c r="Z104" s="3934" t="n"/>
      <c r="AA104" s="3934" t="n"/>
      <c r="AB104" s="3934" t="n"/>
      <c r="AC104" s="3934" t="n"/>
      <c r="AD104" s="3934" t="n"/>
      <c r="AE104" s="3934" t="n"/>
      <c r="AF104" s="3934" t="n"/>
      <c r="AG104" s="3934" t="n"/>
      <c r="AH104" s="3934" t="n"/>
      <c r="AI104" s="3934" t="n"/>
      <c r="AJ104" s="3934" t="n"/>
      <c r="AK104" s="3934" t="n"/>
      <c r="AL104" s="3934" t="n"/>
      <c r="AM104" s="3934" t="n"/>
      <c r="AN104" s="3934" t="n"/>
      <c r="AO104" s="3934" t="n"/>
      <c r="AP104" s="3934" t="n"/>
      <c r="AQ104" s="3934" t="n"/>
      <c r="AR104" s="3934" t="n"/>
    </row>
    <row r="105">
      <c r="A105" s="3941" t="n"/>
      <c r="B105" s="3944" t="n"/>
      <c r="C105" s="3944" t="n"/>
      <c r="D105" s="3944" t="n"/>
      <c r="E105" s="3944" t="n"/>
      <c r="F105" s="3944" t="n"/>
      <c r="G105" s="3944" t="n"/>
      <c r="H105" s="3944" t="n"/>
      <c r="I105" s="3944" t="n"/>
      <c r="J105" s="3944" t="n"/>
      <c r="K105" s="3942">
        <f>IF(A105="","",SUM(E105:J105))</f>
        <v/>
      </c>
      <c r="L105" s="3934" t="n"/>
      <c r="M105" s="3934" t="n"/>
      <c r="N105" s="3934" t="n"/>
      <c r="O105" s="3934" t="n"/>
      <c r="P105" s="3934" t="n"/>
      <c r="Q105" s="3934" t="n"/>
      <c r="R105" s="3934" t="n"/>
      <c r="S105" s="3934" t="n"/>
      <c r="T105" s="3934" t="n"/>
      <c r="U105" s="3934" t="n"/>
      <c r="V105" s="3934" t="n"/>
      <c r="W105" s="3934" t="n"/>
      <c r="X105" s="3934" t="n"/>
      <c r="Y105" s="3934" t="n"/>
      <c r="Z105" s="3934" t="n"/>
      <c r="AA105" s="3934" t="n"/>
      <c r="AB105" s="3934" t="n"/>
      <c r="AC105" s="3934" t="n"/>
      <c r="AD105" s="3934" t="n"/>
      <c r="AE105" s="3934" t="n"/>
      <c r="AF105" s="3934" t="n"/>
      <c r="AG105" s="3934" t="n"/>
      <c r="AH105" s="3934" t="n"/>
      <c r="AI105" s="3934" t="n"/>
      <c r="AJ105" s="3934" t="n"/>
      <c r="AK105" s="3934" t="n"/>
      <c r="AL105" s="3934" t="n"/>
      <c r="AM105" s="3934" t="n"/>
      <c r="AN105" s="3934" t="n"/>
      <c r="AO105" s="3934" t="n"/>
      <c r="AP105" s="3934" t="n"/>
      <c r="AQ105" s="3934" t="n"/>
      <c r="AR105" s="3934" t="n"/>
    </row>
    <row r="106">
      <c r="A106" s="3941" t="n"/>
      <c r="B106" s="3944" t="n"/>
      <c r="C106" s="3944" t="n"/>
      <c r="D106" s="3944" t="n"/>
      <c r="E106" s="3944" t="n"/>
      <c r="F106" s="3944" t="n"/>
      <c r="G106" s="3944" t="n"/>
      <c r="H106" s="3944" t="n"/>
      <c r="I106" s="3944" t="n"/>
      <c r="J106" s="3944" t="n"/>
      <c r="K106" s="3942">
        <f>IF(A106="","",SUM(E106:J106))</f>
        <v/>
      </c>
      <c r="L106" s="3934" t="n"/>
      <c r="M106" s="3934" t="n"/>
      <c r="N106" s="3934" t="n"/>
      <c r="O106" s="3934" t="n"/>
      <c r="P106" s="3934" t="n"/>
      <c r="Q106" s="3934" t="n"/>
      <c r="R106" s="3934" t="n"/>
      <c r="S106" s="3934" t="n"/>
      <c r="T106" s="3934" t="n"/>
      <c r="U106" s="3934" t="n"/>
      <c r="V106" s="3934" t="n"/>
      <c r="W106" s="3934" t="n"/>
      <c r="X106" s="3934" t="n"/>
      <c r="Y106" s="3934" t="n"/>
      <c r="Z106" s="3934" t="n"/>
      <c r="AA106" s="3934" t="n"/>
      <c r="AB106" s="3934" t="n"/>
      <c r="AC106" s="3934" t="n"/>
      <c r="AD106" s="3934" t="n"/>
      <c r="AE106" s="3934" t="n"/>
      <c r="AF106" s="3934" t="n"/>
      <c r="AG106" s="3934" t="n"/>
      <c r="AH106" s="3934" t="n"/>
      <c r="AI106" s="3934" t="n"/>
      <c r="AJ106" s="3934" t="n"/>
      <c r="AK106" s="3934" t="n"/>
      <c r="AL106" s="3934" t="n"/>
      <c r="AM106" s="3934" t="n"/>
      <c r="AN106" s="3934" t="n"/>
      <c r="AO106" s="3934" t="n"/>
      <c r="AP106" s="3934" t="n"/>
      <c r="AQ106" s="3934" t="n"/>
      <c r="AR106" s="3934" t="n"/>
    </row>
    <row r="107">
      <c r="A107" s="3941" t="n"/>
      <c r="B107" s="3944" t="n"/>
      <c r="C107" s="3944" t="n"/>
      <c r="D107" s="3944" t="n"/>
      <c r="E107" s="3944" t="n"/>
      <c r="F107" s="3944" t="n"/>
      <c r="G107" s="3944" t="n"/>
      <c r="H107" s="3944" t="n"/>
      <c r="I107" s="3944" t="n"/>
      <c r="J107" s="3944" t="n"/>
      <c r="K107" s="3942">
        <f>IF(A107="","",SUM(E107:J107))</f>
        <v/>
      </c>
      <c r="L107" s="3934" t="n"/>
      <c r="M107" s="3934" t="n"/>
      <c r="N107" s="3934" t="n"/>
      <c r="O107" s="3934" t="n"/>
      <c r="P107" s="3934" t="n"/>
      <c r="Q107" s="3934" t="n"/>
      <c r="R107" s="3934" t="n"/>
      <c r="S107" s="3934" t="n"/>
      <c r="T107" s="3934" t="n"/>
      <c r="U107" s="3934" t="n"/>
      <c r="V107" s="3934" t="n"/>
      <c r="W107" s="3934" t="n"/>
      <c r="X107" s="3934" t="n"/>
      <c r="Y107" s="3934" t="n"/>
      <c r="Z107" s="3934" t="n"/>
      <c r="AA107" s="3934" t="n"/>
      <c r="AB107" s="3934" t="n"/>
      <c r="AC107" s="3934" t="n"/>
      <c r="AD107" s="3934" t="n"/>
      <c r="AE107" s="3934" t="n"/>
      <c r="AF107" s="3934" t="n"/>
      <c r="AG107" s="3934" t="n"/>
      <c r="AH107" s="3934" t="n"/>
      <c r="AI107" s="3934" t="n"/>
      <c r="AJ107" s="3934" t="n"/>
      <c r="AK107" s="3934" t="n"/>
      <c r="AL107" s="3934" t="n"/>
      <c r="AM107" s="3934" t="n"/>
      <c r="AN107" s="3934" t="n"/>
      <c r="AO107" s="3934" t="n"/>
      <c r="AP107" s="3934" t="n"/>
      <c r="AQ107" s="3934" t="n"/>
      <c r="AR107" s="3934" t="n"/>
    </row>
    <row r="108">
      <c r="A108" s="3941" t="n"/>
      <c r="B108" s="3944" t="n"/>
      <c r="C108" s="3944" t="n"/>
      <c r="D108" s="3944" t="n"/>
      <c r="E108" s="3944" t="n"/>
      <c r="F108" s="3944" t="n"/>
      <c r="G108" s="3944" t="n"/>
      <c r="H108" s="3944" t="n"/>
      <c r="I108" s="3944" t="n"/>
      <c r="J108" s="3944" t="n"/>
      <c r="K108" s="3942">
        <f>IF(A108="","",SUM(E108:J108))</f>
        <v/>
      </c>
      <c r="L108" s="3934" t="n"/>
      <c r="M108" s="3934" t="n"/>
      <c r="N108" s="3934" t="n"/>
      <c r="O108" s="3934" t="n"/>
      <c r="P108" s="3934" t="n"/>
      <c r="Q108" s="3934" t="n"/>
      <c r="R108" s="3934" t="n"/>
      <c r="S108" s="3934" t="n"/>
      <c r="T108" s="3934" t="n"/>
      <c r="U108" s="3934" t="n"/>
      <c r="V108" s="3934" t="n"/>
      <c r="W108" s="3934" t="n"/>
      <c r="X108" s="3934" t="n"/>
      <c r="Y108" s="3934" t="n"/>
      <c r="Z108" s="3934" t="n"/>
      <c r="AA108" s="3934" t="n"/>
      <c r="AB108" s="3934" t="n"/>
      <c r="AC108" s="3934" t="n"/>
      <c r="AD108" s="3934" t="n"/>
      <c r="AE108" s="3934" t="n"/>
      <c r="AF108" s="3934" t="n"/>
      <c r="AG108" s="3934" t="n"/>
      <c r="AH108" s="3934" t="n"/>
      <c r="AI108" s="3934" t="n"/>
      <c r="AJ108" s="3934" t="n"/>
      <c r="AK108" s="3934" t="n"/>
      <c r="AL108" s="3934" t="n"/>
      <c r="AM108" s="3934" t="n"/>
      <c r="AN108" s="3934" t="n"/>
      <c r="AO108" s="3934" t="n"/>
      <c r="AP108" s="3934" t="n"/>
      <c r="AQ108" s="3934" t="n"/>
      <c r="AR108" s="3934" t="n"/>
    </row>
    <row r="109">
      <c r="A109" s="3941" t="n"/>
      <c r="B109" s="3944" t="n"/>
      <c r="C109" s="3944" t="n"/>
      <c r="D109" s="3944" t="n"/>
      <c r="E109" s="3944" t="n"/>
      <c r="F109" s="3944" t="n"/>
      <c r="G109" s="3944" t="n"/>
      <c r="H109" s="3944" t="n"/>
      <c r="I109" s="3944" t="n"/>
      <c r="J109" s="3944" t="n"/>
      <c r="K109" s="3942">
        <f>IF(A109="","",SUM(E109:J109))</f>
        <v/>
      </c>
      <c r="L109" s="3934" t="n"/>
      <c r="M109" s="3934" t="n"/>
      <c r="N109" s="3934" t="n"/>
      <c r="O109" s="3934" t="n"/>
      <c r="P109" s="3934" t="n"/>
      <c r="Q109" s="3934" t="n"/>
      <c r="R109" s="3934" t="n"/>
      <c r="S109" s="3934" t="n"/>
      <c r="T109" s="3934" t="n"/>
      <c r="U109" s="3934" t="n"/>
      <c r="V109" s="3934" t="n"/>
      <c r="W109" s="3934" t="n"/>
      <c r="X109" s="3934" t="n"/>
      <c r="Y109" s="3934" t="n"/>
      <c r="Z109" s="3934" t="n"/>
      <c r="AA109" s="3934" t="n"/>
      <c r="AB109" s="3934" t="n"/>
      <c r="AC109" s="3934" t="n"/>
      <c r="AD109" s="3934" t="n"/>
      <c r="AE109" s="3934" t="n"/>
      <c r="AF109" s="3934" t="n"/>
      <c r="AG109" s="3934" t="n"/>
      <c r="AH109" s="3934" t="n"/>
      <c r="AI109" s="3934" t="n"/>
      <c r="AJ109" s="3934" t="n"/>
      <c r="AK109" s="3934" t="n"/>
      <c r="AL109" s="3934" t="n"/>
      <c r="AM109" s="3934" t="n"/>
      <c r="AN109" s="3934" t="n"/>
      <c r="AO109" s="3934" t="n"/>
      <c r="AP109" s="3934" t="n"/>
      <c r="AQ109" s="3934" t="n"/>
      <c r="AR109" s="3934" t="n"/>
    </row>
    <row r="110">
      <c r="A110" s="3941" t="n"/>
      <c r="B110" s="3944" t="n"/>
      <c r="C110" s="3944" t="n"/>
      <c r="D110" s="3944" t="n"/>
      <c r="E110" s="3944" t="n"/>
      <c r="F110" s="3944" t="n"/>
      <c r="G110" s="3944" t="n"/>
      <c r="H110" s="3944" t="n"/>
      <c r="I110" s="3944" t="n"/>
      <c r="J110" s="3944" t="n"/>
      <c r="K110" s="3942">
        <f>IF(A110="","",SUM(E110:J110))</f>
        <v/>
      </c>
      <c r="L110" s="3934" t="n"/>
      <c r="M110" s="3934" t="n"/>
      <c r="N110" s="3934" t="n"/>
      <c r="O110" s="3934" t="n"/>
      <c r="P110" s="3934" t="n"/>
      <c r="Q110" s="3934" t="n"/>
      <c r="R110" s="3934" t="n"/>
      <c r="S110" s="3934" t="n"/>
      <c r="T110" s="3934" t="n"/>
      <c r="U110" s="3934" t="n"/>
      <c r="V110" s="3934" t="n"/>
      <c r="W110" s="3934" t="n"/>
      <c r="X110" s="3934" t="n"/>
      <c r="Y110" s="3934" t="n"/>
      <c r="Z110" s="3934" t="n"/>
      <c r="AA110" s="3934" t="n"/>
      <c r="AB110" s="3934" t="n"/>
      <c r="AC110" s="3934" t="n"/>
      <c r="AD110" s="3934" t="n"/>
      <c r="AE110" s="3934" t="n"/>
      <c r="AF110" s="3934" t="n"/>
      <c r="AG110" s="3934" t="n"/>
      <c r="AH110" s="3934" t="n"/>
      <c r="AI110" s="3934" t="n"/>
      <c r="AJ110" s="3934" t="n"/>
      <c r="AK110" s="3934" t="n"/>
      <c r="AL110" s="3934" t="n"/>
      <c r="AM110" s="3934" t="n"/>
      <c r="AN110" s="3934" t="n"/>
      <c r="AO110" s="3934" t="n"/>
      <c r="AP110" s="3934" t="n"/>
      <c r="AQ110" s="3934" t="n"/>
      <c r="AR110" s="3934" t="n"/>
    </row>
    <row r="111">
      <c r="A111" s="3941" t="n"/>
      <c r="B111" s="3944" t="n"/>
      <c r="C111" s="3944" t="n"/>
      <c r="D111" s="3944" t="n"/>
      <c r="E111" s="3944" t="n"/>
      <c r="F111" s="3944" t="n"/>
      <c r="G111" s="3944" t="n"/>
      <c r="H111" s="3944" t="n"/>
      <c r="I111" s="3944" t="n"/>
      <c r="J111" s="3944" t="n"/>
      <c r="K111" s="3942">
        <f>IF(A111="","",SUM(E111:J111))</f>
        <v/>
      </c>
      <c r="L111" s="3934" t="n"/>
      <c r="M111" s="3934" t="n"/>
      <c r="N111" s="3934" t="n"/>
      <c r="O111" s="3934" t="n"/>
      <c r="P111" s="3934" t="n"/>
      <c r="Q111" s="3934" t="n"/>
      <c r="R111" s="3934" t="n"/>
      <c r="S111" s="3934" t="n"/>
      <c r="T111" s="3934" t="n"/>
      <c r="U111" s="3934" t="n"/>
      <c r="V111" s="3934" t="n"/>
      <c r="W111" s="3934" t="n"/>
      <c r="X111" s="3934" t="n"/>
      <c r="Y111" s="3934" t="n"/>
      <c r="Z111" s="3934" t="n"/>
      <c r="AA111" s="3934" t="n"/>
      <c r="AB111" s="3934" t="n"/>
      <c r="AC111" s="3934" t="n"/>
      <c r="AD111" s="3934" t="n"/>
      <c r="AE111" s="3934" t="n"/>
      <c r="AF111" s="3934" t="n"/>
      <c r="AG111" s="3934" t="n"/>
      <c r="AH111" s="3934" t="n"/>
      <c r="AI111" s="3934" t="n"/>
      <c r="AJ111" s="3934" t="n"/>
      <c r="AK111" s="3934" t="n"/>
      <c r="AL111" s="3934" t="n"/>
      <c r="AM111" s="3934" t="n"/>
      <c r="AN111" s="3934" t="n"/>
      <c r="AO111" s="3934" t="n"/>
      <c r="AP111" s="3934" t="n"/>
      <c r="AQ111" s="3934" t="n"/>
      <c r="AR111" s="3934" t="n"/>
    </row>
    <row r="112">
      <c r="A112" s="3941" t="n"/>
      <c r="B112" s="3944" t="n"/>
      <c r="C112" s="3944" t="n"/>
      <c r="D112" s="3944" t="n"/>
      <c r="E112" s="3944" t="n"/>
      <c r="F112" s="3944" t="n"/>
      <c r="G112" s="3944" t="n"/>
      <c r="H112" s="3944" t="n"/>
      <c r="I112" s="3944" t="n"/>
      <c r="J112" s="3944" t="n"/>
      <c r="K112" s="3942">
        <f>IF(A112="","",SUM(E112:J112))</f>
        <v/>
      </c>
      <c r="L112" s="3934" t="n"/>
      <c r="M112" s="3934" t="n"/>
      <c r="N112" s="3934" t="n"/>
      <c r="O112" s="3934" t="n"/>
      <c r="P112" s="3934" t="n"/>
      <c r="Q112" s="3934" t="n"/>
      <c r="R112" s="3934" t="n"/>
      <c r="S112" s="3934" t="n"/>
      <c r="T112" s="3934" t="n"/>
      <c r="U112" s="3934" t="n"/>
      <c r="V112" s="3934" t="n"/>
      <c r="W112" s="3934" t="n"/>
      <c r="X112" s="3934" t="n"/>
      <c r="Y112" s="3934" t="n"/>
      <c r="Z112" s="3934" t="n"/>
      <c r="AA112" s="3934" t="n"/>
      <c r="AB112" s="3934" t="n"/>
      <c r="AC112" s="3934" t="n"/>
      <c r="AD112" s="3934" t="n"/>
      <c r="AE112" s="3934" t="n"/>
      <c r="AF112" s="3934" t="n"/>
      <c r="AG112" s="3934" t="n"/>
      <c r="AH112" s="3934" t="n"/>
      <c r="AI112" s="3934" t="n"/>
      <c r="AJ112" s="3934" t="n"/>
      <c r="AK112" s="3934" t="n"/>
      <c r="AL112" s="3934" t="n"/>
      <c r="AM112" s="3934" t="n"/>
      <c r="AN112" s="3934" t="n"/>
      <c r="AO112" s="3934" t="n"/>
      <c r="AP112" s="3934" t="n"/>
      <c r="AQ112" s="3934" t="n"/>
      <c r="AR112" s="3934" t="n"/>
    </row>
    <row r="113">
      <c r="A113" s="3941" t="n"/>
      <c r="B113" s="3944" t="n"/>
      <c r="C113" s="3944" t="n"/>
      <c r="D113" s="3944" t="n"/>
      <c r="E113" s="3944" t="n"/>
      <c r="F113" s="3944" t="n"/>
      <c r="G113" s="3944" t="n"/>
      <c r="H113" s="3944" t="n"/>
      <c r="I113" s="3944" t="n"/>
      <c r="J113" s="3944" t="n"/>
      <c r="K113" s="3942">
        <f>IF(A113="","",SUM(E113:J113))</f>
        <v/>
      </c>
      <c r="L113" s="3934" t="n"/>
      <c r="M113" s="3934" t="n"/>
      <c r="N113" s="3934" t="n"/>
      <c r="O113" s="3934" t="n"/>
      <c r="P113" s="3934" t="n"/>
      <c r="Q113" s="3934" t="n"/>
      <c r="R113" s="3934" t="n"/>
      <c r="S113" s="3934" t="n"/>
      <c r="T113" s="3934" t="n"/>
      <c r="U113" s="3934" t="n"/>
      <c r="V113" s="3934" t="n"/>
      <c r="W113" s="3934" t="n"/>
      <c r="X113" s="3934" t="n"/>
      <c r="Y113" s="3934" t="n"/>
      <c r="Z113" s="3934" t="n"/>
      <c r="AA113" s="3934" t="n"/>
      <c r="AB113" s="3934" t="n"/>
      <c r="AC113" s="3934" t="n"/>
      <c r="AD113" s="3934" t="n"/>
      <c r="AE113" s="3934" t="n"/>
      <c r="AF113" s="3934" t="n"/>
      <c r="AG113" s="3934" t="n"/>
      <c r="AH113" s="3934" t="n"/>
      <c r="AI113" s="3934" t="n"/>
      <c r="AJ113" s="3934" t="n"/>
      <c r="AK113" s="3934" t="n"/>
      <c r="AL113" s="3934" t="n"/>
      <c r="AM113" s="3934" t="n"/>
      <c r="AN113" s="3934" t="n"/>
      <c r="AO113" s="3934" t="n"/>
      <c r="AP113" s="3934" t="n"/>
      <c r="AQ113" s="3934" t="n"/>
      <c r="AR113" s="3934" t="n"/>
    </row>
    <row r="114">
      <c r="A114" s="3941" t="n"/>
      <c r="B114" s="3944" t="n"/>
      <c r="C114" s="3944" t="n"/>
      <c r="D114" s="3944" t="n"/>
      <c r="E114" s="3944" t="n"/>
      <c r="F114" s="3944" t="n"/>
      <c r="G114" s="3944" t="n"/>
      <c r="H114" s="3944" t="n"/>
      <c r="I114" s="3944" t="n"/>
      <c r="J114" s="3944" t="n"/>
      <c r="K114" s="3942">
        <f>IF(A114="","",SUM(E114:J114))</f>
        <v/>
      </c>
      <c r="L114" s="3934" t="n"/>
      <c r="M114" s="3934" t="n"/>
      <c r="N114" s="3934" t="n"/>
      <c r="O114" s="3934" t="n"/>
      <c r="P114" s="3934" t="n"/>
      <c r="Q114" s="3934" t="n"/>
      <c r="R114" s="3934" t="n"/>
      <c r="S114" s="3934" t="n"/>
      <c r="T114" s="3934" t="n"/>
      <c r="U114" s="3934" t="n"/>
      <c r="V114" s="3934" t="n"/>
      <c r="W114" s="3934" t="n"/>
      <c r="X114" s="3934" t="n"/>
      <c r="Y114" s="3934" t="n"/>
      <c r="Z114" s="3934" t="n"/>
      <c r="AA114" s="3934" t="n"/>
      <c r="AB114" s="3934" t="n"/>
      <c r="AC114" s="3934" t="n"/>
      <c r="AD114" s="3934" t="n"/>
      <c r="AE114" s="3934" t="n"/>
      <c r="AF114" s="3934" t="n"/>
      <c r="AG114" s="3934" t="n"/>
      <c r="AH114" s="3934" t="n"/>
      <c r="AI114" s="3934" t="n"/>
      <c r="AJ114" s="3934" t="n"/>
      <c r="AK114" s="3934" t="n"/>
      <c r="AL114" s="3934" t="n"/>
      <c r="AM114" s="3934" t="n"/>
      <c r="AN114" s="3934" t="n"/>
      <c r="AO114" s="3934" t="n"/>
      <c r="AP114" s="3934" t="n"/>
      <c r="AQ114" s="3934" t="n"/>
      <c r="AR114" s="3934" t="n"/>
    </row>
    <row r="115">
      <c r="A115" s="3941" t="n"/>
      <c r="B115" s="3944" t="n"/>
      <c r="C115" s="3944" t="n"/>
      <c r="D115" s="3944" t="n"/>
      <c r="E115" s="3944" t="n"/>
      <c r="F115" s="3944" t="n"/>
      <c r="G115" s="3944" t="n"/>
      <c r="H115" s="3944" t="n"/>
      <c r="I115" s="3944" t="n"/>
      <c r="J115" s="3944" t="n"/>
      <c r="K115" s="3942">
        <f>IF(A115="","",SUM(E115:J115))</f>
        <v/>
      </c>
      <c r="L115" s="3934" t="n"/>
      <c r="M115" s="3934" t="n"/>
      <c r="N115" s="3934" t="n"/>
      <c r="O115" s="3934" t="n"/>
      <c r="P115" s="3934" t="n"/>
      <c r="Q115" s="3934" t="n"/>
      <c r="R115" s="3934" t="n"/>
      <c r="S115" s="3934" t="n"/>
      <c r="T115" s="3934" t="n"/>
      <c r="U115" s="3934" t="n"/>
      <c r="V115" s="3934" t="n"/>
      <c r="W115" s="3934" t="n"/>
      <c r="X115" s="3934" t="n"/>
      <c r="Y115" s="3934" t="n"/>
      <c r="Z115" s="3934" t="n"/>
      <c r="AA115" s="3934" t="n"/>
      <c r="AB115" s="3934" t="n"/>
      <c r="AC115" s="3934" t="n"/>
      <c r="AD115" s="3934" t="n"/>
      <c r="AE115" s="3934" t="n"/>
      <c r="AF115" s="3934" t="n"/>
      <c r="AG115" s="3934" t="n"/>
      <c r="AH115" s="3934" t="n"/>
      <c r="AI115" s="3934" t="n"/>
      <c r="AJ115" s="3934" t="n"/>
      <c r="AK115" s="3934" t="n"/>
      <c r="AL115" s="3934" t="n"/>
      <c r="AM115" s="3934" t="n"/>
      <c r="AN115" s="3934" t="n"/>
      <c r="AO115" s="3934" t="n"/>
      <c r="AP115" s="3934" t="n"/>
      <c r="AQ115" s="3934" t="n"/>
      <c r="AR115" s="3934" t="n"/>
    </row>
    <row r="116">
      <c r="A116" s="3941" t="n"/>
      <c r="B116" s="3944" t="n"/>
      <c r="C116" s="3944" t="n"/>
      <c r="D116" s="3944" t="n"/>
      <c r="E116" s="3944" t="n"/>
      <c r="F116" s="3944" t="n"/>
      <c r="G116" s="3944" t="n"/>
      <c r="H116" s="3944" t="n"/>
      <c r="I116" s="3944" t="n"/>
      <c r="J116" s="3944" t="n"/>
      <c r="K116" s="3942">
        <f>IF(A116="","",SUM(E116:J116))</f>
        <v/>
      </c>
      <c r="L116" s="3934" t="n"/>
      <c r="M116" s="3934" t="n"/>
      <c r="N116" s="3934" t="n"/>
      <c r="O116" s="3934" t="n"/>
      <c r="P116" s="3934" t="n"/>
      <c r="Q116" s="3934" t="n"/>
      <c r="R116" s="3934" t="n"/>
      <c r="S116" s="3934" t="n"/>
      <c r="T116" s="3934" t="n"/>
      <c r="U116" s="3934" t="n"/>
      <c r="V116" s="3934" t="n"/>
      <c r="W116" s="3934" t="n"/>
      <c r="X116" s="3934" t="n"/>
      <c r="Y116" s="3934" t="n"/>
      <c r="Z116" s="3934" t="n"/>
      <c r="AA116" s="3934" t="n"/>
      <c r="AB116" s="3934" t="n"/>
      <c r="AC116" s="3934" t="n"/>
      <c r="AD116" s="3934" t="n"/>
      <c r="AE116" s="3934" t="n"/>
      <c r="AF116" s="3934" t="n"/>
      <c r="AG116" s="3934" t="n"/>
      <c r="AH116" s="3934" t="n"/>
      <c r="AI116" s="3934" t="n"/>
      <c r="AJ116" s="3934" t="n"/>
      <c r="AK116" s="3934" t="n"/>
      <c r="AL116" s="3934" t="n"/>
      <c r="AM116" s="3934" t="n"/>
      <c r="AN116" s="3934" t="n"/>
      <c r="AO116" s="3934" t="n"/>
      <c r="AP116" s="3934" t="n"/>
      <c r="AQ116" s="3934" t="n"/>
      <c r="AR116" s="3934" t="n"/>
    </row>
    <row r="117">
      <c r="A117" s="3941" t="n"/>
      <c r="B117" s="3944" t="n"/>
      <c r="C117" s="3944" t="n"/>
      <c r="D117" s="3944" t="n"/>
      <c r="E117" s="3944" t="n"/>
      <c r="F117" s="3944" t="n"/>
      <c r="G117" s="3944" t="n"/>
      <c r="H117" s="3944" t="n"/>
      <c r="I117" s="3944" t="n"/>
      <c r="J117" s="3944" t="n"/>
      <c r="K117" s="3942">
        <f>IF(A117="","",SUM(E117:J117))</f>
        <v/>
      </c>
      <c r="L117" s="3934" t="n"/>
      <c r="M117" s="3934" t="n"/>
      <c r="N117" s="3934" t="n"/>
      <c r="O117" s="3934" t="n"/>
      <c r="P117" s="3934" t="n"/>
      <c r="Q117" s="3934" t="n"/>
      <c r="R117" s="3934" t="n"/>
      <c r="S117" s="3934" t="n"/>
      <c r="T117" s="3934" t="n"/>
      <c r="U117" s="3934" t="n"/>
      <c r="V117" s="3934" t="n"/>
      <c r="W117" s="3934" t="n"/>
      <c r="X117" s="3934" t="n"/>
      <c r="Y117" s="3934" t="n"/>
      <c r="Z117" s="3934" t="n"/>
      <c r="AA117" s="3934" t="n"/>
      <c r="AB117" s="3934" t="n"/>
      <c r="AC117" s="3934" t="n"/>
      <c r="AD117" s="3934" t="n"/>
      <c r="AE117" s="3934" t="n"/>
      <c r="AF117" s="3934" t="n"/>
      <c r="AG117" s="3934" t="n"/>
      <c r="AH117" s="3934" t="n"/>
      <c r="AI117" s="3934" t="n"/>
      <c r="AJ117" s="3934" t="n"/>
      <c r="AK117" s="3934" t="n"/>
      <c r="AL117" s="3934" t="n"/>
      <c r="AM117" s="3934" t="n"/>
      <c r="AN117" s="3934" t="n"/>
      <c r="AO117" s="3934" t="n"/>
      <c r="AP117" s="3934" t="n"/>
      <c r="AQ117" s="3934" t="n"/>
      <c r="AR117" s="3934" t="n"/>
    </row>
    <row r="118">
      <c r="A118" s="3941" t="n"/>
      <c r="B118" s="3944" t="n"/>
      <c r="C118" s="3944" t="n"/>
      <c r="D118" s="3944" t="n"/>
      <c r="E118" s="3944" t="n"/>
      <c r="F118" s="3944" t="n"/>
      <c r="G118" s="3944" t="n"/>
      <c r="H118" s="3944" t="n"/>
      <c r="I118" s="3944" t="n"/>
      <c r="J118" s="3944" t="n"/>
      <c r="K118" s="3942">
        <f>IF(A118="","",SUM(E118:J118))</f>
        <v/>
      </c>
      <c r="L118" s="3934" t="n"/>
      <c r="M118" s="3934" t="n"/>
      <c r="N118" s="3934" t="n"/>
      <c r="O118" s="3934" t="n"/>
      <c r="P118" s="3934" t="n"/>
      <c r="Q118" s="3934" t="n"/>
      <c r="R118" s="3934" t="n"/>
      <c r="S118" s="3934" t="n"/>
      <c r="T118" s="3934" t="n"/>
      <c r="U118" s="3934" t="n"/>
      <c r="V118" s="3934" t="n"/>
      <c r="W118" s="3934" t="n"/>
      <c r="X118" s="3934" t="n"/>
      <c r="Y118" s="3934" t="n"/>
      <c r="Z118" s="3934" t="n"/>
      <c r="AA118" s="3934" t="n"/>
      <c r="AB118" s="3934" t="n"/>
      <c r="AC118" s="3934" t="n"/>
      <c r="AD118" s="3934" t="n"/>
      <c r="AE118" s="3934" t="n"/>
      <c r="AF118" s="3934" t="n"/>
      <c r="AG118" s="3934" t="n"/>
      <c r="AH118" s="3934" t="n"/>
      <c r="AI118" s="3934" t="n"/>
      <c r="AJ118" s="3934" t="n"/>
      <c r="AK118" s="3934" t="n"/>
      <c r="AL118" s="3934" t="n"/>
      <c r="AM118" s="3934" t="n"/>
      <c r="AN118" s="3934" t="n"/>
      <c r="AO118" s="3934" t="n"/>
      <c r="AP118" s="3934" t="n"/>
      <c r="AQ118" s="3934" t="n"/>
      <c r="AR118" s="3934" t="n"/>
    </row>
    <row r="119">
      <c r="A119" s="3941" t="n"/>
      <c r="B119" s="3944" t="n"/>
      <c r="C119" s="3944" t="n"/>
      <c r="D119" s="3944" t="n"/>
      <c r="E119" s="3944" t="n"/>
      <c r="F119" s="3944" t="n"/>
      <c r="G119" s="3944" t="n"/>
      <c r="H119" s="3944" t="n"/>
      <c r="I119" s="3944" t="n"/>
      <c r="J119" s="3944" t="n"/>
      <c r="K119" s="3942">
        <f>IF(A119="","",SUM(E119:J119))</f>
        <v/>
      </c>
      <c r="L119" s="3934" t="n"/>
      <c r="M119" s="3934" t="n"/>
      <c r="N119" s="3934" t="n"/>
      <c r="O119" s="3934" t="n"/>
      <c r="P119" s="3934" t="n"/>
      <c r="Q119" s="3934" t="n"/>
      <c r="R119" s="3934" t="n"/>
      <c r="S119" s="3934" t="n"/>
      <c r="T119" s="3934" t="n"/>
      <c r="U119" s="3934" t="n"/>
      <c r="V119" s="3934" t="n"/>
      <c r="W119" s="3934" t="n"/>
      <c r="X119" s="3934" t="n"/>
      <c r="Y119" s="3934" t="n"/>
      <c r="Z119" s="3934" t="n"/>
      <c r="AA119" s="3934" t="n"/>
      <c r="AB119" s="3934" t="n"/>
      <c r="AC119" s="3934" t="n"/>
      <c r="AD119" s="3934" t="n"/>
      <c r="AE119" s="3934" t="n"/>
      <c r="AF119" s="3934" t="n"/>
      <c r="AG119" s="3934" t="n"/>
      <c r="AH119" s="3934" t="n"/>
      <c r="AI119" s="3934" t="n"/>
      <c r="AJ119" s="3934" t="n"/>
      <c r="AK119" s="3934" t="n"/>
      <c r="AL119" s="3934" t="n"/>
      <c r="AM119" s="3934" t="n"/>
      <c r="AN119" s="3934" t="n"/>
      <c r="AO119" s="3934" t="n"/>
      <c r="AP119" s="3934" t="n"/>
      <c r="AQ119" s="3934" t="n"/>
      <c r="AR119" s="3934" t="n"/>
    </row>
    <row r="120">
      <c r="A120" s="3941" t="n"/>
      <c r="B120" s="3944" t="n"/>
      <c r="C120" s="3944" t="n"/>
      <c r="D120" s="3944" t="n"/>
      <c r="E120" s="3944" t="n"/>
      <c r="F120" s="3944" t="n"/>
      <c r="G120" s="3944" t="n"/>
      <c r="H120" s="3944" t="n"/>
      <c r="I120" s="3944" t="n"/>
      <c r="J120" s="3944" t="n"/>
      <c r="K120" s="3942">
        <f>IF(A120="","",SUM(E120:J120))</f>
        <v/>
      </c>
      <c r="L120" s="3934" t="n"/>
      <c r="M120" s="3934" t="n"/>
      <c r="N120" s="3934" t="n"/>
      <c r="O120" s="3934" t="n"/>
      <c r="P120" s="3934" t="n"/>
      <c r="Q120" s="3934" t="n"/>
      <c r="R120" s="3934" t="n"/>
      <c r="S120" s="3934" t="n"/>
      <c r="T120" s="3934" t="n"/>
      <c r="U120" s="3934" t="n"/>
      <c r="V120" s="3934" t="n"/>
      <c r="W120" s="3934" t="n"/>
      <c r="X120" s="3934" t="n"/>
      <c r="Y120" s="3934" t="n"/>
      <c r="Z120" s="3934" t="n"/>
      <c r="AA120" s="3934" t="n"/>
      <c r="AB120" s="3934" t="n"/>
      <c r="AC120" s="3934" t="n"/>
      <c r="AD120" s="3934" t="n"/>
      <c r="AE120" s="3934" t="n"/>
      <c r="AF120" s="3934" t="n"/>
      <c r="AG120" s="3934" t="n"/>
      <c r="AH120" s="3934" t="n"/>
      <c r="AI120" s="3934" t="n"/>
      <c r="AJ120" s="3934" t="n"/>
      <c r="AK120" s="3934" t="n"/>
      <c r="AL120" s="3934" t="n"/>
      <c r="AM120" s="3934" t="n"/>
      <c r="AN120" s="3934" t="n"/>
      <c r="AO120" s="3934" t="n"/>
      <c r="AP120" s="3934" t="n"/>
      <c r="AQ120" s="3934" t="n"/>
      <c r="AR120" s="3934" t="n"/>
    </row>
    <row r="121">
      <c r="A121" s="3941" t="n"/>
      <c r="B121" s="3944" t="n"/>
      <c r="C121" s="3944" t="n"/>
      <c r="D121" s="3944" t="n"/>
      <c r="E121" s="3944" t="n"/>
      <c r="F121" s="3944" t="n"/>
      <c r="G121" s="3944" t="n"/>
      <c r="H121" s="3944" t="n"/>
      <c r="I121" s="3944" t="n"/>
      <c r="J121" s="3944" t="n"/>
      <c r="K121" s="3942">
        <f>IF(A121="","",SUM(E121:J121))</f>
        <v/>
      </c>
      <c r="L121" s="3934" t="n"/>
      <c r="M121" s="3934" t="n"/>
      <c r="N121" s="3934" t="n"/>
      <c r="O121" s="3934" t="n"/>
      <c r="P121" s="3934" t="n"/>
      <c r="Q121" s="3934" t="n"/>
      <c r="R121" s="3934" t="n"/>
      <c r="S121" s="3934" t="n"/>
      <c r="T121" s="3934" t="n"/>
      <c r="U121" s="3934" t="n"/>
      <c r="V121" s="3934" t="n"/>
      <c r="W121" s="3934" t="n"/>
      <c r="X121" s="3934" t="n"/>
      <c r="Y121" s="3934" t="n"/>
      <c r="Z121" s="3934" t="n"/>
      <c r="AA121" s="3934" t="n"/>
      <c r="AB121" s="3934" t="n"/>
      <c r="AC121" s="3934" t="n"/>
      <c r="AD121" s="3934" t="n"/>
      <c r="AE121" s="3934" t="n"/>
      <c r="AF121" s="3934" t="n"/>
      <c r="AG121" s="3934" t="n"/>
      <c r="AH121" s="3934" t="n"/>
      <c r="AI121" s="3934" t="n"/>
      <c r="AJ121" s="3934" t="n"/>
      <c r="AK121" s="3934" t="n"/>
      <c r="AL121" s="3934" t="n"/>
      <c r="AM121" s="3934" t="n"/>
      <c r="AN121" s="3934" t="n"/>
      <c r="AO121" s="3934" t="n"/>
      <c r="AP121" s="3934" t="n"/>
      <c r="AQ121" s="3934" t="n"/>
      <c r="AR121" s="3934" t="n"/>
    </row>
    <row r="122">
      <c r="A122" s="3941" t="n"/>
      <c r="B122" s="3944" t="n"/>
      <c r="C122" s="3944" t="n"/>
      <c r="D122" s="3944" t="n"/>
      <c r="E122" s="3944" t="n"/>
      <c r="F122" s="3944" t="n"/>
      <c r="G122" s="3944" t="n"/>
      <c r="H122" s="3944" t="n"/>
      <c r="I122" s="3944" t="n"/>
      <c r="J122" s="3944" t="n"/>
      <c r="K122" s="3942">
        <f>IF(A122="","",SUM(E122:J122))</f>
        <v/>
      </c>
      <c r="L122" s="3934" t="n"/>
      <c r="M122" s="3934" t="n"/>
      <c r="N122" s="3934" t="n"/>
      <c r="O122" s="3934" t="n"/>
      <c r="P122" s="3934" t="n"/>
      <c r="Q122" s="3934" t="n"/>
      <c r="R122" s="3934" t="n"/>
      <c r="S122" s="3934" t="n"/>
      <c r="T122" s="3934" t="n"/>
      <c r="U122" s="3934" t="n"/>
      <c r="V122" s="3934" t="n"/>
      <c r="W122" s="3934" t="n"/>
      <c r="X122" s="3934" t="n"/>
      <c r="Y122" s="3934" t="n"/>
      <c r="Z122" s="3934" t="n"/>
      <c r="AA122" s="3934" t="n"/>
      <c r="AB122" s="3934" t="n"/>
      <c r="AC122" s="3934" t="n"/>
      <c r="AD122" s="3934" t="n"/>
      <c r="AE122" s="3934" t="n"/>
      <c r="AF122" s="3934" t="n"/>
      <c r="AG122" s="3934" t="n"/>
      <c r="AH122" s="3934" t="n"/>
      <c r="AI122" s="3934" t="n"/>
      <c r="AJ122" s="3934" t="n"/>
      <c r="AK122" s="3934" t="n"/>
      <c r="AL122" s="3934" t="n"/>
      <c r="AM122" s="3934" t="n"/>
      <c r="AN122" s="3934" t="n"/>
      <c r="AO122" s="3934" t="n"/>
      <c r="AP122" s="3934" t="n"/>
      <c r="AQ122" s="3934" t="n"/>
      <c r="AR122" s="3934" t="n"/>
    </row>
    <row r="123">
      <c r="A123" s="3941" t="n"/>
      <c r="B123" s="3944" t="n"/>
      <c r="C123" s="3944" t="n"/>
      <c r="D123" s="3944" t="n"/>
      <c r="E123" s="3944" t="n"/>
      <c r="F123" s="3944" t="n"/>
      <c r="G123" s="3944" t="n"/>
      <c r="H123" s="3944" t="n"/>
      <c r="I123" s="3944" t="n"/>
      <c r="J123" s="3944" t="n"/>
      <c r="K123" s="3942">
        <f>IF(A123="","",SUM(E123:J123))</f>
        <v/>
      </c>
      <c r="L123" s="3934" t="n"/>
      <c r="M123" s="3934" t="n"/>
      <c r="N123" s="3934" t="n"/>
      <c r="O123" s="3934" t="n"/>
      <c r="P123" s="3934" t="n"/>
      <c r="Q123" s="3934" t="n"/>
      <c r="R123" s="3934" t="n"/>
      <c r="S123" s="3934" t="n"/>
      <c r="T123" s="3934" t="n"/>
      <c r="U123" s="3934" t="n"/>
      <c r="V123" s="3934" t="n"/>
      <c r="W123" s="3934" t="n"/>
      <c r="X123" s="3934" t="n"/>
      <c r="Y123" s="3934" t="n"/>
      <c r="Z123" s="3934" t="n"/>
      <c r="AA123" s="3934" t="n"/>
      <c r="AB123" s="3934" t="n"/>
      <c r="AC123" s="3934" t="n"/>
      <c r="AD123" s="3934" t="n"/>
      <c r="AE123" s="3934" t="n"/>
      <c r="AF123" s="3934" t="n"/>
      <c r="AG123" s="3934" t="n"/>
      <c r="AH123" s="3934" t="n"/>
      <c r="AI123" s="3934" t="n"/>
      <c r="AJ123" s="3934" t="n"/>
      <c r="AK123" s="3934" t="n"/>
      <c r="AL123" s="3934" t="n"/>
      <c r="AM123" s="3934" t="n"/>
      <c r="AN123" s="3934" t="n"/>
      <c r="AO123" s="3934" t="n"/>
      <c r="AP123" s="3934" t="n"/>
      <c r="AQ123" s="3934" t="n"/>
      <c r="AR123" s="3934" t="n"/>
    </row>
    <row r="124">
      <c r="A124" s="3941" t="n"/>
      <c r="B124" s="3944" t="n"/>
      <c r="C124" s="3944" t="n"/>
      <c r="D124" s="3944" t="n"/>
      <c r="E124" s="3944" t="n"/>
      <c r="F124" s="3944" t="n"/>
      <c r="G124" s="3944" t="n"/>
      <c r="H124" s="3944" t="n"/>
      <c r="I124" s="3944" t="n"/>
      <c r="J124" s="3944" t="n"/>
      <c r="K124" s="3942">
        <f>IF(A124="","",SUM(E124:J124))</f>
        <v/>
      </c>
      <c r="L124" s="3934" t="n"/>
      <c r="M124" s="3934" t="n"/>
      <c r="N124" s="3934" t="n"/>
      <c r="O124" s="3934" t="n"/>
      <c r="P124" s="3934" t="n"/>
      <c r="Q124" s="3934" t="n"/>
      <c r="R124" s="3934" t="n"/>
      <c r="S124" s="3934" t="n"/>
      <c r="T124" s="3934" t="n"/>
      <c r="U124" s="3934" t="n"/>
      <c r="V124" s="3934" t="n"/>
      <c r="W124" s="3934" t="n"/>
      <c r="X124" s="3934" t="n"/>
      <c r="Y124" s="3934" t="n"/>
      <c r="Z124" s="3934" t="n"/>
      <c r="AA124" s="3934" t="n"/>
      <c r="AB124" s="3934" t="n"/>
      <c r="AC124" s="3934" t="n"/>
      <c r="AD124" s="3934" t="n"/>
      <c r="AE124" s="3934" t="n"/>
      <c r="AF124" s="3934" t="n"/>
      <c r="AG124" s="3934" t="n"/>
      <c r="AH124" s="3934" t="n"/>
      <c r="AI124" s="3934" t="n"/>
      <c r="AJ124" s="3934" t="n"/>
      <c r="AK124" s="3934" t="n"/>
      <c r="AL124" s="3934" t="n"/>
      <c r="AM124" s="3934" t="n"/>
      <c r="AN124" s="3934" t="n"/>
      <c r="AO124" s="3934" t="n"/>
      <c r="AP124" s="3934" t="n"/>
      <c r="AQ124" s="3934" t="n"/>
      <c r="AR124" s="3934" t="n"/>
    </row>
    <row r="125">
      <c r="A125" s="3941" t="n"/>
      <c r="B125" s="3944" t="n"/>
      <c r="C125" s="3944" t="n"/>
      <c r="D125" s="3944" t="n"/>
      <c r="E125" s="3944" t="n"/>
      <c r="F125" s="3944" t="n"/>
      <c r="G125" s="3944" t="n"/>
      <c r="H125" s="3944" t="n"/>
      <c r="I125" s="3944" t="n"/>
      <c r="J125" s="3944" t="n"/>
      <c r="K125" s="3942">
        <f>IF(A125="","",SUM(E125:J125))</f>
        <v/>
      </c>
      <c r="L125" s="3934" t="n"/>
      <c r="M125" s="3934" t="n"/>
      <c r="N125" s="3934" t="n"/>
      <c r="O125" s="3934" t="n"/>
      <c r="P125" s="3934" t="n"/>
      <c r="Q125" s="3934" t="n"/>
      <c r="R125" s="3934" t="n"/>
      <c r="S125" s="3934" t="n"/>
      <c r="T125" s="3934" t="n"/>
      <c r="U125" s="3934" t="n"/>
      <c r="V125" s="3934" t="n"/>
      <c r="W125" s="3934" t="n"/>
      <c r="X125" s="3934" t="n"/>
      <c r="Y125" s="3934" t="n"/>
      <c r="Z125" s="3934" t="n"/>
      <c r="AA125" s="3934" t="n"/>
      <c r="AB125" s="3934" t="n"/>
      <c r="AC125" s="3934" t="n"/>
      <c r="AD125" s="3934" t="n"/>
      <c r="AE125" s="3934" t="n"/>
      <c r="AF125" s="3934" t="n"/>
      <c r="AG125" s="3934" t="n"/>
      <c r="AH125" s="3934" t="n"/>
      <c r="AI125" s="3934" t="n"/>
      <c r="AJ125" s="3934" t="n"/>
      <c r="AK125" s="3934" t="n"/>
      <c r="AL125" s="3934" t="n"/>
      <c r="AM125" s="3934" t="n"/>
      <c r="AN125" s="3934" t="n"/>
      <c r="AO125" s="3934" t="n"/>
      <c r="AP125" s="3934" t="n"/>
      <c r="AQ125" s="3934" t="n"/>
      <c r="AR125" s="3934" t="n"/>
    </row>
    <row r="126">
      <c r="A126" s="3941" t="n"/>
      <c r="B126" s="3944" t="n"/>
      <c r="C126" s="3944" t="n"/>
      <c r="D126" s="3944" t="n"/>
      <c r="E126" s="3944" t="n"/>
      <c r="F126" s="3944" t="n"/>
      <c r="G126" s="3944" t="n"/>
      <c r="H126" s="3944" t="n"/>
      <c r="I126" s="3944" t="n"/>
      <c r="J126" s="3944" t="n"/>
      <c r="K126" s="3942">
        <f>IF(A126="","",SUM(E126:J126))</f>
        <v/>
      </c>
      <c r="L126" s="3934" t="n"/>
      <c r="M126" s="3934" t="n"/>
      <c r="N126" s="3934" t="n"/>
      <c r="O126" s="3934" t="n"/>
      <c r="P126" s="3934" t="n"/>
      <c r="Q126" s="3934" t="n"/>
      <c r="R126" s="3934" t="n"/>
      <c r="S126" s="3934" t="n"/>
      <c r="T126" s="3934" t="n"/>
      <c r="U126" s="3934" t="n"/>
      <c r="V126" s="3934" t="n"/>
      <c r="W126" s="3934" t="n"/>
      <c r="X126" s="3934" t="n"/>
      <c r="Y126" s="3934" t="n"/>
      <c r="Z126" s="3934" t="n"/>
      <c r="AA126" s="3934" t="n"/>
      <c r="AB126" s="3934" t="n"/>
      <c r="AC126" s="3934" t="n"/>
      <c r="AD126" s="3934" t="n"/>
      <c r="AE126" s="3934" t="n"/>
      <c r="AF126" s="3934" t="n"/>
      <c r="AG126" s="3934" t="n"/>
      <c r="AH126" s="3934" t="n"/>
      <c r="AI126" s="3934" t="n"/>
      <c r="AJ126" s="3934" t="n"/>
      <c r="AK126" s="3934" t="n"/>
      <c r="AL126" s="3934" t="n"/>
      <c r="AM126" s="3934" t="n"/>
      <c r="AN126" s="3934" t="n"/>
      <c r="AO126" s="3934" t="n"/>
      <c r="AP126" s="3934" t="n"/>
      <c r="AQ126" s="3934" t="n"/>
      <c r="AR126" s="3934" t="n"/>
    </row>
    <row r="127">
      <c r="A127" s="3941" t="n"/>
      <c r="B127" s="3944" t="n"/>
      <c r="C127" s="3944" t="n"/>
      <c r="D127" s="3944" t="n"/>
      <c r="E127" s="3944" t="n"/>
      <c r="F127" s="3944" t="n"/>
      <c r="G127" s="3944" t="n"/>
      <c r="H127" s="3944" t="n"/>
      <c r="I127" s="3944" t="n"/>
      <c r="J127" s="3944" t="n"/>
      <c r="K127" s="3942">
        <f>IF(A127="","",SUM(E127:J127))</f>
        <v/>
      </c>
      <c r="L127" s="3934" t="n"/>
      <c r="M127" s="3934" t="n"/>
      <c r="N127" s="3934" t="n"/>
      <c r="O127" s="3934" t="n"/>
      <c r="P127" s="3934" t="n"/>
      <c r="Q127" s="3934" t="n"/>
      <c r="R127" s="3934" t="n"/>
      <c r="S127" s="3934" t="n"/>
      <c r="T127" s="3934" t="n"/>
      <c r="U127" s="3934" t="n"/>
      <c r="V127" s="3934" t="n"/>
      <c r="W127" s="3934" t="n"/>
      <c r="X127" s="3934" t="n"/>
      <c r="Y127" s="3934" t="n"/>
      <c r="Z127" s="3934" t="n"/>
      <c r="AA127" s="3934" t="n"/>
      <c r="AB127" s="3934" t="n"/>
      <c r="AC127" s="3934" t="n"/>
      <c r="AD127" s="3934" t="n"/>
      <c r="AE127" s="3934" t="n"/>
      <c r="AF127" s="3934" t="n"/>
      <c r="AG127" s="3934" t="n"/>
      <c r="AH127" s="3934" t="n"/>
      <c r="AI127" s="3934" t="n"/>
      <c r="AJ127" s="3934" t="n"/>
      <c r="AK127" s="3934" t="n"/>
      <c r="AL127" s="3934" t="n"/>
      <c r="AM127" s="3934" t="n"/>
      <c r="AN127" s="3934" t="n"/>
      <c r="AO127" s="3934" t="n"/>
      <c r="AP127" s="3934" t="n"/>
      <c r="AQ127" s="3934" t="n"/>
      <c r="AR127" s="3934" t="n"/>
    </row>
    <row r="128">
      <c r="A128" s="3941" t="n"/>
      <c r="B128" s="3944" t="n"/>
      <c r="C128" s="3944" t="n"/>
      <c r="D128" s="3944" t="n"/>
      <c r="E128" s="3944" t="n"/>
      <c r="F128" s="3944" t="n"/>
      <c r="G128" s="3944" t="n"/>
      <c r="H128" s="3944" t="n"/>
      <c r="I128" s="3944" t="n"/>
      <c r="J128" s="3944" t="n"/>
      <c r="K128" s="3942">
        <f>IF(A128="","",SUM(E128:J128))</f>
        <v/>
      </c>
      <c r="L128" s="3934" t="n"/>
      <c r="M128" s="3934" t="n"/>
      <c r="N128" s="3934" t="n"/>
      <c r="O128" s="3934" t="n"/>
      <c r="P128" s="3934" t="n"/>
      <c r="Q128" s="3934" t="n"/>
      <c r="R128" s="3934" t="n"/>
      <c r="S128" s="3934" t="n"/>
      <c r="T128" s="3934" t="n"/>
      <c r="U128" s="3934" t="n"/>
      <c r="V128" s="3934" t="n"/>
      <c r="W128" s="3934" t="n"/>
      <c r="X128" s="3934" t="n"/>
      <c r="Y128" s="3934" t="n"/>
      <c r="Z128" s="3934" t="n"/>
      <c r="AA128" s="3934" t="n"/>
      <c r="AB128" s="3934" t="n"/>
      <c r="AC128" s="3934" t="n"/>
      <c r="AD128" s="3934" t="n"/>
      <c r="AE128" s="3934" t="n"/>
      <c r="AF128" s="3934" t="n"/>
      <c r="AG128" s="3934" t="n"/>
      <c r="AH128" s="3934" t="n"/>
      <c r="AI128" s="3934" t="n"/>
      <c r="AJ128" s="3934" t="n"/>
      <c r="AK128" s="3934" t="n"/>
      <c r="AL128" s="3934" t="n"/>
      <c r="AM128" s="3934" t="n"/>
      <c r="AN128" s="3934" t="n"/>
      <c r="AO128" s="3934" t="n"/>
      <c r="AP128" s="3934" t="n"/>
      <c r="AQ128" s="3934" t="n"/>
      <c r="AR128" s="3934" t="n"/>
    </row>
    <row r="129">
      <c r="A129" s="3941" t="n"/>
      <c r="B129" s="3944" t="n"/>
      <c r="C129" s="3944" t="n"/>
      <c r="D129" s="3944" t="n"/>
      <c r="E129" s="3944" t="n"/>
      <c r="F129" s="3944" t="n"/>
      <c r="G129" s="3944" t="n"/>
      <c r="H129" s="3944" t="n"/>
      <c r="I129" s="3944" t="n"/>
      <c r="J129" s="3944" t="n"/>
      <c r="K129" s="3942">
        <f>IF(A129="","",SUM(E129:J129))</f>
        <v/>
      </c>
      <c r="L129" s="3934" t="n"/>
      <c r="M129" s="3934" t="n"/>
      <c r="N129" s="3934" t="n"/>
      <c r="O129" s="3934" t="n"/>
      <c r="P129" s="3934" t="n"/>
      <c r="Q129" s="3934" t="n"/>
      <c r="R129" s="3934" t="n"/>
      <c r="S129" s="3934" t="n"/>
      <c r="T129" s="3934" t="n"/>
      <c r="U129" s="3934" t="n"/>
      <c r="V129" s="3934" t="n"/>
      <c r="W129" s="3934" t="n"/>
      <c r="X129" s="3934" t="n"/>
      <c r="Y129" s="3934" t="n"/>
      <c r="Z129" s="3934" t="n"/>
      <c r="AA129" s="3934" t="n"/>
      <c r="AB129" s="3934" t="n"/>
      <c r="AC129" s="3934" t="n"/>
      <c r="AD129" s="3934" t="n"/>
      <c r="AE129" s="3934" t="n"/>
      <c r="AF129" s="3934" t="n"/>
      <c r="AG129" s="3934" t="n"/>
      <c r="AH129" s="3934" t="n"/>
      <c r="AI129" s="3934" t="n"/>
      <c r="AJ129" s="3934" t="n"/>
      <c r="AK129" s="3934" t="n"/>
      <c r="AL129" s="3934" t="n"/>
      <c r="AM129" s="3934" t="n"/>
      <c r="AN129" s="3934" t="n"/>
      <c r="AO129" s="3934" t="n"/>
      <c r="AP129" s="3934" t="n"/>
      <c r="AQ129" s="3934" t="n"/>
      <c r="AR129" s="3934" t="n"/>
    </row>
    <row r="130">
      <c r="A130" s="3941" t="n"/>
      <c r="B130" s="3944" t="n"/>
      <c r="C130" s="3944" t="n"/>
      <c r="D130" s="3944" t="n"/>
      <c r="E130" s="3944" t="n"/>
      <c r="F130" s="3944" t="n"/>
      <c r="G130" s="3944" t="n"/>
      <c r="H130" s="3944" t="n"/>
      <c r="I130" s="3944" t="n"/>
      <c r="J130" s="3944" t="n"/>
      <c r="K130" s="3942">
        <f>IF(A130="","",SUM(E130:J130))</f>
        <v/>
      </c>
      <c r="L130" s="3934" t="n"/>
      <c r="M130" s="3934" t="n"/>
      <c r="N130" s="3934" t="n"/>
      <c r="O130" s="3934" t="n"/>
      <c r="P130" s="3934" t="n"/>
      <c r="Q130" s="3934" t="n"/>
      <c r="R130" s="3934" t="n"/>
      <c r="S130" s="3934" t="n"/>
      <c r="T130" s="3934" t="n"/>
      <c r="U130" s="3934" t="n"/>
      <c r="V130" s="3934" t="n"/>
      <c r="W130" s="3934" t="n"/>
      <c r="X130" s="3934" t="n"/>
      <c r="Y130" s="3934" t="n"/>
      <c r="Z130" s="3934" t="n"/>
      <c r="AA130" s="3934" t="n"/>
      <c r="AB130" s="3934" t="n"/>
      <c r="AC130" s="3934" t="n"/>
      <c r="AD130" s="3934" t="n"/>
      <c r="AE130" s="3934" t="n"/>
      <c r="AF130" s="3934" t="n"/>
      <c r="AG130" s="3934" t="n"/>
      <c r="AH130" s="3934" t="n"/>
      <c r="AI130" s="3934" t="n"/>
      <c r="AJ130" s="3934" t="n"/>
      <c r="AK130" s="3934" t="n"/>
      <c r="AL130" s="3934" t="n"/>
      <c r="AM130" s="3934" t="n"/>
      <c r="AN130" s="3934" t="n"/>
      <c r="AO130" s="3934" t="n"/>
      <c r="AP130" s="3934" t="n"/>
      <c r="AQ130" s="3934" t="n"/>
      <c r="AR130" s="3934" t="n"/>
    </row>
    <row r="131">
      <c r="A131" s="3941" t="n"/>
      <c r="B131" s="3944" t="n"/>
      <c r="C131" s="3944" t="n"/>
      <c r="D131" s="3944" t="n"/>
      <c r="E131" s="3944" t="n"/>
      <c r="F131" s="3944" t="n"/>
      <c r="G131" s="3944" t="n"/>
      <c r="H131" s="3944" t="n"/>
      <c r="I131" s="3944" t="n"/>
      <c r="J131" s="3944" t="n"/>
      <c r="K131" s="3942">
        <f>IF(A131="","",SUM(E131:J131))</f>
        <v/>
      </c>
      <c r="L131" s="3934" t="n"/>
      <c r="M131" s="3934" t="n"/>
      <c r="N131" s="3934" t="n"/>
      <c r="O131" s="3934" t="n"/>
      <c r="P131" s="3934" t="n"/>
      <c r="Q131" s="3934" t="n"/>
      <c r="R131" s="3934" t="n"/>
      <c r="S131" s="3934" t="n"/>
      <c r="T131" s="3934" t="n"/>
      <c r="U131" s="3934" t="n"/>
      <c r="V131" s="3934" t="n"/>
      <c r="W131" s="3934" t="n"/>
      <c r="X131" s="3934" t="n"/>
      <c r="Y131" s="3934" t="n"/>
      <c r="Z131" s="3934" t="n"/>
      <c r="AA131" s="3934" t="n"/>
      <c r="AB131" s="3934" t="n"/>
      <c r="AC131" s="3934" t="n"/>
      <c r="AD131" s="3934" t="n"/>
      <c r="AE131" s="3934" t="n"/>
      <c r="AF131" s="3934" t="n"/>
      <c r="AG131" s="3934" t="n"/>
      <c r="AH131" s="3934" t="n"/>
      <c r="AI131" s="3934" t="n"/>
      <c r="AJ131" s="3934" t="n"/>
      <c r="AK131" s="3934" t="n"/>
      <c r="AL131" s="3934" t="n"/>
      <c r="AM131" s="3934" t="n"/>
      <c r="AN131" s="3934" t="n"/>
      <c r="AO131" s="3934" t="n"/>
      <c r="AP131" s="3934" t="n"/>
      <c r="AQ131" s="3934" t="n"/>
      <c r="AR131" s="3934" t="n"/>
    </row>
    <row r="132">
      <c r="A132" s="3941" t="n"/>
      <c r="B132" s="3944" t="n"/>
      <c r="C132" s="3944" t="n"/>
      <c r="D132" s="3944" t="n"/>
      <c r="E132" s="3944" t="n"/>
      <c r="F132" s="3944" t="n"/>
      <c r="G132" s="3944" t="n"/>
      <c r="H132" s="3944" t="n"/>
      <c r="I132" s="3944" t="n"/>
      <c r="J132" s="3944" t="n"/>
      <c r="K132" s="3942">
        <f>IF(A132="","",SUM(E132:J132))</f>
        <v/>
      </c>
      <c r="L132" s="3934" t="n"/>
      <c r="M132" s="3934" t="n"/>
      <c r="N132" s="3934" t="n"/>
      <c r="O132" s="3934" t="n"/>
      <c r="P132" s="3934" t="n"/>
      <c r="Q132" s="3934" t="n"/>
      <c r="R132" s="3934" t="n"/>
      <c r="S132" s="3934" t="n"/>
      <c r="T132" s="3934" t="n"/>
      <c r="U132" s="3934" t="n"/>
      <c r="V132" s="3934" t="n"/>
      <c r="W132" s="3934" t="n"/>
      <c r="X132" s="3934" t="n"/>
      <c r="Y132" s="3934" t="n"/>
      <c r="Z132" s="3934" t="n"/>
      <c r="AA132" s="3934" t="n"/>
      <c r="AB132" s="3934" t="n"/>
      <c r="AC132" s="3934" t="n"/>
      <c r="AD132" s="3934" t="n"/>
      <c r="AE132" s="3934" t="n"/>
      <c r="AF132" s="3934" t="n"/>
      <c r="AG132" s="3934" t="n"/>
      <c r="AH132" s="3934" t="n"/>
      <c r="AI132" s="3934" t="n"/>
      <c r="AJ132" s="3934" t="n"/>
      <c r="AK132" s="3934" t="n"/>
      <c r="AL132" s="3934" t="n"/>
      <c r="AM132" s="3934" t="n"/>
      <c r="AN132" s="3934" t="n"/>
      <c r="AO132" s="3934" t="n"/>
      <c r="AP132" s="3934" t="n"/>
      <c r="AQ132" s="3934" t="n"/>
      <c r="AR132" s="3934" t="n"/>
    </row>
    <row r="133">
      <c r="A133" s="3941" t="n"/>
      <c r="B133" s="3944" t="n"/>
      <c r="C133" s="3944" t="n"/>
      <c r="D133" s="3944" t="n"/>
      <c r="E133" s="3944" t="n"/>
      <c r="F133" s="3944" t="n"/>
      <c r="G133" s="3944" t="n"/>
      <c r="H133" s="3944" t="n"/>
      <c r="I133" s="3944" t="n"/>
      <c r="J133" s="3944" t="n"/>
      <c r="K133" s="3942">
        <f>IF(A133="","",SUM(E133:J133))</f>
        <v/>
      </c>
      <c r="L133" s="3934" t="n"/>
      <c r="M133" s="3934" t="n"/>
      <c r="N133" s="3934" t="n"/>
      <c r="O133" s="3934" t="n"/>
      <c r="P133" s="3934" t="n"/>
      <c r="Q133" s="3934" t="n"/>
      <c r="R133" s="3934" t="n"/>
      <c r="S133" s="3934" t="n"/>
      <c r="T133" s="3934" t="n"/>
      <c r="U133" s="3934" t="n"/>
      <c r="V133" s="3934" t="n"/>
      <c r="W133" s="3934" t="n"/>
      <c r="X133" s="3934" t="n"/>
      <c r="Y133" s="3934" t="n"/>
      <c r="Z133" s="3934" t="n"/>
      <c r="AA133" s="3934" t="n"/>
      <c r="AB133" s="3934" t="n"/>
      <c r="AC133" s="3934" t="n"/>
      <c r="AD133" s="3934" t="n"/>
      <c r="AE133" s="3934" t="n"/>
      <c r="AF133" s="3934" t="n"/>
      <c r="AG133" s="3934" t="n"/>
      <c r="AH133" s="3934" t="n"/>
      <c r="AI133" s="3934" t="n"/>
      <c r="AJ133" s="3934" t="n"/>
      <c r="AK133" s="3934" t="n"/>
      <c r="AL133" s="3934" t="n"/>
      <c r="AM133" s="3934" t="n"/>
      <c r="AN133" s="3934" t="n"/>
      <c r="AO133" s="3934" t="n"/>
      <c r="AP133" s="3934" t="n"/>
      <c r="AQ133" s="3934" t="n"/>
      <c r="AR133" s="3934" t="n"/>
    </row>
    <row r="134">
      <c r="A134" s="3941" t="n"/>
      <c r="B134" s="3944" t="n"/>
      <c r="C134" s="3944" t="n"/>
      <c r="D134" s="3944" t="n"/>
      <c r="E134" s="3944" t="n"/>
      <c r="F134" s="3944" t="n"/>
      <c r="G134" s="3944" t="n"/>
      <c r="H134" s="3944" t="n"/>
      <c r="I134" s="3944" t="n"/>
      <c r="J134" s="3944" t="n"/>
      <c r="K134" s="3942">
        <f>IF(A134="","",SUM(E134:J134))</f>
        <v/>
      </c>
      <c r="L134" s="3934" t="n"/>
      <c r="M134" s="3934" t="n"/>
      <c r="N134" s="3934" t="n"/>
      <c r="O134" s="3934" t="n"/>
      <c r="P134" s="3934" t="n"/>
      <c r="Q134" s="3934" t="n"/>
      <c r="R134" s="3934" t="n"/>
      <c r="S134" s="3934" t="n"/>
      <c r="T134" s="3934" t="n"/>
      <c r="U134" s="3934" t="n"/>
      <c r="V134" s="3934" t="n"/>
      <c r="W134" s="3934" t="n"/>
      <c r="X134" s="3934" t="n"/>
      <c r="Y134" s="3934" t="n"/>
      <c r="Z134" s="3934" t="n"/>
      <c r="AA134" s="3934" t="n"/>
      <c r="AB134" s="3934" t="n"/>
      <c r="AC134" s="3934" t="n"/>
      <c r="AD134" s="3934" t="n"/>
      <c r="AE134" s="3934" t="n"/>
      <c r="AF134" s="3934" t="n"/>
      <c r="AG134" s="3934" t="n"/>
      <c r="AH134" s="3934" t="n"/>
      <c r="AI134" s="3934" t="n"/>
      <c r="AJ134" s="3934" t="n"/>
      <c r="AK134" s="3934" t="n"/>
      <c r="AL134" s="3934" t="n"/>
      <c r="AM134" s="3934" t="n"/>
      <c r="AN134" s="3934" t="n"/>
      <c r="AO134" s="3934" t="n"/>
      <c r="AP134" s="3934" t="n"/>
      <c r="AQ134" s="3934" t="n"/>
      <c r="AR134" s="3934" t="n"/>
    </row>
    <row r="135">
      <c r="A135" s="3941" t="n"/>
      <c r="B135" s="3944" t="n"/>
      <c r="C135" s="3944" t="n"/>
      <c r="D135" s="3944" t="n"/>
      <c r="E135" s="3944" t="n"/>
      <c r="F135" s="3944" t="n"/>
      <c r="G135" s="3944" t="n"/>
      <c r="H135" s="3944" t="n"/>
      <c r="I135" s="3944" t="n"/>
      <c r="J135" s="3944" t="n"/>
      <c r="K135" s="3942">
        <f>IF(A135="","",SUM(E135:J135))</f>
        <v/>
      </c>
      <c r="L135" s="3934" t="n"/>
      <c r="M135" s="3934" t="n"/>
      <c r="N135" s="3934" t="n"/>
      <c r="O135" s="3934" t="n"/>
      <c r="P135" s="3934" t="n"/>
      <c r="Q135" s="3934" t="n"/>
      <c r="R135" s="3934" t="n"/>
      <c r="S135" s="3934" t="n"/>
      <c r="T135" s="3934" t="n"/>
      <c r="U135" s="3934" t="n"/>
      <c r="V135" s="3934" t="n"/>
      <c r="W135" s="3934" t="n"/>
      <c r="X135" s="3934" t="n"/>
      <c r="Y135" s="3934" t="n"/>
      <c r="Z135" s="3934" t="n"/>
      <c r="AA135" s="3934" t="n"/>
      <c r="AB135" s="3934" t="n"/>
      <c r="AC135" s="3934" t="n"/>
      <c r="AD135" s="3934" t="n"/>
      <c r="AE135" s="3934" t="n"/>
      <c r="AF135" s="3934" t="n"/>
      <c r="AG135" s="3934" t="n"/>
      <c r="AH135" s="3934" t="n"/>
      <c r="AI135" s="3934" t="n"/>
      <c r="AJ135" s="3934" t="n"/>
      <c r="AK135" s="3934" t="n"/>
      <c r="AL135" s="3934" t="n"/>
      <c r="AM135" s="3934" t="n"/>
      <c r="AN135" s="3934" t="n"/>
      <c r="AO135" s="3934" t="n"/>
      <c r="AP135" s="3934" t="n"/>
      <c r="AQ135" s="3934" t="n"/>
      <c r="AR135" s="3934" t="n"/>
    </row>
    <row r="136">
      <c r="A136" s="3941" t="n"/>
      <c r="B136" s="3944" t="n"/>
      <c r="C136" s="3944" t="n"/>
      <c r="D136" s="3944" t="n"/>
      <c r="E136" s="3944" t="n"/>
      <c r="F136" s="3944" t="n"/>
      <c r="G136" s="3944" t="n"/>
      <c r="H136" s="3944" t="n"/>
      <c r="I136" s="3944" t="n"/>
      <c r="J136" s="3944" t="n"/>
      <c r="K136" s="3942">
        <f>IF(A136="","",SUM(E136:J136))</f>
        <v/>
      </c>
      <c r="L136" s="3934" t="n"/>
      <c r="M136" s="3934" t="n"/>
      <c r="N136" s="3934" t="n"/>
      <c r="O136" s="3934" t="n"/>
      <c r="P136" s="3934" t="n"/>
      <c r="Q136" s="3934" t="n"/>
      <c r="R136" s="3934" t="n"/>
      <c r="S136" s="3934" t="n"/>
      <c r="T136" s="3934" t="n"/>
      <c r="U136" s="3934" t="n"/>
      <c r="V136" s="3934" t="n"/>
      <c r="W136" s="3934" t="n"/>
      <c r="X136" s="3934" t="n"/>
      <c r="Y136" s="3934" t="n"/>
      <c r="Z136" s="3934" t="n"/>
      <c r="AA136" s="3934" t="n"/>
      <c r="AB136" s="3934" t="n"/>
      <c r="AC136" s="3934" t="n"/>
      <c r="AD136" s="3934" t="n"/>
      <c r="AE136" s="3934" t="n"/>
      <c r="AF136" s="3934" t="n"/>
      <c r="AG136" s="3934" t="n"/>
      <c r="AH136" s="3934" t="n"/>
      <c r="AI136" s="3934" t="n"/>
      <c r="AJ136" s="3934" t="n"/>
      <c r="AK136" s="3934" t="n"/>
      <c r="AL136" s="3934" t="n"/>
      <c r="AM136" s="3934" t="n"/>
      <c r="AN136" s="3934" t="n"/>
      <c r="AO136" s="3934" t="n"/>
      <c r="AP136" s="3934" t="n"/>
      <c r="AQ136" s="3934" t="n"/>
      <c r="AR136" s="3934" t="n"/>
    </row>
    <row r="137">
      <c r="A137" s="3941" t="n"/>
      <c r="B137" s="3944" t="n"/>
      <c r="C137" s="3944" t="n"/>
      <c r="D137" s="3944" t="n"/>
      <c r="E137" s="3944" t="n"/>
      <c r="F137" s="3944" t="n"/>
      <c r="G137" s="3944" t="n"/>
      <c r="H137" s="3944" t="n"/>
      <c r="I137" s="3944" t="n"/>
      <c r="J137" s="3944" t="n"/>
      <c r="K137" s="3942">
        <f>IF(A137="","",SUM(E137:J137))</f>
        <v/>
      </c>
      <c r="L137" s="3934" t="n"/>
      <c r="M137" s="3934" t="n"/>
      <c r="N137" s="3934" t="n"/>
      <c r="O137" s="3934" t="n"/>
      <c r="P137" s="3934" t="n"/>
      <c r="Q137" s="3934" t="n"/>
      <c r="R137" s="3934" t="n"/>
      <c r="S137" s="3934" t="n"/>
      <c r="T137" s="3934" t="n"/>
      <c r="U137" s="3934" t="n"/>
      <c r="V137" s="3934" t="n"/>
      <c r="W137" s="3934" t="n"/>
      <c r="X137" s="3934" t="n"/>
      <c r="Y137" s="3934" t="n"/>
      <c r="Z137" s="3934" t="n"/>
      <c r="AA137" s="3934" t="n"/>
      <c r="AB137" s="3934" t="n"/>
      <c r="AC137" s="3934" t="n"/>
      <c r="AD137" s="3934" t="n"/>
      <c r="AE137" s="3934" t="n"/>
      <c r="AF137" s="3934" t="n"/>
      <c r="AG137" s="3934" t="n"/>
      <c r="AH137" s="3934" t="n"/>
      <c r="AI137" s="3934" t="n"/>
      <c r="AJ137" s="3934" t="n"/>
      <c r="AK137" s="3934" t="n"/>
      <c r="AL137" s="3934" t="n"/>
      <c r="AM137" s="3934" t="n"/>
      <c r="AN137" s="3934" t="n"/>
      <c r="AO137" s="3934" t="n"/>
      <c r="AP137" s="3934" t="n"/>
      <c r="AQ137" s="3934" t="n"/>
      <c r="AR137" s="3934" t="n"/>
    </row>
    <row r="138">
      <c r="A138" s="3941" t="n"/>
      <c r="B138" s="3944" t="n"/>
      <c r="C138" s="3944" t="n"/>
      <c r="D138" s="3944" t="n"/>
      <c r="E138" s="3944" t="n"/>
      <c r="F138" s="3944" t="n"/>
      <c r="G138" s="3944" t="n"/>
      <c r="H138" s="3944" t="n"/>
      <c r="I138" s="3944" t="n"/>
      <c r="J138" s="3944" t="n"/>
      <c r="K138" s="3942">
        <f>IF(A138="","",SUM(E138:J138))</f>
        <v/>
      </c>
      <c r="L138" s="3934" t="n"/>
      <c r="M138" s="3934" t="n"/>
      <c r="N138" s="3934" t="n"/>
      <c r="O138" s="3934" t="n"/>
      <c r="P138" s="3934" t="n"/>
      <c r="Q138" s="3934" t="n"/>
      <c r="R138" s="3934" t="n"/>
      <c r="S138" s="3934" t="n"/>
      <c r="T138" s="3934" t="n"/>
      <c r="U138" s="3934" t="n"/>
      <c r="V138" s="3934" t="n"/>
      <c r="W138" s="3934" t="n"/>
      <c r="X138" s="3934" t="n"/>
      <c r="Y138" s="3934" t="n"/>
      <c r="Z138" s="3934" t="n"/>
      <c r="AA138" s="3934" t="n"/>
      <c r="AB138" s="3934" t="n"/>
      <c r="AC138" s="3934" t="n"/>
      <c r="AD138" s="3934" t="n"/>
      <c r="AE138" s="3934" t="n"/>
      <c r="AF138" s="3934" t="n"/>
      <c r="AG138" s="3934" t="n"/>
      <c r="AH138" s="3934" t="n"/>
      <c r="AI138" s="3934" t="n"/>
      <c r="AJ138" s="3934" t="n"/>
      <c r="AK138" s="3934" t="n"/>
      <c r="AL138" s="3934" t="n"/>
      <c r="AM138" s="3934" t="n"/>
      <c r="AN138" s="3934" t="n"/>
      <c r="AO138" s="3934" t="n"/>
      <c r="AP138" s="3934" t="n"/>
      <c r="AQ138" s="3934" t="n"/>
      <c r="AR138" s="3934" t="n"/>
    </row>
    <row r="139">
      <c r="A139" s="3941" t="n"/>
      <c r="B139" s="3944" t="n"/>
      <c r="C139" s="3944" t="n"/>
      <c r="D139" s="3944" t="n"/>
      <c r="E139" s="3944" t="n"/>
      <c r="F139" s="3944" t="n"/>
      <c r="G139" s="3944" t="n"/>
      <c r="H139" s="3944" t="n"/>
      <c r="I139" s="3944" t="n"/>
      <c r="J139" s="3944" t="n"/>
      <c r="K139" s="3942">
        <f>IF(A139="","",SUM(E139:J139))</f>
        <v/>
      </c>
      <c r="L139" s="3934" t="n"/>
      <c r="M139" s="3934" t="n"/>
      <c r="N139" s="3934" t="n"/>
      <c r="O139" s="3934" t="n"/>
      <c r="P139" s="3934" t="n"/>
      <c r="Q139" s="3934" t="n"/>
      <c r="R139" s="3934" t="n"/>
      <c r="S139" s="3934" t="n"/>
      <c r="T139" s="3934" t="n"/>
      <c r="U139" s="3934" t="n"/>
      <c r="V139" s="3934" t="n"/>
      <c r="W139" s="3934" t="n"/>
      <c r="X139" s="3934" t="n"/>
      <c r="Y139" s="3934" t="n"/>
      <c r="Z139" s="3934" t="n"/>
      <c r="AA139" s="3934" t="n"/>
      <c r="AB139" s="3934" t="n"/>
      <c r="AC139" s="3934" t="n"/>
      <c r="AD139" s="3934" t="n"/>
      <c r="AE139" s="3934" t="n"/>
      <c r="AF139" s="3934" t="n"/>
      <c r="AG139" s="3934" t="n"/>
      <c r="AH139" s="3934" t="n"/>
      <c r="AI139" s="3934" t="n"/>
      <c r="AJ139" s="3934" t="n"/>
      <c r="AK139" s="3934" t="n"/>
      <c r="AL139" s="3934" t="n"/>
      <c r="AM139" s="3934" t="n"/>
      <c r="AN139" s="3934" t="n"/>
      <c r="AO139" s="3934" t="n"/>
      <c r="AP139" s="3934" t="n"/>
      <c r="AQ139" s="3934" t="n"/>
      <c r="AR139" s="3934" t="n"/>
    </row>
    <row r="140">
      <c r="A140" s="3941" t="n"/>
      <c r="B140" s="3944" t="n"/>
      <c r="C140" s="3944" t="n"/>
      <c r="D140" s="3944" t="n"/>
      <c r="E140" s="3944" t="n"/>
      <c r="F140" s="3944" t="n"/>
      <c r="G140" s="3944" t="n"/>
      <c r="H140" s="3944" t="n"/>
      <c r="I140" s="3944" t="n"/>
      <c r="J140" s="3944" t="n"/>
      <c r="K140" s="3942">
        <f>IF(A140="","",SUM(E140:J140))</f>
        <v/>
      </c>
      <c r="L140" s="3934" t="n"/>
      <c r="M140" s="3934" t="n"/>
      <c r="N140" s="3934" t="n"/>
      <c r="O140" s="3934" t="n"/>
      <c r="P140" s="3934" t="n"/>
      <c r="Q140" s="3934" t="n"/>
      <c r="R140" s="3934" t="n"/>
      <c r="S140" s="3934" t="n"/>
      <c r="T140" s="3934" t="n"/>
      <c r="U140" s="3934" t="n"/>
      <c r="V140" s="3934" t="n"/>
      <c r="W140" s="3934" t="n"/>
      <c r="X140" s="3934" t="n"/>
      <c r="Y140" s="3934" t="n"/>
      <c r="Z140" s="3934" t="n"/>
      <c r="AA140" s="3934" t="n"/>
      <c r="AB140" s="3934" t="n"/>
      <c r="AC140" s="3934" t="n"/>
      <c r="AD140" s="3934" t="n"/>
      <c r="AE140" s="3934" t="n"/>
      <c r="AF140" s="3934" t="n"/>
      <c r="AG140" s="3934" t="n"/>
      <c r="AH140" s="3934" t="n"/>
      <c r="AI140" s="3934" t="n"/>
      <c r="AJ140" s="3934" t="n"/>
      <c r="AK140" s="3934" t="n"/>
      <c r="AL140" s="3934" t="n"/>
      <c r="AM140" s="3934" t="n"/>
      <c r="AN140" s="3934" t="n"/>
      <c r="AO140" s="3934" t="n"/>
      <c r="AP140" s="3934" t="n"/>
      <c r="AQ140" s="3934" t="n"/>
      <c r="AR140" s="3934" t="n"/>
    </row>
    <row r="141">
      <c r="A141" s="3941" t="n"/>
      <c r="B141" s="3944" t="n"/>
      <c r="C141" s="3944" t="n"/>
      <c r="D141" s="3944" t="n"/>
      <c r="E141" s="3944" t="n"/>
      <c r="F141" s="3944" t="n"/>
      <c r="G141" s="3944" t="n"/>
      <c r="H141" s="3944" t="n"/>
      <c r="I141" s="3944" t="n"/>
      <c r="J141" s="3944" t="n"/>
      <c r="K141" s="3942">
        <f>IF(A141="","",SUM(E141:J141))</f>
        <v/>
      </c>
      <c r="L141" s="3934" t="n"/>
      <c r="M141" s="3934" t="n"/>
      <c r="N141" s="3934" t="n"/>
      <c r="O141" s="3934" t="n"/>
      <c r="P141" s="3934" t="n"/>
      <c r="Q141" s="3934" t="n"/>
      <c r="R141" s="3934" t="n"/>
      <c r="S141" s="3934" t="n"/>
      <c r="T141" s="3934" t="n"/>
      <c r="U141" s="3934" t="n"/>
      <c r="V141" s="3934" t="n"/>
      <c r="W141" s="3934" t="n"/>
      <c r="X141" s="3934" t="n"/>
      <c r="Y141" s="3934" t="n"/>
      <c r="Z141" s="3934" t="n"/>
      <c r="AA141" s="3934" t="n"/>
      <c r="AB141" s="3934" t="n"/>
      <c r="AC141" s="3934" t="n"/>
      <c r="AD141" s="3934" t="n"/>
      <c r="AE141" s="3934" t="n"/>
      <c r="AF141" s="3934" t="n"/>
      <c r="AG141" s="3934" t="n"/>
      <c r="AH141" s="3934" t="n"/>
      <c r="AI141" s="3934" t="n"/>
      <c r="AJ141" s="3934" t="n"/>
      <c r="AK141" s="3934" t="n"/>
      <c r="AL141" s="3934" t="n"/>
      <c r="AM141" s="3934" t="n"/>
      <c r="AN141" s="3934" t="n"/>
      <c r="AO141" s="3934" t="n"/>
      <c r="AP141" s="3934" t="n"/>
      <c r="AQ141" s="3934" t="n"/>
      <c r="AR141" s="3934" t="n"/>
    </row>
    <row r="142">
      <c r="A142" s="3941" t="n"/>
      <c r="B142" s="3944" t="n"/>
      <c r="C142" s="3944" t="n"/>
      <c r="D142" s="3944" t="n"/>
      <c r="E142" s="3944" t="n"/>
      <c r="F142" s="3944" t="n"/>
      <c r="G142" s="3944" t="n"/>
      <c r="H142" s="3944" t="n"/>
      <c r="I142" s="3944" t="n"/>
      <c r="J142" s="3944" t="n"/>
      <c r="K142" s="3942">
        <f>IF(A142="","",SUM(E142:J142))</f>
        <v/>
      </c>
      <c r="L142" s="3934" t="n"/>
      <c r="M142" s="3934" t="n"/>
      <c r="N142" s="3934" t="n"/>
      <c r="O142" s="3934" t="n"/>
      <c r="P142" s="3934" t="n"/>
      <c r="Q142" s="3934" t="n"/>
      <c r="R142" s="3934" t="n"/>
      <c r="S142" s="3934" t="n"/>
      <c r="T142" s="3934" t="n"/>
      <c r="U142" s="3934" t="n"/>
      <c r="V142" s="3934" t="n"/>
      <c r="W142" s="3934" t="n"/>
      <c r="X142" s="3934" t="n"/>
      <c r="Y142" s="3934" t="n"/>
      <c r="Z142" s="3934" t="n"/>
      <c r="AA142" s="3934" t="n"/>
      <c r="AB142" s="3934" t="n"/>
      <c r="AC142" s="3934" t="n"/>
      <c r="AD142" s="3934" t="n"/>
      <c r="AE142" s="3934" t="n"/>
      <c r="AF142" s="3934" t="n"/>
      <c r="AG142" s="3934" t="n"/>
      <c r="AH142" s="3934" t="n"/>
      <c r="AI142" s="3934" t="n"/>
      <c r="AJ142" s="3934" t="n"/>
      <c r="AK142" s="3934" t="n"/>
      <c r="AL142" s="3934" t="n"/>
      <c r="AM142" s="3934" t="n"/>
      <c r="AN142" s="3934" t="n"/>
      <c r="AO142" s="3934" t="n"/>
      <c r="AP142" s="3934" t="n"/>
      <c r="AQ142" s="3934" t="n"/>
      <c r="AR142" s="3934" t="n"/>
    </row>
    <row r="143">
      <c r="A143" s="3941" t="n"/>
      <c r="B143" s="3944" t="n"/>
      <c r="C143" s="3944" t="n"/>
      <c r="D143" s="3944" t="n"/>
      <c r="E143" s="3944" t="n"/>
      <c r="F143" s="3944" t="n"/>
      <c r="G143" s="3944" t="n"/>
      <c r="H143" s="3944" t="n"/>
      <c r="I143" s="3944" t="n"/>
      <c r="J143" s="3944" t="n"/>
      <c r="K143" s="3942">
        <f>IF(A143="","",SUM(E143:J143))</f>
        <v/>
      </c>
      <c r="L143" s="3934" t="n"/>
      <c r="M143" s="3934" t="n"/>
      <c r="N143" s="3934" t="n"/>
      <c r="O143" s="3934" t="n"/>
      <c r="P143" s="3934" t="n"/>
      <c r="Q143" s="3934" t="n"/>
      <c r="R143" s="3934" t="n"/>
      <c r="S143" s="3934" t="n"/>
      <c r="T143" s="3934" t="n"/>
      <c r="U143" s="3934" t="n"/>
      <c r="V143" s="3934" t="n"/>
      <c r="W143" s="3934" t="n"/>
      <c r="X143" s="3934" t="n"/>
      <c r="Y143" s="3934" t="n"/>
      <c r="Z143" s="3934" t="n"/>
      <c r="AA143" s="3934" t="n"/>
      <c r="AB143" s="3934" t="n"/>
      <c r="AC143" s="3934" t="n"/>
      <c r="AD143" s="3934" t="n"/>
      <c r="AE143" s="3934" t="n"/>
      <c r="AF143" s="3934" t="n"/>
      <c r="AG143" s="3934" t="n"/>
      <c r="AH143" s="3934" t="n"/>
      <c r="AI143" s="3934" t="n"/>
      <c r="AJ143" s="3934" t="n"/>
      <c r="AK143" s="3934" t="n"/>
      <c r="AL143" s="3934" t="n"/>
      <c r="AM143" s="3934" t="n"/>
      <c r="AN143" s="3934" t="n"/>
      <c r="AO143" s="3934" t="n"/>
      <c r="AP143" s="3934" t="n"/>
      <c r="AQ143" s="3934" t="n"/>
      <c r="AR143" s="3934" t="n"/>
    </row>
    <row r="144">
      <c r="A144" s="3941" t="n"/>
      <c r="B144" s="3944" t="n"/>
      <c r="C144" s="3944" t="n"/>
      <c r="D144" s="3944" t="n"/>
      <c r="E144" s="3944" t="n"/>
      <c r="F144" s="3944" t="n"/>
      <c r="G144" s="3944" t="n"/>
      <c r="H144" s="3944" t="n"/>
      <c r="I144" s="3944" t="n"/>
      <c r="J144" s="3944" t="n"/>
      <c r="K144" s="3942">
        <f>IF(A144="","",SUM(E144:J144))</f>
        <v/>
      </c>
      <c r="L144" s="3934" t="n"/>
      <c r="M144" s="3934" t="n"/>
      <c r="N144" s="3934" t="n"/>
      <c r="O144" s="3934" t="n"/>
      <c r="P144" s="3934" t="n"/>
      <c r="Q144" s="3934" t="n"/>
      <c r="R144" s="3934" t="n"/>
      <c r="S144" s="3934" t="n"/>
      <c r="T144" s="3934" t="n"/>
      <c r="U144" s="3934" t="n"/>
      <c r="V144" s="3934" t="n"/>
      <c r="W144" s="3934" t="n"/>
      <c r="X144" s="3934" t="n"/>
      <c r="Y144" s="3934" t="n"/>
      <c r="Z144" s="3934" t="n"/>
      <c r="AA144" s="3934" t="n"/>
      <c r="AB144" s="3934" t="n"/>
      <c r="AC144" s="3934" t="n"/>
      <c r="AD144" s="3934" t="n"/>
      <c r="AE144" s="3934" t="n"/>
      <c r="AF144" s="3934" t="n"/>
      <c r="AG144" s="3934" t="n"/>
      <c r="AH144" s="3934" t="n"/>
      <c r="AI144" s="3934" t="n"/>
      <c r="AJ144" s="3934" t="n"/>
      <c r="AK144" s="3934" t="n"/>
      <c r="AL144" s="3934" t="n"/>
      <c r="AM144" s="3934" t="n"/>
      <c r="AN144" s="3934" t="n"/>
      <c r="AO144" s="3934" t="n"/>
      <c r="AP144" s="3934" t="n"/>
      <c r="AQ144" s="3934" t="n"/>
      <c r="AR144" s="3934" t="n"/>
    </row>
    <row r="145">
      <c r="A145" s="3941" t="n"/>
      <c r="B145" s="3944" t="n"/>
      <c r="C145" s="3944" t="n"/>
      <c r="D145" s="3944" t="n"/>
      <c r="E145" s="3944" t="n"/>
      <c r="F145" s="3944" t="n"/>
      <c r="G145" s="3944" t="n"/>
      <c r="H145" s="3944" t="n"/>
      <c r="I145" s="3944" t="n"/>
      <c r="J145" s="3944" t="n"/>
      <c r="K145" s="3942">
        <f>IF(A145="","",SUM(E145:J145))</f>
        <v/>
      </c>
      <c r="L145" s="3934" t="n"/>
      <c r="M145" s="3934" t="n"/>
      <c r="N145" s="3934" t="n"/>
      <c r="O145" s="3934" t="n"/>
      <c r="P145" s="3934" t="n"/>
      <c r="Q145" s="3934" t="n"/>
      <c r="R145" s="3934" t="n"/>
      <c r="S145" s="3934" t="n"/>
      <c r="T145" s="3934" t="n"/>
      <c r="U145" s="3934" t="n"/>
      <c r="V145" s="3934" t="n"/>
      <c r="W145" s="3934" t="n"/>
      <c r="X145" s="3934" t="n"/>
      <c r="Y145" s="3934" t="n"/>
      <c r="Z145" s="3934" t="n"/>
      <c r="AA145" s="3934" t="n"/>
      <c r="AB145" s="3934" t="n"/>
      <c r="AC145" s="3934" t="n"/>
      <c r="AD145" s="3934" t="n"/>
      <c r="AE145" s="3934" t="n"/>
      <c r="AF145" s="3934" t="n"/>
      <c r="AG145" s="3934" t="n"/>
      <c r="AH145" s="3934" t="n"/>
      <c r="AI145" s="3934" t="n"/>
      <c r="AJ145" s="3934" t="n"/>
      <c r="AK145" s="3934" t="n"/>
      <c r="AL145" s="3934" t="n"/>
      <c r="AM145" s="3934" t="n"/>
      <c r="AN145" s="3934" t="n"/>
      <c r="AO145" s="3934" t="n"/>
      <c r="AP145" s="3934" t="n"/>
      <c r="AQ145" s="3934" t="n"/>
      <c r="AR145" s="3934" t="n"/>
    </row>
    <row r="146">
      <c r="A146" s="3941" t="n"/>
      <c r="B146" s="3944" t="n"/>
      <c r="C146" s="3944" t="n"/>
      <c r="D146" s="3944" t="n"/>
      <c r="E146" s="3944" t="n"/>
      <c r="F146" s="3944" t="n"/>
      <c r="G146" s="3944" t="n"/>
      <c r="H146" s="3944" t="n"/>
      <c r="I146" s="3944" t="n"/>
      <c r="J146" s="3944" t="n"/>
      <c r="K146" s="3942">
        <f>IF(A146="","",SUM(E146:J146))</f>
        <v/>
      </c>
      <c r="L146" s="3934" t="n"/>
      <c r="M146" s="3934" t="n"/>
      <c r="N146" s="3934" t="n"/>
      <c r="O146" s="3934" t="n"/>
      <c r="P146" s="3934" t="n"/>
      <c r="Q146" s="3934" t="n"/>
      <c r="R146" s="3934" t="n"/>
      <c r="S146" s="3934" t="n"/>
      <c r="T146" s="3934" t="n"/>
      <c r="U146" s="3934" t="n"/>
      <c r="V146" s="3934" t="n"/>
      <c r="W146" s="3934" t="n"/>
      <c r="X146" s="3934" t="n"/>
      <c r="Y146" s="3934" t="n"/>
      <c r="Z146" s="3934" t="n"/>
      <c r="AA146" s="3934" t="n"/>
      <c r="AB146" s="3934" t="n"/>
      <c r="AC146" s="3934" t="n"/>
      <c r="AD146" s="3934" t="n"/>
      <c r="AE146" s="3934" t="n"/>
      <c r="AF146" s="3934" t="n"/>
      <c r="AG146" s="3934" t="n"/>
      <c r="AH146" s="3934" t="n"/>
      <c r="AI146" s="3934" t="n"/>
      <c r="AJ146" s="3934" t="n"/>
      <c r="AK146" s="3934" t="n"/>
      <c r="AL146" s="3934" t="n"/>
      <c r="AM146" s="3934" t="n"/>
      <c r="AN146" s="3934" t="n"/>
      <c r="AO146" s="3934" t="n"/>
      <c r="AP146" s="3934" t="n"/>
      <c r="AQ146" s="3934" t="n"/>
      <c r="AR146" s="3934" t="n"/>
    </row>
    <row r="147">
      <c r="A147" s="3941" t="n"/>
      <c r="B147" s="3944" t="n"/>
      <c r="C147" s="3944" t="n"/>
      <c r="D147" s="3944" t="n"/>
      <c r="E147" s="3944" t="n"/>
      <c r="F147" s="3944" t="n"/>
      <c r="G147" s="3944" t="n"/>
      <c r="H147" s="3944" t="n"/>
      <c r="I147" s="3944" t="n"/>
      <c r="J147" s="3944" t="n"/>
      <c r="K147" s="3942">
        <f>IF(A147="","",SUM(E147:J147))</f>
        <v/>
      </c>
      <c r="L147" s="3934" t="n"/>
      <c r="M147" s="3934" t="n"/>
      <c r="N147" s="3934" t="n"/>
      <c r="O147" s="3934" t="n"/>
      <c r="P147" s="3934" t="n"/>
      <c r="Q147" s="3934" t="n"/>
      <c r="R147" s="3934" t="n"/>
      <c r="S147" s="3934" t="n"/>
      <c r="T147" s="3934" t="n"/>
      <c r="U147" s="3934" t="n"/>
      <c r="V147" s="3934" t="n"/>
      <c r="W147" s="3934" t="n"/>
      <c r="X147" s="3934" t="n"/>
      <c r="Y147" s="3934" t="n"/>
      <c r="Z147" s="3934" t="n"/>
      <c r="AA147" s="3934" t="n"/>
      <c r="AB147" s="3934" t="n"/>
      <c r="AC147" s="3934" t="n"/>
      <c r="AD147" s="3934" t="n"/>
      <c r="AE147" s="3934" t="n"/>
      <c r="AF147" s="3934" t="n"/>
      <c r="AG147" s="3934" t="n"/>
      <c r="AH147" s="3934" t="n"/>
      <c r="AI147" s="3934" t="n"/>
      <c r="AJ147" s="3934" t="n"/>
      <c r="AK147" s="3934" t="n"/>
      <c r="AL147" s="3934" t="n"/>
      <c r="AM147" s="3934" t="n"/>
      <c r="AN147" s="3934" t="n"/>
      <c r="AO147" s="3934" t="n"/>
      <c r="AP147" s="3934" t="n"/>
      <c r="AQ147" s="3934" t="n"/>
      <c r="AR147" s="3934" t="n"/>
    </row>
    <row r="148">
      <c r="A148" s="3941" t="n"/>
      <c r="B148" s="3944" t="n"/>
      <c r="C148" s="3944" t="n"/>
      <c r="D148" s="3944" t="n"/>
      <c r="E148" s="3944" t="n"/>
      <c r="F148" s="3944" t="n"/>
      <c r="G148" s="3944" t="n"/>
      <c r="H148" s="3944" t="n"/>
      <c r="I148" s="3944" t="n"/>
      <c r="J148" s="3944" t="n"/>
      <c r="K148" s="3942">
        <f>IF(A148="","",SUM(E148:J148))</f>
        <v/>
      </c>
      <c r="L148" s="3934" t="n"/>
      <c r="M148" s="3934" t="n"/>
      <c r="N148" s="3934" t="n"/>
      <c r="O148" s="3934" t="n"/>
      <c r="P148" s="3934" t="n"/>
      <c r="Q148" s="3934" t="n"/>
      <c r="R148" s="3934" t="n"/>
      <c r="S148" s="3934" t="n"/>
      <c r="T148" s="3934" t="n"/>
      <c r="U148" s="3934" t="n"/>
      <c r="V148" s="3934" t="n"/>
      <c r="W148" s="3934" t="n"/>
      <c r="X148" s="3934" t="n"/>
      <c r="Y148" s="3934" t="n"/>
      <c r="Z148" s="3934" t="n"/>
      <c r="AA148" s="3934" t="n"/>
      <c r="AB148" s="3934" t="n"/>
      <c r="AC148" s="3934" t="n"/>
      <c r="AD148" s="3934" t="n"/>
      <c r="AE148" s="3934" t="n"/>
      <c r="AF148" s="3934" t="n"/>
      <c r="AG148" s="3934" t="n"/>
      <c r="AH148" s="3934" t="n"/>
      <c r="AI148" s="3934" t="n"/>
      <c r="AJ148" s="3934" t="n"/>
      <c r="AK148" s="3934" t="n"/>
      <c r="AL148" s="3934" t="n"/>
      <c r="AM148" s="3934" t="n"/>
      <c r="AN148" s="3934" t="n"/>
      <c r="AO148" s="3934" t="n"/>
      <c r="AP148" s="3934" t="n"/>
      <c r="AQ148" s="3934" t="n"/>
      <c r="AR148" s="3934" t="n"/>
    </row>
    <row r="149">
      <c r="A149" s="3941" t="n"/>
      <c r="B149" s="3944" t="n"/>
      <c r="C149" s="3944" t="n"/>
      <c r="D149" s="3944" t="n"/>
      <c r="E149" s="3944" t="n"/>
      <c r="F149" s="3944" t="n"/>
      <c r="G149" s="3944" t="n"/>
      <c r="H149" s="3944" t="n"/>
      <c r="I149" s="3944" t="n"/>
      <c r="J149" s="3944" t="n"/>
      <c r="K149" s="3942">
        <f>IF(A149="","",SUM(E149:J149))</f>
        <v/>
      </c>
      <c r="L149" s="3934" t="n"/>
      <c r="M149" s="3934" t="n"/>
      <c r="N149" s="3934" t="n"/>
      <c r="O149" s="3934" t="n"/>
      <c r="P149" s="3934" t="n"/>
      <c r="Q149" s="3934" t="n"/>
      <c r="R149" s="3934" t="n"/>
      <c r="S149" s="3934" t="n"/>
      <c r="T149" s="3934" t="n"/>
      <c r="U149" s="3934" t="n"/>
      <c r="V149" s="3934" t="n"/>
      <c r="W149" s="3934" t="n"/>
      <c r="X149" s="3934" t="n"/>
      <c r="Y149" s="3934" t="n"/>
      <c r="Z149" s="3934" t="n"/>
      <c r="AA149" s="3934" t="n"/>
      <c r="AB149" s="3934" t="n"/>
      <c r="AC149" s="3934" t="n"/>
      <c r="AD149" s="3934" t="n"/>
      <c r="AE149" s="3934" t="n"/>
      <c r="AF149" s="3934" t="n"/>
      <c r="AG149" s="3934" t="n"/>
      <c r="AH149" s="3934" t="n"/>
      <c r="AI149" s="3934" t="n"/>
      <c r="AJ149" s="3934" t="n"/>
      <c r="AK149" s="3934" t="n"/>
      <c r="AL149" s="3934" t="n"/>
      <c r="AM149" s="3934" t="n"/>
      <c r="AN149" s="3934" t="n"/>
      <c r="AO149" s="3934" t="n"/>
      <c r="AP149" s="3934" t="n"/>
      <c r="AQ149" s="3934" t="n"/>
      <c r="AR149" s="3934" t="n"/>
    </row>
    <row r="150">
      <c r="A150" s="3941" t="n"/>
      <c r="B150" s="3944" t="n"/>
      <c r="C150" s="3944" t="n"/>
      <c r="D150" s="3944" t="n"/>
      <c r="E150" s="3944" t="n"/>
      <c r="F150" s="3944" t="n"/>
      <c r="G150" s="3944" t="n"/>
      <c r="H150" s="3944" t="n"/>
      <c r="I150" s="3944" t="n"/>
      <c r="J150" s="3944" t="n"/>
      <c r="K150" s="3942">
        <f>IF(A150="","",SUM(E150:J150))</f>
        <v/>
      </c>
      <c r="L150" s="3934" t="n"/>
      <c r="M150" s="3934" t="n"/>
      <c r="N150" s="3934" t="n"/>
      <c r="O150" s="3934" t="n"/>
      <c r="P150" s="3934" t="n"/>
      <c r="Q150" s="3934" t="n"/>
      <c r="R150" s="3934" t="n"/>
      <c r="S150" s="3934" t="n"/>
      <c r="T150" s="3934" t="n"/>
      <c r="U150" s="3934" t="n"/>
      <c r="V150" s="3934" t="n"/>
      <c r="W150" s="3934" t="n"/>
      <c r="X150" s="3934" t="n"/>
      <c r="Y150" s="3934" t="n"/>
      <c r="Z150" s="3934" t="n"/>
      <c r="AA150" s="3934" t="n"/>
      <c r="AB150" s="3934" t="n"/>
      <c r="AC150" s="3934" t="n"/>
      <c r="AD150" s="3934" t="n"/>
      <c r="AE150" s="3934" t="n"/>
      <c r="AF150" s="3934" t="n"/>
      <c r="AG150" s="3934" t="n"/>
      <c r="AH150" s="3934" t="n"/>
      <c r="AI150" s="3934" t="n"/>
      <c r="AJ150" s="3934" t="n"/>
      <c r="AK150" s="3934" t="n"/>
      <c r="AL150" s="3934" t="n"/>
      <c r="AM150" s="3934" t="n"/>
      <c r="AN150" s="3934" t="n"/>
      <c r="AO150" s="3934" t="n"/>
      <c r="AP150" s="3934" t="n"/>
      <c r="AQ150" s="3934" t="n"/>
      <c r="AR150" s="3934" t="n"/>
    </row>
    <row r="151">
      <c r="A151" s="3941" t="n"/>
      <c r="B151" s="3944" t="n"/>
      <c r="C151" s="3944" t="n"/>
      <c r="D151" s="3944" t="n"/>
      <c r="E151" s="3944" t="n"/>
      <c r="F151" s="3944" t="n"/>
      <c r="G151" s="3944" t="n"/>
      <c r="H151" s="3944" t="n"/>
      <c r="I151" s="3944" t="n"/>
      <c r="J151" s="3944" t="n"/>
      <c r="K151" s="3942">
        <f>IF(A151="","",SUM(E151:J151))</f>
        <v/>
      </c>
      <c r="L151" s="3934" t="n"/>
      <c r="M151" s="3934" t="n"/>
      <c r="N151" s="3934" t="n"/>
      <c r="O151" s="3934" t="n"/>
      <c r="P151" s="3934" t="n"/>
      <c r="Q151" s="3934" t="n"/>
      <c r="R151" s="3934" t="n"/>
      <c r="S151" s="3934" t="n"/>
      <c r="T151" s="3934" t="n"/>
      <c r="U151" s="3934" t="n"/>
      <c r="V151" s="3934" t="n"/>
      <c r="W151" s="3934" t="n"/>
      <c r="X151" s="3934" t="n"/>
      <c r="Y151" s="3934" t="n"/>
      <c r="Z151" s="3934" t="n"/>
      <c r="AA151" s="3934" t="n"/>
      <c r="AB151" s="3934" t="n"/>
      <c r="AC151" s="3934" t="n"/>
      <c r="AD151" s="3934" t="n"/>
      <c r="AE151" s="3934" t="n"/>
      <c r="AF151" s="3934" t="n"/>
      <c r="AG151" s="3934" t="n"/>
      <c r="AH151" s="3934" t="n"/>
      <c r="AI151" s="3934" t="n"/>
      <c r="AJ151" s="3934" t="n"/>
      <c r="AK151" s="3934" t="n"/>
      <c r="AL151" s="3934" t="n"/>
      <c r="AM151" s="3934" t="n"/>
      <c r="AN151" s="3934" t="n"/>
      <c r="AO151" s="3934" t="n"/>
      <c r="AP151" s="3934" t="n"/>
      <c r="AQ151" s="3934" t="n"/>
      <c r="AR151" s="3934" t="n"/>
    </row>
    <row r="152">
      <c r="A152" s="3941" t="n"/>
      <c r="B152" s="3944" t="n"/>
      <c r="C152" s="3944" t="n"/>
      <c r="D152" s="3944" t="n"/>
      <c r="E152" s="3944" t="n"/>
      <c r="F152" s="3944" t="n"/>
      <c r="G152" s="3944" t="n"/>
      <c r="H152" s="3944" t="n"/>
      <c r="I152" s="3944" t="n"/>
      <c r="J152" s="3944" t="n"/>
      <c r="K152" s="3942">
        <f>IF(A152="","",SUM(E152:J152))</f>
        <v/>
      </c>
      <c r="L152" s="3934" t="n"/>
      <c r="M152" s="3934" t="n"/>
      <c r="N152" s="3934" t="n"/>
      <c r="O152" s="3934" t="n"/>
      <c r="P152" s="3934" t="n"/>
      <c r="Q152" s="3934" t="n"/>
      <c r="R152" s="3934" t="n"/>
      <c r="S152" s="3934" t="n"/>
      <c r="T152" s="3934" t="n"/>
      <c r="U152" s="3934" t="n"/>
      <c r="V152" s="3934" t="n"/>
      <c r="W152" s="3934" t="n"/>
      <c r="X152" s="3934" t="n"/>
      <c r="Y152" s="3934" t="n"/>
      <c r="Z152" s="3934" t="n"/>
      <c r="AA152" s="3934" t="n"/>
      <c r="AB152" s="3934" t="n"/>
      <c r="AC152" s="3934" t="n"/>
      <c r="AD152" s="3934" t="n"/>
      <c r="AE152" s="3934" t="n"/>
      <c r="AF152" s="3934" t="n"/>
      <c r="AG152" s="3934" t="n"/>
      <c r="AH152" s="3934" t="n"/>
      <c r="AI152" s="3934" t="n"/>
      <c r="AJ152" s="3934" t="n"/>
      <c r="AK152" s="3934" t="n"/>
      <c r="AL152" s="3934" t="n"/>
      <c r="AM152" s="3934" t="n"/>
      <c r="AN152" s="3934" t="n"/>
      <c r="AO152" s="3934" t="n"/>
      <c r="AP152" s="3934" t="n"/>
      <c r="AQ152" s="3934" t="n"/>
      <c r="AR152" s="3934" t="n"/>
    </row>
    <row r="153">
      <c r="A153" s="3941" t="n"/>
      <c r="B153" s="3944" t="n"/>
      <c r="C153" s="3944" t="n"/>
      <c r="D153" s="3944" t="n"/>
      <c r="E153" s="3944" t="n"/>
      <c r="F153" s="3944" t="n"/>
      <c r="G153" s="3944" t="n"/>
      <c r="H153" s="3944" t="n"/>
      <c r="I153" s="3944" t="n"/>
      <c r="J153" s="3944" t="n"/>
      <c r="K153" s="3942">
        <f>IF(A153="","",SUM(E153:J153))</f>
        <v/>
      </c>
      <c r="L153" s="3934" t="n"/>
      <c r="M153" s="3934" t="n"/>
      <c r="N153" s="3934" t="n"/>
      <c r="O153" s="3934" t="n"/>
      <c r="P153" s="3934" t="n"/>
      <c r="Q153" s="3934" t="n"/>
      <c r="R153" s="3934" t="n"/>
      <c r="S153" s="3934" t="n"/>
      <c r="T153" s="3934" t="n"/>
      <c r="U153" s="3934" t="n"/>
      <c r="V153" s="3934" t="n"/>
      <c r="W153" s="3934" t="n"/>
      <c r="X153" s="3934" t="n"/>
      <c r="Y153" s="3934" t="n"/>
      <c r="Z153" s="3934" t="n"/>
      <c r="AA153" s="3934" t="n"/>
      <c r="AB153" s="3934" t="n"/>
      <c r="AC153" s="3934" t="n"/>
      <c r="AD153" s="3934" t="n"/>
      <c r="AE153" s="3934" t="n"/>
      <c r="AF153" s="3934" t="n"/>
      <c r="AG153" s="3934" t="n"/>
      <c r="AH153" s="3934" t="n"/>
      <c r="AI153" s="3934" t="n"/>
      <c r="AJ153" s="3934" t="n"/>
      <c r="AK153" s="3934" t="n"/>
      <c r="AL153" s="3934" t="n"/>
      <c r="AM153" s="3934" t="n"/>
      <c r="AN153" s="3934" t="n"/>
      <c r="AO153" s="3934" t="n"/>
      <c r="AP153" s="3934" t="n"/>
      <c r="AQ153" s="3934" t="n"/>
      <c r="AR153" s="3934" t="n"/>
    </row>
    <row r="154">
      <c r="A154" s="3941" t="n"/>
      <c r="B154" s="3944" t="n"/>
      <c r="C154" s="3944" t="n"/>
      <c r="D154" s="3944" t="n"/>
      <c r="E154" s="3944" t="n"/>
      <c r="F154" s="3944" t="n"/>
      <c r="G154" s="3944" t="n"/>
      <c r="H154" s="3944" t="n"/>
      <c r="I154" s="3944" t="n"/>
      <c r="J154" s="3944" t="n"/>
      <c r="K154" s="3942">
        <f>IF(A154="","",SUM(E154:J154))</f>
        <v/>
      </c>
      <c r="L154" s="3934" t="n"/>
      <c r="M154" s="3934" t="n"/>
      <c r="N154" s="3934" t="n"/>
      <c r="O154" s="3934" t="n"/>
      <c r="P154" s="3934" t="n"/>
      <c r="Q154" s="3934" t="n"/>
      <c r="R154" s="3934" t="n"/>
      <c r="S154" s="3934" t="n"/>
      <c r="T154" s="3934" t="n"/>
      <c r="U154" s="3934" t="n"/>
      <c r="V154" s="3934" t="n"/>
      <c r="W154" s="3934" t="n"/>
      <c r="X154" s="3934" t="n"/>
      <c r="Y154" s="3934" t="n"/>
      <c r="Z154" s="3934" t="n"/>
      <c r="AA154" s="3934" t="n"/>
      <c r="AB154" s="3934" t="n"/>
      <c r="AC154" s="3934" t="n"/>
      <c r="AD154" s="3934" t="n"/>
      <c r="AE154" s="3934" t="n"/>
      <c r="AF154" s="3934" t="n"/>
      <c r="AG154" s="3934" t="n"/>
      <c r="AH154" s="3934" t="n"/>
      <c r="AI154" s="3934" t="n"/>
      <c r="AJ154" s="3934" t="n"/>
      <c r="AK154" s="3934" t="n"/>
      <c r="AL154" s="3934" t="n"/>
      <c r="AM154" s="3934" t="n"/>
      <c r="AN154" s="3934" t="n"/>
      <c r="AO154" s="3934" t="n"/>
      <c r="AP154" s="3934" t="n"/>
      <c r="AQ154" s="3934" t="n"/>
      <c r="AR154" s="3934" t="n"/>
    </row>
    <row r="155">
      <c r="A155" s="3941" t="n"/>
      <c r="B155" s="3944" t="n"/>
      <c r="C155" s="3944" t="n"/>
      <c r="D155" s="3944" t="n"/>
      <c r="E155" s="3944" t="n"/>
      <c r="F155" s="3944" t="n"/>
      <c r="G155" s="3944" t="n"/>
      <c r="H155" s="3944" t="n"/>
      <c r="I155" s="3944" t="n"/>
      <c r="J155" s="3944" t="n"/>
      <c r="K155" s="3942">
        <f>IF(A155="","",SUM(E155:J155))</f>
        <v/>
      </c>
      <c r="L155" s="3934" t="n"/>
      <c r="M155" s="3934" t="n"/>
      <c r="N155" s="3934" t="n"/>
      <c r="O155" s="3934" t="n"/>
      <c r="P155" s="3934" t="n"/>
      <c r="Q155" s="3934" t="n"/>
      <c r="R155" s="3934" t="n"/>
      <c r="S155" s="3934" t="n"/>
      <c r="T155" s="3934" t="n"/>
      <c r="U155" s="3934" t="n"/>
      <c r="V155" s="3934" t="n"/>
      <c r="W155" s="3934" t="n"/>
      <c r="X155" s="3934" t="n"/>
      <c r="Y155" s="3934" t="n"/>
      <c r="Z155" s="3934" t="n"/>
      <c r="AA155" s="3934" t="n"/>
      <c r="AB155" s="3934" t="n"/>
      <c r="AC155" s="3934" t="n"/>
      <c r="AD155" s="3934" t="n"/>
      <c r="AE155" s="3934" t="n"/>
      <c r="AF155" s="3934" t="n"/>
      <c r="AG155" s="3934" t="n"/>
      <c r="AH155" s="3934" t="n"/>
      <c r="AI155" s="3934" t="n"/>
      <c r="AJ155" s="3934" t="n"/>
      <c r="AK155" s="3934" t="n"/>
      <c r="AL155" s="3934" t="n"/>
      <c r="AM155" s="3934" t="n"/>
      <c r="AN155" s="3934" t="n"/>
      <c r="AO155" s="3934" t="n"/>
      <c r="AP155" s="3934" t="n"/>
      <c r="AQ155" s="3934" t="n"/>
      <c r="AR155" s="3934" t="n"/>
    </row>
    <row r="156">
      <c r="A156" s="3941" t="n"/>
      <c r="B156" s="3944" t="n"/>
      <c r="C156" s="3944" t="n"/>
      <c r="D156" s="3944" t="n"/>
      <c r="E156" s="3944" t="n"/>
      <c r="F156" s="3944" t="n"/>
      <c r="G156" s="3944" t="n"/>
      <c r="H156" s="3944" t="n"/>
      <c r="I156" s="3944" t="n"/>
      <c r="J156" s="3944" t="n"/>
      <c r="K156" s="3942">
        <f>IF(A156="","",SUM(E156:J156))</f>
        <v/>
      </c>
      <c r="L156" s="3934" t="n"/>
      <c r="M156" s="3934" t="n"/>
      <c r="N156" s="3934" t="n"/>
      <c r="O156" s="3934" t="n"/>
      <c r="P156" s="3934" t="n"/>
      <c r="Q156" s="3934" t="n"/>
      <c r="R156" s="3934" t="n"/>
      <c r="S156" s="3934" t="n"/>
      <c r="T156" s="3934" t="n"/>
      <c r="U156" s="3934" t="n"/>
      <c r="V156" s="3934" t="n"/>
      <c r="W156" s="3934" t="n"/>
      <c r="X156" s="3934" t="n"/>
      <c r="Y156" s="3934" t="n"/>
      <c r="Z156" s="3934" t="n"/>
      <c r="AA156" s="3934" t="n"/>
      <c r="AB156" s="3934" t="n"/>
      <c r="AC156" s="3934" t="n"/>
      <c r="AD156" s="3934" t="n"/>
      <c r="AE156" s="3934" t="n"/>
      <c r="AF156" s="3934" t="n"/>
      <c r="AG156" s="3934" t="n"/>
      <c r="AH156" s="3934" t="n"/>
      <c r="AI156" s="3934" t="n"/>
      <c r="AJ156" s="3934" t="n"/>
      <c r="AK156" s="3934" t="n"/>
      <c r="AL156" s="3934" t="n"/>
      <c r="AM156" s="3934" t="n"/>
      <c r="AN156" s="3934" t="n"/>
      <c r="AO156" s="3934" t="n"/>
      <c r="AP156" s="3934" t="n"/>
      <c r="AQ156" s="3934" t="n"/>
      <c r="AR156" s="3934" t="n"/>
    </row>
    <row r="157">
      <c r="A157" s="3941" t="n"/>
      <c r="B157" s="3944" t="n"/>
      <c r="C157" s="3944" t="n"/>
      <c r="D157" s="3944" t="n"/>
      <c r="E157" s="3944" t="n"/>
      <c r="F157" s="3944" t="n"/>
      <c r="G157" s="3944" t="n"/>
      <c r="H157" s="3944" t="n"/>
      <c r="I157" s="3944" t="n"/>
      <c r="J157" s="3944" t="n"/>
      <c r="K157" s="3942">
        <f>IF(A157="","",SUM(E157:J157))</f>
        <v/>
      </c>
      <c r="L157" s="3934" t="n"/>
      <c r="M157" s="3934" t="n"/>
      <c r="N157" s="3934" t="n"/>
      <c r="O157" s="3934" t="n"/>
      <c r="P157" s="3934" t="n"/>
      <c r="Q157" s="3934" t="n"/>
      <c r="R157" s="3934" t="n"/>
      <c r="S157" s="3934" t="n"/>
      <c r="T157" s="3934" t="n"/>
      <c r="U157" s="3934" t="n"/>
      <c r="V157" s="3934" t="n"/>
      <c r="W157" s="3934" t="n"/>
      <c r="X157" s="3934" t="n"/>
      <c r="Y157" s="3934" t="n"/>
      <c r="Z157" s="3934" t="n"/>
      <c r="AA157" s="3934" t="n"/>
      <c r="AB157" s="3934" t="n"/>
      <c r="AC157" s="3934" t="n"/>
      <c r="AD157" s="3934" t="n"/>
      <c r="AE157" s="3934" t="n"/>
      <c r="AF157" s="3934" t="n"/>
      <c r="AG157" s="3934" t="n"/>
      <c r="AH157" s="3934" t="n"/>
      <c r="AI157" s="3934" t="n"/>
      <c r="AJ157" s="3934" t="n"/>
      <c r="AK157" s="3934" t="n"/>
      <c r="AL157" s="3934" t="n"/>
      <c r="AM157" s="3934" t="n"/>
      <c r="AN157" s="3934" t="n"/>
      <c r="AO157" s="3934" t="n"/>
      <c r="AP157" s="3934" t="n"/>
      <c r="AQ157" s="3934" t="n"/>
      <c r="AR157" s="3934" t="n"/>
    </row>
    <row r="158">
      <c r="A158" s="3941" t="n"/>
      <c r="B158" s="3944" t="n"/>
      <c r="C158" s="3944" t="n"/>
      <c r="D158" s="3944" t="n"/>
      <c r="E158" s="3944" t="n"/>
      <c r="F158" s="3944" t="n"/>
      <c r="G158" s="3944" t="n"/>
      <c r="H158" s="3944" t="n"/>
      <c r="I158" s="3944" t="n"/>
      <c r="J158" s="3944" t="n"/>
      <c r="K158" s="3942">
        <f>IF(A158="","",SUM(E158:J158))</f>
        <v/>
      </c>
      <c r="L158" s="3934" t="n"/>
      <c r="M158" s="3934" t="n"/>
      <c r="N158" s="3934" t="n"/>
      <c r="O158" s="3934" t="n"/>
      <c r="P158" s="3934" t="n"/>
      <c r="Q158" s="3934" t="n"/>
      <c r="R158" s="3934" t="n"/>
      <c r="S158" s="3934" t="n"/>
      <c r="T158" s="3934" t="n"/>
      <c r="U158" s="3934" t="n"/>
      <c r="V158" s="3934" t="n"/>
      <c r="W158" s="3934" t="n"/>
      <c r="X158" s="3934" t="n"/>
      <c r="Y158" s="3934" t="n"/>
      <c r="Z158" s="3934" t="n"/>
      <c r="AA158" s="3934" t="n"/>
      <c r="AB158" s="3934" t="n"/>
      <c r="AC158" s="3934" t="n"/>
      <c r="AD158" s="3934" t="n"/>
      <c r="AE158" s="3934" t="n"/>
      <c r="AF158" s="3934" t="n"/>
      <c r="AG158" s="3934" t="n"/>
      <c r="AH158" s="3934" t="n"/>
      <c r="AI158" s="3934" t="n"/>
      <c r="AJ158" s="3934" t="n"/>
      <c r="AK158" s="3934" t="n"/>
      <c r="AL158" s="3934" t="n"/>
      <c r="AM158" s="3934" t="n"/>
      <c r="AN158" s="3934" t="n"/>
      <c r="AO158" s="3934" t="n"/>
      <c r="AP158" s="3934" t="n"/>
      <c r="AQ158" s="3934" t="n"/>
      <c r="AR158" s="3934" t="n"/>
    </row>
    <row r="159">
      <c r="A159" s="3941" t="n"/>
      <c r="B159" s="3944" t="n"/>
      <c r="C159" s="3944" t="n"/>
      <c r="D159" s="3944" t="n"/>
      <c r="E159" s="3944" t="n"/>
      <c r="F159" s="3944" t="n"/>
      <c r="G159" s="3944" t="n"/>
      <c r="H159" s="3944" t="n"/>
      <c r="I159" s="3944" t="n"/>
      <c r="J159" s="3944" t="n"/>
      <c r="K159" s="3942">
        <f>IF(A159="","",SUM(E159:J159))</f>
        <v/>
      </c>
      <c r="L159" s="3934" t="n"/>
      <c r="M159" s="3934" t="n"/>
      <c r="N159" s="3934" t="n"/>
      <c r="O159" s="3934" t="n"/>
      <c r="P159" s="3934" t="n"/>
      <c r="Q159" s="3934" t="n"/>
      <c r="R159" s="3934" t="n"/>
      <c r="S159" s="3934" t="n"/>
      <c r="T159" s="3934" t="n"/>
      <c r="U159" s="3934" t="n"/>
      <c r="V159" s="3934" t="n"/>
      <c r="W159" s="3934" t="n"/>
      <c r="X159" s="3934" t="n"/>
      <c r="Y159" s="3934" t="n"/>
      <c r="Z159" s="3934" t="n"/>
      <c r="AA159" s="3934" t="n"/>
      <c r="AB159" s="3934" t="n"/>
      <c r="AC159" s="3934" t="n"/>
      <c r="AD159" s="3934" t="n"/>
      <c r="AE159" s="3934" t="n"/>
      <c r="AF159" s="3934" t="n"/>
      <c r="AG159" s="3934" t="n"/>
      <c r="AH159" s="3934" t="n"/>
      <c r="AI159" s="3934" t="n"/>
      <c r="AJ159" s="3934" t="n"/>
      <c r="AK159" s="3934" t="n"/>
      <c r="AL159" s="3934" t="n"/>
      <c r="AM159" s="3934" t="n"/>
      <c r="AN159" s="3934" t="n"/>
      <c r="AO159" s="3934" t="n"/>
      <c r="AP159" s="3934" t="n"/>
      <c r="AQ159" s="3934" t="n"/>
      <c r="AR159" s="3934" t="n"/>
    </row>
    <row r="160">
      <c r="A160" s="3941" t="n"/>
      <c r="B160" s="3944" t="n"/>
      <c r="C160" s="3944" t="n"/>
      <c r="D160" s="3944" t="n"/>
      <c r="E160" s="3944" t="n"/>
      <c r="F160" s="3944" t="n"/>
      <c r="G160" s="3944" t="n"/>
      <c r="H160" s="3944" t="n"/>
      <c r="I160" s="3944" t="n"/>
      <c r="J160" s="3944" t="n"/>
      <c r="K160" s="3942">
        <f>IF(A160="","",SUM(E160:J160))</f>
        <v/>
      </c>
      <c r="L160" s="3934" t="n"/>
      <c r="M160" s="3934" t="n"/>
      <c r="N160" s="3934" t="n"/>
      <c r="O160" s="3934" t="n"/>
      <c r="P160" s="3934" t="n"/>
      <c r="Q160" s="3934" t="n"/>
      <c r="R160" s="3934" t="n"/>
      <c r="S160" s="3934" t="n"/>
      <c r="T160" s="3934" t="n"/>
      <c r="U160" s="3934" t="n"/>
      <c r="V160" s="3934" t="n"/>
      <c r="W160" s="3934" t="n"/>
      <c r="X160" s="3934" t="n"/>
      <c r="Y160" s="3934" t="n"/>
      <c r="Z160" s="3934" t="n"/>
      <c r="AA160" s="3934" t="n"/>
      <c r="AB160" s="3934" t="n"/>
      <c r="AC160" s="3934" t="n"/>
      <c r="AD160" s="3934" t="n"/>
      <c r="AE160" s="3934" t="n"/>
      <c r="AF160" s="3934" t="n"/>
      <c r="AG160" s="3934" t="n"/>
      <c r="AH160" s="3934" t="n"/>
      <c r="AI160" s="3934" t="n"/>
      <c r="AJ160" s="3934" t="n"/>
      <c r="AK160" s="3934" t="n"/>
      <c r="AL160" s="3934" t="n"/>
      <c r="AM160" s="3934" t="n"/>
      <c r="AN160" s="3934" t="n"/>
      <c r="AO160" s="3934" t="n"/>
      <c r="AP160" s="3934" t="n"/>
      <c r="AQ160" s="3934" t="n"/>
      <c r="AR160" s="3934" t="n"/>
    </row>
    <row r="161">
      <c r="A161" s="3941" t="n"/>
      <c r="B161" s="3944" t="n"/>
      <c r="C161" s="3944" t="n"/>
      <c r="D161" s="3944" t="n"/>
      <c r="E161" s="3944" t="n"/>
      <c r="F161" s="3944" t="n"/>
      <c r="G161" s="3944" t="n"/>
      <c r="H161" s="3944" t="n"/>
      <c r="I161" s="3944" t="n"/>
      <c r="J161" s="3944" t="n"/>
      <c r="K161" s="3942">
        <f>IF(A161="","",SUM(E161:J161))</f>
        <v/>
      </c>
      <c r="L161" s="3934" t="n"/>
      <c r="M161" s="3934" t="n"/>
      <c r="N161" s="3934" t="n"/>
      <c r="O161" s="3934" t="n"/>
      <c r="P161" s="3934" t="n"/>
      <c r="Q161" s="3934" t="n"/>
      <c r="R161" s="3934" t="n"/>
      <c r="S161" s="3934" t="n"/>
      <c r="T161" s="3934" t="n"/>
      <c r="U161" s="3934" t="n"/>
      <c r="V161" s="3934" t="n"/>
      <c r="W161" s="3934" t="n"/>
      <c r="X161" s="3934" t="n"/>
      <c r="Y161" s="3934" t="n"/>
      <c r="Z161" s="3934" t="n"/>
      <c r="AA161" s="3934" t="n"/>
      <c r="AB161" s="3934" t="n"/>
      <c r="AC161" s="3934" t="n"/>
      <c r="AD161" s="3934" t="n"/>
      <c r="AE161" s="3934" t="n"/>
      <c r="AF161" s="3934" t="n"/>
      <c r="AG161" s="3934" t="n"/>
      <c r="AH161" s="3934" t="n"/>
      <c r="AI161" s="3934" t="n"/>
      <c r="AJ161" s="3934" t="n"/>
      <c r="AK161" s="3934" t="n"/>
      <c r="AL161" s="3934" t="n"/>
      <c r="AM161" s="3934" t="n"/>
      <c r="AN161" s="3934" t="n"/>
      <c r="AO161" s="3934" t="n"/>
      <c r="AP161" s="3934" t="n"/>
      <c r="AQ161" s="3934" t="n"/>
      <c r="AR161" s="3934" t="n"/>
    </row>
    <row r="162">
      <c r="A162" s="3941" t="n"/>
      <c r="B162" s="3944" t="n"/>
      <c r="C162" s="3944" t="n"/>
      <c r="D162" s="3944" t="n"/>
      <c r="E162" s="3944" t="n"/>
      <c r="F162" s="3944" t="n"/>
      <c r="G162" s="3944" t="n"/>
      <c r="H162" s="3944" t="n"/>
      <c r="I162" s="3944" t="n"/>
      <c r="J162" s="3944" t="n"/>
      <c r="K162" s="3942">
        <f>IF(A162="","",SUM(E162:J162))</f>
        <v/>
      </c>
      <c r="L162" s="3934" t="n"/>
      <c r="M162" s="3934" t="n"/>
      <c r="N162" s="3934" t="n"/>
      <c r="O162" s="3934" t="n"/>
      <c r="P162" s="3934" t="n"/>
      <c r="Q162" s="3934" t="n"/>
      <c r="R162" s="3934" t="n"/>
      <c r="S162" s="3934" t="n"/>
      <c r="T162" s="3934" t="n"/>
      <c r="U162" s="3934" t="n"/>
      <c r="V162" s="3934" t="n"/>
      <c r="W162" s="3934" t="n"/>
      <c r="X162" s="3934" t="n"/>
      <c r="Y162" s="3934" t="n"/>
      <c r="Z162" s="3934" t="n"/>
      <c r="AA162" s="3934" t="n"/>
      <c r="AB162" s="3934" t="n"/>
      <c r="AC162" s="3934" t="n"/>
      <c r="AD162" s="3934" t="n"/>
      <c r="AE162" s="3934" t="n"/>
      <c r="AF162" s="3934" t="n"/>
      <c r="AG162" s="3934" t="n"/>
      <c r="AH162" s="3934" t="n"/>
      <c r="AI162" s="3934" t="n"/>
      <c r="AJ162" s="3934" t="n"/>
      <c r="AK162" s="3934" t="n"/>
      <c r="AL162" s="3934" t="n"/>
      <c r="AM162" s="3934" t="n"/>
      <c r="AN162" s="3934" t="n"/>
      <c r="AO162" s="3934" t="n"/>
      <c r="AP162" s="3934" t="n"/>
      <c r="AQ162" s="3934" t="n"/>
      <c r="AR162" s="3934" t="n"/>
    </row>
    <row r="163">
      <c r="A163" s="3941" t="n"/>
      <c r="B163" s="3944" t="n"/>
      <c r="C163" s="3944" t="n"/>
      <c r="D163" s="3944" t="n"/>
      <c r="E163" s="3944" t="n"/>
      <c r="F163" s="3944" t="n"/>
      <c r="G163" s="3944" t="n"/>
      <c r="H163" s="3944" t="n"/>
      <c r="I163" s="3944" t="n"/>
      <c r="J163" s="3944" t="n"/>
      <c r="K163" s="3942">
        <f>IF(A163="","",SUM(E163:J163))</f>
        <v/>
      </c>
      <c r="L163" s="3934" t="n"/>
      <c r="M163" s="3934" t="n"/>
      <c r="N163" s="3934" t="n"/>
      <c r="O163" s="3934" t="n"/>
      <c r="P163" s="3934" t="n"/>
      <c r="Q163" s="3934" t="n"/>
      <c r="R163" s="3934" t="n"/>
      <c r="S163" s="3934" t="n"/>
      <c r="T163" s="3934" t="n"/>
      <c r="U163" s="3934" t="n"/>
      <c r="V163" s="3934" t="n"/>
      <c r="W163" s="3934" t="n"/>
      <c r="X163" s="3934" t="n"/>
      <c r="Y163" s="3934" t="n"/>
      <c r="Z163" s="3934" t="n"/>
      <c r="AA163" s="3934" t="n"/>
      <c r="AB163" s="3934" t="n"/>
      <c r="AC163" s="3934" t="n"/>
      <c r="AD163" s="3934" t="n"/>
      <c r="AE163" s="3934" t="n"/>
      <c r="AF163" s="3934" t="n"/>
      <c r="AG163" s="3934" t="n"/>
      <c r="AH163" s="3934" t="n"/>
      <c r="AI163" s="3934" t="n"/>
      <c r="AJ163" s="3934" t="n"/>
      <c r="AK163" s="3934" t="n"/>
      <c r="AL163" s="3934" t="n"/>
      <c r="AM163" s="3934" t="n"/>
      <c r="AN163" s="3934" t="n"/>
      <c r="AO163" s="3934" t="n"/>
      <c r="AP163" s="3934" t="n"/>
      <c r="AQ163" s="3934" t="n"/>
      <c r="AR163" s="3934" t="n"/>
    </row>
    <row r="164">
      <c r="A164" s="3941" t="n"/>
      <c r="B164" s="3944" t="n"/>
      <c r="C164" s="3944" t="n"/>
      <c r="D164" s="3944" t="n"/>
      <c r="E164" s="3944" t="n"/>
      <c r="F164" s="3944" t="n"/>
      <c r="G164" s="3944" t="n"/>
      <c r="H164" s="3944" t="n"/>
      <c r="I164" s="3944" t="n"/>
      <c r="J164" s="3944" t="n"/>
      <c r="K164" s="3942">
        <f>IF(A164="","",SUM(E164:J164))</f>
        <v/>
      </c>
      <c r="L164" s="3934" t="n"/>
      <c r="M164" s="3934" t="n"/>
      <c r="N164" s="3934" t="n"/>
      <c r="O164" s="3934" t="n"/>
      <c r="P164" s="3934" t="n"/>
      <c r="Q164" s="3934" t="n"/>
      <c r="R164" s="3934" t="n"/>
      <c r="S164" s="3934" t="n"/>
      <c r="T164" s="3934" t="n"/>
      <c r="U164" s="3934" t="n"/>
      <c r="V164" s="3934" t="n"/>
      <c r="W164" s="3934" t="n"/>
      <c r="X164" s="3934" t="n"/>
      <c r="Y164" s="3934" t="n"/>
      <c r="Z164" s="3934" t="n"/>
      <c r="AA164" s="3934" t="n"/>
      <c r="AB164" s="3934" t="n"/>
      <c r="AC164" s="3934" t="n"/>
      <c r="AD164" s="3934" t="n"/>
      <c r="AE164" s="3934" t="n"/>
      <c r="AF164" s="3934" t="n"/>
      <c r="AG164" s="3934" t="n"/>
      <c r="AH164" s="3934" t="n"/>
      <c r="AI164" s="3934" t="n"/>
      <c r="AJ164" s="3934" t="n"/>
      <c r="AK164" s="3934" t="n"/>
      <c r="AL164" s="3934" t="n"/>
      <c r="AM164" s="3934" t="n"/>
      <c r="AN164" s="3934" t="n"/>
      <c r="AO164" s="3934" t="n"/>
      <c r="AP164" s="3934" t="n"/>
      <c r="AQ164" s="3934" t="n"/>
      <c r="AR164" s="3934" t="n"/>
    </row>
    <row r="165">
      <c r="A165" s="3941" t="n"/>
      <c r="B165" s="3944" t="n"/>
      <c r="C165" s="3944" t="n"/>
      <c r="D165" s="3944" t="n"/>
      <c r="E165" s="3944" t="n"/>
      <c r="F165" s="3944" t="n"/>
      <c r="G165" s="3944" t="n"/>
      <c r="H165" s="3944" t="n"/>
      <c r="I165" s="3944" t="n"/>
      <c r="J165" s="3944" t="n"/>
      <c r="K165" s="3942">
        <f>IF(A165="","",SUM(E165:J165))</f>
        <v/>
      </c>
      <c r="L165" s="3934" t="n"/>
      <c r="M165" s="3934" t="n"/>
      <c r="N165" s="3934" t="n"/>
      <c r="O165" s="3934" t="n"/>
      <c r="P165" s="3934" t="n"/>
      <c r="Q165" s="3934" t="n"/>
      <c r="R165" s="3934" t="n"/>
      <c r="S165" s="3934" t="n"/>
      <c r="T165" s="3934" t="n"/>
      <c r="U165" s="3934" t="n"/>
      <c r="V165" s="3934" t="n"/>
      <c r="W165" s="3934" t="n"/>
      <c r="X165" s="3934" t="n"/>
      <c r="Y165" s="3934" t="n"/>
      <c r="Z165" s="3934" t="n"/>
      <c r="AA165" s="3934" t="n"/>
      <c r="AB165" s="3934" t="n"/>
      <c r="AC165" s="3934" t="n"/>
      <c r="AD165" s="3934" t="n"/>
      <c r="AE165" s="3934" t="n"/>
      <c r="AF165" s="3934" t="n"/>
      <c r="AG165" s="3934" t="n"/>
      <c r="AH165" s="3934" t="n"/>
      <c r="AI165" s="3934" t="n"/>
      <c r="AJ165" s="3934" t="n"/>
      <c r="AK165" s="3934" t="n"/>
      <c r="AL165" s="3934" t="n"/>
      <c r="AM165" s="3934" t="n"/>
      <c r="AN165" s="3934" t="n"/>
      <c r="AO165" s="3934" t="n"/>
      <c r="AP165" s="3934" t="n"/>
      <c r="AQ165" s="3934" t="n"/>
      <c r="AR165" s="3934" t="n"/>
    </row>
    <row r="166">
      <c r="A166" s="3941" t="n"/>
      <c r="B166" s="3944" t="n"/>
      <c r="C166" s="3944" t="n"/>
      <c r="D166" s="3944" t="n"/>
      <c r="E166" s="3944" t="n"/>
      <c r="F166" s="3944" t="n"/>
      <c r="G166" s="3944" t="n"/>
      <c r="H166" s="3944" t="n"/>
      <c r="I166" s="3944" t="n"/>
      <c r="J166" s="3944" t="n"/>
      <c r="K166" s="3942">
        <f>IF(A166="","",SUM(E166:J166))</f>
        <v/>
      </c>
      <c r="L166" s="3934" t="n"/>
      <c r="M166" s="3934" t="n"/>
      <c r="N166" s="3934" t="n"/>
      <c r="O166" s="3934" t="n"/>
      <c r="P166" s="3934" t="n"/>
      <c r="Q166" s="3934" t="n"/>
      <c r="R166" s="3934" t="n"/>
      <c r="S166" s="3934" t="n"/>
      <c r="T166" s="3934" t="n"/>
      <c r="U166" s="3934" t="n"/>
      <c r="V166" s="3934" t="n"/>
      <c r="W166" s="3934" t="n"/>
      <c r="X166" s="3934" t="n"/>
      <c r="Y166" s="3934" t="n"/>
      <c r="Z166" s="3934" t="n"/>
      <c r="AA166" s="3934" t="n"/>
      <c r="AB166" s="3934" t="n"/>
      <c r="AC166" s="3934" t="n"/>
      <c r="AD166" s="3934" t="n"/>
      <c r="AE166" s="3934" t="n"/>
      <c r="AF166" s="3934" t="n"/>
      <c r="AG166" s="3934" t="n"/>
      <c r="AH166" s="3934" t="n"/>
      <c r="AI166" s="3934" t="n"/>
      <c r="AJ166" s="3934" t="n"/>
      <c r="AK166" s="3934" t="n"/>
      <c r="AL166" s="3934" t="n"/>
      <c r="AM166" s="3934" t="n"/>
      <c r="AN166" s="3934" t="n"/>
      <c r="AO166" s="3934" t="n"/>
      <c r="AP166" s="3934" t="n"/>
      <c r="AQ166" s="3934" t="n"/>
      <c r="AR166" s="3934" t="n"/>
    </row>
    <row r="167">
      <c r="A167" s="3941" t="n"/>
      <c r="B167" s="3944" t="n"/>
      <c r="C167" s="3944" t="n"/>
      <c r="D167" s="3944" t="n"/>
      <c r="E167" s="3944" t="n"/>
      <c r="F167" s="3944" t="n"/>
      <c r="G167" s="3944" t="n"/>
      <c r="H167" s="3944" t="n"/>
      <c r="I167" s="3944" t="n"/>
      <c r="J167" s="3944" t="n"/>
      <c r="K167" s="3942">
        <f>IF(A167="","",SUM(E167:J167))</f>
        <v/>
      </c>
      <c r="L167" s="3934" t="n"/>
      <c r="M167" s="3934" t="n"/>
      <c r="N167" s="3934" t="n"/>
      <c r="O167" s="3934" t="n"/>
      <c r="P167" s="3934" t="n"/>
      <c r="Q167" s="3934" t="n"/>
      <c r="R167" s="3934" t="n"/>
      <c r="S167" s="3934" t="n"/>
      <c r="T167" s="3934" t="n"/>
      <c r="U167" s="3934" t="n"/>
      <c r="V167" s="3934" t="n"/>
      <c r="W167" s="3934" t="n"/>
      <c r="X167" s="3934" t="n"/>
      <c r="Y167" s="3934" t="n"/>
      <c r="Z167" s="3934" t="n"/>
      <c r="AA167" s="3934" t="n"/>
      <c r="AB167" s="3934" t="n"/>
      <c r="AC167" s="3934" t="n"/>
      <c r="AD167" s="3934" t="n"/>
      <c r="AE167" s="3934" t="n"/>
      <c r="AF167" s="3934" t="n"/>
      <c r="AG167" s="3934" t="n"/>
      <c r="AH167" s="3934" t="n"/>
      <c r="AI167" s="3934" t="n"/>
      <c r="AJ167" s="3934" t="n"/>
      <c r="AK167" s="3934" t="n"/>
      <c r="AL167" s="3934" t="n"/>
      <c r="AM167" s="3934" t="n"/>
      <c r="AN167" s="3934" t="n"/>
      <c r="AO167" s="3934" t="n"/>
      <c r="AP167" s="3934" t="n"/>
      <c r="AQ167" s="3934" t="n"/>
      <c r="AR167" s="3934" t="n"/>
    </row>
    <row r="168">
      <c r="A168" s="3941" t="n"/>
      <c r="B168" s="3944" t="n"/>
      <c r="C168" s="3944" t="n"/>
      <c r="D168" s="3944" t="n"/>
      <c r="E168" s="3944" t="n"/>
      <c r="F168" s="3944" t="n"/>
      <c r="G168" s="3944" t="n"/>
      <c r="H168" s="3944" t="n"/>
      <c r="I168" s="3944" t="n"/>
      <c r="J168" s="3944" t="n"/>
      <c r="K168" s="3942">
        <f>IF(A168="","",SUM(E168:J168))</f>
        <v/>
      </c>
      <c r="L168" s="3934" t="n"/>
      <c r="M168" s="3934" t="n"/>
      <c r="N168" s="3934" t="n"/>
      <c r="O168" s="3934" t="n"/>
      <c r="P168" s="3934" t="n"/>
      <c r="Q168" s="3934" t="n"/>
      <c r="R168" s="3934" t="n"/>
      <c r="S168" s="3934" t="n"/>
      <c r="T168" s="3934" t="n"/>
      <c r="U168" s="3934" t="n"/>
      <c r="V168" s="3934" t="n"/>
      <c r="W168" s="3934" t="n"/>
      <c r="X168" s="3934" t="n"/>
      <c r="Y168" s="3934" t="n"/>
      <c r="Z168" s="3934" t="n"/>
      <c r="AA168" s="3934" t="n"/>
      <c r="AB168" s="3934" t="n"/>
      <c r="AC168" s="3934" t="n"/>
      <c r="AD168" s="3934" t="n"/>
      <c r="AE168" s="3934" t="n"/>
      <c r="AF168" s="3934" t="n"/>
      <c r="AG168" s="3934" t="n"/>
      <c r="AH168" s="3934" t="n"/>
      <c r="AI168" s="3934" t="n"/>
      <c r="AJ168" s="3934" t="n"/>
      <c r="AK168" s="3934" t="n"/>
      <c r="AL168" s="3934" t="n"/>
      <c r="AM168" s="3934" t="n"/>
      <c r="AN168" s="3934" t="n"/>
      <c r="AO168" s="3934" t="n"/>
      <c r="AP168" s="3934" t="n"/>
      <c r="AQ168" s="3934" t="n"/>
      <c r="AR168" s="3934" t="n"/>
    </row>
    <row r="169">
      <c r="A169" s="3941" t="n"/>
      <c r="B169" s="3944" t="n"/>
      <c r="C169" s="3944" t="n"/>
      <c r="D169" s="3944" t="n"/>
      <c r="E169" s="3944" t="n"/>
      <c r="F169" s="3944" t="n"/>
      <c r="G169" s="3944" t="n"/>
      <c r="H169" s="3944" t="n"/>
      <c r="I169" s="3944" t="n"/>
      <c r="J169" s="3944" t="n"/>
      <c r="K169" s="3942">
        <f>IF(A169="","",SUM(E169:J169))</f>
        <v/>
      </c>
      <c r="L169" s="3934" t="n"/>
      <c r="M169" s="3934" t="n"/>
      <c r="N169" s="3934" t="n"/>
      <c r="O169" s="3934" t="n"/>
      <c r="P169" s="3934" t="n"/>
      <c r="Q169" s="3934" t="n"/>
      <c r="R169" s="3934" t="n"/>
      <c r="S169" s="3934" t="n"/>
      <c r="T169" s="3934" t="n"/>
      <c r="U169" s="3934" t="n"/>
      <c r="V169" s="3934" t="n"/>
      <c r="W169" s="3934" t="n"/>
      <c r="X169" s="3934" t="n"/>
      <c r="Y169" s="3934" t="n"/>
      <c r="Z169" s="3934" t="n"/>
      <c r="AA169" s="3934" t="n"/>
      <c r="AB169" s="3934" t="n"/>
      <c r="AC169" s="3934" t="n"/>
      <c r="AD169" s="3934" t="n"/>
      <c r="AE169" s="3934" t="n"/>
      <c r="AF169" s="3934" t="n"/>
      <c r="AG169" s="3934" t="n"/>
      <c r="AH169" s="3934" t="n"/>
      <c r="AI169" s="3934" t="n"/>
      <c r="AJ169" s="3934" t="n"/>
      <c r="AK169" s="3934" t="n"/>
      <c r="AL169" s="3934" t="n"/>
      <c r="AM169" s="3934" t="n"/>
      <c r="AN169" s="3934" t="n"/>
      <c r="AO169" s="3934" t="n"/>
      <c r="AP169" s="3934" t="n"/>
      <c r="AQ169" s="3934" t="n"/>
      <c r="AR169" s="3934" t="n"/>
    </row>
    <row r="170">
      <c r="A170" s="3941" t="n"/>
      <c r="B170" s="3944" t="n"/>
      <c r="C170" s="3944" t="n"/>
      <c r="D170" s="3944" t="n"/>
      <c r="E170" s="3944" t="n"/>
      <c r="F170" s="3944" t="n"/>
      <c r="G170" s="3944" t="n"/>
      <c r="H170" s="3944" t="n"/>
      <c r="I170" s="3944" t="n"/>
      <c r="J170" s="3944" t="n"/>
      <c r="K170" s="3942">
        <f>IF(A170="","",SUM(E170:J170))</f>
        <v/>
      </c>
      <c r="L170" s="3934" t="n"/>
      <c r="M170" s="3934" t="n"/>
      <c r="N170" s="3934" t="n"/>
      <c r="O170" s="3934" t="n"/>
      <c r="P170" s="3934" t="n"/>
      <c r="Q170" s="3934" t="n"/>
      <c r="R170" s="3934" t="n"/>
      <c r="S170" s="3934" t="n"/>
      <c r="T170" s="3934" t="n"/>
      <c r="U170" s="3934" t="n"/>
      <c r="V170" s="3934" t="n"/>
      <c r="W170" s="3934" t="n"/>
      <c r="X170" s="3934" t="n"/>
      <c r="Y170" s="3934" t="n"/>
      <c r="Z170" s="3934" t="n"/>
      <c r="AA170" s="3934" t="n"/>
      <c r="AB170" s="3934" t="n"/>
      <c r="AC170" s="3934" t="n"/>
      <c r="AD170" s="3934" t="n"/>
      <c r="AE170" s="3934" t="n"/>
      <c r="AF170" s="3934" t="n"/>
      <c r="AG170" s="3934" t="n"/>
      <c r="AH170" s="3934" t="n"/>
      <c r="AI170" s="3934" t="n"/>
      <c r="AJ170" s="3934" t="n"/>
      <c r="AK170" s="3934" t="n"/>
      <c r="AL170" s="3934" t="n"/>
      <c r="AM170" s="3934" t="n"/>
      <c r="AN170" s="3934" t="n"/>
      <c r="AO170" s="3934" t="n"/>
      <c r="AP170" s="3934" t="n"/>
      <c r="AQ170" s="3934" t="n"/>
      <c r="AR170" s="3934" t="n"/>
    </row>
    <row r="171">
      <c r="A171" s="3941" t="n"/>
      <c r="B171" s="3944" t="n"/>
      <c r="C171" s="3944" t="n"/>
      <c r="D171" s="3944" t="n"/>
      <c r="E171" s="3944" t="n"/>
      <c r="F171" s="3944" t="n"/>
      <c r="G171" s="3944" t="n"/>
      <c r="H171" s="3944" t="n"/>
      <c r="I171" s="3944" t="n"/>
      <c r="J171" s="3944" t="n"/>
      <c r="K171" s="3942">
        <f>IF(A171="","",SUM(E171:J171))</f>
        <v/>
      </c>
      <c r="L171" s="3934" t="n"/>
      <c r="M171" s="3934" t="n"/>
      <c r="N171" s="3934" t="n"/>
      <c r="O171" s="3934" t="n"/>
      <c r="P171" s="3934" t="n"/>
      <c r="Q171" s="3934" t="n"/>
      <c r="R171" s="3934" t="n"/>
      <c r="S171" s="3934" t="n"/>
      <c r="T171" s="3934" t="n"/>
      <c r="U171" s="3934" t="n"/>
      <c r="V171" s="3934" t="n"/>
      <c r="W171" s="3934" t="n"/>
      <c r="X171" s="3934" t="n"/>
      <c r="Y171" s="3934" t="n"/>
      <c r="Z171" s="3934" t="n"/>
      <c r="AA171" s="3934" t="n"/>
      <c r="AB171" s="3934" t="n"/>
      <c r="AC171" s="3934" t="n"/>
      <c r="AD171" s="3934" t="n"/>
      <c r="AE171" s="3934" t="n"/>
      <c r="AF171" s="3934" t="n"/>
      <c r="AG171" s="3934" t="n"/>
      <c r="AH171" s="3934" t="n"/>
      <c r="AI171" s="3934" t="n"/>
      <c r="AJ171" s="3934" t="n"/>
      <c r="AK171" s="3934" t="n"/>
      <c r="AL171" s="3934" t="n"/>
      <c r="AM171" s="3934" t="n"/>
      <c r="AN171" s="3934" t="n"/>
      <c r="AO171" s="3934" t="n"/>
      <c r="AP171" s="3934" t="n"/>
      <c r="AQ171" s="3934" t="n"/>
      <c r="AR171" s="3934" t="n"/>
    </row>
    <row r="172">
      <c r="A172" s="3941" t="n"/>
      <c r="B172" s="3944" t="n"/>
      <c r="C172" s="3944" t="n"/>
      <c r="D172" s="3944" t="n"/>
      <c r="E172" s="3944" t="n"/>
      <c r="F172" s="3944" t="n"/>
      <c r="G172" s="3944" t="n"/>
      <c r="H172" s="3944" t="n"/>
      <c r="I172" s="3944" t="n"/>
      <c r="J172" s="3944" t="n"/>
      <c r="K172" s="3942">
        <f>IF(A172="","",SUM(E172:J172))</f>
        <v/>
      </c>
      <c r="L172" s="3934" t="n"/>
      <c r="M172" s="3934" t="n"/>
      <c r="N172" s="3934" t="n"/>
      <c r="O172" s="3934" t="n"/>
      <c r="P172" s="3934" t="n"/>
      <c r="Q172" s="3934" t="n"/>
      <c r="R172" s="3934" t="n"/>
      <c r="S172" s="3934" t="n"/>
      <c r="T172" s="3934" t="n"/>
      <c r="U172" s="3934" t="n"/>
      <c r="V172" s="3934" t="n"/>
      <c r="W172" s="3934" t="n"/>
      <c r="X172" s="3934" t="n"/>
      <c r="Y172" s="3934" t="n"/>
      <c r="Z172" s="3934" t="n"/>
      <c r="AA172" s="3934" t="n"/>
      <c r="AB172" s="3934" t="n"/>
      <c r="AC172" s="3934" t="n"/>
      <c r="AD172" s="3934" t="n"/>
      <c r="AE172" s="3934" t="n"/>
      <c r="AF172" s="3934" t="n"/>
      <c r="AG172" s="3934" t="n"/>
      <c r="AH172" s="3934" t="n"/>
      <c r="AI172" s="3934" t="n"/>
      <c r="AJ172" s="3934" t="n"/>
      <c r="AK172" s="3934" t="n"/>
      <c r="AL172" s="3934" t="n"/>
      <c r="AM172" s="3934" t="n"/>
      <c r="AN172" s="3934" t="n"/>
      <c r="AO172" s="3934" t="n"/>
      <c r="AP172" s="3934" t="n"/>
      <c r="AQ172" s="3934" t="n"/>
      <c r="AR172" s="3934" t="n"/>
    </row>
    <row r="173">
      <c r="A173" s="3941" t="n"/>
      <c r="B173" s="3944" t="n"/>
      <c r="C173" s="3944" t="n"/>
      <c r="D173" s="3944" t="n"/>
      <c r="E173" s="3944" t="n"/>
      <c r="F173" s="3944" t="n"/>
      <c r="G173" s="3944" t="n"/>
      <c r="H173" s="3944" t="n"/>
      <c r="I173" s="3944" t="n"/>
      <c r="J173" s="3944" t="n"/>
      <c r="K173" s="3942">
        <f>IF(A173="","",SUM(E173:J173))</f>
        <v/>
      </c>
      <c r="L173" s="3934" t="n"/>
      <c r="M173" s="3934" t="n"/>
      <c r="N173" s="3934" t="n"/>
      <c r="O173" s="3934" t="n"/>
      <c r="P173" s="3934" t="n"/>
      <c r="Q173" s="3934" t="n"/>
      <c r="R173" s="3934" t="n"/>
      <c r="S173" s="3934" t="n"/>
      <c r="T173" s="3934" t="n"/>
      <c r="U173" s="3934" t="n"/>
      <c r="V173" s="3934" t="n"/>
      <c r="W173" s="3934" t="n"/>
      <c r="X173" s="3934" t="n"/>
      <c r="Y173" s="3934" t="n"/>
      <c r="Z173" s="3934" t="n"/>
      <c r="AA173" s="3934" t="n"/>
      <c r="AB173" s="3934" t="n"/>
      <c r="AC173" s="3934" t="n"/>
      <c r="AD173" s="3934" t="n"/>
      <c r="AE173" s="3934" t="n"/>
      <c r="AF173" s="3934" t="n"/>
      <c r="AG173" s="3934" t="n"/>
      <c r="AH173" s="3934" t="n"/>
      <c r="AI173" s="3934" t="n"/>
      <c r="AJ173" s="3934" t="n"/>
      <c r="AK173" s="3934" t="n"/>
      <c r="AL173" s="3934" t="n"/>
      <c r="AM173" s="3934" t="n"/>
      <c r="AN173" s="3934" t="n"/>
      <c r="AO173" s="3934" t="n"/>
      <c r="AP173" s="3934" t="n"/>
      <c r="AQ173" s="3934" t="n"/>
      <c r="AR173" s="3934" t="n"/>
    </row>
    <row r="174">
      <c r="A174" s="3941" t="n"/>
      <c r="B174" s="3944" t="n"/>
      <c r="C174" s="3944" t="n"/>
      <c r="D174" s="3944" t="n"/>
      <c r="E174" s="3944" t="n"/>
      <c r="F174" s="3944" t="n"/>
      <c r="G174" s="3944" t="n"/>
      <c r="H174" s="3944" t="n"/>
      <c r="I174" s="3944" t="n"/>
      <c r="J174" s="3944" t="n"/>
      <c r="K174" s="3942">
        <f>IF(A174="","",SUM(E174:J174))</f>
        <v/>
      </c>
      <c r="L174" s="3934" t="n"/>
      <c r="M174" s="3934" t="n"/>
      <c r="N174" s="3934" t="n"/>
      <c r="O174" s="3934" t="n"/>
      <c r="P174" s="3934" t="n"/>
      <c r="Q174" s="3934" t="n"/>
      <c r="R174" s="3934" t="n"/>
      <c r="S174" s="3934" t="n"/>
      <c r="T174" s="3934" t="n"/>
      <c r="U174" s="3934" t="n"/>
      <c r="V174" s="3934" t="n"/>
      <c r="W174" s="3934" t="n"/>
      <c r="X174" s="3934" t="n"/>
      <c r="Y174" s="3934" t="n"/>
      <c r="Z174" s="3934" t="n"/>
      <c r="AA174" s="3934" t="n"/>
      <c r="AB174" s="3934" t="n"/>
      <c r="AC174" s="3934" t="n"/>
      <c r="AD174" s="3934" t="n"/>
      <c r="AE174" s="3934" t="n"/>
      <c r="AF174" s="3934" t="n"/>
      <c r="AG174" s="3934" t="n"/>
      <c r="AH174" s="3934" t="n"/>
      <c r="AI174" s="3934" t="n"/>
      <c r="AJ174" s="3934" t="n"/>
      <c r="AK174" s="3934" t="n"/>
      <c r="AL174" s="3934" t="n"/>
      <c r="AM174" s="3934" t="n"/>
      <c r="AN174" s="3934" t="n"/>
      <c r="AO174" s="3934" t="n"/>
      <c r="AP174" s="3934" t="n"/>
      <c r="AQ174" s="3934" t="n"/>
      <c r="AR174" s="3934" t="n"/>
    </row>
    <row r="175">
      <c r="A175" s="3941" t="n"/>
      <c r="B175" s="3944" t="n"/>
      <c r="C175" s="3944" t="n"/>
      <c r="D175" s="3944" t="n"/>
      <c r="E175" s="3944" t="n"/>
      <c r="F175" s="3944" t="n"/>
      <c r="G175" s="3944" t="n"/>
      <c r="H175" s="3944" t="n"/>
      <c r="I175" s="3944" t="n"/>
      <c r="J175" s="3944" t="n"/>
      <c r="K175" s="3942">
        <f>IF(A175="","",SUM(E175:J175))</f>
        <v/>
      </c>
      <c r="L175" s="3934" t="n"/>
      <c r="M175" s="3934" t="n"/>
      <c r="N175" s="3934" t="n"/>
      <c r="O175" s="3934" t="n"/>
      <c r="P175" s="3934" t="n"/>
      <c r="Q175" s="3934" t="n"/>
      <c r="R175" s="3934" t="n"/>
      <c r="S175" s="3934" t="n"/>
      <c r="T175" s="3934" t="n"/>
      <c r="U175" s="3934" t="n"/>
      <c r="V175" s="3934" t="n"/>
      <c r="W175" s="3934" t="n"/>
      <c r="X175" s="3934" t="n"/>
      <c r="Y175" s="3934" t="n"/>
      <c r="Z175" s="3934" t="n"/>
      <c r="AA175" s="3934" t="n"/>
      <c r="AB175" s="3934" t="n"/>
      <c r="AC175" s="3934" t="n"/>
      <c r="AD175" s="3934" t="n"/>
      <c r="AE175" s="3934" t="n"/>
      <c r="AF175" s="3934" t="n"/>
      <c r="AG175" s="3934" t="n"/>
      <c r="AH175" s="3934" t="n"/>
      <c r="AI175" s="3934" t="n"/>
      <c r="AJ175" s="3934" t="n"/>
      <c r="AK175" s="3934" t="n"/>
      <c r="AL175" s="3934" t="n"/>
      <c r="AM175" s="3934" t="n"/>
      <c r="AN175" s="3934" t="n"/>
      <c r="AO175" s="3934" t="n"/>
      <c r="AP175" s="3934" t="n"/>
      <c r="AQ175" s="3934" t="n"/>
      <c r="AR175" s="3934" t="n"/>
    </row>
    <row r="176">
      <c r="A176" s="3941" t="n"/>
      <c r="B176" s="3944" t="n"/>
      <c r="C176" s="3944" t="n"/>
      <c r="D176" s="3944" t="n"/>
      <c r="E176" s="3944" t="n"/>
      <c r="F176" s="3944" t="n"/>
      <c r="G176" s="3944" t="n"/>
      <c r="H176" s="3944" t="n"/>
      <c r="I176" s="3944" t="n"/>
      <c r="J176" s="3944" t="n"/>
      <c r="K176" s="3942">
        <f>IF(A176="","",SUM(E176:J176))</f>
        <v/>
      </c>
      <c r="L176" s="3934" t="n"/>
      <c r="M176" s="3934" t="n"/>
      <c r="N176" s="3934" t="n"/>
      <c r="O176" s="3934" t="n"/>
      <c r="P176" s="3934" t="n"/>
      <c r="Q176" s="3934" t="n"/>
      <c r="R176" s="3934" t="n"/>
      <c r="S176" s="3934" t="n"/>
      <c r="T176" s="3934" t="n"/>
      <c r="U176" s="3934" t="n"/>
      <c r="V176" s="3934" t="n"/>
      <c r="W176" s="3934" t="n"/>
      <c r="X176" s="3934" t="n"/>
      <c r="Y176" s="3934" t="n"/>
      <c r="Z176" s="3934" t="n"/>
      <c r="AA176" s="3934" t="n"/>
      <c r="AB176" s="3934" t="n"/>
      <c r="AC176" s="3934" t="n"/>
      <c r="AD176" s="3934" t="n"/>
      <c r="AE176" s="3934" t="n"/>
      <c r="AF176" s="3934" t="n"/>
      <c r="AG176" s="3934" t="n"/>
      <c r="AH176" s="3934" t="n"/>
      <c r="AI176" s="3934" t="n"/>
      <c r="AJ176" s="3934" t="n"/>
      <c r="AK176" s="3934" t="n"/>
      <c r="AL176" s="3934" t="n"/>
      <c r="AM176" s="3934" t="n"/>
      <c r="AN176" s="3934" t="n"/>
      <c r="AO176" s="3934" t="n"/>
      <c r="AP176" s="3934" t="n"/>
      <c r="AQ176" s="3934" t="n"/>
      <c r="AR176" s="3934" t="n"/>
    </row>
    <row r="177">
      <c r="A177" s="3941" t="n"/>
      <c r="B177" s="3944" t="n"/>
      <c r="C177" s="3944" t="n"/>
      <c r="D177" s="3944" t="n"/>
      <c r="E177" s="3944" t="n"/>
      <c r="F177" s="3944" t="n"/>
      <c r="G177" s="3944" t="n"/>
      <c r="H177" s="3944" t="n"/>
      <c r="I177" s="3944" t="n"/>
      <c r="J177" s="3944" t="n"/>
      <c r="K177" s="3942">
        <f>IF(A177="","",SUM(E177:J177))</f>
        <v/>
      </c>
      <c r="L177" s="3934" t="n"/>
      <c r="M177" s="3934" t="n"/>
      <c r="N177" s="3934" t="n"/>
      <c r="O177" s="3934" t="n"/>
      <c r="P177" s="3934" t="n"/>
      <c r="Q177" s="3934" t="n"/>
      <c r="R177" s="3934" t="n"/>
      <c r="S177" s="3934" t="n"/>
      <c r="T177" s="3934" t="n"/>
      <c r="U177" s="3934" t="n"/>
      <c r="V177" s="3934" t="n"/>
      <c r="W177" s="3934" t="n"/>
      <c r="X177" s="3934" t="n"/>
      <c r="Y177" s="3934" t="n"/>
      <c r="Z177" s="3934" t="n"/>
      <c r="AA177" s="3934" t="n"/>
      <c r="AB177" s="3934" t="n"/>
      <c r="AC177" s="3934" t="n"/>
      <c r="AD177" s="3934" t="n"/>
      <c r="AE177" s="3934" t="n"/>
      <c r="AF177" s="3934" t="n"/>
      <c r="AG177" s="3934" t="n"/>
      <c r="AH177" s="3934" t="n"/>
      <c r="AI177" s="3934" t="n"/>
      <c r="AJ177" s="3934" t="n"/>
      <c r="AK177" s="3934" t="n"/>
      <c r="AL177" s="3934" t="n"/>
      <c r="AM177" s="3934" t="n"/>
      <c r="AN177" s="3934" t="n"/>
      <c r="AO177" s="3934" t="n"/>
      <c r="AP177" s="3934" t="n"/>
      <c r="AQ177" s="3934" t="n"/>
      <c r="AR177" s="3934" t="n"/>
    </row>
    <row r="178">
      <c r="A178" s="3941" t="n"/>
      <c r="B178" s="3944" t="n"/>
      <c r="C178" s="3944" t="n"/>
      <c r="D178" s="3944" t="n"/>
      <c r="E178" s="3944" t="n"/>
      <c r="F178" s="3944" t="n"/>
      <c r="G178" s="3944" t="n"/>
      <c r="H178" s="3944" t="n"/>
      <c r="I178" s="3944" t="n"/>
      <c r="J178" s="3944" t="n"/>
      <c r="K178" s="3942">
        <f>IF(A178="","",SUM(E178:J178))</f>
        <v/>
      </c>
      <c r="L178" s="3934" t="n"/>
      <c r="M178" s="3934" t="n"/>
      <c r="N178" s="3934" t="n"/>
      <c r="O178" s="3934" t="n"/>
      <c r="P178" s="3934" t="n"/>
      <c r="Q178" s="3934" t="n"/>
      <c r="R178" s="3934" t="n"/>
      <c r="S178" s="3934" t="n"/>
      <c r="T178" s="3934" t="n"/>
      <c r="U178" s="3934" t="n"/>
      <c r="V178" s="3934" t="n"/>
      <c r="W178" s="3934" t="n"/>
      <c r="X178" s="3934" t="n"/>
      <c r="Y178" s="3934" t="n"/>
      <c r="Z178" s="3934" t="n"/>
      <c r="AA178" s="3934" t="n"/>
      <c r="AB178" s="3934" t="n"/>
      <c r="AC178" s="3934" t="n"/>
      <c r="AD178" s="3934" t="n"/>
      <c r="AE178" s="3934" t="n"/>
      <c r="AF178" s="3934" t="n"/>
      <c r="AG178" s="3934" t="n"/>
      <c r="AH178" s="3934" t="n"/>
      <c r="AI178" s="3934" t="n"/>
      <c r="AJ178" s="3934" t="n"/>
      <c r="AK178" s="3934" t="n"/>
      <c r="AL178" s="3934" t="n"/>
      <c r="AM178" s="3934" t="n"/>
      <c r="AN178" s="3934" t="n"/>
      <c r="AO178" s="3934" t="n"/>
      <c r="AP178" s="3934" t="n"/>
      <c r="AQ178" s="3934" t="n"/>
      <c r="AR178" s="3934" t="n"/>
    </row>
    <row r="179">
      <c r="A179" s="3941" t="n"/>
      <c r="B179" s="3944" t="n"/>
      <c r="C179" s="3944" t="n"/>
      <c r="D179" s="3944" t="n"/>
      <c r="E179" s="3944" t="n"/>
      <c r="F179" s="3944" t="n"/>
      <c r="G179" s="3944" t="n"/>
      <c r="H179" s="3944" t="n"/>
      <c r="I179" s="3944" t="n"/>
      <c r="J179" s="3944" t="n"/>
      <c r="K179" s="3942">
        <f>IF(A179="","",SUM(E179:J179))</f>
        <v/>
      </c>
      <c r="L179" s="3934" t="n"/>
      <c r="M179" s="3934" t="n"/>
      <c r="N179" s="3934" t="n"/>
      <c r="O179" s="3934" t="n"/>
      <c r="P179" s="3934" t="n"/>
      <c r="Q179" s="3934" t="n"/>
      <c r="R179" s="3934" t="n"/>
      <c r="S179" s="3934" t="n"/>
      <c r="T179" s="3934" t="n"/>
      <c r="U179" s="3934" t="n"/>
      <c r="V179" s="3934" t="n"/>
      <c r="W179" s="3934" t="n"/>
      <c r="X179" s="3934" t="n"/>
      <c r="Y179" s="3934" t="n"/>
      <c r="Z179" s="3934" t="n"/>
      <c r="AA179" s="3934" t="n"/>
      <c r="AB179" s="3934" t="n"/>
      <c r="AC179" s="3934" t="n"/>
      <c r="AD179" s="3934" t="n"/>
      <c r="AE179" s="3934" t="n"/>
      <c r="AF179" s="3934" t="n"/>
      <c r="AG179" s="3934" t="n"/>
      <c r="AH179" s="3934" t="n"/>
      <c r="AI179" s="3934" t="n"/>
      <c r="AJ179" s="3934" t="n"/>
      <c r="AK179" s="3934" t="n"/>
      <c r="AL179" s="3934" t="n"/>
      <c r="AM179" s="3934" t="n"/>
      <c r="AN179" s="3934" t="n"/>
      <c r="AO179" s="3934" t="n"/>
      <c r="AP179" s="3934" t="n"/>
      <c r="AQ179" s="3934" t="n"/>
      <c r="AR179" s="3934" t="n"/>
    </row>
    <row r="180">
      <c r="A180" s="3941" t="n"/>
      <c r="B180" s="3944" t="n"/>
      <c r="C180" s="3944" t="n"/>
      <c r="D180" s="3944" t="n"/>
      <c r="E180" s="3944" t="n"/>
      <c r="F180" s="3944" t="n"/>
      <c r="G180" s="3944" t="n"/>
      <c r="H180" s="3944" t="n"/>
      <c r="I180" s="3944" t="n"/>
      <c r="J180" s="3944" t="n"/>
      <c r="K180" s="3942">
        <f>IF(A180="","",SUM(E180:J180))</f>
        <v/>
      </c>
      <c r="L180" s="3934" t="n"/>
      <c r="M180" s="3934" t="n"/>
      <c r="N180" s="3934" t="n"/>
      <c r="O180" s="3934" t="n"/>
      <c r="P180" s="3934" t="n"/>
      <c r="Q180" s="3934" t="n"/>
      <c r="R180" s="3934" t="n"/>
      <c r="S180" s="3934" t="n"/>
      <c r="T180" s="3934" t="n"/>
      <c r="U180" s="3934" t="n"/>
      <c r="V180" s="3934" t="n"/>
      <c r="W180" s="3934" t="n"/>
      <c r="X180" s="3934" t="n"/>
      <c r="Y180" s="3934" t="n"/>
      <c r="Z180" s="3934" t="n"/>
      <c r="AA180" s="3934" t="n"/>
      <c r="AB180" s="3934" t="n"/>
      <c r="AC180" s="3934" t="n"/>
      <c r="AD180" s="3934" t="n"/>
      <c r="AE180" s="3934" t="n"/>
      <c r="AF180" s="3934" t="n"/>
      <c r="AG180" s="3934" t="n"/>
      <c r="AH180" s="3934" t="n"/>
      <c r="AI180" s="3934" t="n"/>
      <c r="AJ180" s="3934" t="n"/>
      <c r="AK180" s="3934" t="n"/>
      <c r="AL180" s="3934" t="n"/>
      <c r="AM180" s="3934" t="n"/>
      <c r="AN180" s="3934" t="n"/>
      <c r="AO180" s="3934" t="n"/>
      <c r="AP180" s="3934" t="n"/>
      <c r="AQ180" s="3934" t="n"/>
      <c r="AR180" s="3934" t="n"/>
    </row>
    <row r="181">
      <c r="A181" s="3941" t="n"/>
      <c r="B181" s="3944" t="n"/>
      <c r="C181" s="3944" t="n"/>
      <c r="D181" s="3944" t="n"/>
      <c r="E181" s="3944" t="n"/>
      <c r="F181" s="3944" t="n"/>
      <c r="G181" s="3944" t="n"/>
      <c r="H181" s="3944" t="n"/>
      <c r="I181" s="3944" t="n"/>
      <c r="J181" s="3944" t="n"/>
      <c r="K181" s="3942">
        <f>IF(A181="","",SUM(E181:J181))</f>
        <v/>
      </c>
      <c r="L181" s="3934" t="n"/>
      <c r="M181" s="3934" t="n"/>
      <c r="N181" s="3934" t="n"/>
      <c r="O181" s="3934" t="n"/>
      <c r="P181" s="3934" t="n"/>
      <c r="Q181" s="3934" t="n"/>
      <c r="R181" s="3934" t="n"/>
      <c r="S181" s="3934" t="n"/>
      <c r="T181" s="3934" t="n"/>
      <c r="U181" s="3934" t="n"/>
      <c r="V181" s="3934" t="n"/>
      <c r="W181" s="3934" t="n"/>
      <c r="X181" s="3934" t="n"/>
      <c r="Y181" s="3934" t="n"/>
      <c r="Z181" s="3934" t="n"/>
      <c r="AA181" s="3934" t="n"/>
      <c r="AB181" s="3934" t="n"/>
      <c r="AC181" s="3934" t="n"/>
      <c r="AD181" s="3934" t="n"/>
      <c r="AE181" s="3934" t="n"/>
      <c r="AF181" s="3934" t="n"/>
      <c r="AG181" s="3934" t="n"/>
      <c r="AH181" s="3934" t="n"/>
      <c r="AI181" s="3934" t="n"/>
      <c r="AJ181" s="3934" t="n"/>
      <c r="AK181" s="3934" t="n"/>
      <c r="AL181" s="3934" t="n"/>
      <c r="AM181" s="3934" t="n"/>
      <c r="AN181" s="3934" t="n"/>
      <c r="AO181" s="3934" t="n"/>
      <c r="AP181" s="3934" t="n"/>
      <c r="AQ181" s="3934" t="n"/>
      <c r="AR181" s="3934" t="n"/>
    </row>
    <row r="182">
      <c r="A182" s="3941" t="n"/>
      <c r="B182" s="3944" t="n"/>
      <c r="C182" s="3944" t="n"/>
      <c r="D182" s="3944" t="n"/>
      <c r="E182" s="3944" t="n"/>
      <c r="F182" s="3944" t="n"/>
      <c r="G182" s="3944" t="n"/>
      <c r="H182" s="3944" t="n"/>
      <c r="I182" s="3944" t="n"/>
      <c r="J182" s="3944" t="n"/>
      <c r="K182" s="3942">
        <f>IF(A182="","",SUM(E182:J182))</f>
        <v/>
      </c>
      <c r="L182" s="3934" t="n"/>
      <c r="M182" s="3934" t="n"/>
      <c r="N182" s="3934" t="n"/>
      <c r="O182" s="3934" t="n"/>
      <c r="P182" s="3934" t="n"/>
      <c r="Q182" s="3934" t="n"/>
      <c r="R182" s="3934" t="n"/>
      <c r="S182" s="3934" t="n"/>
      <c r="T182" s="3934" t="n"/>
      <c r="U182" s="3934" t="n"/>
      <c r="V182" s="3934" t="n"/>
      <c r="W182" s="3934" t="n"/>
      <c r="X182" s="3934" t="n"/>
      <c r="Y182" s="3934" t="n"/>
      <c r="Z182" s="3934" t="n"/>
      <c r="AA182" s="3934" t="n"/>
      <c r="AB182" s="3934" t="n"/>
      <c r="AC182" s="3934" t="n"/>
      <c r="AD182" s="3934" t="n"/>
      <c r="AE182" s="3934" t="n"/>
      <c r="AF182" s="3934" t="n"/>
      <c r="AG182" s="3934" t="n"/>
      <c r="AH182" s="3934" t="n"/>
      <c r="AI182" s="3934" t="n"/>
      <c r="AJ182" s="3934" t="n"/>
      <c r="AK182" s="3934" t="n"/>
      <c r="AL182" s="3934" t="n"/>
      <c r="AM182" s="3934" t="n"/>
      <c r="AN182" s="3934" t="n"/>
      <c r="AO182" s="3934" t="n"/>
      <c r="AP182" s="3934" t="n"/>
      <c r="AQ182" s="3934" t="n"/>
      <c r="AR182" s="3934" t="n"/>
    </row>
    <row r="183">
      <c r="A183" s="3941" t="n"/>
      <c r="B183" s="3944" t="n"/>
      <c r="C183" s="3944" t="n"/>
      <c r="D183" s="3944" t="n"/>
      <c r="E183" s="3944" t="n"/>
      <c r="F183" s="3944" t="n"/>
      <c r="G183" s="3944" t="n"/>
      <c r="H183" s="3944" t="n"/>
      <c r="I183" s="3944" t="n"/>
      <c r="J183" s="3944" t="n"/>
      <c r="K183" s="3942">
        <f>IF(A183="","",SUM(E183:J183))</f>
        <v/>
      </c>
      <c r="L183" s="3934" t="n"/>
      <c r="M183" s="3934" t="n"/>
      <c r="N183" s="3934" t="n"/>
      <c r="O183" s="3934" t="n"/>
      <c r="P183" s="3934" t="n"/>
      <c r="Q183" s="3934" t="n"/>
      <c r="R183" s="3934" t="n"/>
      <c r="S183" s="3934" t="n"/>
      <c r="T183" s="3934" t="n"/>
      <c r="U183" s="3934" t="n"/>
      <c r="V183" s="3934" t="n"/>
      <c r="W183" s="3934" t="n"/>
      <c r="X183" s="3934" t="n"/>
      <c r="Y183" s="3934" t="n"/>
      <c r="Z183" s="3934" t="n"/>
      <c r="AA183" s="3934" t="n"/>
      <c r="AB183" s="3934" t="n"/>
      <c r="AC183" s="3934" t="n"/>
      <c r="AD183" s="3934" t="n"/>
      <c r="AE183" s="3934" t="n"/>
      <c r="AF183" s="3934" t="n"/>
      <c r="AG183" s="3934" t="n"/>
      <c r="AH183" s="3934" t="n"/>
      <c r="AI183" s="3934" t="n"/>
      <c r="AJ183" s="3934" t="n"/>
      <c r="AK183" s="3934" t="n"/>
      <c r="AL183" s="3934" t="n"/>
      <c r="AM183" s="3934" t="n"/>
      <c r="AN183" s="3934" t="n"/>
      <c r="AO183" s="3934" t="n"/>
      <c r="AP183" s="3934" t="n"/>
      <c r="AQ183" s="3934" t="n"/>
      <c r="AR183" s="3934" t="n"/>
    </row>
    <row r="184">
      <c r="A184" s="3941" t="n"/>
      <c r="B184" s="3944" t="n"/>
      <c r="C184" s="3944" t="n"/>
      <c r="D184" s="3944" t="n"/>
      <c r="E184" s="3944" t="n"/>
      <c r="F184" s="3944" t="n"/>
      <c r="G184" s="3944" t="n"/>
      <c r="H184" s="3944" t="n"/>
      <c r="I184" s="3944" t="n"/>
      <c r="J184" s="3944" t="n"/>
      <c r="K184" s="3942">
        <f>IF(A184="","",SUM(E184:J184))</f>
        <v/>
      </c>
      <c r="L184" s="3934" t="n"/>
      <c r="M184" s="3934" t="n"/>
      <c r="N184" s="3934" t="n"/>
      <c r="O184" s="3934" t="n"/>
      <c r="P184" s="3934" t="n"/>
      <c r="Q184" s="3934" t="n"/>
      <c r="R184" s="3934" t="n"/>
      <c r="S184" s="3934" t="n"/>
      <c r="T184" s="3934" t="n"/>
      <c r="U184" s="3934" t="n"/>
      <c r="V184" s="3934" t="n"/>
      <c r="W184" s="3934" t="n"/>
      <c r="X184" s="3934" t="n"/>
      <c r="Y184" s="3934" t="n"/>
      <c r="Z184" s="3934" t="n"/>
      <c r="AA184" s="3934" t="n"/>
      <c r="AB184" s="3934" t="n"/>
      <c r="AC184" s="3934" t="n"/>
      <c r="AD184" s="3934" t="n"/>
      <c r="AE184" s="3934" t="n"/>
      <c r="AF184" s="3934" t="n"/>
      <c r="AG184" s="3934" t="n"/>
      <c r="AH184" s="3934" t="n"/>
      <c r="AI184" s="3934" t="n"/>
      <c r="AJ184" s="3934" t="n"/>
      <c r="AK184" s="3934" t="n"/>
      <c r="AL184" s="3934" t="n"/>
      <c r="AM184" s="3934" t="n"/>
      <c r="AN184" s="3934" t="n"/>
      <c r="AO184" s="3934" t="n"/>
      <c r="AP184" s="3934" t="n"/>
      <c r="AQ184" s="3934" t="n"/>
      <c r="AR184" s="3934" t="n"/>
    </row>
    <row r="185">
      <c r="A185" s="3941" t="n"/>
      <c r="B185" s="3944" t="n"/>
      <c r="C185" s="3944" t="n"/>
      <c r="D185" s="3944" t="n"/>
      <c r="E185" s="3944" t="n"/>
      <c r="F185" s="3944" t="n"/>
      <c r="G185" s="3944" t="n"/>
      <c r="H185" s="3944" t="n"/>
      <c r="I185" s="3944" t="n"/>
      <c r="J185" s="3944" t="n"/>
      <c r="K185" s="3942">
        <f>IF(A185="","",SUM(E185:J185))</f>
        <v/>
      </c>
      <c r="L185" s="3934" t="n"/>
      <c r="M185" s="3934" t="n"/>
      <c r="N185" s="3934" t="n"/>
      <c r="O185" s="3934" t="n"/>
      <c r="P185" s="3934" t="n"/>
      <c r="Q185" s="3934" t="n"/>
      <c r="R185" s="3934" t="n"/>
      <c r="S185" s="3934" t="n"/>
      <c r="T185" s="3934" t="n"/>
      <c r="U185" s="3934" t="n"/>
      <c r="V185" s="3934" t="n"/>
      <c r="W185" s="3934" t="n"/>
      <c r="X185" s="3934" t="n"/>
      <c r="Y185" s="3934" t="n"/>
      <c r="Z185" s="3934" t="n"/>
      <c r="AA185" s="3934" t="n"/>
      <c r="AB185" s="3934" t="n"/>
      <c r="AC185" s="3934" t="n"/>
      <c r="AD185" s="3934" t="n"/>
      <c r="AE185" s="3934" t="n"/>
      <c r="AF185" s="3934" t="n"/>
      <c r="AG185" s="3934" t="n"/>
      <c r="AH185" s="3934" t="n"/>
      <c r="AI185" s="3934" t="n"/>
      <c r="AJ185" s="3934" t="n"/>
      <c r="AK185" s="3934" t="n"/>
      <c r="AL185" s="3934" t="n"/>
      <c r="AM185" s="3934" t="n"/>
      <c r="AN185" s="3934" t="n"/>
      <c r="AO185" s="3934" t="n"/>
      <c r="AP185" s="3934" t="n"/>
      <c r="AQ185" s="3934" t="n"/>
      <c r="AR185" s="3934" t="n"/>
    </row>
    <row r="186">
      <c r="A186" s="3941" t="n"/>
      <c r="B186" s="3944" t="n"/>
      <c r="C186" s="3944" t="n"/>
      <c r="D186" s="3944" t="n"/>
      <c r="E186" s="3944" t="n"/>
      <c r="F186" s="3944" t="n"/>
      <c r="G186" s="3944" t="n"/>
      <c r="H186" s="3944" t="n"/>
      <c r="I186" s="3944" t="n"/>
      <c r="J186" s="3944" t="n"/>
      <c r="K186" s="3942">
        <f>IF(A186="","",SUM(E186:J186))</f>
        <v/>
      </c>
      <c r="L186" s="3934" t="n"/>
      <c r="M186" s="3934" t="n"/>
      <c r="N186" s="3934" t="n"/>
      <c r="O186" s="3934" t="n"/>
      <c r="P186" s="3934" t="n"/>
      <c r="Q186" s="3934" t="n"/>
      <c r="R186" s="3934" t="n"/>
      <c r="S186" s="3934" t="n"/>
      <c r="T186" s="3934" t="n"/>
      <c r="U186" s="3934" t="n"/>
      <c r="V186" s="3934" t="n"/>
      <c r="W186" s="3934" t="n"/>
      <c r="X186" s="3934" t="n"/>
      <c r="Y186" s="3934" t="n"/>
      <c r="Z186" s="3934" t="n"/>
      <c r="AA186" s="3934" t="n"/>
      <c r="AB186" s="3934" t="n"/>
      <c r="AC186" s="3934" t="n"/>
      <c r="AD186" s="3934" t="n"/>
      <c r="AE186" s="3934" t="n"/>
      <c r="AF186" s="3934" t="n"/>
      <c r="AG186" s="3934" t="n"/>
      <c r="AH186" s="3934" t="n"/>
      <c r="AI186" s="3934" t="n"/>
      <c r="AJ186" s="3934" t="n"/>
      <c r="AK186" s="3934" t="n"/>
      <c r="AL186" s="3934" t="n"/>
      <c r="AM186" s="3934" t="n"/>
      <c r="AN186" s="3934" t="n"/>
      <c r="AO186" s="3934" t="n"/>
      <c r="AP186" s="3934" t="n"/>
      <c r="AQ186" s="3934" t="n"/>
      <c r="AR186" s="3934" t="n"/>
    </row>
    <row r="187">
      <c r="A187" s="3941" t="n"/>
      <c r="B187" s="3944" t="n"/>
      <c r="C187" s="3944" t="n"/>
      <c r="D187" s="3944" t="n"/>
      <c r="E187" s="3944" t="n"/>
      <c r="F187" s="3944" t="n"/>
      <c r="G187" s="3944" t="n"/>
      <c r="H187" s="3944" t="n"/>
      <c r="I187" s="3944" t="n"/>
      <c r="J187" s="3944" t="n"/>
      <c r="K187" s="3942">
        <f>IF(A187="","",SUM(E187:J187))</f>
        <v/>
      </c>
      <c r="L187" s="3934" t="n"/>
      <c r="M187" s="3934" t="n"/>
      <c r="N187" s="3934" t="n"/>
      <c r="O187" s="3934" t="n"/>
      <c r="P187" s="3934" t="n"/>
      <c r="Q187" s="3934" t="n"/>
      <c r="R187" s="3934" t="n"/>
      <c r="S187" s="3934" t="n"/>
      <c r="T187" s="3934" t="n"/>
      <c r="U187" s="3934" t="n"/>
      <c r="V187" s="3934" t="n"/>
      <c r="W187" s="3934" t="n"/>
      <c r="X187" s="3934" t="n"/>
      <c r="Y187" s="3934" t="n"/>
      <c r="Z187" s="3934" t="n"/>
      <c r="AA187" s="3934" t="n"/>
      <c r="AB187" s="3934" t="n"/>
      <c r="AC187" s="3934" t="n"/>
      <c r="AD187" s="3934" t="n"/>
      <c r="AE187" s="3934" t="n"/>
      <c r="AF187" s="3934" t="n"/>
      <c r="AG187" s="3934" t="n"/>
      <c r="AH187" s="3934" t="n"/>
      <c r="AI187" s="3934" t="n"/>
      <c r="AJ187" s="3934" t="n"/>
      <c r="AK187" s="3934" t="n"/>
      <c r="AL187" s="3934" t="n"/>
      <c r="AM187" s="3934" t="n"/>
      <c r="AN187" s="3934" t="n"/>
      <c r="AO187" s="3934" t="n"/>
      <c r="AP187" s="3934" t="n"/>
      <c r="AQ187" s="3934" t="n"/>
      <c r="AR187" s="3934" t="n"/>
    </row>
    <row r="188">
      <c r="A188" s="3941" t="n"/>
      <c r="B188" s="3944" t="n"/>
      <c r="C188" s="3944" t="n"/>
      <c r="D188" s="3944" t="n"/>
      <c r="E188" s="3944" t="n"/>
      <c r="F188" s="3944" t="n"/>
      <c r="G188" s="3944" t="n"/>
      <c r="H188" s="3944" t="n"/>
      <c r="I188" s="3944" t="n"/>
      <c r="J188" s="3944" t="n"/>
      <c r="K188" s="3942">
        <f>IF(A188="","",SUM(E188:J188))</f>
        <v/>
      </c>
      <c r="L188" s="3934" t="n"/>
      <c r="M188" s="3934" t="n"/>
      <c r="N188" s="3934" t="n"/>
      <c r="O188" s="3934" t="n"/>
      <c r="P188" s="3934" t="n"/>
      <c r="Q188" s="3934" t="n"/>
      <c r="R188" s="3934" t="n"/>
      <c r="S188" s="3934" t="n"/>
      <c r="T188" s="3934" t="n"/>
      <c r="U188" s="3934" t="n"/>
      <c r="V188" s="3934" t="n"/>
      <c r="W188" s="3934" t="n"/>
      <c r="X188" s="3934" t="n"/>
      <c r="Y188" s="3934" t="n"/>
      <c r="Z188" s="3934" t="n"/>
      <c r="AA188" s="3934" t="n"/>
      <c r="AB188" s="3934" t="n"/>
      <c r="AC188" s="3934" t="n"/>
      <c r="AD188" s="3934" t="n"/>
      <c r="AE188" s="3934" t="n"/>
      <c r="AF188" s="3934" t="n"/>
      <c r="AG188" s="3934" t="n"/>
      <c r="AH188" s="3934" t="n"/>
      <c r="AI188" s="3934" t="n"/>
      <c r="AJ188" s="3934" t="n"/>
      <c r="AK188" s="3934" t="n"/>
      <c r="AL188" s="3934" t="n"/>
      <c r="AM188" s="3934" t="n"/>
      <c r="AN188" s="3934" t="n"/>
      <c r="AO188" s="3934" t="n"/>
      <c r="AP188" s="3934" t="n"/>
      <c r="AQ188" s="3934" t="n"/>
      <c r="AR188" s="3934" t="n"/>
    </row>
    <row r="189">
      <c r="A189" s="3941" t="n"/>
      <c r="B189" s="3944" t="n"/>
      <c r="C189" s="3944" t="n"/>
      <c r="D189" s="3944" t="n"/>
      <c r="E189" s="3944" t="n"/>
      <c r="F189" s="3944" t="n"/>
      <c r="G189" s="3944" t="n"/>
      <c r="H189" s="3944" t="n"/>
      <c r="I189" s="3944" t="n"/>
      <c r="J189" s="3944" t="n"/>
      <c r="K189" s="3942">
        <f>IF(A189="","",SUM(E189:J189))</f>
        <v/>
      </c>
      <c r="L189" s="3934" t="n"/>
      <c r="M189" s="3934" t="n"/>
      <c r="N189" s="3934" t="n"/>
      <c r="O189" s="3934" t="n"/>
      <c r="P189" s="3934" t="n"/>
      <c r="Q189" s="3934" t="n"/>
      <c r="R189" s="3934" t="n"/>
      <c r="S189" s="3934" t="n"/>
      <c r="T189" s="3934" t="n"/>
      <c r="U189" s="3934" t="n"/>
      <c r="V189" s="3934" t="n"/>
      <c r="W189" s="3934" t="n"/>
      <c r="X189" s="3934" t="n"/>
      <c r="Y189" s="3934" t="n"/>
      <c r="Z189" s="3934" t="n"/>
      <c r="AA189" s="3934" t="n"/>
      <c r="AB189" s="3934" t="n"/>
      <c r="AC189" s="3934" t="n"/>
      <c r="AD189" s="3934" t="n"/>
      <c r="AE189" s="3934" t="n"/>
      <c r="AF189" s="3934" t="n"/>
      <c r="AG189" s="3934" t="n"/>
      <c r="AH189" s="3934" t="n"/>
      <c r="AI189" s="3934" t="n"/>
      <c r="AJ189" s="3934" t="n"/>
      <c r="AK189" s="3934" t="n"/>
      <c r="AL189" s="3934" t="n"/>
      <c r="AM189" s="3934" t="n"/>
      <c r="AN189" s="3934" t="n"/>
      <c r="AO189" s="3934" t="n"/>
      <c r="AP189" s="3934" t="n"/>
      <c r="AQ189" s="3934" t="n"/>
      <c r="AR189" s="3934" t="n"/>
    </row>
    <row r="190">
      <c r="A190" s="3941" t="n"/>
      <c r="B190" s="3944" t="n"/>
      <c r="C190" s="3944" t="n"/>
      <c r="D190" s="3944" t="n"/>
      <c r="E190" s="3944" t="n"/>
      <c r="F190" s="3944" t="n"/>
      <c r="G190" s="3944" t="n"/>
      <c r="H190" s="3944" t="n"/>
      <c r="I190" s="3944" t="n"/>
      <c r="J190" s="3944" t="n"/>
      <c r="K190" s="3942">
        <f>IF(A190="","",SUM(E190:J190))</f>
        <v/>
      </c>
      <c r="L190" s="3934" t="n"/>
      <c r="M190" s="3934" t="n"/>
      <c r="N190" s="3934" t="n"/>
      <c r="O190" s="3934" t="n"/>
      <c r="P190" s="3934" t="n"/>
      <c r="Q190" s="3934" t="n"/>
      <c r="R190" s="3934" t="n"/>
      <c r="S190" s="3934" t="n"/>
      <c r="T190" s="3934" t="n"/>
      <c r="U190" s="3934" t="n"/>
      <c r="V190" s="3934" t="n"/>
      <c r="W190" s="3934" t="n"/>
      <c r="X190" s="3934" t="n"/>
      <c r="Y190" s="3934" t="n"/>
      <c r="Z190" s="3934" t="n"/>
      <c r="AA190" s="3934" t="n"/>
      <c r="AB190" s="3934" t="n"/>
      <c r="AC190" s="3934" t="n"/>
      <c r="AD190" s="3934" t="n"/>
      <c r="AE190" s="3934" t="n"/>
      <c r="AF190" s="3934" t="n"/>
      <c r="AG190" s="3934" t="n"/>
      <c r="AH190" s="3934" t="n"/>
      <c r="AI190" s="3934" t="n"/>
      <c r="AJ190" s="3934" t="n"/>
      <c r="AK190" s="3934" t="n"/>
      <c r="AL190" s="3934" t="n"/>
      <c r="AM190" s="3934" t="n"/>
      <c r="AN190" s="3934" t="n"/>
      <c r="AO190" s="3934" t="n"/>
      <c r="AP190" s="3934" t="n"/>
      <c r="AQ190" s="3934" t="n"/>
      <c r="AR190" s="3934" t="n"/>
    </row>
    <row r="191">
      <c r="A191" s="3941" t="n"/>
      <c r="B191" s="3944" t="n"/>
      <c r="C191" s="3944" t="n"/>
      <c r="D191" s="3944" t="n"/>
      <c r="E191" s="3944" t="n"/>
      <c r="F191" s="3944" t="n"/>
      <c r="G191" s="3944" t="n"/>
      <c r="H191" s="3944" t="n"/>
      <c r="I191" s="3944" t="n"/>
      <c r="J191" s="3944" t="n"/>
      <c r="K191" s="3942">
        <f>IF(A191="","",SUM(E191:J191))</f>
        <v/>
      </c>
      <c r="L191" s="3934" t="n"/>
      <c r="M191" s="3934" t="n"/>
      <c r="N191" s="3934" t="n"/>
      <c r="O191" s="3934" t="n"/>
      <c r="P191" s="3934" t="n"/>
      <c r="Q191" s="3934" t="n"/>
      <c r="R191" s="3934" t="n"/>
      <c r="S191" s="3934" t="n"/>
      <c r="T191" s="3934" t="n"/>
      <c r="U191" s="3934" t="n"/>
      <c r="V191" s="3934" t="n"/>
      <c r="W191" s="3934" t="n"/>
      <c r="X191" s="3934" t="n"/>
      <c r="Y191" s="3934" t="n"/>
      <c r="Z191" s="3934" t="n"/>
      <c r="AA191" s="3934" t="n"/>
      <c r="AB191" s="3934" t="n"/>
      <c r="AC191" s="3934" t="n"/>
      <c r="AD191" s="3934" t="n"/>
      <c r="AE191" s="3934" t="n"/>
      <c r="AF191" s="3934" t="n"/>
      <c r="AG191" s="3934" t="n"/>
      <c r="AH191" s="3934" t="n"/>
      <c r="AI191" s="3934" t="n"/>
      <c r="AJ191" s="3934" t="n"/>
      <c r="AK191" s="3934" t="n"/>
      <c r="AL191" s="3934" t="n"/>
      <c r="AM191" s="3934" t="n"/>
      <c r="AN191" s="3934" t="n"/>
      <c r="AO191" s="3934" t="n"/>
      <c r="AP191" s="3934" t="n"/>
      <c r="AQ191" s="3934" t="n"/>
      <c r="AR191" s="3934" t="n"/>
    </row>
    <row r="192">
      <c r="A192" s="3941" t="n"/>
      <c r="B192" s="3944" t="n"/>
      <c r="C192" s="3944" t="n"/>
      <c r="D192" s="3944" t="n"/>
      <c r="E192" s="3944" t="n"/>
      <c r="F192" s="3944" t="n"/>
      <c r="G192" s="3944" t="n"/>
      <c r="H192" s="3944" t="n"/>
      <c r="I192" s="3944" t="n"/>
      <c r="J192" s="3944" t="n"/>
      <c r="K192" s="3942">
        <f>IF(A192="","",SUM(E192:J192))</f>
        <v/>
      </c>
      <c r="L192" s="3934" t="n"/>
      <c r="M192" s="3934" t="n"/>
      <c r="N192" s="3934" t="n"/>
      <c r="O192" s="3934" t="n"/>
      <c r="P192" s="3934" t="n"/>
      <c r="Q192" s="3934" t="n"/>
      <c r="R192" s="3934" t="n"/>
      <c r="S192" s="3934" t="n"/>
      <c r="T192" s="3934" t="n"/>
      <c r="U192" s="3934" t="n"/>
      <c r="V192" s="3934" t="n"/>
      <c r="W192" s="3934" t="n"/>
      <c r="X192" s="3934" t="n"/>
      <c r="Y192" s="3934" t="n"/>
      <c r="Z192" s="3934" t="n"/>
      <c r="AA192" s="3934" t="n"/>
      <c r="AB192" s="3934" t="n"/>
      <c r="AC192" s="3934" t="n"/>
      <c r="AD192" s="3934" t="n"/>
      <c r="AE192" s="3934" t="n"/>
      <c r="AF192" s="3934" t="n"/>
      <c r="AG192" s="3934" t="n"/>
      <c r="AH192" s="3934" t="n"/>
      <c r="AI192" s="3934" t="n"/>
      <c r="AJ192" s="3934" t="n"/>
      <c r="AK192" s="3934" t="n"/>
      <c r="AL192" s="3934" t="n"/>
      <c r="AM192" s="3934" t="n"/>
      <c r="AN192" s="3934" t="n"/>
      <c r="AO192" s="3934" t="n"/>
      <c r="AP192" s="3934" t="n"/>
      <c r="AQ192" s="3934" t="n"/>
      <c r="AR192" s="3934" t="n"/>
    </row>
    <row r="193">
      <c r="A193" s="3941" t="n"/>
      <c r="B193" s="3944" t="n"/>
      <c r="C193" s="3944" t="n"/>
      <c r="D193" s="3944" t="n"/>
      <c r="E193" s="3944" t="n"/>
      <c r="F193" s="3944" t="n"/>
      <c r="G193" s="3944" t="n"/>
      <c r="H193" s="3944" t="n"/>
      <c r="I193" s="3944" t="n"/>
      <c r="J193" s="3944" t="n"/>
      <c r="K193" s="3942">
        <f>IF(A193="","",SUM(E193:J193))</f>
        <v/>
      </c>
      <c r="L193" s="3934" t="n"/>
      <c r="M193" s="3934" t="n"/>
      <c r="N193" s="3934" t="n"/>
      <c r="O193" s="3934" t="n"/>
      <c r="P193" s="3934" t="n"/>
      <c r="Q193" s="3934" t="n"/>
      <c r="R193" s="3934" t="n"/>
      <c r="S193" s="3934" t="n"/>
      <c r="T193" s="3934" t="n"/>
      <c r="U193" s="3934" t="n"/>
      <c r="V193" s="3934" t="n"/>
      <c r="W193" s="3934" t="n"/>
      <c r="X193" s="3934" t="n"/>
      <c r="Y193" s="3934" t="n"/>
      <c r="Z193" s="3934" t="n"/>
      <c r="AA193" s="3934" t="n"/>
      <c r="AB193" s="3934" t="n"/>
      <c r="AC193" s="3934" t="n"/>
      <c r="AD193" s="3934" t="n"/>
      <c r="AE193" s="3934" t="n"/>
      <c r="AF193" s="3934" t="n"/>
      <c r="AG193" s="3934" t="n"/>
      <c r="AH193" s="3934" t="n"/>
      <c r="AI193" s="3934" t="n"/>
      <c r="AJ193" s="3934" t="n"/>
      <c r="AK193" s="3934" t="n"/>
      <c r="AL193" s="3934" t="n"/>
      <c r="AM193" s="3934" t="n"/>
      <c r="AN193" s="3934" t="n"/>
      <c r="AO193" s="3934" t="n"/>
      <c r="AP193" s="3934" t="n"/>
      <c r="AQ193" s="3934" t="n"/>
      <c r="AR193" s="3934" t="n"/>
    </row>
    <row r="194">
      <c r="A194" s="3941" t="n"/>
      <c r="B194" s="3944" t="n"/>
      <c r="C194" s="3944" t="n"/>
      <c r="D194" s="3944" t="n"/>
      <c r="E194" s="3944" t="n"/>
      <c r="F194" s="3944" t="n"/>
      <c r="G194" s="3944" t="n"/>
      <c r="H194" s="3944" t="n"/>
      <c r="I194" s="3944" t="n"/>
      <c r="J194" s="3944" t="n"/>
      <c r="K194" s="3942">
        <f>IF(A194="","",SUM(E194:J194))</f>
        <v/>
      </c>
      <c r="L194" s="3934" t="n"/>
      <c r="M194" s="3934" t="n"/>
      <c r="N194" s="3934" t="n"/>
      <c r="O194" s="3934" t="n"/>
      <c r="P194" s="3934" t="n"/>
      <c r="Q194" s="3934" t="n"/>
      <c r="R194" s="3934" t="n"/>
      <c r="S194" s="3934" t="n"/>
      <c r="T194" s="3934" t="n"/>
      <c r="U194" s="3934" t="n"/>
      <c r="V194" s="3934" t="n"/>
      <c r="W194" s="3934" t="n"/>
      <c r="X194" s="3934" t="n"/>
      <c r="Y194" s="3934" t="n"/>
      <c r="Z194" s="3934" t="n"/>
      <c r="AA194" s="3934" t="n"/>
      <c r="AB194" s="3934" t="n"/>
      <c r="AC194" s="3934" t="n"/>
      <c r="AD194" s="3934" t="n"/>
      <c r="AE194" s="3934" t="n"/>
      <c r="AF194" s="3934" t="n"/>
      <c r="AG194" s="3934" t="n"/>
      <c r="AH194" s="3934" t="n"/>
      <c r="AI194" s="3934" t="n"/>
      <c r="AJ194" s="3934" t="n"/>
      <c r="AK194" s="3934" t="n"/>
      <c r="AL194" s="3934" t="n"/>
      <c r="AM194" s="3934" t="n"/>
      <c r="AN194" s="3934" t="n"/>
      <c r="AO194" s="3934" t="n"/>
      <c r="AP194" s="3934" t="n"/>
      <c r="AQ194" s="3934" t="n"/>
      <c r="AR194" s="3934" t="n"/>
    </row>
    <row r="195">
      <c r="A195" s="3941" t="n"/>
      <c r="B195" s="3944" t="n"/>
      <c r="C195" s="3944" t="n"/>
      <c r="D195" s="3944" t="n"/>
      <c r="E195" s="3944" t="n"/>
      <c r="F195" s="3944" t="n"/>
      <c r="G195" s="3944" t="n"/>
      <c r="H195" s="3944" t="n"/>
      <c r="I195" s="3944" t="n"/>
      <c r="J195" s="3944" t="n"/>
      <c r="K195" s="3942">
        <f>IF(A195="","",SUM(E195:J195))</f>
        <v/>
      </c>
      <c r="L195" s="3934" t="n"/>
      <c r="M195" s="3934" t="n"/>
      <c r="N195" s="3934" t="n"/>
      <c r="O195" s="3934" t="n"/>
      <c r="P195" s="3934" t="n"/>
      <c r="Q195" s="3934" t="n"/>
      <c r="R195" s="3934" t="n"/>
      <c r="S195" s="3934" t="n"/>
      <c r="T195" s="3934" t="n"/>
      <c r="U195" s="3934" t="n"/>
      <c r="V195" s="3934" t="n"/>
      <c r="W195" s="3934" t="n"/>
      <c r="X195" s="3934" t="n"/>
      <c r="Y195" s="3934" t="n"/>
      <c r="Z195" s="3934" t="n"/>
      <c r="AA195" s="3934" t="n"/>
      <c r="AB195" s="3934" t="n"/>
      <c r="AC195" s="3934" t="n"/>
      <c r="AD195" s="3934" t="n"/>
      <c r="AE195" s="3934" t="n"/>
      <c r="AF195" s="3934" t="n"/>
      <c r="AG195" s="3934" t="n"/>
      <c r="AH195" s="3934" t="n"/>
      <c r="AI195" s="3934" t="n"/>
      <c r="AJ195" s="3934" t="n"/>
      <c r="AK195" s="3934" t="n"/>
      <c r="AL195" s="3934" t="n"/>
      <c r="AM195" s="3934" t="n"/>
      <c r="AN195" s="3934" t="n"/>
      <c r="AO195" s="3934" t="n"/>
      <c r="AP195" s="3934" t="n"/>
      <c r="AQ195" s="3934" t="n"/>
      <c r="AR195" s="3934" t="n"/>
    </row>
    <row r="196">
      <c r="A196" s="3941" t="n"/>
      <c r="B196" s="3944" t="n"/>
      <c r="C196" s="3944" t="n"/>
      <c r="D196" s="3944" t="n"/>
      <c r="E196" s="3944" t="n"/>
      <c r="F196" s="3944" t="n"/>
      <c r="G196" s="3944" t="n"/>
      <c r="H196" s="3944" t="n"/>
      <c r="I196" s="3944" t="n"/>
      <c r="J196" s="3944" t="n"/>
      <c r="K196" s="3942">
        <f>IF(A196="","",SUM(E196:J196))</f>
        <v/>
      </c>
      <c r="L196" s="3934" t="n"/>
      <c r="M196" s="3934" t="n"/>
      <c r="N196" s="3934" t="n"/>
      <c r="O196" s="3934" t="n"/>
      <c r="P196" s="3934" t="n"/>
      <c r="Q196" s="3934" t="n"/>
      <c r="R196" s="3934" t="n"/>
      <c r="S196" s="3934" t="n"/>
      <c r="T196" s="3934" t="n"/>
      <c r="U196" s="3934" t="n"/>
      <c r="V196" s="3934" t="n"/>
      <c r="W196" s="3934" t="n"/>
      <c r="X196" s="3934" t="n"/>
      <c r="Y196" s="3934" t="n"/>
      <c r="Z196" s="3934" t="n"/>
      <c r="AA196" s="3934" t="n"/>
      <c r="AB196" s="3934" t="n"/>
      <c r="AC196" s="3934" t="n"/>
      <c r="AD196" s="3934" t="n"/>
      <c r="AE196" s="3934" t="n"/>
      <c r="AF196" s="3934" t="n"/>
      <c r="AG196" s="3934" t="n"/>
      <c r="AH196" s="3934" t="n"/>
      <c r="AI196" s="3934" t="n"/>
      <c r="AJ196" s="3934" t="n"/>
      <c r="AK196" s="3934" t="n"/>
      <c r="AL196" s="3934" t="n"/>
      <c r="AM196" s="3934" t="n"/>
      <c r="AN196" s="3934" t="n"/>
      <c r="AO196" s="3934" t="n"/>
      <c r="AP196" s="3934" t="n"/>
      <c r="AQ196" s="3934" t="n"/>
      <c r="AR196" s="3934" t="n"/>
    </row>
    <row r="197">
      <c r="A197" s="3941" t="n"/>
      <c r="B197" s="3944" t="n"/>
      <c r="C197" s="3944" t="n"/>
      <c r="D197" s="3944" t="n"/>
      <c r="E197" s="3944" t="n"/>
      <c r="F197" s="3944" t="n"/>
      <c r="G197" s="3944" t="n"/>
      <c r="H197" s="3944" t="n"/>
      <c r="I197" s="3944" t="n"/>
      <c r="J197" s="3944" t="n"/>
      <c r="K197" s="3942">
        <f>IF(A197="","",SUM(E197:J197))</f>
        <v/>
      </c>
      <c r="L197" s="3934" t="n"/>
      <c r="M197" s="3934" t="n"/>
      <c r="N197" s="3934" t="n"/>
      <c r="O197" s="3934" t="n"/>
      <c r="P197" s="3934" t="n"/>
      <c r="Q197" s="3934" t="n"/>
      <c r="R197" s="3934" t="n"/>
      <c r="S197" s="3934" t="n"/>
      <c r="T197" s="3934" t="n"/>
      <c r="U197" s="3934" t="n"/>
      <c r="V197" s="3934" t="n"/>
      <c r="W197" s="3934" t="n"/>
      <c r="X197" s="3934" t="n"/>
      <c r="Y197" s="3934" t="n"/>
      <c r="Z197" s="3934" t="n"/>
      <c r="AA197" s="3934" t="n"/>
      <c r="AB197" s="3934" t="n"/>
      <c r="AC197" s="3934" t="n"/>
      <c r="AD197" s="3934" t="n"/>
      <c r="AE197" s="3934" t="n"/>
      <c r="AF197" s="3934" t="n"/>
      <c r="AG197" s="3934" t="n"/>
      <c r="AH197" s="3934" t="n"/>
      <c r="AI197" s="3934" t="n"/>
      <c r="AJ197" s="3934" t="n"/>
      <c r="AK197" s="3934" t="n"/>
      <c r="AL197" s="3934" t="n"/>
      <c r="AM197" s="3934" t="n"/>
      <c r="AN197" s="3934" t="n"/>
      <c r="AO197" s="3934" t="n"/>
      <c r="AP197" s="3934" t="n"/>
      <c r="AQ197" s="3934" t="n"/>
      <c r="AR197" s="3934" t="n"/>
    </row>
    <row r="198">
      <c r="A198" s="3941" t="n"/>
      <c r="B198" s="3944" t="n"/>
      <c r="C198" s="3944" t="n"/>
      <c r="D198" s="3944" t="n"/>
      <c r="E198" s="3944" t="n"/>
      <c r="F198" s="3944" t="n"/>
      <c r="G198" s="3944" t="n"/>
      <c r="H198" s="3944" t="n"/>
      <c r="I198" s="3944" t="n"/>
      <c r="J198" s="3944" t="n"/>
      <c r="K198" s="3942">
        <f>IF(A198="","",SUM(E198:J198))</f>
        <v/>
      </c>
      <c r="L198" s="3934" t="n"/>
      <c r="M198" s="3934" t="n"/>
      <c r="N198" s="3934" t="n"/>
      <c r="O198" s="3934" t="n"/>
      <c r="P198" s="3934" t="n"/>
      <c r="Q198" s="3934" t="n"/>
      <c r="R198" s="3934" t="n"/>
      <c r="S198" s="3934" t="n"/>
      <c r="T198" s="3934" t="n"/>
      <c r="U198" s="3934" t="n"/>
      <c r="V198" s="3934" t="n"/>
      <c r="W198" s="3934" t="n"/>
      <c r="X198" s="3934" t="n"/>
      <c r="Y198" s="3934" t="n"/>
      <c r="Z198" s="3934" t="n"/>
      <c r="AA198" s="3934" t="n"/>
      <c r="AB198" s="3934" t="n"/>
      <c r="AC198" s="3934" t="n"/>
      <c r="AD198" s="3934" t="n"/>
      <c r="AE198" s="3934" t="n"/>
      <c r="AF198" s="3934" t="n"/>
      <c r="AG198" s="3934" t="n"/>
      <c r="AH198" s="3934" t="n"/>
      <c r="AI198" s="3934" t="n"/>
      <c r="AJ198" s="3934" t="n"/>
      <c r="AK198" s="3934" t="n"/>
      <c r="AL198" s="3934" t="n"/>
      <c r="AM198" s="3934" t="n"/>
      <c r="AN198" s="3934" t="n"/>
      <c r="AO198" s="3934" t="n"/>
      <c r="AP198" s="3934" t="n"/>
      <c r="AQ198" s="3934" t="n"/>
      <c r="AR198" s="3934" t="n"/>
    </row>
    <row r="199">
      <c r="A199" s="3941" t="n"/>
      <c r="B199" s="3944" t="n"/>
      <c r="C199" s="3944" t="n"/>
      <c r="D199" s="3944" t="n"/>
      <c r="E199" s="3944" t="n"/>
      <c r="F199" s="3944" t="n"/>
      <c r="G199" s="3944" t="n"/>
      <c r="H199" s="3944" t="n"/>
      <c r="I199" s="3944" t="n"/>
      <c r="J199" s="3944" t="n"/>
      <c r="K199" s="3942">
        <f>IF(A199="","",SUM(E199:J199))</f>
        <v/>
      </c>
      <c r="L199" s="3934" t="n"/>
      <c r="M199" s="3934" t="n"/>
      <c r="N199" s="3934" t="n"/>
      <c r="O199" s="3934" t="n"/>
      <c r="P199" s="3934" t="n"/>
      <c r="Q199" s="3934" t="n"/>
      <c r="R199" s="3934" t="n"/>
      <c r="S199" s="3934" t="n"/>
      <c r="T199" s="3934" t="n"/>
      <c r="U199" s="3934" t="n"/>
      <c r="V199" s="3934" t="n"/>
      <c r="W199" s="3934" t="n"/>
      <c r="X199" s="3934" t="n"/>
      <c r="Y199" s="3934" t="n"/>
      <c r="Z199" s="3934" t="n"/>
      <c r="AA199" s="3934" t="n"/>
      <c r="AB199" s="3934" t="n"/>
      <c r="AC199" s="3934" t="n"/>
      <c r="AD199" s="3934" t="n"/>
      <c r="AE199" s="3934" t="n"/>
      <c r="AF199" s="3934" t="n"/>
      <c r="AG199" s="3934" t="n"/>
      <c r="AH199" s="3934" t="n"/>
      <c r="AI199" s="3934" t="n"/>
      <c r="AJ199" s="3934" t="n"/>
      <c r="AK199" s="3934" t="n"/>
      <c r="AL199" s="3934" t="n"/>
      <c r="AM199" s="3934" t="n"/>
      <c r="AN199" s="3934" t="n"/>
      <c r="AO199" s="3934" t="n"/>
      <c r="AP199" s="3934" t="n"/>
      <c r="AQ199" s="3934" t="n"/>
      <c r="AR199" s="3934" t="n"/>
    </row>
    <row r="200">
      <c r="A200" s="3941" t="n"/>
      <c r="B200" s="3944" t="n"/>
      <c r="C200" s="3944" t="n"/>
      <c r="D200" s="3944" t="n"/>
      <c r="E200" s="3944" t="n"/>
      <c r="F200" s="3944" t="n"/>
      <c r="G200" s="3944" t="n"/>
      <c r="H200" s="3944" t="n"/>
      <c r="I200" s="3944" t="n"/>
      <c r="J200" s="3944" t="n"/>
      <c r="K200" s="3942">
        <f>IF(A200="","",SUM(E200:J200))</f>
        <v/>
      </c>
      <c r="L200" s="3934" t="n"/>
      <c r="M200" s="3934" t="n"/>
      <c r="N200" s="3934" t="n"/>
      <c r="O200" s="3934" t="n"/>
      <c r="P200" s="3934" t="n"/>
      <c r="Q200" s="3934" t="n"/>
      <c r="R200" s="3934" t="n"/>
      <c r="S200" s="3934" t="n"/>
      <c r="T200" s="3934" t="n"/>
      <c r="U200" s="3934" t="n"/>
      <c r="V200" s="3934" t="n"/>
      <c r="W200" s="3934" t="n"/>
      <c r="X200" s="3934" t="n"/>
      <c r="Y200" s="3934" t="n"/>
      <c r="Z200" s="3934" t="n"/>
      <c r="AA200" s="3934" t="n"/>
      <c r="AB200" s="3934" t="n"/>
      <c r="AC200" s="3934" t="n"/>
      <c r="AD200" s="3934" t="n"/>
      <c r="AE200" s="3934" t="n"/>
      <c r="AF200" s="3934" t="n"/>
      <c r="AG200" s="3934" t="n"/>
      <c r="AH200" s="3934" t="n"/>
      <c r="AI200" s="3934" t="n"/>
      <c r="AJ200" s="3934" t="n"/>
      <c r="AK200" s="3934" t="n"/>
      <c r="AL200" s="3934" t="n"/>
      <c r="AM200" s="3934" t="n"/>
      <c r="AN200" s="3934" t="n"/>
      <c r="AO200" s="3934" t="n"/>
      <c r="AP200" s="3934" t="n"/>
      <c r="AQ200" s="3934" t="n"/>
      <c r="AR200" s="3934" t="n"/>
    </row>
    <row r="201">
      <c r="A201" s="3941" t="n"/>
      <c r="B201" s="3944" t="n"/>
      <c r="C201" s="3944" t="n"/>
      <c r="D201" s="3944" t="n"/>
      <c r="E201" s="3944" t="n"/>
      <c r="F201" s="3944" t="n"/>
      <c r="G201" s="3944" t="n"/>
      <c r="H201" s="3944" t="n"/>
      <c r="I201" s="3944" t="n"/>
      <c r="J201" s="3944" t="n"/>
      <c r="K201" s="3942">
        <f>IF(A201="","",SUM(E201:J201))</f>
        <v/>
      </c>
      <c r="L201" s="3934" t="n"/>
      <c r="M201" s="3934" t="n"/>
      <c r="N201" s="3934" t="n"/>
      <c r="O201" s="3934" t="n"/>
      <c r="P201" s="3934" t="n"/>
      <c r="Q201" s="3934" t="n"/>
      <c r="R201" s="3934" t="n"/>
      <c r="S201" s="3934" t="n"/>
      <c r="T201" s="3934" t="n"/>
      <c r="U201" s="3934" t="n"/>
      <c r="V201" s="3934" t="n"/>
      <c r="W201" s="3934" t="n"/>
      <c r="X201" s="3934" t="n"/>
      <c r="Y201" s="3934" t="n"/>
      <c r="Z201" s="3934" t="n"/>
      <c r="AA201" s="3934" t="n"/>
      <c r="AB201" s="3934" t="n"/>
      <c r="AC201" s="3934" t="n"/>
      <c r="AD201" s="3934" t="n"/>
      <c r="AE201" s="3934" t="n"/>
      <c r="AF201" s="3934" t="n"/>
      <c r="AG201" s="3934" t="n"/>
      <c r="AH201" s="3934" t="n"/>
      <c r="AI201" s="3934" t="n"/>
      <c r="AJ201" s="3934" t="n"/>
      <c r="AK201" s="3934" t="n"/>
      <c r="AL201" s="3934" t="n"/>
      <c r="AM201" s="3934" t="n"/>
      <c r="AN201" s="3934" t="n"/>
      <c r="AO201" s="3934" t="n"/>
      <c r="AP201" s="3934" t="n"/>
      <c r="AQ201" s="3934" t="n"/>
      <c r="AR201" s="3934" t="n"/>
    </row>
    <row r="202">
      <c r="A202" s="3941" t="n"/>
      <c r="B202" s="3944" t="n"/>
      <c r="C202" s="3944" t="n"/>
      <c r="D202" s="3944" t="n"/>
      <c r="E202" s="3944" t="n"/>
      <c r="F202" s="3944" t="n"/>
      <c r="G202" s="3944" t="n"/>
      <c r="H202" s="3944" t="n"/>
      <c r="I202" s="3944" t="n"/>
      <c r="J202" s="3944" t="n"/>
      <c r="K202" s="3942">
        <f>IF(A202="","",SUM(E202:J202))</f>
        <v/>
      </c>
      <c r="L202" s="3934" t="n"/>
      <c r="M202" s="3934" t="n"/>
      <c r="N202" s="3934" t="n"/>
      <c r="O202" s="3934" t="n"/>
      <c r="P202" s="3934" t="n"/>
      <c r="Q202" s="3934" t="n"/>
      <c r="R202" s="3934" t="n"/>
      <c r="S202" s="3934" t="n"/>
      <c r="T202" s="3934" t="n"/>
      <c r="U202" s="3934" t="n"/>
      <c r="V202" s="3934" t="n"/>
      <c r="W202" s="3934" t="n"/>
      <c r="X202" s="3934" t="n"/>
      <c r="Y202" s="3934" t="n"/>
      <c r="Z202" s="3934" t="n"/>
      <c r="AA202" s="3934" t="n"/>
      <c r="AB202" s="3934" t="n"/>
      <c r="AC202" s="3934" t="n"/>
      <c r="AD202" s="3934" t="n"/>
      <c r="AE202" s="3934" t="n"/>
      <c r="AF202" s="3934" t="n"/>
      <c r="AG202" s="3934" t="n"/>
      <c r="AH202" s="3934" t="n"/>
      <c r="AI202" s="3934" t="n"/>
      <c r="AJ202" s="3934" t="n"/>
      <c r="AK202" s="3934" t="n"/>
      <c r="AL202" s="3934" t="n"/>
      <c r="AM202" s="3934" t="n"/>
      <c r="AN202" s="3934" t="n"/>
      <c r="AO202" s="3934" t="n"/>
      <c r="AP202" s="3934" t="n"/>
      <c r="AQ202" s="3934" t="n"/>
      <c r="AR202" s="3934" t="n"/>
    </row>
    <row r="203">
      <c r="A203" s="3941" t="n"/>
      <c r="B203" s="3944" t="n"/>
      <c r="C203" s="3944" t="n"/>
      <c r="D203" s="3944" t="n"/>
      <c r="E203" s="3944" t="n"/>
      <c r="F203" s="3944" t="n"/>
      <c r="G203" s="3944" t="n"/>
      <c r="H203" s="3944" t="n"/>
      <c r="I203" s="3944" t="n"/>
      <c r="J203" s="3944" t="n"/>
      <c r="K203" s="3942">
        <f>IF(A203="","",SUM(E203:J203))</f>
        <v/>
      </c>
      <c r="L203" s="3934" t="n"/>
      <c r="M203" s="3934" t="n"/>
      <c r="N203" s="3934" t="n"/>
      <c r="O203" s="3934" t="n"/>
      <c r="P203" s="3934" t="n"/>
      <c r="Q203" s="3934" t="n"/>
      <c r="R203" s="3934" t="n"/>
      <c r="S203" s="3934" t="n"/>
      <c r="T203" s="3934" t="n"/>
      <c r="U203" s="3934" t="n"/>
      <c r="V203" s="3934" t="n"/>
      <c r="W203" s="3934" t="n"/>
      <c r="X203" s="3934" t="n"/>
      <c r="Y203" s="3934" t="n"/>
      <c r="Z203" s="3934" t="n"/>
      <c r="AA203" s="3934" t="n"/>
      <c r="AB203" s="3934" t="n"/>
      <c r="AC203" s="3934" t="n"/>
      <c r="AD203" s="3934" t="n"/>
      <c r="AE203" s="3934" t="n"/>
      <c r="AF203" s="3934" t="n"/>
      <c r="AG203" s="3934" t="n"/>
      <c r="AH203" s="3934" t="n"/>
      <c r="AI203" s="3934" t="n"/>
      <c r="AJ203" s="3934" t="n"/>
      <c r="AK203" s="3934" t="n"/>
      <c r="AL203" s="3934" t="n"/>
      <c r="AM203" s="3934" t="n"/>
      <c r="AN203" s="3934" t="n"/>
      <c r="AO203" s="3934" t="n"/>
      <c r="AP203" s="3934" t="n"/>
      <c r="AQ203" s="3934" t="n"/>
      <c r="AR203" s="3934" t="n"/>
    </row>
    <row r="204">
      <c r="A204" s="3941" t="n"/>
      <c r="B204" s="3944" t="n"/>
      <c r="C204" s="3944" t="n"/>
      <c r="D204" s="3944" t="n"/>
      <c r="E204" s="3944" t="n"/>
      <c r="F204" s="3944" t="n"/>
      <c r="G204" s="3944" t="n"/>
      <c r="H204" s="3944" t="n"/>
      <c r="I204" s="3944" t="n"/>
      <c r="J204" s="3944" t="n"/>
      <c r="K204" s="3942">
        <f>IF(A204="","",SUM(E204:J204))</f>
        <v/>
      </c>
      <c r="L204" s="3934" t="n"/>
      <c r="M204" s="3934" t="n"/>
      <c r="N204" s="3934" t="n"/>
      <c r="O204" s="3934" t="n"/>
      <c r="P204" s="3934" t="n"/>
      <c r="Q204" s="3934" t="n"/>
      <c r="R204" s="3934" t="n"/>
      <c r="S204" s="3934" t="n"/>
      <c r="T204" s="3934" t="n"/>
      <c r="U204" s="3934" t="n"/>
      <c r="V204" s="3934" t="n"/>
      <c r="W204" s="3934" t="n"/>
      <c r="X204" s="3934" t="n"/>
      <c r="Y204" s="3934" t="n"/>
      <c r="Z204" s="3934" t="n"/>
      <c r="AA204" s="3934" t="n"/>
      <c r="AB204" s="3934" t="n"/>
      <c r="AC204" s="3934" t="n"/>
      <c r="AD204" s="3934" t="n"/>
      <c r="AE204" s="3934" t="n"/>
      <c r="AF204" s="3934" t="n"/>
      <c r="AG204" s="3934" t="n"/>
      <c r="AH204" s="3934" t="n"/>
      <c r="AI204" s="3934" t="n"/>
      <c r="AJ204" s="3934" t="n"/>
      <c r="AK204" s="3934" t="n"/>
      <c r="AL204" s="3934" t="n"/>
      <c r="AM204" s="3934" t="n"/>
      <c r="AN204" s="3934" t="n"/>
      <c r="AO204" s="3934" t="n"/>
      <c r="AP204" s="3934" t="n"/>
      <c r="AQ204" s="3934" t="n"/>
      <c r="AR204" s="3934" t="n"/>
    </row>
    <row r="205">
      <c r="A205" s="3941" t="n"/>
      <c r="B205" s="3944" t="n"/>
      <c r="C205" s="3944" t="n"/>
      <c r="D205" s="3944" t="n"/>
      <c r="E205" s="3944" t="n"/>
      <c r="F205" s="3944" t="n"/>
      <c r="G205" s="3944" t="n"/>
      <c r="H205" s="3944" t="n"/>
      <c r="I205" s="3944" t="n"/>
      <c r="J205" s="3944" t="n"/>
      <c r="K205" s="3942">
        <f>IF(A205="","",SUM(E205:J205))</f>
        <v/>
      </c>
      <c r="L205" s="3934" t="n"/>
      <c r="M205" s="3934" t="n"/>
      <c r="N205" s="3934" t="n"/>
      <c r="O205" s="3934" t="n"/>
      <c r="P205" s="3934" t="n"/>
      <c r="Q205" s="3934" t="n"/>
      <c r="R205" s="3934" t="n"/>
      <c r="S205" s="3934" t="n"/>
      <c r="T205" s="3934" t="n"/>
      <c r="U205" s="3934" t="n"/>
      <c r="V205" s="3934" t="n"/>
      <c r="W205" s="3934" t="n"/>
      <c r="X205" s="3934" t="n"/>
      <c r="Y205" s="3934" t="n"/>
      <c r="Z205" s="3934" t="n"/>
      <c r="AA205" s="3934" t="n"/>
      <c r="AB205" s="3934" t="n"/>
      <c r="AC205" s="3934" t="n"/>
      <c r="AD205" s="3934" t="n"/>
      <c r="AE205" s="3934" t="n"/>
      <c r="AF205" s="3934" t="n"/>
      <c r="AG205" s="3934" t="n"/>
      <c r="AH205" s="3934" t="n"/>
      <c r="AI205" s="3934" t="n"/>
      <c r="AJ205" s="3934" t="n"/>
      <c r="AK205" s="3934" t="n"/>
      <c r="AL205" s="3934" t="n"/>
      <c r="AM205" s="3934" t="n"/>
      <c r="AN205" s="3934" t="n"/>
      <c r="AO205" s="3934" t="n"/>
      <c r="AP205" s="3934" t="n"/>
      <c r="AQ205" s="3934" t="n"/>
      <c r="AR205" s="3934" t="n"/>
    </row>
    <row r="206">
      <c r="A206" s="3941" t="n"/>
      <c r="B206" s="3944" t="n"/>
      <c r="C206" s="3944" t="n"/>
      <c r="D206" s="3944" t="n"/>
      <c r="E206" s="3944" t="n"/>
      <c r="F206" s="3944" t="n"/>
      <c r="G206" s="3944" t="n"/>
      <c r="H206" s="3944" t="n"/>
      <c r="I206" s="3944" t="n"/>
      <c r="J206" s="3944" t="n"/>
      <c r="K206" s="3942">
        <f>IF(A206="","",SUM(E206:J206))</f>
        <v/>
      </c>
      <c r="L206" s="3934" t="n"/>
      <c r="M206" s="3934" t="n"/>
      <c r="N206" s="3934" t="n"/>
      <c r="O206" s="3934" t="n"/>
      <c r="P206" s="3934" t="n"/>
      <c r="Q206" s="3934" t="n"/>
      <c r="R206" s="3934" t="n"/>
      <c r="S206" s="3934" t="n"/>
      <c r="T206" s="3934" t="n"/>
      <c r="U206" s="3934" t="n"/>
      <c r="V206" s="3934" t="n"/>
      <c r="W206" s="3934" t="n"/>
      <c r="X206" s="3934" t="n"/>
      <c r="Y206" s="3934" t="n"/>
      <c r="Z206" s="3934" t="n"/>
      <c r="AA206" s="3934" t="n"/>
      <c r="AB206" s="3934" t="n"/>
      <c r="AC206" s="3934" t="n"/>
      <c r="AD206" s="3934" t="n"/>
      <c r="AE206" s="3934" t="n"/>
      <c r="AF206" s="3934" t="n"/>
      <c r="AG206" s="3934" t="n"/>
      <c r="AH206" s="3934" t="n"/>
      <c r="AI206" s="3934" t="n"/>
      <c r="AJ206" s="3934" t="n"/>
      <c r="AK206" s="3934" t="n"/>
      <c r="AL206" s="3934" t="n"/>
      <c r="AM206" s="3934" t="n"/>
      <c r="AN206" s="3934" t="n"/>
      <c r="AO206" s="3934" t="n"/>
      <c r="AP206" s="3934" t="n"/>
      <c r="AQ206" s="3934" t="n"/>
      <c r="AR206" s="3934" t="n"/>
    </row>
    <row r="207">
      <c r="A207" s="3941" t="n"/>
      <c r="B207" s="3944" t="n"/>
      <c r="C207" s="3944" t="n"/>
      <c r="D207" s="3944" t="n"/>
      <c r="E207" s="3944" t="n"/>
      <c r="F207" s="3944" t="n"/>
      <c r="G207" s="3944" t="n"/>
      <c r="H207" s="3944" t="n"/>
      <c r="I207" s="3944" t="n"/>
      <c r="J207" s="3944" t="n"/>
      <c r="K207" s="3942">
        <f>IF(A207="","",SUM(E207:J207))</f>
        <v/>
      </c>
      <c r="L207" s="3934" t="n"/>
      <c r="M207" s="3934" t="n"/>
      <c r="N207" s="3934" t="n"/>
      <c r="O207" s="3934" t="n"/>
      <c r="P207" s="3934" t="n"/>
      <c r="Q207" s="3934" t="n"/>
      <c r="R207" s="3934" t="n"/>
      <c r="S207" s="3934" t="n"/>
      <c r="T207" s="3934" t="n"/>
      <c r="U207" s="3934" t="n"/>
      <c r="V207" s="3934" t="n"/>
      <c r="W207" s="3934" t="n"/>
      <c r="X207" s="3934" t="n"/>
      <c r="Y207" s="3934" t="n"/>
      <c r="Z207" s="3934" t="n"/>
      <c r="AA207" s="3934" t="n"/>
      <c r="AB207" s="3934" t="n"/>
      <c r="AC207" s="3934" t="n"/>
      <c r="AD207" s="3934" t="n"/>
      <c r="AE207" s="3934" t="n"/>
      <c r="AF207" s="3934" t="n"/>
      <c r="AG207" s="3934" t="n"/>
      <c r="AH207" s="3934" t="n"/>
      <c r="AI207" s="3934" t="n"/>
      <c r="AJ207" s="3934" t="n"/>
      <c r="AK207" s="3934" t="n"/>
      <c r="AL207" s="3934" t="n"/>
      <c r="AM207" s="3934" t="n"/>
      <c r="AN207" s="3934" t="n"/>
      <c r="AO207" s="3934" t="n"/>
      <c r="AP207" s="3934" t="n"/>
      <c r="AQ207" s="3934" t="n"/>
      <c r="AR207" s="3934" t="n"/>
    </row>
    <row r="208">
      <c r="A208" s="3941" t="n"/>
      <c r="B208" s="3944" t="n"/>
      <c r="C208" s="3944" t="n"/>
      <c r="D208" s="3944" t="n"/>
      <c r="E208" s="3944" t="n"/>
      <c r="F208" s="3944" t="n"/>
      <c r="G208" s="3944" t="n"/>
      <c r="H208" s="3944" t="n"/>
      <c r="I208" s="3944" t="n"/>
      <c r="J208" s="3944" t="n"/>
      <c r="K208" s="3942">
        <f>IF(A208="","",SUM(E208:J208))</f>
        <v/>
      </c>
      <c r="L208" s="3934" t="n"/>
      <c r="M208" s="3934" t="n"/>
      <c r="N208" s="3934" t="n"/>
      <c r="O208" s="3934" t="n"/>
      <c r="P208" s="3934" t="n"/>
      <c r="Q208" s="3934" t="n"/>
      <c r="R208" s="3934" t="n"/>
      <c r="S208" s="3934" t="n"/>
      <c r="T208" s="3934" t="n"/>
      <c r="U208" s="3934" t="n"/>
      <c r="V208" s="3934" t="n"/>
      <c r="W208" s="3934" t="n"/>
      <c r="X208" s="3934" t="n"/>
      <c r="Y208" s="3934" t="n"/>
      <c r="Z208" s="3934" t="n"/>
      <c r="AA208" s="3934" t="n"/>
      <c r="AB208" s="3934" t="n"/>
      <c r="AC208" s="3934" t="n"/>
      <c r="AD208" s="3934" t="n"/>
      <c r="AE208" s="3934" t="n"/>
      <c r="AF208" s="3934" t="n"/>
      <c r="AG208" s="3934" t="n"/>
      <c r="AH208" s="3934" t="n"/>
      <c r="AI208" s="3934" t="n"/>
      <c r="AJ208" s="3934" t="n"/>
      <c r="AK208" s="3934" t="n"/>
      <c r="AL208" s="3934" t="n"/>
      <c r="AM208" s="3934" t="n"/>
      <c r="AN208" s="3934" t="n"/>
      <c r="AO208" s="3934" t="n"/>
      <c r="AP208" s="3934" t="n"/>
      <c r="AQ208" s="3934" t="n"/>
      <c r="AR208" s="3934" t="n"/>
    </row>
    <row r="209">
      <c r="A209" s="3941" t="n"/>
      <c r="B209" s="3944" t="n"/>
      <c r="C209" s="3944" t="n"/>
      <c r="D209" s="3944" t="n"/>
      <c r="E209" s="3944" t="n"/>
      <c r="F209" s="3944" t="n"/>
      <c r="G209" s="3944" t="n"/>
      <c r="H209" s="3944" t="n"/>
      <c r="I209" s="3944" t="n"/>
      <c r="J209" s="3944" t="n"/>
      <c r="K209" s="3942">
        <f>IF(A209="","",SUM(E209:J209))</f>
        <v/>
      </c>
      <c r="L209" s="3934" t="n"/>
      <c r="M209" s="3934" t="n"/>
      <c r="N209" s="3934" t="n"/>
      <c r="O209" s="3934" t="n"/>
      <c r="P209" s="3934" t="n"/>
      <c r="Q209" s="3934" t="n"/>
      <c r="R209" s="3934" t="n"/>
      <c r="S209" s="3934" t="n"/>
      <c r="T209" s="3934" t="n"/>
      <c r="U209" s="3934" t="n"/>
      <c r="V209" s="3934" t="n"/>
      <c r="W209" s="3934" t="n"/>
      <c r="X209" s="3934" t="n"/>
      <c r="Y209" s="3934" t="n"/>
      <c r="Z209" s="3934" t="n"/>
      <c r="AA209" s="3934" t="n"/>
      <c r="AB209" s="3934" t="n"/>
      <c r="AC209" s="3934" t="n"/>
      <c r="AD209" s="3934" t="n"/>
      <c r="AE209" s="3934" t="n"/>
      <c r="AF209" s="3934" t="n"/>
      <c r="AG209" s="3934" t="n"/>
      <c r="AH209" s="3934" t="n"/>
      <c r="AI209" s="3934" t="n"/>
      <c r="AJ209" s="3934" t="n"/>
      <c r="AK209" s="3934" t="n"/>
      <c r="AL209" s="3934" t="n"/>
      <c r="AM209" s="3934" t="n"/>
      <c r="AN209" s="3934" t="n"/>
      <c r="AO209" s="3934" t="n"/>
      <c r="AP209" s="3934" t="n"/>
      <c r="AQ209" s="3934" t="n"/>
      <c r="AR209" s="3934" t="n"/>
    </row>
    <row r="210">
      <c r="A210" s="3941" t="n"/>
      <c r="B210" s="3944" t="n"/>
      <c r="C210" s="3944" t="n"/>
      <c r="D210" s="3944" t="n"/>
      <c r="E210" s="3944" t="n"/>
      <c r="F210" s="3944" t="n"/>
      <c r="G210" s="3944" t="n"/>
      <c r="H210" s="3944" t="n"/>
      <c r="I210" s="3944" t="n"/>
      <c r="J210" s="3944" t="n"/>
      <c r="K210" s="3942">
        <f>IF(A210="","",SUM(E210:J210))</f>
        <v/>
      </c>
      <c r="L210" s="3934" t="n"/>
      <c r="M210" s="3934" t="n"/>
      <c r="N210" s="3934" t="n"/>
      <c r="O210" s="3934" t="n"/>
      <c r="P210" s="3934" t="n"/>
      <c r="Q210" s="3934" t="n"/>
      <c r="R210" s="3934" t="n"/>
      <c r="S210" s="3934" t="n"/>
      <c r="T210" s="3934" t="n"/>
      <c r="U210" s="3934" t="n"/>
      <c r="V210" s="3934" t="n"/>
      <c r="W210" s="3934" t="n"/>
      <c r="X210" s="3934" t="n"/>
      <c r="Y210" s="3934" t="n"/>
      <c r="Z210" s="3934" t="n"/>
      <c r="AA210" s="3934" t="n"/>
      <c r="AB210" s="3934" t="n"/>
      <c r="AC210" s="3934" t="n"/>
      <c r="AD210" s="3934" t="n"/>
      <c r="AE210" s="3934" t="n"/>
      <c r="AF210" s="3934" t="n"/>
      <c r="AG210" s="3934" t="n"/>
      <c r="AH210" s="3934" t="n"/>
      <c r="AI210" s="3934" t="n"/>
      <c r="AJ210" s="3934" t="n"/>
      <c r="AK210" s="3934" t="n"/>
      <c r="AL210" s="3934" t="n"/>
      <c r="AM210" s="3934" t="n"/>
      <c r="AN210" s="3934" t="n"/>
      <c r="AO210" s="3934" t="n"/>
      <c r="AP210" s="3934" t="n"/>
      <c r="AQ210" s="3934" t="n"/>
      <c r="AR210" s="3934" t="n"/>
    </row>
    <row r="211">
      <c r="A211" s="3941" t="n"/>
      <c r="B211" s="3944" t="n"/>
      <c r="C211" s="3944" t="n"/>
      <c r="D211" s="3944" t="n"/>
      <c r="E211" s="3944" t="n"/>
      <c r="F211" s="3944" t="n"/>
      <c r="G211" s="3944" t="n"/>
      <c r="H211" s="3944" t="n"/>
      <c r="I211" s="3944" t="n"/>
      <c r="J211" s="3944" t="n"/>
      <c r="K211" s="3942">
        <f>IF(A211="","",SUM(E211:J211))</f>
        <v/>
      </c>
      <c r="L211" s="3934" t="n"/>
      <c r="M211" s="3934" t="n"/>
      <c r="N211" s="3934" t="n"/>
      <c r="O211" s="3934" t="n"/>
      <c r="P211" s="3934" t="n"/>
      <c r="Q211" s="3934" t="n"/>
      <c r="R211" s="3934" t="n"/>
      <c r="S211" s="3934" t="n"/>
      <c r="T211" s="3934" t="n"/>
      <c r="U211" s="3934" t="n"/>
      <c r="V211" s="3934" t="n"/>
      <c r="W211" s="3934" t="n"/>
      <c r="X211" s="3934" t="n"/>
      <c r="Y211" s="3934" t="n"/>
      <c r="Z211" s="3934" t="n"/>
      <c r="AA211" s="3934" t="n"/>
      <c r="AB211" s="3934" t="n"/>
      <c r="AC211" s="3934" t="n"/>
      <c r="AD211" s="3934" t="n"/>
      <c r="AE211" s="3934" t="n"/>
      <c r="AF211" s="3934" t="n"/>
      <c r="AG211" s="3934" t="n"/>
      <c r="AH211" s="3934" t="n"/>
      <c r="AI211" s="3934" t="n"/>
      <c r="AJ211" s="3934" t="n"/>
      <c r="AK211" s="3934" t="n"/>
      <c r="AL211" s="3934" t="n"/>
      <c r="AM211" s="3934" t="n"/>
      <c r="AN211" s="3934" t="n"/>
      <c r="AO211" s="3934" t="n"/>
      <c r="AP211" s="3934" t="n"/>
      <c r="AQ211" s="3934" t="n"/>
      <c r="AR211" s="3934" t="n"/>
    </row>
    <row r="212">
      <c r="A212" s="3941" t="n"/>
      <c r="B212" s="3944" t="n"/>
      <c r="C212" s="3944" t="n"/>
      <c r="D212" s="3944" t="n"/>
      <c r="E212" s="3944" t="n"/>
      <c r="F212" s="3944" t="n"/>
      <c r="G212" s="3944" t="n"/>
      <c r="H212" s="3944" t="n"/>
      <c r="I212" s="3944" t="n"/>
      <c r="J212" s="3944" t="n"/>
      <c r="K212" s="3942">
        <f>IF(A212="","",SUM(E212:J212))</f>
        <v/>
      </c>
      <c r="L212" s="3934" t="n"/>
      <c r="M212" s="3934" t="n"/>
      <c r="N212" s="3934" t="n"/>
      <c r="O212" s="3934" t="n"/>
      <c r="P212" s="3934" t="n"/>
      <c r="Q212" s="3934" t="n"/>
      <c r="R212" s="3934" t="n"/>
      <c r="S212" s="3934" t="n"/>
      <c r="T212" s="3934" t="n"/>
      <c r="U212" s="3934" t="n"/>
      <c r="V212" s="3934" t="n"/>
      <c r="W212" s="3934" t="n"/>
      <c r="X212" s="3934" t="n"/>
      <c r="Y212" s="3934" t="n"/>
      <c r="Z212" s="3934" t="n"/>
      <c r="AA212" s="3934" t="n"/>
      <c r="AB212" s="3934" t="n"/>
      <c r="AC212" s="3934" t="n"/>
      <c r="AD212" s="3934" t="n"/>
      <c r="AE212" s="3934" t="n"/>
      <c r="AF212" s="3934" t="n"/>
      <c r="AG212" s="3934" t="n"/>
      <c r="AH212" s="3934" t="n"/>
      <c r="AI212" s="3934" t="n"/>
      <c r="AJ212" s="3934" t="n"/>
      <c r="AK212" s="3934" t="n"/>
      <c r="AL212" s="3934" t="n"/>
      <c r="AM212" s="3934" t="n"/>
      <c r="AN212" s="3934" t="n"/>
      <c r="AO212" s="3934" t="n"/>
      <c r="AP212" s="3934" t="n"/>
      <c r="AQ212" s="3934" t="n"/>
      <c r="AR212" s="3934" t="n"/>
    </row>
    <row r="213">
      <c r="A213" s="3941" t="n"/>
      <c r="B213" s="3944" t="n"/>
      <c r="C213" s="3944" t="n"/>
      <c r="D213" s="3944" t="n"/>
      <c r="E213" s="3944" t="n"/>
      <c r="F213" s="3944" t="n"/>
      <c r="G213" s="3944" t="n"/>
      <c r="H213" s="3944" t="n"/>
      <c r="I213" s="3944" t="n"/>
      <c r="J213" s="3944" t="n"/>
      <c r="K213" s="3942">
        <f>IF(A213="","",SUM(E213:J213))</f>
        <v/>
      </c>
      <c r="L213" s="3934" t="n"/>
      <c r="M213" s="3934" t="n"/>
      <c r="N213" s="3934" t="n"/>
      <c r="O213" s="3934" t="n"/>
      <c r="P213" s="3934" t="n"/>
      <c r="Q213" s="3934" t="n"/>
      <c r="R213" s="3934" t="n"/>
      <c r="S213" s="3934" t="n"/>
      <c r="T213" s="3934" t="n"/>
      <c r="U213" s="3934" t="n"/>
      <c r="V213" s="3934" t="n"/>
      <c r="W213" s="3934" t="n"/>
      <c r="X213" s="3934" t="n"/>
      <c r="Y213" s="3934" t="n"/>
      <c r="Z213" s="3934" t="n"/>
      <c r="AA213" s="3934" t="n"/>
      <c r="AB213" s="3934" t="n"/>
      <c r="AC213" s="3934" t="n"/>
      <c r="AD213" s="3934" t="n"/>
      <c r="AE213" s="3934" t="n"/>
      <c r="AF213" s="3934" t="n"/>
      <c r="AG213" s="3934" t="n"/>
      <c r="AH213" s="3934" t="n"/>
      <c r="AI213" s="3934" t="n"/>
      <c r="AJ213" s="3934" t="n"/>
      <c r="AK213" s="3934" t="n"/>
      <c r="AL213" s="3934" t="n"/>
      <c r="AM213" s="3934" t="n"/>
      <c r="AN213" s="3934" t="n"/>
      <c r="AO213" s="3934" t="n"/>
      <c r="AP213" s="3934" t="n"/>
      <c r="AQ213" s="3934" t="n"/>
      <c r="AR213" s="3934" t="n"/>
    </row>
    <row r="214">
      <c r="A214" s="3941" t="n"/>
      <c r="B214" s="3944" t="n"/>
      <c r="C214" s="3944" t="n"/>
      <c r="D214" s="3944" t="n"/>
      <c r="E214" s="3944" t="n"/>
      <c r="F214" s="3944" t="n"/>
      <c r="G214" s="3944" t="n"/>
      <c r="H214" s="3944" t="n"/>
      <c r="I214" s="3944" t="n"/>
      <c r="J214" s="3944" t="n"/>
      <c r="K214" s="3942">
        <f>IF(A214="","",SUM(E214:J214))</f>
        <v/>
      </c>
      <c r="L214" s="3934" t="n"/>
      <c r="M214" s="3934" t="n"/>
      <c r="N214" s="3934" t="n"/>
      <c r="O214" s="3934" t="n"/>
      <c r="P214" s="3934" t="n"/>
      <c r="Q214" s="3934" t="n"/>
      <c r="R214" s="3934" t="n"/>
      <c r="S214" s="3934" t="n"/>
      <c r="T214" s="3934" t="n"/>
      <c r="U214" s="3934" t="n"/>
      <c r="V214" s="3934" t="n"/>
      <c r="W214" s="3934" t="n"/>
      <c r="X214" s="3934" t="n"/>
      <c r="Y214" s="3934" t="n"/>
      <c r="Z214" s="3934" t="n"/>
      <c r="AA214" s="3934" t="n"/>
      <c r="AB214" s="3934" t="n"/>
      <c r="AC214" s="3934" t="n"/>
      <c r="AD214" s="3934" t="n"/>
      <c r="AE214" s="3934" t="n"/>
      <c r="AF214" s="3934" t="n"/>
      <c r="AG214" s="3934" t="n"/>
      <c r="AH214" s="3934" t="n"/>
      <c r="AI214" s="3934" t="n"/>
      <c r="AJ214" s="3934" t="n"/>
      <c r="AK214" s="3934" t="n"/>
      <c r="AL214" s="3934" t="n"/>
      <c r="AM214" s="3934" t="n"/>
      <c r="AN214" s="3934" t="n"/>
      <c r="AO214" s="3934" t="n"/>
      <c r="AP214" s="3934" t="n"/>
      <c r="AQ214" s="3934" t="n"/>
      <c r="AR214" s="3934" t="n"/>
    </row>
    <row r="215">
      <c r="A215" s="3941" t="n"/>
      <c r="B215" s="3944" t="n"/>
      <c r="C215" s="3944" t="n"/>
      <c r="D215" s="3944" t="n"/>
      <c r="E215" s="3944" t="n"/>
      <c r="F215" s="3944" t="n"/>
      <c r="G215" s="3944" t="n"/>
      <c r="H215" s="3944" t="n"/>
      <c r="I215" s="3944" t="n"/>
      <c r="J215" s="3944" t="n"/>
      <c r="K215" s="3942">
        <f>IF(A215="","",SUM(E215:J215))</f>
        <v/>
      </c>
      <c r="L215" s="3934" t="n"/>
      <c r="M215" s="3934" t="n"/>
      <c r="N215" s="3934" t="n"/>
      <c r="O215" s="3934" t="n"/>
      <c r="P215" s="3934" t="n"/>
      <c r="Q215" s="3934" t="n"/>
      <c r="R215" s="3934" t="n"/>
      <c r="S215" s="3934" t="n"/>
      <c r="T215" s="3934" t="n"/>
      <c r="U215" s="3934" t="n"/>
      <c r="V215" s="3934" t="n"/>
      <c r="W215" s="3934" t="n"/>
      <c r="X215" s="3934" t="n"/>
      <c r="Y215" s="3934" t="n"/>
      <c r="Z215" s="3934" t="n"/>
      <c r="AA215" s="3934" t="n"/>
      <c r="AB215" s="3934" t="n"/>
      <c r="AC215" s="3934" t="n"/>
      <c r="AD215" s="3934" t="n"/>
      <c r="AE215" s="3934" t="n"/>
      <c r="AF215" s="3934" t="n"/>
      <c r="AG215" s="3934" t="n"/>
      <c r="AH215" s="3934" t="n"/>
      <c r="AI215" s="3934" t="n"/>
      <c r="AJ215" s="3934" t="n"/>
      <c r="AK215" s="3934" t="n"/>
      <c r="AL215" s="3934" t="n"/>
      <c r="AM215" s="3934" t="n"/>
      <c r="AN215" s="3934" t="n"/>
      <c r="AO215" s="3934" t="n"/>
      <c r="AP215" s="3934" t="n"/>
      <c r="AQ215" s="3934" t="n"/>
      <c r="AR215" s="3934" t="n"/>
    </row>
    <row r="216">
      <c r="A216" s="3941" t="n"/>
      <c r="B216" s="3944" t="n"/>
      <c r="C216" s="3944" t="n"/>
      <c r="D216" s="3944" t="n"/>
      <c r="E216" s="3944" t="n"/>
      <c r="F216" s="3944" t="n"/>
      <c r="G216" s="3944" t="n"/>
      <c r="H216" s="3944" t="n"/>
      <c r="I216" s="3944" t="n"/>
      <c r="J216" s="3944" t="n"/>
      <c r="K216" s="3942">
        <f>IF(A216="","",SUM(E216:J216))</f>
        <v/>
      </c>
      <c r="L216" s="3934" t="n"/>
      <c r="M216" s="3934" t="n"/>
      <c r="N216" s="3934" t="n"/>
      <c r="O216" s="3934" t="n"/>
      <c r="P216" s="3934" t="n"/>
      <c r="Q216" s="3934" t="n"/>
      <c r="R216" s="3934" t="n"/>
      <c r="S216" s="3934" t="n"/>
      <c r="T216" s="3934" t="n"/>
      <c r="U216" s="3934" t="n"/>
      <c r="V216" s="3934" t="n"/>
      <c r="W216" s="3934" t="n"/>
      <c r="X216" s="3934" t="n"/>
      <c r="Y216" s="3934" t="n"/>
      <c r="Z216" s="3934" t="n"/>
      <c r="AA216" s="3934" t="n"/>
      <c r="AB216" s="3934" t="n"/>
      <c r="AC216" s="3934" t="n"/>
      <c r="AD216" s="3934" t="n"/>
      <c r="AE216" s="3934" t="n"/>
      <c r="AF216" s="3934" t="n"/>
      <c r="AG216" s="3934" t="n"/>
      <c r="AH216" s="3934" t="n"/>
      <c r="AI216" s="3934" t="n"/>
      <c r="AJ216" s="3934" t="n"/>
      <c r="AK216" s="3934" t="n"/>
      <c r="AL216" s="3934" t="n"/>
      <c r="AM216" s="3934" t="n"/>
      <c r="AN216" s="3934" t="n"/>
      <c r="AO216" s="3934" t="n"/>
      <c r="AP216" s="3934" t="n"/>
      <c r="AQ216" s="3934" t="n"/>
      <c r="AR216" s="3934" t="n"/>
    </row>
    <row r="217">
      <c r="A217" s="3941" t="n"/>
      <c r="B217" s="3944" t="n"/>
      <c r="C217" s="3944" t="n"/>
      <c r="D217" s="3944" t="n"/>
      <c r="E217" s="3944" t="n"/>
      <c r="F217" s="3944" t="n"/>
      <c r="G217" s="3944" t="n"/>
      <c r="H217" s="3944" t="n"/>
      <c r="I217" s="3944" t="n"/>
      <c r="J217" s="3944" t="n"/>
      <c r="K217" s="3942">
        <f>IF(A217="","",SUM(E217:J217))</f>
        <v/>
      </c>
      <c r="L217" s="3934" t="n"/>
      <c r="M217" s="3934" t="n"/>
      <c r="N217" s="3934" t="n"/>
      <c r="O217" s="3934" t="n"/>
      <c r="P217" s="3934" t="n"/>
      <c r="Q217" s="3934" t="n"/>
      <c r="R217" s="3934" t="n"/>
      <c r="S217" s="3934" t="n"/>
      <c r="T217" s="3934" t="n"/>
      <c r="U217" s="3934" t="n"/>
      <c r="V217" s="3934" t="n"/>
      <c r="W217" s="3934" t="n"/>
      <c r="X217" s="3934" t="n"/>
      <c r="Y217" s="3934" t="n"/>
      <c r="Z217" s="3934" t="n"/>
      <c r="AA217" s="3934" t="n"/>
      <c r="AB217" s="3934" t="n"/>
      <c r="AC217" s="3934" t="n"/>
      <c r="AD217" s="3934" t="n"/>
      <c r="AE217" s="3934" t="n"/>
      <c r="AF217" s="3934" t="n"/>
      <c r="AG217" s="3934" t="n"/>
      <c r="AH217" s="3934" t="n"/>
      <c r="AI217" s="3934" t="n"/>
      <c r="AJ217" s="3934" t="n"/>
      <c r="AK217" s="3934" t="n"/>
      <c r="AL217" s="3934" t="n"/>
      <c r="AM217" s="3934" t="n"/>
      <c r="AN217" s="3934" t="n"/>
      <c r="AO217" s="3934" t="n"/>
      <c r="AP217" s="3934" t="n"/>
      <c r="AQ217" s="3934" t="n"/>
      <c r="AR217" s="3934" t="n"/>
    </row>
    <row r="218">
      <c r="A218" s="3941" t="n"/>
      <c r="B218" s="3944" t="n"/>
      <c r="C218" s="3944" t="n"/>
      <c r="D218" s="3944" t="n"/>
      <c r="E218" s="3944" t="n"/>
      <c r="F218" s="3944" t="n"/>
      <c r="G218" s="3944" t="n"/>
      <c r="H218" s="3944" t="n"/>
      <c r="I218" s="3944" t="n"/>
      <c r="J218" s="3944" t="n"/>
      <c r="K218" s="3942">
        <f>IF(A218="","",SUM(E218:J218))</f>
        <v/>
      </c>
      <c r="L218" s="3934" t="n"/>
      <c r="M218" s="3934" t="n"/>
      <c r="N218" s="3934" t="n"/>
      <c r="O218" s="3934" t="n"/>
      <c r="P218" s="3934" t="n"/>
      <c r="Q218" s="3934" t="n"/>
      <c r="R218" s="3934" t="n"/>
      <c r="S218" s="3934" t="n"/>
      <c r="T218" s="3934" t="n"/>
      <c r="U218" s="3934" t="n"/>
      <c r="V218" s="3934" t="n"/>
      <c r="W218" s="3934" t="n"/>
      <c r="X218" s="3934" t="n"/>
      <c r="Y218" s="3934" t="n"/>
      <c r="Z218" s="3934" t="n"/>
      <c r="AA218" s="3934" t="n"/>
      <c r="AB218" s="3934" t="n"/>
      <c r="AC218" s="3934" t="n"/>
      <c r="AD218" s="3934" t="n"/>
      <c r="AE218" s="3934" t="n"/>
      <c r="AF218" s="3934" t="n"/>
      <c r="AG218" s="3934" t="n"/>
      <c r="AH218" s="3934" t="n"/>
      <c r="AI218" s="3934" t="n"/>
      <c r="AJ218" s="3934" t="n"/>
      <c r="AK218" s="3934" t="n"/>
      <c r="AL218" s="3934" t="n"/>
      <c r="AM218" s="3934" t="n"/>
      <c r="AN218" s="3934" t="n"/>
      <c r="AO218" s="3934" t="n"/>
      <c r="AP218" s="3934" t="n"/>
      <c r="AQ218" s="3934" t="n"/>
      <c r="AR218" s="3934" t="n"/>
    </row>
    <row r="219">
      <c r="A219" s="3941" t="n"/>
      <c r="B219" s="3944" t="n"/>
      <c r="C219" s="3944" t="n"/>
      <c r="D219" s="3944" t="n"/>
      <c r="E219" s="3944" t="n"/>
      <c r="F219" s="3944" t="n"/>
      <c r="G219" s="3944" t="n"/>
      <c r="H219" s="3944" t="n"/>
      <c r="I219" s="3944" t="n"/>
      <c r="J219" s="3944" t="n"/>
      <c r="K219" s="3942">
        <f>IF(A219="","",SUM(E219:J219))</f>
        <v/>
      </c>
      <c r="L219" s="3934" t="n"/>
      <c r="M219" s="3934" t="n"/>
      <c r="N219" s="3934" t="n"/>
      <c r="O219" s="3934" t="n"/>
      <c r="P219" s="3934" t="n"/>
      <c r="Q219" s="3934" t="n"/>
      <c r="R219" s="3934" t="n"/>
      <c r="S219" s="3934" t="n"/>
      <c r="T219" s="3934" t="n"/>
      <c r="U219" s="3934" t="n"/>
      <c r="V219" s="3934" t="n"/>
      <c r="W219" s="3934" t="n"/>
      <c r="X219" s="3934" t="n"/>
      <c r="Y219" s="3934" t="n"/>
      <c r="Z219" s="3934" t="n"/>
      <c r="AA219" s="3934" t="n"/>
      <c r="AB219" s="3934" t="n"/>
      <c r="AC219" s="3934" t="n"/>
      <c r="AD219" s="3934" t="n"/>
      <c r="AE219" s="3934" t="n"/>
      <c r="AF219" s="3934" t="n"/>
      <c r="AG219" s="3934" t="n"/>
      <c r="AH219" s="3934" t="n"/>
      <c r="AI219" s="3934" t="n"/>
      <c r="AJ219" s="3934" t="n"/>
      <c r="AK219" s="3934" t="n"/>
      <c r="AL219" s="3934" t="n"/>
      <c r="AM219" s="3934" t="n"/>
      <c r="AN219" s="3934" t="n"/>
      <c r="AO219" s="3934" t="n"/>
      <c r="AP219" s="3934" t="n"/>
      <c r="AQ219" s="3934" t="n"/>
      <c r="AR219" s="3934" t="n"/>
    </row>
    <row r="220">
      <c r="A220" s="3941" t="n"/>
      <c r="B220" s="3944" t="n"/>
      <c r="C220" s="3944" t="n"/>
      <c r="D220" s="3944" t="n"/>
      <c r="E220" s="3944" t="n"/>
      <c r="F220" s="3944" t="n"/>
      <c r="G220" s="3944" t="n"/>
      <c r="H220" s="3944" t="n"/>
      <c r="I220" s="3944" t="n"/>
      <c r="J220" s="3944" t="n"/>
      <c r="K220" s="3942">
        <f>IF(A220="","",SUM(E220:J220))</f>
        <v/>
      </c>
      <c r="L220" s="3934" t="n"/>
      <c r="M220" s="3934" t="n"/>
      <c r="N220" s="3934" t="n"/>
      <c r="O220" s="3934" t="n"/>
      <c r="P220" s="3934" t="n"/>
      <c r="Q220" s="3934" t="n"/>
      <c r="R220" s="3934" t="n"/>
      <c r="S220" s="3934" t="n"/>
      <c r="T220" s="3934" t="n"/>
      <c r="U220" s="3934" t="n"/>
      <c r="V220" s="3934" t="n"/>
      <c r="W220" s="3934" t="n"/>
      <c r="X220" s="3934" t="n"/>
      <c r="Y220" s="3934" t="n"/>
      <c r="Z220" s="3934" t="n"/>
      <c r="AA220" s="3934" t="n"/>
      <c r="AB220" s="3934" t="n"/>
      <c r="AC220" s="3934" t="n"/>
      <c r="AD220" s="3934" t="n"/>
      <c r="AE220" s="3934" t="n"/>
      <c r="AF220" s="3934" t="n"/>
      <c r="AG220" s="3934" t="n"/>
      <c r="AH220" s="3934" t="n"/>
      <c r="AI220" s="3934" t="n"/>
      <c r="AJ220" s="3934" t="n"/>
      <c r="AK220" s="3934" t="n"/>
      <c r="AL220" s="3934" t="n"/>
      <c r="AM220" s="3934" t="n"/>
      <c r="AN220" s="3934" t="n"/>
      <c r="AO220" s="3934" t="n"/>
      <c r="AP220" s="3934" t="n"/>
      <c r="AQ220" s="3934" t="n"/>
      <c r="AR220" s="3934" t="n"/>
    </row>
    <row r="221">
      <c r="A221" s="3941" t="n"/>
      <c r="B221" s="3944" t="n"/>
      <c r="C221" s="3944" t="n"/>
      <c r="D221" s="3944" t="n"/>
      <c r="E221" s="3944" t="n"/>
      <c r="F221" s="3944" t="n"/>
      <c r="G221" s="3944" t="n"/>
      <c r="H221" s="3944" t="n"/>
      <c r="I221" s="3944" t="n"/>
      <c r="J221" s="3944" t="n"/>
      <c r="K221" s="3942">
        <f>IF(A221="","",SUM(E221:J221))</f>
        <v/>
      </c>
      <c r="L221" s="3934" t="n"/>
      <c r="M221" s="3934" t="n"/>
      <c r="N221" s="3934" t="n"/>
      <c r="O221" s="3934" t="n"/>
      <c r="P221" s="3934" t="n"/>
      <c r="Q221" s="3934" t="n"/>
      <c r="R221" s="3934" t="n"/>
      <c r="S221" s="3934" t="n"/>
      <c r="T221" s="3934" t="n"/>
      <c r="U221" s="3934" t="n"/>
      <c r="V221" s="3934" t="n"/>
      <c r="W221" s="3934" t="n"/>
      <c r="X221" s="3934" t="n"/>
      <c r="Y221" s="3934" t="n"/>
      <c r="Z221" s="3934" t="n"/>
      <c r="AA221" s="3934" t="n"/>
      <c r="AB221" s="3934" t="n"/>
      <c r="AC221" s="3934" t="n"/>
      <c r="AD221" s="3934" t="n"/>
      <c r="AE221" s="3934" t="n"/>
      <c r="AF221" s="3934" t="n"/>
      <c r="AG221" s="3934" t="n"/>
      <c r="AH221" s="3934" t="n"/>
      <c r="AI221" s="3934" t="n"/>
      <c r="AJ221" s="3934" t="n"/>
      <c r="AK221" s="3934" t="n"/>
      <c r="AL221" s="3934" t="n"/>
      <c r="AM221" s="3934" t="n"/>
      <c r="AN221" s="3934" t="n"/>
      <c r="AO221" s="3934" t="n"/>
      <c r="AP221" s="3934" t="n"/>
      <c r="AQ221" s="3934" t="n"/>
      <c r="AR221" s="3934" t="n"/>
    </row>
    <row r="222">
      <c r="A222" s="3941" t="n"/>
      <c r="B222" s="3944" t="n"/>
      <c r="C222" s="3944" t="n"/>
      <c r="D222" s="3944" t="n"/>
      <c r="E222" s="3944" t="n"/>
      <c r="F222" s="3944" t="n"/>
      <c r="G222" s="3944" t="n"/>
      <c r="H222" s="3944" t="n"/>
      <c r="I222" s="3944" t="n"/>
      <c r="J222" s="3944" t="n"/>
      <c r="K222" s="3942">
        <f>IF(A222="","",SUM(E222:J222))</f>
        <v/>
      </c>
      <c r="L222" s="3934" t="n"/>
      <c r="M222" s="3934" t="n"/>
      <c r="N222" s="3934" t="n"/>
      <c r="O222" s="3934" t="n"/>
      <c r="P222" s="3934" t="n"/>
      <c r="Q222" s="3934" t="n"/>
      <c r="R222" s="3934" t="n"/>
      <c r="S222" s="3934" t="n"/>
      <c r="T222" s="3934" t="n"/>
      <c r="U222" s="3934" t="n"/>
      <c r="V222" s="3934" t="n"/>
      <c r="W222" s="3934" t="n"/>
      <c r="X222" s="3934" t="n"/>
      <c r="Y222" s="3934" t="n"/>
      <c r="Z222" s="3934" t="n"/>
      <c r="AA222" s="3934" t="n"/>
      <c r="AB222" s="3934" t="n"/>
      <c r="AC222" s="3934" t="n"/>
      <c r="AD222" s="3934" t="n"/>
      <c r="AE222" s="3934" t="n"/>
      <c r="AF222" s="3934" t="n"/>
      <c r="AG222" s="3934" t="n"/>
      <c r="AH222" s="3934" t="n"/>
      <c r="AI222" s="3934" t="n"/>
      <c r="AJ222" s="3934" t="n"/>
      <c r="AK222" s="3934" t="n"/>
      <c r="AL222" s="3934" t="n"/>
      <c r="AM222" s="3934" t="n"/>
      <c r="AN222" s="3934" t="n"/>
      <c r="AO222" s="3934" t="n"/>
      <c r="AP222" s="3934" t="n"/>
      <c r="AQ222" s="3934" t="n"/>
      <c r="AR222" s="3934" t="n"/>
    </row>
    <row r="223">
      <c r="A223" s="3941" t="n"/>
      <c r="B223" s="3944" t="n"/>
      <c r="C223" s="3944" t="n"/>
      <c r="D223" s="3944" t="n"/>
      <c r="E223" s="3944" t="n"/>
      <c r="F223" s="3944" t="n"/>
      <c r="G223" s="3944" t="n"/>
      <c r="H223" s="3944" t="n"/>
      <c r="I223" s="3944" t="n"/>
      <c r="J223" s="3944" t="n"/>
      <c r="K223" s="3942">
        <f>IF(A223="","",SUM(E223:J223))</f>
        <v/>
      </c>
      <c r="L223" s="3934" t="n"/>
      <c r="M223" s="3934" t="n"/>
      <c r="N223" s="3934" t="n"/>
      <c r="O223" s="3934" t="n"/>
      <c r="P223" s="3934" t="n"/>
      <c r="Q223" s="3934" t="n"/>
      <c r="R223" s="3934" t="n"/>
      <c r="S223" s="3934" t="n"/>
      <c r="T223" s="3934" t="n"/>
      <c r="U223" s="3934" t="n"/>
      <c r="V223" s="3934" t="n"/>
      <c r="W223" s="3934" t="n"/>
      <c r="X223" s="3934" t="n"/>
      <c r="Y223" s="3934" t="n"/>
      <c r="Z223" s="3934" t="n"/>
      <c r="AA223" s="3934" t="n"/>
      <c r="AB223" s="3934" t="n"/>
      <c r="AC223" s="3934" t="n"/>
      <c r="AD223" s="3934" t="n"/>
      <c r="AE223" s="3934" t="n"/>
      <c r="AF223" s="3934" t="n"/>
      <c r="AG223" s="3934" t="n"/>
      <c r="AH223" s="3934" t="n"/>
      <c r="AI223" s="3934" t="n"/>
      <c r="AJ223" s="3934" t="n"/>
      <c r="AK223" s="3934" t="n"/>
      <c r="AL223" s="3934" t="n"/>
      <c r="AM223" s="3934" t="n"/>
      <c r="AN223" s="3934" t="n"/>
      <c r="AO223" s="3934" t="n"/>
      <c r="AP223" s="3934" t="n"/>
      <c r="AQ223" s="3934" t="n"/>
      <c r="AR223" s="3934" t="n"/>
    </row>
    <row r="224">
      <c r="A224" s="3941" t="n"/>
      <c r="B224" s="3944" t="n"/>
      <c r="C224" s="3944" t="n"/>
      <c r="D224" s="3944" t="n"/>
      <c r="E224" s="3944" t="n"/>
      <c r="F224" s="3944" t="n"/>
      <c r="G224" s="3944" t="n"/>
      <c r="H224" s="3944" t="n"/>
      <c r="I224" s="3944" t="n"/>
      <c r="J224" s="3944" t="n"/>
      <c r="K224" s="3942">
        <f>IF(A224="","",SUM(E224:J224))</f>
        <v/>
      </c>
      <c r="L224" s="3934" t="n"/>
      <c r="M224" s="3934" t="n"/>
      <c r="N224" s="3934" t="n"/>
      <c r="O224" s="3934" t="n"/>
      <c r="P224" s="3934" t="n"/>
      <c r="Q224" s="3934" t="n"/>
      <c r="R224" s="3934" t="n"/>
      <c r="S224" s="3934" t="n"/>
      <c r="T224" s="3934" t="n"/>
      <c r="U224" s="3934" t="n"/>
      <c r="V224" s="3934" t="n"/>
      <c r="W224" s="3934" t="n"/>
      <c r="X224" s="3934" t="n"/>
      <c r="Y224" s="3934" t="n"/>
      <c r="Z224" s="3934" t="n"/>
      <c r="AA224" s="3934" t="n"/>
      <c r="AB224" s="3934" t="n"/>
      <c r="AC224" s="3934" t="n"/>
      <c r="AD224" s="3934" t="n"/>
      <c r="AE224" s="3934" t="n"/>
      <c r="AF224" s="3934" t="n"/>
      <c r="AG224" s="3934" t="n"/>
      <c r="AH224" s="3934" t="n"/>
      <c r="AI224" s="3934" t="n"/>
      <c r="AJ224" s="3934" t="n"/>
      <c r="AK224" s="3934" t="n"/>
      <c r="AL224" s="3934" t="n"/>
      <c r="AM224" s="3934" t="n"/>
      <c r="AN224" s="3934" t="n"/>
      <c r="AO224" s="3934" t="n"/>
      <c r="AP224" s="3934" t="n"/>
      <c r="AQ224" s="3934" t="n"/>
      <c r="AR224" s="3934" t="n"/>
    </row>
    <row r="225">
      <c r="A225" s="3941" t="n"/>
      <c r="B225" s="3944" t="n"/>
      <c r="C225" s="3944" t="n"/>
      <c r="D225" s="3944" t="n"/>
      <c r="E225" s="3944" t="n"/>
      <c r="F225" s="3944" t="n"/>
      <c r="G225" s="3944" t="n"/>
      <c r="H225" s="3944" t="n"/>
      <c r="I225" s="3944" t="n"/>
      <c r="J225" s="3944" t="n"/>
      <c r="K225" s="3942">
        <f>IF(A225="","",SUM(E225:J225))</f>
        <v/>
      </c>
      <c r="L225" s="3934" t="n"/>
      <c r="M225" s="3934" t="n"/>
      <c r="N225" s="3934" t="n"/>
      <c r="O225" s="3934" t="n"/>
      <c r="P225" s="3934" t="n"/>
      <c r="Q225" s="3934" t="n"/>
      <c r="R225" s="3934" t="n"/>
      <c r="S225" s="3934" t="n"/>
      <c r="T225" s="3934" t="n"/>
      <c r="U225" s="3934" t="n"/>
      <c r="V225" s="3934" t="n"/>
      <c r="W225" s="3934" t="n"/>
      <c r="X225" s="3934" t="n"/>
      <c r="Y225" s="3934" t="n"/>
      <c r="Z225" s="3934" t="n"/>
      <c r="AA225" s="3934" t="n"/>
      <c r="AB225" s="3934" t="n"/>
      <c r="AC225" s="3934" t="n"/>
      <c r="AD225" s="3934" t="n"/>
      <c r="AE225" s="3934" t="n"/>
      <c r="AF225" s="3934" t="n"/>
      <c r="AG225" s="3934" t="n"/>
      <c r="AH225" s="3934" t="n"/>
      <c r="AI225" s="3934" t="n"/>
      <c r="AJ225" s="3934" t="n"/>
      <c r="AK225" s="3934" t="n"/>
      <c r="AL225" s="3934" t="n"/>
      <c r="AM225" s="3934" t="n"/>
      <c r="AN225" s="3934" t="n"/>
      <c r="AO225" s="3934" t="n"/>
      <c r="AP225" s="3934" t="n"/>
      <c r="AQ225" s="3934" t="n"/>
      <c r="AR225" s="3934" t="n"/>
    </row>
    <row r="226">
      <c r="A226" s="3941" t="n"/>
      <c r="B226" s="3944" t="n"/>
      <c r="C226" s="3944" t="n"/>
      <c r="D226" s="3944" t="n"/>
      <c r="E226" s="3944" t="n"/>
      <c r="F226" s="3944" t="n"/>
      <c r="G226" s="3944" t="n"/>
      <c r="H226" s="3944" t="n"/>
      <c r="I226" s="3944" t="n"/>
      <c r="J226" s="3944" t="n"/>
      <c r="K226" s="3942">
        <f>IF(A226="","",SUM(E226:J226))</f>
        <v/>
      </c>
      <c r="L226" s="3934" t="n"/>
      <c r="M226" s="3934" t="n"/>
      <c r="N226" s="3934" t="n"/>
      <c r="O226" s="3934" t="n"/>
      <c r="P226" s="3934" t="n"/>
      <c r="Q226" s="3934" t="n"/>
      <c r="R226" s="3934" t="n"/>
      <c r="S226" s="3934" t="n"/>
      <c r="T226" s="3934" t="n"/>
      <c r="U226" s="3934" t="n"/>
      <c r="V226" s="3934" t="n"/>
      <c r="W226" s="3934" t="n"/>
      <c r="X226" s="3934" t="n"/>
      <c r="Y226" s="3934" t="n"/>
      <c r="Z226" s="3934" t="n"/>
      <c r="AA226" s="3934" t="n"/>
      <c r="AB226" s="3934" t="n"/>
      <c r="AC226" s="3934" t="n"/>
      <c r="AD226" s="3934" t="n"/>
      <c r="AE226" s="3934" t="n"/>
      <c r="AF226" s="3934" t="n"/>
      <c r="AG226" s="3934" t="n"/>
      <c r="AH226" s="3934" t="n"/>
      <c r="AI226" s="3934" t="n"/>
      <c r="AJ226" s="3934" t="n"/>
      <c r="AK226" s="3934" t="n"/>
      <c r="AL226" s="3934" t="n"/>
      <c r="AM226" s="3934" t="n"/>
      <c r="AN226" s="3934" t="n"/>
      <c r="AO226" s="3934" t="n"/>
      <c r="AP226" s="3934" t="n"/>
      <c r="AQ226" s="3934" t="n"/>
      <c r="AR226" s="3934" t="n"/>
    </row>
    <row r="227">
      <c r="A227" s="3941" t="n"/>
      <c r="B227" s="3944" t="n"/>
      <c r="C227" s="3944" t="n"/>
      <c r="D227" s="3944" t="n"/>
      <c r="E227" s="3944" t="n"/>
      <c r="F227" s="3944" t="n"/>
      <c r="G227" s="3944" t="n"/>
      <c r="H227" s="3944" t="n"/>
      <c r="I227" s="3944" t="n"/>
      <c r="J227" s="3944" t="n"/>
      <c r="K227" s="3942">
        <f>IF(A227="","",SUM(E227:J227))</f>
        <v/>
      </c>
      <c r="L227" s="3934" t="n"/>
      <c r="M227" s="3934" t="n"/>
      <c r="N227" s="3934" t="n"/>
      <c r="O227" s="3934" t="n"/>
      <c r="P227" s="3934" t="n"/>
      <c r="Q227" s="3934" t="n"/>
      <c r="R227" s="3934" t="n"/>
      <c r="S227" s="3934" t="n"/>
      <c r="T227" s="3934" t="n"/>
      <c r="U227" s="3934" t="n"/>
      <c r="V227" s="3934" t="n"/>
      <c r="W227" s="3934" t="n"/>
      <c r="X227" s="3934" t="n"/>
      <c r="Y227" s="3934" t="n"/>
      <c r="Z227" s="3934" t="n"/>
      <c r="AA227" s="3934" t="n"/>
      <c r="AB227" s="3934" t="n"/>
      <c r="AC227" s="3934" t="n"/>
      <c r="AD227" s="3934" t="n"/>
      <c r="AE227" s="3934" t="n"/>
      <c r="AF227" s="3934" t="n"/>
      <c r="AG227" s="3934" t="n"/>
      <c r="AH227" s="3934" t="n"/>
      <c r="AI227" s="3934" t="n"/>
      <c r="AJ227" s="3934" t="n"/>
      <c r="AK227" s="3934" t="n"/>
      <c r="AL227" s="3934" t="n"/>
      <c r="AM227" s="3934" t="n"/>
      <c r="AN227" s="3934" t="n"/>
      <c r="AO227" s="3934" t="n"/>
      <c r="AP227" s="3934" t="n"/>
      <c r="AQ227" s="3934" t="n"/>
      <c r="AR227" s="3934" t="n"/>
    </row>
    <row r="228">
      <c r="A228" s="3941" t="n"/>
      <c r="B228" s="3944" t="n"/>
      <c r="C228" s="3944" t="n"/>
      <c r="D228" s="3944" t="n"/>
      <c r="E228" s="3944" t="n"/>
      <c r="F228" s="3944" t="n"/>
      <c r="G228" s="3944" t="n"/>
      <c r="H228" s="3944" t="n"/>
      <c r="I228" s="3944" t="n"/>
      <c r="J228" s="3944" t="n"/>
      <c r="K228" s="3942">
        <f>IF(A228="","",SUM(E228:J228))</f>
        <v/>
      </c>
      <c r="L228" s="3934" t="n"/>
      <c r="M228" s="3934" t="n"/>
      <c r="N228" s="3934" t="n"/>
      <c r="O228" s="3934" t="n"/>
      <c r="P228" s="3934" t="n"/>
      <c r="Q228" s="3934" t="n"/>
      <c r="R228" s="3934" t="n"/>
      <c r="S228" s="3934" t="n"/>
      <c r="T228" s="3934" t="n"/>
      <c r="U228" s="3934" t="n"/>
      <c r="V228" s="3934" t="n"/>
      <c r="W228" s="3934" t="n"/>
      <c r="X228" s="3934" t="n"/>
      <c r="Y228" s="3934" t="n"/>
      <c r="Z228" s="3934" t="n"/>
      <c r="AA228" s="3934" t="n"/>
      <c r="AB228" s="3934" t="n"/>
      <c r="AC228" s="3934" t="n"/>
      <c r="AD228" s="3934" t="n"/>
      <c r="AE228" s="3934" t="n"/>
      <c r="AF228" s="3934" t="n"/>
      <c r="AG228" s="3934" t="n"/>
      <c r="AH228" s="3934" t="n"/>
      <c r="AI228" s="3934" t="n"/>
      <c r="AJ228" s="3934" t="n"/>
      <c r="AK228" s="3934" t="n"/>
      <c r="AL228" s="3934" t="n"/>
      <c r="AM228" s="3934" t="n"/>
      <c r="AN228" s="3934" t="n"/>
      <c r="AO228" s="3934" t="n"/>
      <c r="AP228" s="3934" t="n"/>
      <c r="AQ228" s="3934" t="n"/>
      <c r="AR228" s="3934" t="n"/>
    </row>
    <row r="229">
      <c r="A229" s="3941" t="n"/>
      <c r="B229" s="3944" t="n"/>
      <c r="C229" s="3944" t="n"/>
      <c r="D229" s="3944" t="n"/>
      <c r="E229" s="3944" t="n"/>
      <c r="F229" s="3944" t="n"/>
      <c r="G229" s="3944" t="n"/>
      <c r="H229" s="3944" t="n"/>
      <c r="I229" s="3944" t="n"/>
      <c r="J229" s="3944" t="n"/>
      <c r="K229" s="3942">
        <f>IF(A229="","",SUM(E229:J229))</f>
        <v/>
      </c>
      <c r="L229" s="3934" t="n"/>
      <c r="M229" s="3934" t="n"/>
      <c r="N229" s="3934" t="n"/>
      <c r="O229" s="3934" t="n"/>
      <c r="P229" s="3934" t="n"/>
      <c r="Q229" s="3934" t="n"/>
      <c r="R229" s="3934" t="n"/>
      <c r="S229" s="3934" t="n"/>
      <c r="T229" s="3934" t="n"/>
      <c r="U229" s="3934" t="n"/>
      <c r="V229" s="3934" t="n"/>
      <c r="W229" s="3934" t="n"/>
      <c r="X229" s="3934" t="n"/>
      <c r="Y229" s="3934" t="n"/>
      <c r="Z229" s="3934" t="n"/>
      <c r="AA229" s="3934" t="n"/>
      <c r="AB229" s="3934" t="n"/>
      <c r="AC229" s="3934" t="n"/>
      <c r="AD229" s="3934" t="n"/>
      <c r="AE229" s="3934" t="n"/>
      <c r="AF229" s="3934" t="n"/>
      <c r="AG229" s="3934" t="n"/>
      <c r="AH229" s="3934" t="n"/>
      <c r="AI229" s="3934" t="n"/>
      <c r="AJ229" s="3934" t="n"/>
      <c r="AK229" s="3934" t="n"/>
      <c r="AL229" s="3934" t="n"/>
      <c r="AM229" s="3934" t="n"/>
      <c r="AN229" s="3934" t="n"/>
      <c r="AO229" s="3934" t="n"/>
      <c r="AP229" s="3934" t="n"/>
      <c r="AQ229" s="3934" t="n"/>
      <c r="AR229" s="3934" t="n"/>
    </row>
    <row r="230">
      <c r="A230" s="3941" t="n"/>
      <c r="B230" s="3944" t="n"/>
      <c r="C230" s="3944" t="n"/>
      <c r="D230" s="3944" t="n"/>
      <c r="E230" s="3944" t="n"/>
      <c r="F230" s="3944" t="n"/>
      <c r="G230" s="3944" t="n"/>
      <c r="H230" s="3944" t="n"/>
      <c r="I230" s="3944" t="n"/>
      <c r="J230" s="3944" t="n"/>
      <c r="K230" s="3942">
        <f>IF(A230="","",SUM(E230:J230))</f>
        <v/>
      </c>
      <c r="L230" s="3934" t="n"/>
      <c r="M230" s="3934" t="n"/>
      <c r="N230" s="3934" t="n"/>
      <c r="O230" s="3934" t="n"/>
      <c r="P230" s="3934" t="n"/>
      <c r="Q230" s="3934" t="n"/>
      <c r="R230" s="3934" t="n"/>
      <c r="S230" s="3934" t="n"/>
      <c r="T230" s="3934" t="n"/>
      <c r="U230" s="3934" t="n"/>
      <c r="V230" s="3934" t="n"/>
      <c r="W230" s="3934" t="n"/>
      <c r="X230" s="3934" t="n"/>
      <c r="Y230" s="3934" t="n"/>
      <c r="Z230" s="3934" t="n"/>
      <c r="AA230" s="3934" t="n"/>
      <c r="AB230" s="3934" t="n"/>
      <c r="AC230" s="3934" t="n"/>
      <c r="AD230" s="3934" t="n"/>
      <c r="AE230" s="3934" t="n"/>
      <c r="AF230" s="3934" t="n"/>
      <c r="AG230" s="3934" t="n"/>
      <c r="AH230" s="3934" t="n"/>
      <c r="AI230" s="3934" t="n"/>
      <c r="AJ230" s="3934" t="n"/>
      <c r="AK230" s="3934" t="n"/>
      <c r="AL230" s="3934" t="n"/>
      <c r="AM230" s="3934" t="n"/>
      <c r="AN230" s="3934" t="n"/>
      <c r="AO230" s="3934" t="n"/>
      <c r="AP230" s="3934" t="n"/>
      <c r="AQ230" s="3934" t="n"/>
      <c r="AR230" s="3934" t="n"/>
    </row>
    <row r="231">
      <c r="A231" s="3941" t="n"/>
      <c r="B231" s="3944" t="n"/>
      <c r="C231" s="3944" t="n"/>
      <c r="D231" s="3944" t="n"/>
      <c r="E231" s="3944" t="n"/>
      <c r="F231" s="3944" t="n"/>
      <c r="G231" s="3944" t="n"/>
      <c r="H231" s="3944" t="n"/>
      <c r="I231" s="3944" t="n"/>
      <c r="J231" s="3944" t="n"/>
      <c r="K231" s="3942">
        <f>IF(A231="","",SUM(E231:J231))</f>
        <v/>
      </c>
      <c r="L231" s="3934" t="n"/>
      <c r="M231" s="3934" t="n"/>
      <c r="N231" s="3934" t="n"/>
      <c r="O231" s="3934" t="n"/>
      <c r="P231" s="3934" t="n"/>
      <c r="Q231" s="3934" t="n"/>
      <c r="R231" s="3934" t="n"/>
      <c r="S231" s="3934" t="n"/>
      <c r="T231" s="3934" t="n"/>
      <c r="U231" s="3934" t="n"/>
      <c r="V231" s="3934" t="n"/>
      <c r="W231" s="3934" t="n"/>
      <c r="X231" s="3934" t="n"/>
      <c r="Y231" s="3934" t="n"/>
      <c r="Z231" s="3934" t="n"/>
      <c r="AA231" s="3934" t="n"/>
      <c r="AB231" s="3934" t="n"/>
      <c r="AC231" s="3934" t="n"/>
      <c r="AD231" s="3934" t="n"/>
      <c r="AE231" s="3934" t="n"/>
      <c r="AF231" s="3934" t="n"/>
      <c r="AG231" s="3934" t="n"/>
      <c r="AH231" s="3934" t="n"/>
      <c r="AI231" s="3934" t="n"/>
      <c r="AJ231" s="3934" t="n"/>
      <c r="AK231" s="3934" t="n"/>
      <c r="AL231" s="3934" t="n"/>
      <c r="AM231" s="3934" t="n"/>
      <c r="AN231" s="3934" t="n"/>
      <c r="AO231" s="3934" t="n"/>
      <c r="AP231" s="3934" t="n"/>
      <c r="AQ231" s="3934" t="n"/>
      <c r="AR231" s="3934" t="n"/>
    </row>
    <row r="232">
      <c r="A232" s="3941" t="n"/>
      <c r="B232" s="3944" t="n"/>
      <c r="C232" s="3944" t="n"/>
      <c r="D232" s="3944" t="n"/>
      <c r="E232" s="3944" t="n"/>
      <c r="F232" s="3944" t="n"/>
      <c r="G232" s="3944" t="n"/>
      <c r="H232" s="3944" t="n"/>
      <c r="I232" s="3944" t="n"/>
      <c r="J232" s="3944" t="n"/>
      <c r="K232" s="3942">
        <f>IF(A232="","",SUM(E232:J232))</f>
        <v/>
      </c>
      <c r="L232" s="3934" t="n"/>
      <c r="M232" s="3934" t="n"/>
      <c r="N232" s="3934" t="n"/>
      <c r="O232" s="3934" t="n"/>
      <c r="P232" s="3934" t="n"/>
      <c r="Q232" s="3934" t="n"/>
      <c r="R232" s="3934" t="n"/>
      <c r="S232" s="3934" t="n"/>
      <c r="T232" s="3934" t="n"/>
      <c r="U232" s="3934" t="n"/>
      <c r="V232" s="3934" t="n"/>
      <c r="W232" s="3934" t="n"/>
      <c r="X232" s="3934" t="n"/>
      <c r="Y232" s="3934" t="n"/>
      <c r="Z232" s="3934" t="n"/>
      <c r="AA232" s="3934" t="n"/>
      <c r="AB232" s="3934" t="n"/>
      <c r="AC232" s="3934" t="n"/>
      <c r="AD232" s="3934" t="n"/>
      <c r="AE232" s="3934" t="n"/>
      <c r="AF232" s="3934" t="n"/>
      <c r="AG232" s="3934" t="n"/>
      <c r="AH232" s="3934" t="n"/>
      <c r="AI232" s="3934" t="n"/>
      <c r="AJ232" s="3934" t="n"/>
      <c r="AK232" s="3934" t="n"/>
      <c r="AL232" s="3934" t="n"/>
      <c r="AM232" s="3934" t="n"/>
      <c r="AN232" s="3934" t="n"/>
      <c r="AO232" s="3934" t="n"/>
      <c r="AP232" s="3934" t="n"/>
      <c r="AQ232" s="3934" t="n"/>
      <c r="AR232" s="3934" t="n"/>
    </row>
    <row r="233">
      <c r="A233" s="3941" t="n"/>
      <c r="B233" s="3944" t="n"/>
      <c r="C233" s="3944" t="n"/>
      <c r="D233" s="3944" t="n"/>
      <c r="E233" s="3944" t="n"/>
      <c r="F233" s="3944" t="n"/>
      <c r="G233" s="3944" t="n"/>
      <c r="H233" s="3944" t="n"/>
      <c r="I233" s="3944" t="n"/>
      <c r="J233" s="3944" t="n"/>
      <c r="K233" s="3942">
        <f>IF(A233="","",SUM(E233:J233))</f>
        <v/>
      </c>
      <c r="L233" s="3934" t="n"/>
      <c r="M233" s="3934" t="n"/>
      <c r="N233" s="3934" t="n"/>
      <c r="O233" s="3934" t="n"/>
      <c r="P233" s="3934" t="n"/>
      <c r="Q233" s="3934" t="n"/>
      <c r="R233" s="3934" t="n"/>
      <c r="S233" s="3934" t="n"/>
      <c r="T233" s="3934" t="n"/>
      <c r="U233" s="3934" t="n"/>
      <c r="V233" s="3934" t="n"/>
      <c r="W233" s="3934" t="n"/>
      <c r="X233" s="3934" t="n"/>
      <c r="Y233" s="3934" t="n"/>
      <c r="Z233" s="3934" t="n"/>
      <c r="AA233" s="3934" t="n"/>
      <c r="AB233" s="3934" t="n"/>
      <c r="AC233" s="3934" t="n"/>
      <c r="AD233" s="3934" t="n"/>
      <c r="AE233" s="3934" t="n"/>
      <c r="AF233" s="3934" t="n"/>
      <c r="AG233" s="3934" t="n"/>
      <c r="AH233" s="3934" t="n"/>
      <c r="AI233" s="3934" t="n"/>
      <c r="AJ233" s="3934" t="n"/>
      <c r="AK233" s="3934" t="n"/>
      <c r="AL233" s="3934" t="n"/>
      <c r="AM233" s="3934" t="n"/>
      <c r="AN233" s="3934" t="n"/>
      <c r="AO233" s="3934" t="n"/>
      <c r="AP233" s="3934" t="n"/>
      <c r="AQ233" s="3934" t="n"/>
      <c r="AR233" s="3934" t="n"/>
    </row>
    <row r="234">
      <c r="A234" s="3941" t="n"/>
      <c r="B234" s="3944" t="n"/>
      <c r="C234" s="3944" t="n"/>
      <c r="D234" s="3944" t="n"/>
      <c r="E234" s="3944" t="n"/>
      <c r="F234" s="3944" t="n"/>
      <c r="G234" s="3944" t="n"/>
      <c r="H234" s="3944" t="n"/>
      <c r="I234" s="3944" t="n"/>
      <c r="J234" s="3944" t="n"/>
      <c r="K234" s="3942">
        <f>IF(A234="","",SUM(E234:J234))</f>
        <v/>
      </c>
      <c r="L234" s="3934" t="n"/>
      <c r="M234" s="3934" t="n"/>
      <c r="N234" s="3934" t="n"/>
      <c r="O234" s="3934" t="n"/>
      <c r="P234" s="3934" t="n"/>
      <c r="Q234" s="3934" t="n"/>
      <c r="R234" s="3934" t="n"/>
      <c r="S234" s="3934" t="n"/>
      <c r="T234" s="3934" t="n"/>
      <c r="U234" s="3934" t="n"/>
      <c r="V234" s="3934" t="n"/>
      <c r="W234" s="3934" t="n"/>
      <c r="X234" s="3934" t="n"/>
      <c r="Y234" s="3934" t="n"/>
      <c r="Z234" s="3934" t="n"/>
      <c r="AA234" s="3934" t="n"/>
      <c r="AB234" s="3934" t="n"/>
      <c r="AC234" s="3934" t="n"/>
      <c r="AD234" s="3934" t="n"/>
      <c r="AE234" s="3934" t="n"/>
      <c r="AF234" s="3934" t="n"/>
      <c r="AG234" s="3934" t="n"/>
      <c r="AH234" s="3934" t="n"/>
      <c r="AI234" s="3934" t="n"/>
      <c r="AJ234" s="3934" t="n"/>
      <c r="AK234" s="3934" t="n"/>
      <c r="AL234" s="3934" t="n"/>
      <c r="AM234" s="3934" t="n"/>
      <c r="AN234" s="3934" t="n"/>
      <c r="AO234" s="3934" t="n"/>
      <c r="AP234" s="3934" t="n"/>
      <c r="AQ234" s="3934" t="n"/>
      <c r="AR234" s="3934" t="n"/>
    </row>
    <row r="235">
      <c r="A235" s="3941" t="n"/>
      <c r="B235" s="3944" t="n"/>
      <c r="C235" s="3944" t="n"/>
      <c r="D235" s="3944" t="n"/>
      <c r="E235" s="3944" t="n"/>
      <c r="F235" s="3944" t="n"/>
      <c r="G235" s="3944" t="n"/>
      <c r="H235" s="3944" t="n"/>
      <c r="I235" s="3944" t="n"/>
      <c r="J235" s="3944" t="n"/>
      <c r="K235" s="3942">
        <f>IF(A235="","",SUM(E235:J235))</f>
        <v/>
      </c>
      <c r="L235" s="3934" t="n"/>
      <c r="M235" s="3934" t="n"/>
      <c r="N235" s="3934" t="n"/>
      <c r="O235" s="3934" t="n"/>
      <c r="P235" s="3934" t="n"/>
      <c r="Q235" s="3934" t="n"/>
      <c r="R235" s="3934" t="n"/>
      <c r="S235" s="3934" t="n"/>
      <c r="T235" s="3934" t="n"/>
      <c r="U235" s="3934" t="n"/>
      <c r="V235" s="3934" t="n"/>
      <c r="W235" s="3934" t="n"/>
      <c r="X235" s="3934" t="n"/>
      <c r="Y235" s="3934" t="n"/>
      <c r="Z235" s="3934" t="n"/>
      <c r="AA235" s="3934" t="n"/>
      <c r="AB235" s="3934" t="n"/>
      <c r="AC235" s="3934" t="n"/>
      <c r="AD235" s="3934" t="n"/>
      <c r="AE235" s="3934" t="n"/>
      <c r="AF235" s="3934" t="n"/>
      <c r="AG235" s="3934" t="n"/>
      <c r="AH235" s="3934" t="n"/>
      <c r="AI235" s="3934" t="n"/>
      <c r="AJ235" s="3934" t="n"/>
      <c r="AK235" s="3934" t="n"/>
      <c r="AL235" s="3934" t="n"/>
      <c r="AM235" s="3934" t="n"/>
      <c r="AN235" s="3934" t="n"/>
      <c r="AO235" s="3934" t="n"/>
      <c r="AP235" s="3934" t="n"/>
      <c r="AQ235" s="3934" t="n"/>
      <c r="AR235" s="3934" t="n"/>
    </row>
    <row r="236">
      <c r="A236" s="3941" t="n"/>
      <c r="B236" s="3944" t="n"/>
      <c r="C236" s="3944" t="n"/>
      <c r="D236" s="3944" t="n"/>
      <c r="E236" s="3944" t="n"/>
      <c r="F236" s="3944" t="n"/>
      <c r="G236" s="3944" t="n"/>
      <c r="H236" s="3944" t="n"/>
      <c r="I236" s="3944" t="n"/>
      <c r="J236" s="3944" t="n"/>
      <c r="K236" s="3942">
        <f>IF(A236="","",SUM(E236:J236))</f>
        <v/>
      </c>
      <c r="L236" s="3934" t="n"/>
      <c r="M236" s="3934" t="n"/>
      <c r="N236" s="3934" t="n"/>
      <c r="O236" s="3934" t="n"/>
      <c r="P236" s="3934" t="n"/>
      <c r="Q236" s="3934" t="n"/>
      <c r="R236" s="3934" t="n"/>
      <c r="S236" s="3934" t="n"/>
      <c r="T236" s="3934" t="n"/>
      <c r="U236" s="3934" t="n"/>
      <c r="V236" s="3934" t="n"/>
      <c r="W236" s="3934" t="n"/>
      <c r="X236" s="3934" t="n"/>
      <c r="Y236" s="3934" t="n"/>
      <c r="Z236" s="3934" t="n"/>
      <c r="AA236" s="3934" t="n"/>
      <c r="AB236" s="3934" t="n"/>
      <c r="AC236" s="3934" t="n"/>
      <c r="AD236" s="3934" t="n"/>
      <c r="AE236" s="3934" t="n"/>
      <c r="AF236" s="3934" t="n"/>
      <c r="AG236" s="3934" t="n"/>
      <c r="AH236" s="3934" t="n"/>
      <c r="AI236" s="3934" t="n"/>
      <c r="AJ236" s="3934" t="n"/>
      <c r="AK236" s="3934" t="n"/>
      <c r="AL236" s="3934" t="n"/>
      <c r="AM236" s="3934" t="n"/>
      <c r="AN236" s="3934" t="n"/>
      <c r="AO236" s="3934" t="n"/>
      <c r="AP236" s="3934" t="n"/>
      <c r="AQ236" s="3934" t="n"/>
      <c r="AR236" s="3934" t="n"/>
    </row>
    <row r="237">
      <c r="A237" s="3941" t="n"/>
      <c r="B237" s="3944" t="n"/>
      <c r="C237" s="3944" t="n"/>
      <c r="D237" s="3944" t="n"/>
      <c r="E237" s="3944" t="n"/>
      <c r="F237" s="3944" t="n"/>
      <c r="G237" s="3944" t="n"/>
      <c r="H237" s="3944" t="n"/>
      <c r="I237" s="3944" t="n"/>
      <c r="J237" s="3944" t="n"/>
      <c r="K237" s="3942">
        <f>IF(A237="","",SUM(E237:J237))</f>
        <v/>
      </c>
      <c r="L237" s="3934" t="n"/>
      <c r="M237" s="3934" t="n"/>
      <c r="N237" s="3934" t="n"/>
      <c r="O237" s="3934" t="n"/>
      <c r="P237" s="3934" t="n"/>
      <c r="Q237" s="3934" t="n"/>
      <c r="R237" s="3934" t="n"/>
      <c r="S237" s="3934" t="n"/>
      <c r="T237" s="3934" t="n"/>
      <c r="U237" s="3934" t="n"/>
      <c r="V237" s="3934" t="n"/>
      <c r="W237" s="3934" t="n"/>
      <c r="X237" s="3934" t="n"/>
      <c r="Y237" s="3934" t="n"/>
      <c r="Z237" s="3934" t="n"/>
      <c r="AA237" s="3934" t="n"/>
      <c r="AB237" s="3934" t="n"/>
      <c r="AC237" s="3934" t="n"/>
      <c r="AD237" s="3934" t="n"/>
      <c r="AE237" s="3934" t="n"/>
      <c r="AF237" s="3934" t="n"/>
      <c r="AG237" s="3934" t="n"/>
      <c r="AH237" s="3934" t="n"/>
      <c r="AI237" s="3934" t="n"/>
      <c r="AJ237" s="3934" t="n"/>
      <c r="AK237" s="3934" t="n"/>
      <c r="AL237" s="3934" t="n"/>
      <c r="AM237" s="3934" t="n"/>
      <c r="AN237" s="3934" t="n"/>
      <c r="AO237" s="3934" t="n"/>
      <c r="AP237" s="3934" t="n"/>
      <c r="AQ237" s="3934" t="n"/>
      <c r="AR237" s="3934" t="n"/>
    </row>
    <row r="238">
      <c r="A238" s="3941" t="n"/>
      <c r="B238" s="3944" t="n"/>
      <c r="C238" s="3944" t="n"/>
      <c r="D238" s="3944" t="n"/>
      <c r="E238" s="3944" t="n"/>
      <c r="F238" s="3944" t="n"/>
      <c r="G238" s="3944" t="n"/>
      <c r="H238" s="3944" t="n"/>
      <c r="I238" s="3944" t="n"/>
      <c r="J238" s="3944" t="n"/>
      <c r="K238" s="3942">
        <f>IF(A238="","",SUM(E238:J238))</f>
        <v/>
      </c>
      <c r="L238" s="3934" t="n"/>
      <c r="M238" s="3934" t="n"/>
      <c r="N238" s="3934" t="n"/>
      <c r="O238" s="3934" t="n"/>
      <c r="P238" s="3934" t="n"/>
      <c r="Q238" s="3934" t="n"/>
      <c r="R238" s="3934" t="n"/>
      <c r="S238" s="3934" t="n"/>
      <c r="T238" s="3934" t="n"/>
      <c r="U238" s="3934" t="n"/>
      <c r="V238" s="3934" t="n"/>
      <c r="W238" s="3934" t="n"/>
      <c r="X238" s="3934" t="n"/>
      <c r="Y238" s="3934" t="n"/>
      <c r="Z238" s="3934" t="n"/>
      <c r="AA238" s="3934" t="n"/>
      <c r="AB238" s="3934" t="n"/>
      <c r="AC238" s="3934" t="n"/>
      <c r="AD238" s="3934" t="n"/>
      <c r="AE238" s="3934" t="n"/>
      <c r="AF238" s="3934" t="n"/>
      <c r="AG238" s="3934" t="n"/>
      <c r="AH238" s="3934" t="n"/>
      <c r="AI238" s="3934" t="n"/>
      <c r="AJ238" s="3934" t="n"/>
      <c r="AK238" s="3934" t="n"/>
      <c r="AL238" s="3934" t="n"/>
      <c r="AM238" s="3934" t="n"/>
      <c r="AN238" s="3934" t="n"/>
      <c r="AO238" s="3934" t="n"/>
      <c r="AP238" s="3934" t="n"/>
      <c r="AQ238" s="3934" t="n"/>
      <c r="AR238" s="3934" t="n"/>
    </row>
    <row r="239">
      <c r="A239" s="3941" t="n"/>
      <c r="B239" s="3944" t="n"/>
      <c r="C239" s="3944" t="n"/>
      <c r="D239" s="3944" t="n"/>
      <c r="E239" s="3944" t="n"/>
      <c r="F239" s="3944" t="n"/>
      <c r="G239" s="3944" t="n"/>
      <c r="H239" s="3944" t="n"/>
      <c r="I239" s="3944" t="n"/>
      <c r="J239" s="3944" t="n"/>
      <c r="K239" s="3942">
        <f>IF(A239="","",SUM(E239:J239))</f>
        <v/>
      </c>
      <c r="L239" s="3934" t="n"/>
      <c r="M239" s="3934" t="n"/>
      <c r="N239" s="3934" t="n"/>
      <c r="O239" s="3934" t="n"/>
      <c r="P239" s="3934" t="n"/>
      <c r="Q239" s="3934" t="n"/>
      <c r="R239" s="3934" t="n"/>
      <c r="S239" s="3934" t="n"/>
      <c r="T239" s="3934" t="n"/>
      <c r="U239" s="3934" t="n"/>
      <c r="V239" s="3934" t="n"/>
      <c r="W239" s="3934" t="n"/>
      <c r="X239" s="3934" t="n"/>
      <c r="Y239" s="3934" t="n"/>
      <c r="Z239" s="3934" t="n"/>
      <c r="AA239" s="3934" t="n"/>
      <c r="AB239" s="3934" t="n"/>
      <c r="AC239" s="3934" t="n"/>
      <c r="AD239" s="3934" t="n"/>
      <c r="AE239" s="3934" t="n"/>
      <c r="AF239" s="3934" t="n"/>
      <c r="AG239" s="3934" t="n"/>
      <c r="AH239" s="3934" t="n"/>
      <c r="AI239" s="3934" t="n"/>
      <c r="AJ239" s="3934" t="n"/>
      <c r="AK239" s="3934" t="n"/>
      <c r="AL239" s="3934" t="n"/>
      <c r="AM239" s="3934" t="n"/>
      <c r="AN239" s="3934" t="n"/>
      <c r="AO239" s="3934" t="n"/>
      <c r="AP239" s="3934" t="n"/>
      <c r="AQ239" s="3934" t="n"/>
      <c r="AR239" s="3934" t="n"/>
    </row>
    <row r="240">
      <c r="A240" s="3941" t="n"/>
      <c r="B240" s="3944" t="n"/>
      <c r="C240" s="3944" t="n"/>
      <c r="D240" s="3944" t="n"/>
      <c r="E240" s="3944" t="n"/>
      <c r="F240" s="3944" t="n"/>
      <c r="G240" s="3944" t="n"/>
      <c r="H240" s="3944" t="n"/>
      <c r="I240" s="3944" t="n"/>
      <c r="J240" s="3944" t="n"/>
      <c r="K240" s="3942">
        <f>IF(A240="","",SUM(E240:J240))</f>
        <v/>
      </c>
      <c r="L240" s="3934" t="n"/>
      <c r="M240" s="3934" t="n"/>
      <c r="N240" s="3934" t="n"/>
      <c r="O240" s="3934" t="n"/>
      <c r="P240" s="3934" t="n"/>
      <c r="Q240" s="3934" t="n"/>
      <c r="R240" s="3934" t="n"/>
      <c r="S240" s="3934" t="n"/>
      <c r="T240" s="3934" t="n"/>
      <c r="U240" s="3934" t="n"/>
      <c r="V240" s="3934" t="n"/>
      <c r="W240" s="3934" t="n"/>
      <c r="X240" s="3934" t="n"/>
      <c r="Y240" s="3934" t="n"/>
      <c r="Z240" s="3934" t="n"/>
      <c r="AA240" s="3934" t="n"/>
      <c r="AB240" s="3934" t="n"/>
      <c r="AC240" s="3934" t="n"/>
      <c r="AD240" s="3934" t="n"/>
      <c r="AE240" s="3934" t="n"/>
      <c r="AF240" s="3934" t="n"/>
      <c r="AG240" s="3934" t="n"/>
      <c r="AH240" s="3934" t="n"/>
      <c r="AI240" s="3934" t="n"/>
      <c r="AJ240" s="3934" t="n"/>
      <c r="AK240" s="3934" t="n"/>
      <c r="AL240" s="3934" t="n"/>
      <c r="AM240" s="3934" t="n"/>
      <c r="AN240" s="3934" t="n"/>
      <c r="AO240" s="3934" t="n"/>
      <c r="AP240" s="3934" t="n"/>
      <c r="AQ240" s="3934" t="n"/>
      <c r="AR240" s="3934" t="n"/>
    </row>
    <row r="241">
      <c r="A241" s="3941" t="n"/>
      <c r="B241" s="3944" t="n"/>
      <c r="C241" s="3944" t="n"/>
      <c r="D241" s="3944" t="n"/>
      <c r="E241" s="3944" t="n"/>
      <c r="F241" s="3944" t="n"/>
      <c r="G241" s="3944" t="n"/>
      <c r="H241" s="3944" t="n"/>
      <c r="I241" s="3944" t="n"/>
      <c r="J241" s="3944" t="n"/>
      <c r="K241" s="3942">
        <f>IF(A241="","",SUM(E241:J241))</f>
        <v/>
      </c>
      <c r="L241" s="3934" t="n"/>
      <c r="M241" s="3934" t="n"/>
      <c r="N241" s="3934" t="n"/>
      <c r="O241" s="3934" t="n"/>
      <c r="P241" s="3934" t="n"/>
      <c r="Q241" s="3934" t="n"/>
      <c r="R241" s="3934" t="n"/>
      <c r="S241" s="3934" t="n"/>
      <c r="T241" s="3934" t="n"/>
      <c r="U241" s="3934" t="n"/>
      <c r="V241" s="3934" t="n"/>
      <c r="W241" s="3934" t="n"/>
      <c r="X241" s="3934" t="n"/>
      <c r="Y241" s="3934" t="n"/>
      <c r="Z241" s="3934" t="n"/>
      <c r="AA241" s="3934" t="n"/>
      <c r="AB241" s="3934" t="n"/>
      <c r="AC241" s="3934" t="n"/>
      <c r="AD241" s="3934" t="n"/>
      <c r="AE241" s="3934" t="n"/>
      <c r="AF241" s="3934" t="n"/>
      <c r="AG241" s="3934" t="n"/>
      <c r="AH241" s="3934" t="n"/>
      <c r="AI241" s="3934" t="n"/>
      <c r="AJ241" s="3934" t="n"/>
      <c r="AK241" s="3934" t="n"/>
      <c r="AL241" s="3934" t="n"/>
      <c r="AM241" s="3934" t="n"/>
      <c r="AN241" s="3934" t="n"/>
      <c r="AO241" s="3934" t="n"/>
      <c r="AP241" s="3934" t="n"/>
      <c r="AQ241" s="3934" t="n"/>
      <c r="AR241" s="3934" t="n"/>
    </row>
    <row r="242">
      <c r="A242" s="3941" t="n"/>
      <c r="B242" s="3944" t="n"/>
      <c r="C242" s="3944" t="n"/>
      <c r="D242" s="3944" t="n"/>
      <c r="E242" s="3944" t="n"/>
      <c r="F242" s="3944" t="n"/>
      <c r="G242" s="3944" t="n"/>
      <c r="H242" s="3944" t="n"/>
      <c r="I242" s="3944" t="n"/>
      <c r="J242" s="3944" t="n"/>
      <c r="K242" s="3942">
        <f>IF(A242="","",SUM(E242:J242))</f>
        <v/>
      </c>
      <c r="L242" s="3934" t="n"/>
      <c r="M242" s="3934" t="n"/>
      <c r="N242" s="3934" t="n"/>
      <c r="O242" s="3934" t="n"/>
      <c r="P242" s="3934" t="n"/>
      <c r="Q242" s="3934" t="n"/>
      <c r="R242" s="3934" t="n"/>
      <c r="S242" s="3934" t="n"/>
      <c r="T242" s="3934" t="n"/>
      <c r="U242" s="3934" t="n"/>
      <c r="V242" s="3934" t="n"/>
      <c r="W242" s="3934" t="n"/>
      <c r="X242" s="3934" t="n"/>
      <c r="Y242" s="3934" t="n"/>
      <c r="Z242" s="3934" t="n"/>
      <c r="AA242" s="3934" t="n"/>
      <c r="AB242" s="3934" t="n"/>
      <c r="AC242" s="3934" t="n"/>
      <c r="AD242" s="3934" t="n"/>
      <c r="AE242" s="3934" t="n"/>
      <c r="AF242" s="3934" t="n"/>
      <c r="AG242" s="3934" t="n"/>
      <c r="AH242" s="3934" t="n"/>
      <c r="AI242" s="3934" t="n"/>
      <c r="AJ242" s="3934" t="n"/>
      <c r="AK242" s="3934" t="n"/>
      <c r="AL242" s="3934" t="n"/>
      <c r="AM242" s="3934" t="n"/>
      <c r="AN242" s="3934" t="n"/>
      <c r="AO242" s="3934" t="n"/>
      <c r="AP242" s="3934" t="n"/>
      <c r="AQ242" s="3934" t="n"/>
      <c r="AR242" s="3934" t="n"/>
    </row>
    <row r="243">
      <c r="A243" s="3941" t="n"/>
      <c r="B243" s="3944" t="n"/>
      <c r="C243" s="3944" t="n"/>
      <c r="D243" s="3944" t="n"/>
      <c r="E243" s="3944" t="n"/>
      <c r="F243" s="3944" t="n"/>
      <c r="G243" s="3944" t="n"/>
      <c r="H243" s="3944" t="n"/>
      <c r="I243" s="3944" t="n"/>
      <c r="J243" s="3944" t="n"/>
      <c r="K243" s="3942">
        <f>IF(A243="","",SUM(E243:J243))</f>
        <v/>
      </c>
      <c r="L243" s="3934" t="n"/>
      <c r="M243" s="3934" t="n"/>
      <c r="N243" s="3934" t="n"/>
      <c r="O243" s="3934" t="n"/>
      <c r="P243" s="3934" t="n"/>
      <c r="Q243" s="3934" t="n"/>
      <c r="R243" s="3934" t="n"/>
      <c r="S243" s="3934" t="n"/>
      <c r="T243" s="3934" t="n"/>
      <c r="U243" s="3934" t="n"/>
      <c r="V243" s="3934" t="n"/>
      <c r="W243" s="3934" t="n"/>
      <c r="X243" s="3934" t="n"/>
      <c r="Y243" s="3934" t="n"/>
      <c r="Z243" s="3934" t="n"/>
      <c r="AA243" s="3934" t="n"/>
      <c r="AB243" s="3934" t="n"/>
      <c r="AC243" s="3934" t="n"/>
      <c r="AD243" s="3934" t="n"/>
      <c r="AE243" s="3934" t="n"/>
      <c r="AF243" s="3934" t="n"/>
      <c r="AG243" s="3934" t="n"/>
      <c r="AH243" s="3934" t="n"/>
      <c r="AI243" s="3934" t="n"/>
      <c r="AJ243" s="3934" t="n"/>
      <c r="AK243" s="3934" t="n"/>
      <c r="AL243" s="3934" t="n"/>
      <c r="AM243" s="3934" t="n"/>
      <c r="AN243" s="3934" t="n"/>
      <c r="AO243" s="3934" t="n"/>
      <c r="AP243" s="3934" t="n"/>
      <c r="AQ243" s="3934" t="n"/>
      <c r="AR243" s="3934" t="n"/>
    </row>
    <row r="244">
      <c r="A244" s="3941" t="n"/>
      <c r="B244" s="3944" t="n"/>
      <c r="C244" s="3944" t="n"/>
      <c r="D244" s="3944" t="n"/>
      <c r="E244" s="3944" t="n"/>
      <c r="F244" s="3944" t="n"/>
      <c r="G244" s="3944" t="n"/>
      <c r="H244" s="3944" t="n"/>
      <c r="I244" s="3944" t="n"/>
      <c r="J244" s="3944" t="n"/>
      <c r="K244" s="3942">
        <f>IF(A244="","",SUM(E244:J244))</f>
        <v/>
      </c>
      <c r="L244" s="3934" t="n"/>
      <c r="M244" s="3934" t="n"/>
      <c r="N244" s="3934" t="n"/>
      <c r="O244" s="3934" t="n"/>
      <c r="P244" s="3934" t="n"/>
      <c r="Q244" s="3934" t="n"/>
      <c r="R244" s="3934" t="n"/>
      <c r="S244" s="3934" t="n"/>
      <c r="T244" s="3934" t="n"/>
      <c r="U244" s="3934" t="n"/>
      <c r="V244" s="3934" t="n"/>
      <c r="W244" s="3934" t="n"/>
      <c r="X244" s="3934" t="n"/>
      <c r="Y244" s="3934" t="n"/>
      <c r="Z244" s="3934" t="n"/>
      <c r="AA244" s="3934" t="n"/>
      <c r="AB244" s="3934" t="n"/>
      <c r="AC244" s="3934" t="n"/>
      <c r="AD244" s="3934" t="n"/>
      <c r="AE244" s="3934" t="n"/>
      <c r="AF244" s="3934" t="n"/>
      <c r="AG244" s="3934" t="n"/>
      <c r="AH244" s="3934" t="n"/>
      <c r="AI244" s="3934" t="n"/>
      <c r="AJ244" s="3934" t="n"/>
      <c r="AK244" s="3934" t="n"/>
      <c r="AL244" s="3934" t="n"/>
      <c r="AM244" s="3934" t="n"/>
      <c r="AN244" s="3934" t="n"/>
      <c r="AO244" s="3934" t="n"/>
      <c r="AP244" s="3934" t="n"/>
      <c r="AQ244" s="3934" t="n"/>
      <c r="AR244" s="3934" t="n"/>
    </row>
    <row r="245">
      <c r="A245" s="3941" t="n"/>
      <c r="B245" s="3944" t="n"/>
      <c r="C245" s="3944" t="n"/>
      <c r="D245" s="3944" t="n"/>
      <c r="E245" s="3944" t="n"/>
      <c r="F245" s="3944" t="n"/>
      <c r="G245" s="3944" t="n"/>
      <c r="H245" s="3944" t="n"/>
      <c r="I245" s="3944" t="n"/>
      <c r="J245" s="3944" t="n"/>
      <c r="K245" s="3942">
        <f>IF(A245="","",SUM(E245:J245))</f>
        <v/>
      </c>
      <c r="L245" s="3934" t="n"/>
      <c r="M245" s="3934" t="n"/>
      <c r="N245" s="3934" t="n"/>
      <c r="O245" s="3934" t="n"/>
      <c r="P245" s="3934" t="n"/>
      <c r="Q245" s="3934" t="n"/>
      <c r="R245" s="3934" t="n"/>
      <c r="S245" s="3934" t="n"/>
      <c r="T245" s="3934" t="n"/>
      <c r="U245" s="3934" t="n"/>
      <c r="V245" s="3934" t="n"/>
      <c r="W245" s="3934" t="n"/>
      <c r="X245" s="3934" t="n"/>
      <c r="Y245" s="3934" t="n"/>
      <c r="Z245" s="3934" t="n"/>
      <c r="AA245" s="3934" t="n"/>
      <c r="AB245" s="3934" t="n"/>
      <c r="AC245" s="3934" t="n"/>
      <c r="AD245" s="3934" t="n"/>
      <c r="AE245" s="3934" t="n"/>
      <c r="AF245" s="3934" t="n"/>
      <c r="AG245" s="3934" t="n"/>
      <c r="AH245" s="3934" t="n"/>
      <c r="AI245" s="3934" t="n"/>
      <c r="AJ245" s="3934" t="n"/>
      <c r="AK245" s="3934" t="n"/>
      <c r="AL245" s="3934" t="n"/>
      <c r="AM245" s="3934" t="n"/>
      <c r="AN245" s="3934" t="n"/>
      <c r="AO245" s="3934" t="n"/>
      <c r="AP245" s="3934" t="n"/>
      <c r="AQ245" s="3934" t="n"/>
      <c r="AR245" s="3934" t="n"/>
    </row>
    <row r="246">
      <c r="A246" s="3941" t="n"/>
      <c r="B246" s="3944" t="n"/>
      <c r="C246" s="3944" t="n"/>
      <c r="D246" s="3944" t="n"/>
      <c r="E246" s="3944" t="n"/>
      <c r="F246" s="3944" t="n"/>
      <c r="G246" s="3944" t="n"/>
      <c r="H246" s="3944" t="n"/>
      <c r="I246" s="3944" t="n"/>
      <c r="J246" s="3944" t="n"/>
      <c r="K246" s="3942">
        <f>IF(A246="","",SUM(E246:J246))</f>
        <v/>
      </c>
      <c r="L246" s="3934" t="n"/>
      <c r="M246" s="3934" t="n"/>
      <c r="N246" s="3934" t="n"/>
      <c r="O246" s="3934" t="n"/>
      <c r="P246" s="3934" t="n"/>
      <c r="Q246" s="3934" t="n"/>
      <c r="R246" s="3934" t="n"/>
      <c r="S246" s="3934" t="n"/>
      <c r="T246" s="3934" t="n"/>
      <c r="U246" s="3934" t="n"/>
      <c r="V246" s="3934" t="n"/>
      <c r="W246" s="3934" t="n"/>
      <c r="X246" s="3934" t="n"/>
      <c r="Y246" s="3934" t="n"/>
      <c r="Z246" s="3934" t="n"/>
      <c r="AA246" s="3934" t="n"/>
      <c r="AB246" s="3934" t="n"/>
      <c r="AC246" s="3934" t="n"/>
      <c r="AD246" s="3934" t="n"/>
      <c r="AE246" s="3934" t="n"/>
      <c r="AF246" s="3934" t="n"/>
      <c r="AG246" s="3934" t="n"/>
      <c r="AH246" s="3934" t="n"/>
      <c r="AI246" s="3934" t="n"/>
      <c r="AJ246" s="3934" t="n"/>
      <c r="AK246" s="3934" t="n"/>
      <c r="AL246" s="3934" t="n"/>
      <c r="AM246" s="3934" t="n"/>
      <c r="AN246" s="3934" t="n"/>
      <c r="AO246" s="3934" t="n"/>
      <c r="AP246" s="3934" t="n"/>
      <c r="AQ246" s="3934" t="n"/>
      <c r="AR246" s="3934" t="n"/>
    </row>
    <row r="247">
      <c r="A247" s="3941" t="n"/>
      <c r="B247" s="3944" t="n"/>
      <c r="C247" s="3944" t="n"/>
      <c r="D247" s="3944" t="n"/>
      <c r="E247" s="3944" t="n"/>
      <c r="F247" s="3944" t="n"/>
      <c r="G247" s="3944" t="n"/>
      <c r="H247" s="3944" t="n"/>
      <c r="I247" s="3944" t="n"/>
      <c r="J247" s="3944" t="n"/>
      <c r="K247" s="3942">
        <f>IF(A247="","",SUM(E247:J247))</f>
        <v/>
      </c>
      <c r="L247" s="3934" t="n"/>
      <c r="M247" s="3934" t="n"/>
      <c r="N247" s="3934" t="n"/>
      <c r="O247" s="3934" t="n"/>
      <c r="P247" s="3934" t="n"/>
      <c r="Q247" s="3934" t="n"/>
      <c r="R247" s="3934" t="n"/>
      <c r="S247" s="3934" t="n"/>
      <c r="T247" s="3934" t="n"/>
      <c r="U247" s="3934" t="n"/>
      <c r="V247" s="3934" t="n"/>
      <c r="W247" s="3934" t="n"/>
      <c r="X247" s="3934" t="n"/>
      <c r="Y247" s="3934" t="n"/>
      <c r="Z247" s="3934" t="n"/>
      <c r="AA247" s="3934" t="n"/>
      <c r="AB247" s="3934" t="n"/>
      <c r="AC247" s="3934" t="n"/>
      <c r="AD247" s="3934" t="n"/>
      <c r="AE247" s="3934" t="n"/>
      <c r="AF247" s="3934" t="n"/>
      <c r="AG247" s="3934" t="n"/>
      <c r="AH247" s="3934" t="n"/>
      <c r="AI247" s="3934" t="n"/>
      <c r="AJ247" s="3934" t="n"/>
      <c r="AK247" s="3934" t="n"/>
      <c r="AL247" s="3934" t="n"/>
      <c r="AM247" s="3934" t="n"/>
      <c r="AN247" s="3934" t="n"/>
      <c r="AO247" s="3934" t="n"/>
      <c r="AP247" s="3934" t="n"/>
      <c r="AQ247" s="3934" t="n"/>
      <c r="AR247" s="3934" t="n"/>
    </row>
    <row r="248">
      <c r="A248" s="3941" t="n"/>
      <c r="B248" s="3944" t="n"/>
      <c r="C248" s="3944" t="n"/>
      <c r="D248" s="3944" t="n"/>
      <c r="E248" s="3944" t="n"/>
      <c r="F248" s="3944" t="n"/>
      <c r="G248" s="3944" t="n"/>
      <c r="H248" s="3944" t="n"/>
      <c r="I248" s="3944" t="n"/>
      <c r="J248" s="3944" t="n"/>
      <c r="K248" s="3942">
        <f>IF(A248="","",SUM(E248:J248))</f>
        <v/>
      </c>
      <c r="L248" s="3934" t="n"/>
      <c r="M248" s="3934" t="n"/>
      <c r="N248" s="3934" t="n"/>
      <c r="O248" s="3934" t="n"/>
      <c r="P248" s="3934" t="n"/>
      <c r="Q248" s="3934" t="n"/>
      <c r="R248" s="3934" t="n"/>
      <c r="S248" s="3934" t="n"/>
      <c r="T248" s="3934" t="n"/>
      <c r="U248" s="3934" t="n"/>
      <c r="V248" s="3934" t="n"/>
      <c r="W248" s="3934" t="n"/>
      <c r="X248" s="3934" t="n"/>
      <c r="Y248" s="3934" t="n"/>
      <c r="Z248" s="3934" t="n"/>
      <c r="AA248" s="3934" t="n"/>
      <c r="AB248" s="3934" t="n"/>
      <c r="AC248" s="3934" t="n"/>
      <c r="AD248" s="3934" t="n"/>
      <c r="AE248" s="3934" t="n"/>
      <c r="AF248" s="3934" t="n"/>
      <c r="AG248" s="3934" t="n"/>
      <c r="AH248" s="3934" t="n"/>
      <c r="AI248" s="3934" t="n"/>
      <c r="AJ248" s="3934" t="n"/>
      <c r="AK248" s="3934" t="n"/>
      <c r="AL248" s="3934" t="n"/>
      <c r="AM248" s="3934" t="n"/>
      <c r="AN248" s="3934" t="n"/>
      <c r="AO248" s="3934" t="n"/>
      <c r="AP248" s="3934" t="n"/>
      <c r="AQ248" s="3934" t="n"/>
      <c r="AR248" s="3934" t="n"/>
    </row>
    <row r="249">
      <c r="A249" s="3941" t="n"/>
      <c r="B249" s="3944" t="n"/>
      <c r="C249" s="3944" t="n"/>
      <c r="D249" s="3944" t="n"/>
      <c r="E249" s="3944" t="n"/>
      <c r="F249" s="3944" t="n"/>
      <c r="G249" s="3944" t="n"/>
      <c r="H249" s="3944" t="n"/>
      <c r="I249" s="3944" t="n"/>
      <c r="J249" s="3944" t="n"/>
      <c r="K249" s="3942">
        <f>IF(A249="","",SUM(E249:J249))</f>
        <v/>
      </c>
      <c r="L249" s="3934" t="n"/>
      <c r="M249" s="3934" t="n"/>
      <c r="N249" s="3934" t="n"/>
      <c r="O249" s="3934" t="n"/>
      <c r="P249" s="3934" t="n"/>
      <c r="Q249" s="3934" t="n"/>
      <c r="R249" s="3934" t="n"/>
      <c r="S249" s="3934" t="n"/>
      <c r="T249" s="3934" t="n"/>
      <c r="U249" s="3934" t="n"/>
      <c r="V249" s="3934" t="n"/>
      <c r="W249" s="3934" t="n"/>
      <c r="X249" s="3934" t="n"/>
      <c r="Y249" s="3934" t="n"/>
      <c r="Z249" s="3934" t="n"/>
      <c r="AA249" s="3934" t="n"/>
      <c r="AB249" s="3934" t="n"/>
      <c r="AC249" s="3934" t="n"/>
      <c r="AD249" s="3934" t="n"/>
      <c r="AE249" s="3934" t="n"/>
      <c r="AF249" s="3934" t="n"/>
      <c r="AG249" s="3934" t="n"/>
      <c r="AH249" s="3934" t="n"/>
      <c r="AI249" s="3934" t="n"/>
      <c r="AJ249" s="3934" t="n"/>
      <c r="AK249" s="3934" t="n"/>
      <c r="AL249" s="3934" t="n"/>
      <c r="AM249" s="3934" t="n"/>
      <c r="AN249" s="3934" t="n"/>
      <c r="AO249" s="3934" t="n"/>
      <c r="AP249" s="3934" t="n"/>
      <c r="AQ249" s="3934" t="n"/>
      <c r="AR249" s="3934" t="n"/>
    </row>
    <row r="250">
      <c r="A250" s="3941" t="n"/>
      <c r="B250" s="3944" t="n"/>
      <c r="C250" s="3944" t="n"/>
      <c r="D250" s="3944" t="n"/>
      <c r="E250" s="3944" t="n"/>
      <c r="F250" s="3944" t="n"/>
      <c r="G250" s="3944" t="n"/>
      <c r="H250" s="3944" t="n"/>
      <c r="I250" s="3944" t="n"/>
      <c r="J250" s="3944" t="n"/>
      <c r="K250" s="3942">
        <f>IF(A250="","",SUM(E250:J250))</f>
        <v/>
      </c>
      <c r="L250" s="3934" t="n"/>
      <c r="M250" s="3934" t="n"/>
      <c r="N250" s="3934" t="n"/>
      <c r="O250" s="3934" t="n"/>
      <c r="P250" s="3934" t="n"/>
      <c r="Q250" s="3934" t="n"/>
      <c r="R250" s="3934" t="n"/>
      <c r="S250" s="3934" t="n"/>
      <c r="T250" s="3934" t="n"/>
      <c r="U250" s="3934" t="n"/>
      <c r="V250" s="3934" t="n"/>
      <c r="W250" s="3934" t="n"/>
      <c r="X250" s="3934" t="n"/>
      <c r="Y250" s="3934" t="n"/>
      <c r="Z250" s="3934" t="n"/>
      <c r="AA250" s="3934" t="n"/>
      <c r="AB250" s="3934" t="n"/>
      <c r="AC250" s="3934" t="n"/>
      <c r="AD250" s="3934" t="n"/>
      <c r="AE250" s="3934" t="n"/>
      <c r="AF250" s="3934" t="n"/>
      <c r="AG250" s="3934" t="n"/>
      <c r="AH250" s="3934" t="n"/>
      <c r="AI250" s="3934" t="n"/>
      <c r="AJ250" s="3934" t="n"/>
      <c r="AK250" s="3934" t="n"/>
      <c r="AL250" s="3934" t="n"/>
      <c r="AM250" s="3934" t="n"/>
      <c r="AN250" s="3934" t="n"/>
      <c r="AO250" s="3934" t="n"/>
      <c r="AP250" s="3934" t="n"/>
      <c r="AQ250" s="3934" t="n"/>
      <c r="AR250" s="3934" t="n"/>
    </row>
    <row r="251">
      <c r="A251" s="3941" t="n"/>
      <c r="B251" s="3944" t="n"/>
      <c r="C251" s="3944" t="n"/>
      <c r="D251" s="3944" t="n"/>
      <c r="E251" s="3944" t="n"/>
      <c r="F251" s="3944" t="n"/>
      <c r="G251" s="3944" t="n"/>
      <c r="H251" s="3944" t="n"/>
      <c r="I251" s="3944" t="n"/>
      <c r="J251" s="3944" t="n"/>
      <c r="K251" s="3942">
        <f>IF(A251="","",SUM(E251:J251))</f>
        <v/>
      </c>
      <c r="L251" s="3934" t="n"/>
      <c r="M251" s="3934" t="n"/>
      <c r="N251" s="3934" t="n"/>
      <c r="O251" s="3934" t="n"/>
      <c r="P251" s="3934" t="n"/>
      <c r="Q251" s="3934" t="n"/>
      <c r="R251" s="3934" t="n"/>
      <c r="S251" s="3934" t="n"/>
      <c r="T251" s="3934" t="n"/>
      <c r="U251" s="3934" t="n"/>
      <c r="V251" s="3934" t="n"/>
      <c r="W251" s="3934" t="n"/>
      <c r="X251" s="3934" t="n"/>
      <c r="Y251" s="3934" t="n"/>
      <c r="Z251" s="3934" t="n"/>
      <c r="AA251" s="3934" t="n"/>
      <c r="AB251" s="3934" t="n"/>
      <c r="AC251" s="3934" t="n"/>
      <c r="AD251" s="3934" t="n"/>
      <c r="AE251" s="3934" t="n"/>
      <c r="AF251" s="3934" t="n"/>
      <c r="AG251" s="3934" t="n"/>
      <c r="AH251" s="3934" t="n"/>
      <c r="AI251" s="3934" t="n"/>
      <c r="AJ251" s="3934" t="n"/>
      <c r="AK251" s="3934" t="n"/>
      <c r="AL251" s="3934" t="n"/>
      <c r="AM251" s="3934" t="n"/>
      <c r="AN251" s="3934" t="n"/>
      <c r="AO251" s="3934" t="n"/>
      <c r="AP251" s="3934" t="n"/>
      <c r="AQ251" s="3934" t="n"/>
      <c r="AR251" s="3934" t="n"/>
    </row>
    <row r="252">
      <c r="A252" s="3941" t="n"/>
      <c r="B252" s="3944" t="n"/>
      <c r="C252" s="3944" t="n"/>
      <c r="D252" s="3944" t="n"/>
      <c r="E252" s="3944" t="n"/>
      <c r="F252" s="3944" t="n"/>
      <c r="G252" s="3944" t="n"/>
      <c r="H252" s="3944" t="n"/>
      <c r="I252" s="3944" t="n"/>
      <c r="J252" s="3944" t="n"/>
      <c r="K252" s="3942">
        <f>IF(A252="","",SUM(E252:J252))</f>
        <v/>
      </c>
      <c r="L252" s="3934" t="n"/>
      <c r="M252" s="3934" t="n"/>
      <c r="N252" s="3934" t="n"/>
      <c r="O252" s="3934" t="n"/>
      <c r="P252" s="3934" t="n"/>
      <c r="Q252" s="3934" t="n"/>
      <c r="R252" s="3934" t="n"/>
      <c r="S252" s="3934" t="n"/>
      <c r="T252" s="3934" t="n"/>
      <c r="U252" s="3934" t="n"/>
      <c r="V252" s="3934" t="n"/>
      <c r="W252" s="3934" t="n"/>
      <c r="X252" s="3934" t="n"/>
      <c r="Y252" s="3934" t="n"/>
      <c r="Z252" s="3934" t="n"/>
      <c r="AA252" s="3934" t="n"/>
      <c r="AB252" s="3934" t="n"/>
      <c r="AC252" s="3934" t="n"/>
      <c r="AD252" s="3934" t="n"/>
      <c r="AE252" s="3934" t="n"/>
      <c r="AF252" s="3934" t="n"/>
      <c r="AG252" s="3934" t="n"/>
      <c r="AH252" s="3934" t="n"/>
      <c r="AI252" s="3934" t="n"/>
      <c r="AJ252" s="3934" t="n"/>
      <c r="AK252" s="3934" t="n"/>
      <c r="AL252" s="3934" t="n"/>
      <c r="AM252" s="3934" t="n"/>
      <c r="AN252" s="3934" t="n"/>
      <c r="AO252" s="3934" t="n"/>
      <c r="AP252" s="3934" t="n"/>
      <c r="AQ252" s="3934" t="n"/>
      <c r="AR252" s="3934" t="n"/>
    </row>
    <row r="253">
      <c r="A253" s="3941" t="n"/>
      <c r="B253" s="3944" t="n"/>
      <c r="C253" s="3944" t="n"/>
      <c r="D253" s="3944" t="n"/>
      <c r="E253" s="3944" t="n"/>
      <c r="F253" s="3944" t="n"/>
      <c r="G253" s="3944" t="n"/>
      <c r="H253" s="3944" t="n"/>
      <c r="I253" s="3944" t="n"/>
      <c r="J253" s="3944" t="n"/>
      <c r="K253" s="3942">
        <f>IF(A253="","",SUM(E253:J253))</f>
        <v/>
      </c>
      <c r="L253" s="3934" t="n"/>
      <c r="M253" s="3934" t="n"/>
      <c r="N253" s="3934" t="n"/>
      <c r="O253" s="3934" t="n"/>
      <c r="P253" s="3934" t="n"/>
      <c r="Q253" s="3934" t="n"/>
      <c r="R253" s="3934" t="n"/>
      <c r="S253" s="3934" t="n"/>
      <c r="T253" s="3934" t="n"/>
      <c r="U253" s="3934" t="n"/>
      <c r="V253" s="3934" t="n"/>
      <c r="W253" s="3934" t="n"/>
      <c r="X253" s="3934" t="n"/>
      <c r="Y253" s="3934" t="n"/>
      <c r="Z253" s="3934" t="n"/>
      <c r="AA253" s="3934" t="n"/>
      <c r="AB253" s="3934" t="n"/>
      <c r="AC253" s="3934" t="n"/>
      <c r="AD253" s="3934" t="n"/>
      <c r="AE253" s="3934" t="n"/>
      <c r="AF253" s="3934" t="n"/>
      <c r="AG253" s="3934" t="n"/>
      <c r="AH253" s="3934" t="n"/>
      <c r="AI253" s="3934" t="n"/>
      <c r="AJ253" s="3934" t="n"/>
      <c r="AK253" s="3934" t="n"/>
      <c r="AL253" s="3934" t="n"/>
      <c r="AM253" s="3934" t="n"/>
      <c r="AN253" s="3934" t="n"/>
      <c r="AO253" s="3934" t="n"/>
      <c r="AP253" s="3934" t="n"/>
      <c r="AQ253" s="3934" t="n"/>
      <c r="AR253" s="3934" t="n"/>
    </row>
    <row r="254">
      <c r="A254" s="3941" t="n"/>
      <c r="B254" s="3944" t="n"/>
      <c r="C254" s="3944" t="n"/>
      <c r="D254" s="3944" t="n"/>
      <c r="E254" s="3944" t="n"/>
      <c r="F254" s="3944" t="n"/>
      <c r="G254" s="3944" t="n"/>
      <c r="H254" s="3944" t="n"/>
      <c r="I254" s="3944" t="n"/>
      <c r="J254" s="3944" t="n"/>
      <c r="K254" s="3942">
        <f>IF(A254="","",SUM(E254:J254))</f>
        <v/>
      </c>
      <c r="L254" s="3934" t="n"/>
      <c r="M254" s="3934" t="n"/>
      <c r="N254" s="3934" t="n"/>
      <c r="O254" s="3934" t="n"/>
      <c r="P254" s="3934" t="n"/>
      <c r="Q254" s="3934" t="n"/>
      <c r="R254" s="3934" t="n"/>
      <c r="S254" s="3934" t="n"/>
      <c r="T254" s="3934" t="n"/>
      <c r="U254" s="3934" t="n"/>
      <c r="V254" s="3934" t="n"/>
      <c r="W254" s="3934" t="n"/>
      <c r="X254" s="3934" t="n"/>
      <c r="Y254" s="3934" t="n"/>
      <c r="Z254" s="3934" t="n"/>
      <c r="AA254" s="3934" t="n"/>
      <c r="AB254" s="3934" t="n"/>
      <c r="AC254" s="3934" t="n"/>
      <c r="AD254" s="3934" t="n"/>
      <c r="AE254" s="3934" t="n"/>
      <c r="AF254" s="3934" t="n"/>
      <c r="AG254" s="3934" t="n"/>
      <c r="AH254" s="3934" t="n"/>
      <c r="AI254" s="3934" t="n"/>
      <c r="AJ254" s="3934" t="n"/>
      <c r="AK254" s="3934" t="n"/>
      <c r="AL254" s="3934" t="n"/>
      <c r="AM254" s="3934" t="n"/>
      <c r="AN254" s="3934" t="n"/>
      <c r="AO254" s="3934" t="n"/>
      <c r="AP254" s="3934" t="n"/>
      <c r="AQ254" s="3934" t="n"/>
      <c r="AR254" s="3934" t="n"/>
    </row>
    <row r="255">
      <c r="A255" s="3941" t="n"/>
      <c r="B255" s="3944" t="n"/>
      <c r="C255" s="3944" t="n"/>
      <c r="D255" s="3944" t="n"/>
      <c r="E255" s="3944" t="n"/>
      <c r="F255" s="3944" t="n"/>
      <c r="G255" s="3944" t="n"/>
      <c r="H255" s="3944" t="n"/>
      <c r="I255" s="3944" t="n"/>
      <c r="J255" s="3944" t="n"/>
      <c r="K255" s="3942">
        <f>IF(A255="","",SUM(E255:J255))</f>
        <v/>
      </c>
      <c r="L255" s="3934" t="n"/>
      <c r="M255" s="3934" t="n"/>
      <c r="N255" s="3934" t="n"/>
      <c r="O255" s="3934" t="n"/>
      <c r="P255" s="3934" t="n"/>
      <c r="Q255" s="3934" t="n"/>
      <c r="R255" s="3934" t="n"/>
      <c r="S255" s="3934" t="n"/>
      <c r="T255" s="3934" t="n"/>
      <c r="U255" s="3934" t="n"/>
      <c r="V255" s="3934" t="n"/>
      <c r="W255" s="3934" t="n"/>
      <c r="X255" s="3934" t="n"/>
      <c r="Y255" s="3934" t="n"/>
      <c r="Z255" s="3934" t="n"/>
      <c r="AA255" s="3934" t="n"/>
      <c r="AB255" s="3934" t="n"/>
      <c r="AC255" s="3934" t="n"/>
      <c r="AD255" s="3934" t="n"/>
      <c r="AE255" s="3934" t="n"/>
      <c r="AF255" s="3934" t="n"/>
      <c r="AG255" s="3934" t="n"/>
      <c r="AH255" s="3934" t="n"/>
      <c r="AI255" s="3934" t="n"/>
      <c r="AJ255" s="3934" t="n"/>
      <c r="AK255" s="3934" t="n"/>
      <c r="AL255" s="3934" t="n"/>
      <c r="AM255" s="3934" t="n"/>
      <c r="AN255" s="3934" t="n"/>
      <c r="AO255" s="3934" t="n"/>
      <c r="AP255" s="3934" t="n"/>
      <c r="AQ255" s="3934" t="n"/>
      <c r="AR255" s="3934" t="n"/>
    </row>
    <row r="256">
      <c r="A256" s="3941" t="n"/>
      <c r="B256" s="3944" t="n"/>
      <c r="C256" s="3944" t="n"/>
      <c r="D256" s="3944" t="n"/>
      <c r="E256" s="3944" t="n"/>
      <c r="F256" s="3944" t="n"/>
      <c r="G256" s="3944" t="n"/>
      <c r="H256" s="3944" t="n"/>
      <c r="I256" s="3944" t="n"/>
      <c r="J256" s="3944" t="n"/>
      <c r="K256" s="3942">
        <f>IF(A256="","",SUM(E256:J256))</f>
        <v/>
      </c>
      <c r="L256" s="3934" t="n"/>
      <c r="M256" s="3934" t="n"/>
      <c r="N256" s="3934" t="n"/>
      <c r="O256" s="3934" t="n"/>
      <c r="P256" s="3934" t="n"/>
      <c r="Q256" s="3934" t="n"/>
      <c r="R256" s="3934" t="n"/>
      <c r="S256" s="3934" t="n"/>
      <c r="T256" s="3934" t="n"/>
      <c r="U256" s="3934" t="n"/>
      <c r="V256" s="3934" t="n"/>
      <c r="W256" s="3934" t="n"/>
      <c r="X256" s="3934" t="n"/>
      <c r="Y256" s="3934" t="n"/>
      <c r="Z256" s="3934" t="n"/>
      <c r="AA256" s="3934" t="n"/>
      <c r="AB256" s="3934" t="n"/>
      <c r="AC256" s="3934" t="n"/>
      <c r="AD256" s="3934" t="n"/>
      <c r="AE256" s="3934" t="n"/>
      <c r="AF256" s="3934" t="n"/>
      <c r="AG256" s="3934" t="n"/>
      <c r="AH256" s="3934" t="n"/>
      <c r="AI256" s="3934" t="n"/>
      <c r="AJ256" s="3934" t="n"/>
      <c r="AK256" s="3934" t="n"/>
      <c r="AL256" s="3934" t="n"/>
      <c r="AM256" s="3934" t="n"/>
      <c r="AN256" s="3934" t="n"/>
      <c r="AO256" s="3934" t="n"/>
      <c r="AP256" s="3934" t="n"/>
      <c r="AQ256" s="3934" t="n"/>
      <c r="AR256" s="3934" t="n"/>
    </row>
    <row r="257">
      <c r="A257" s="3941" t="n"/>
      <c r="B257" s="3944" t="n"/>
      <c r="C257" s="3944" t="n"/>
      <c r="D257" s="3944" t="n"/>
      <c r="E257" s="3944" t="n"/>
      <c r="F257" s="3944" t="n"/>
      <c r="G257" s="3944" t="n"/>
      <c r="H257" s="3944" t="n"/>
      <c r="I257" s="3944" t="n"/>
      <c r="J257" s="3944" t="n"/>
      <c r="K257" s="3942">
        <f>IF(A257="","",SUM(E257:J257))</f>
        <v/>
      </c>
      <c r="L257" s="3934" t="n"/>
      <c r="M257" s="3934" t="n"/>
      <c r="N257" s="3934" t="n"/>
      <c r="O257" s="3934" t="n"/>
      <c r="P257" s="3934" t="n"/>
      <c r="Q257" s="3934" t="n"/>
      <c r="R257" s="3934" t="n"/>
      <c r="S257" s="3934" t="n"/>
      <c r="T257" s="3934" t="n"/>
      <c r="U257" s="3934" t="n"/>
      <c r="V257" s="3934" t="n"/>
      <c r="W257" s="3934" t="n"/>
      <c r="X257" s="3934" t="n"/>
      <c r="Y257" s="3934" t="n"/>
      <c r="Z257" s="3934" t="n"/>
      <c r="AA257" s="3934" t="n"/>
      <c r="AB257" s="3934" t="n"/>
      <c r="AC257" s="3934" t="n"/>
      <c r="AD257" s="3934" t="n"/>
      <c r="AE257" s="3934" t="n"/>
      <c r="AF257" s="3934" t="n"/>
      <c r="AG257" s="3934" t="n"/>
      <c r="AH257" s="3934" t="n"/>
      <c r="AI257" s="3934" t="n"/>
      <c r="AJ257" s="3934" t="n"/>
      <c r="AK257" s="3934" t="n"/>
      <c r="AL257" s="3934" t="n"/>
      <c r="AM257" s="3934" t="n"/>
      <c r="AN257" s="3934" t="n"/>
      <c r="AO257" s="3934" t="n"/>
      <c r="AP257" s="3934" t="n"/>
      <c r="AQ257" s="3934" t="n"/>
      <c r="AR257" s="3934" t="n"/>
    </row>
    <row r="258">
      <c r="A258" s="3941" t="n"/>
      <c r="B258" s="3944" t="n"/>
      <c r="C258" s="3944" t="n"/>
      <c r="D258" s="3944" t="n"/>
      <c r="E258" s="3944" t="n"/>
      <c r="F258" s="3944" t="n"/>
      <c r="G258" s="3944" t="n"/>
      <c r="H258" s="3944" t="n"/>
      <c r="I258" s="3944" t="n"/>
      <c r="J258" s="3944" t="n"/>
      <c r="K258" s="3942">
        <f>IF(A258="","",SUM(E258:J258))</f>
        <v/>
      </c>
      <c r="L258" s="3934" t="n"/>
      <c r="M258" s="3934" t="n"/>
      <c r="N258" s="3934" t="n"/>
      <c r="O258" s="3934" t="n"/>
      <c r="P258" s="3934" t="n"/>
      <c r="Q258" s="3934" t="n"/>
      <c r="R258" s="3934" t="n"/>
      <c r="S258" s="3934" t="n"/>
      <c r="T258" s="3934" t="n"/>
      <c r="U258" s="3934" t="n"/>
      <c r="V258" s="3934" t="n"/>
      <c r="W258" s="3934" t="n"/>
      <c r="X258" s="3934" t="n"/>
      <c r="Y258" s="3934" t="n"/>
      <c r="Z258" s="3934" t="n"/>
      <c r="AA258" s="3934" t="n"/>
      <c r="AB258" s="3934" t="n"/>
      <c r="AC258" s="3934" t="n"/>
      <c r="AD258" s="3934" t="n"/>
      <c r="AE258" s="3934" t="n"/>
      <c r="AF258" s="3934" t="n"/>
      <c r="AG258" s="3934" t="n"/>
      <c r="AH258" s="3934" t="n"/>
      <c r="AI258" s="3934" t="n"/>
      <c r="AJ258" s="3934" t="n"/>
      <c r="AK258" s="3934" t="n"/>
      <c r="AL258" s="3934" t="n"/>
      <c r="AM258" s="3934" t="n"/>
      <c r="AN258" s="3934" t="n"/>
      <c r="AO258" s="3934" t="n"/>
      <c r="AP258" s="3934" t="n"/>
      <c r="AQ258" s="3934" t="n"/>
      <c r="AR258" s="3934" t="n"/>
    </row>
    <row r="259">
      <c r="A259" s="3941" t="n"/>
      <c r="B259" s="3944" t="n"/>
      <c r="C259" s="3944" t="n"/>
      <c r="D259" s="3944" t="n"/>
      <c r="E259" s="3944" t="n"/>
      <c r="F259" s="3944" t="n"/>
      <c r="G259" s="3944" t="n"/>
      <c r="H259" s="3944" t="n"/>
      <c r="I259" s="3944" t="n"/>
      <c r="J259" s="3944" t="n"/>
      <c r="K259" s="3942">
        <f>IF(A259="","",SUM(E259:J259))</f>
        <v/>
      </c>
      <c r="L259" s="3934" t="n"/>
      <c r="M259" s="3934" t="n"/>
      <c r="N259" s="3934" t="n"/>
      <c r="O259" s="3934" t="n"/>
      <c r="P259" s="3934" t="n"/>
      <c r="Q259" s="3934" t="n"/>
      <c r="R259" s="3934" t="n"/>
      <c r="S259" s="3934" t="n"/>
      <c r="T259" s="3934" t="n"/>
      <c r="U259" s="3934" t="n"/>
      <c r="V259" s="3934" t="n"/>
      <c r="W259" s="3934" t="n"/>
      <c r="X259" s="3934" t="n"/>
      <c r="Y259" s="3934" t="n"/>
      <c r="Z259" s="3934" t="n"/>
      <c r="AA259" s="3934" t="n"/>
      <c r="AB259" s="3934" t="n"/>
      <c r="AC259" s="3934" t="n"/>
      <c r="AD259" s="3934" t="n"/>
      <c r="AE259" s="3934" t="n"/>
      <c r="AF259" s="3934" t="n"/>
      <c r="AG259" s="3934" t="n"/>
      <c r="AH259" s="3934" t="n"/>
      <c r="AI259" s="3934" t="n"/>
      <c r="AJ259" s="3934" t="n"/>
      <c r="AK259" s="3934" t="n"/>
      <c r="AL259" s="3934" t="n"/>
      <c r="AM259" s="3934" t="n"/>
      <c r="AN259" s="3934" t="n"/>
      <c r="AO259" s="3934" t="n"/>
      <c r="AP259" s="3934" t="n"/>
      <c r="AQ259" s="3934" t="n"/>
      <c r="AR259" s="3934" t="n"/>
    </row>
    <row r="260">
      <c r="A260" s="3941" t="n"/>
      <c r="B260" s="3944" t="n"/>
      <c r="C260" s="3944" t="n"/>
      <c r="D260" s="3944" t="n"/>
      <c r="E260" s="3944" t="n"/>
      <c r="F260" s="3944" t="n"/>
      <c r="G260" s="3944" t="n"/>
      <c r="H260" s="3944" t="n"/>
      <c r="I260" s="3944" t="n"/>
      <c r="J260" s="3944" t="n"/>
      <c r="K260" s="3942">
        <f>IF(A260="","",SUM(E260:J260))</f>
        <v/>
      </c>
      <c r="L260" s="3934" t="n"/>
      <c r="M260" s="3934" t="n"/>
      <c r="N260" s="3934" t="n"/>
      <c r="O260" s="3934" t="n"/>
      <c r="P260" s="3934" t="n"/>
      <c r="Q260" s="3934" t="n"/>
      <c r="R260" s="3934" t="n"/>
      <c r="S260" s="3934" t="n"/>
      <c r="T260" s="3934" t="n"/>
      <c r="U260" s="3934" t="n"/>
      <c r="V260" s="3934" t="n"/>
      <c r="W260" s="3934" t="n"/>
      <c r="X260" s="3934" t="n"/>
      <c r="Y260" s="3934" t="n"/>
      <c r="Z260" s="3934" t="n"/>
      <c r="AA260" s="3934" t="n"/>
      <c r="AB260" s="3934" t="n"/>
      <c r="AC260" s="3934" t="n"/>
      <c r="AD260" s="3934" t="n"/>
      <c r="AE260" s="3934" t="n"/>
      <c r="AF260" s="3934" t="n"/>
      <c r="AG260" s="3934" t="n"/>
      <c r="AH260" s="3934" t="n"/>
      <c r="AI260" s="3934" t="n"/>
      <c r="AJ260" s="3934" t="n"/>
      <c r="AK260" s="3934" t="n"/>
      <c r="AL260" s="3934" t="n"/>
      <c r="AM260" s="3934" t="n"/>
      <c r="AN260" s="3934" t="n"/>
      <c r="AO260" s="3934" t="n"/>
      <c r="AP260" s="3934" t="n"/>
      <c r="AQ260" s="3934" t="n"/>
      <c r="AR260" s="3934" t="n"/>
    </row>
    <row r="261">
      <c r="A261" s="3941" t="n"/>
      <c r="B261" s="3944" t="n"/>
      <c r="C261" s="3944" t="n"/>
      <c r="D261" s="3944" t="n"/>
      <c r="E261" s="3944" t="n"/>
      <c r="F261" s="3944" t="n"/>
      <c r="G261" s="3944" t="n"/>
      <c r="H261" s="3944" t="n"/>
      <c r="I261" s="3944" t="n"/>
      <c r="J261" s="3944" t="n"/>
      <c r="K261" s="3942">
        <f>IF(A261="","",SUM(E261:J261))</f>
        <v/>
      </c>
      <c r="L261" s="3934" t="n"/>
      <c r="M261" s="3934" t="n"/>
      <c r="N261" s="3934" t="n"/>
      <c r="O261" s="3934" t="n"/>
      <c r="P261" s="3934" t="n"/>
      <c r="Q261" s="3934" t="n"/>
      <c r="R261" s="3934" t="n"/>
      <c r="S261" s="3934" t="n"/>
      <c r="T261" s="3934" t="n"/>
      <c r="U261" s="3934" t="n"/>
      <c r="V261" s="3934" t="n"/>
      <c r="W261" s="3934" t="n"/>
      <c r="X261" s="3934" t="n"/>
      <c r="Y261" s="3934" t="n"/>
      <c r="Z261" s="3934" t="n"/>
      <c r="AA261" s="3934" t="n"/>
      <c r="AB261" s="3934" t="n"/>
      <c r="AC261" s="3934" t="n"/>
      <c r="AD261" s="3934" t="n"/>
      <c r="AE261" s="3934" t="n"/>
      <c r="AF261" s="3934" t="n"/>
      <c r="AG261" s="3934" t="n"/>
      <c r="AH261" s="3934" t="n"/>
      <c r="AI261" s="3934" t="n"/>
      <c r="AJ261" s="3934" t="n"/>
      <c r="AK261" s="3934" t="n"/>
      <c r="AL261" s="3934" t="n"/>
      <c r="AM261" s="3934" t="n"/>
      <c r="AN261" s="3934" t="n"/>
      <c r="AO261" s="3934" t="n"/>
      <c r="AP261" s="3934" t="n"/>
      <c r="AQ261" s="3934" t="n"/>
      <c r="AR261" s="3934" t="n"/>
    </row>
    <row r="262">
      <c r="A262" s="3941" t="n"/>
      <c r="B262" s="3944" t="n"/>
      <c r="C262" s="3944" t="n"/>
      <c r="D262" s="3944" t="n"/>
      <c r="E262" s="3944" t="n"/>
      <c r="F262" s="3944" t="n"/>
      <c r="G262" s="3944" t="n"/>
      <c r="H262" s="3944" t="n"/>
      <c r="I262" s="3944" t="n"/>
      <c r="J262" s="3944" t="n"/>
      <c r="K262" s="3942">
        <f>IF(A262="","",SUM(E262:J262))</f>
        <v/>
      </c>
      <c r="L262" s="3934" t="n"/>
      <c r="M262" s="3934" t="n"/>
      <c r="N262" s="3934" t="n"/>
      <c r="O262" s="3934" t="n"/>
      <c r="P262" s="3934" t="n"/>
      <c r="Q262" s="3934" t="n"/>
      <c r="R262" s="3934" t="n"/>
      <c r="S262" s="3934" t="n"/>
      <c r="T262" s="3934" t="n"/>
      <c r="U262" s="3934" t="n"/>
      <c r="V262" s="3934" t="n"/>
      <c r="W262" s="3934" t="n"/>
      <c r="X262" s="3934" t="n"/>
      <c r="Y262" s="3934" t="n"/>
      <c r="Z262" s="3934" t="n"/>
      <c r="AA262" s="3934" t="n"/>
      <c r="AB262" s="3934" t="n"/>
      <c r="AC262" s="3934" t="n"/>
      <c r="AD262" s="3934" t="n"/>
      <c r="AE262" s="3934" t="n"/>
      <c r="AF262" s="3934" t="n"/>
      <c r="AG262" s="3934" t="n"/>
      <c r="AH262" s="3934" t="n"/>
      <c r="AI262" s="3934" t="n"/>
      <c r="AJ262" s="3934" t="n"/>
      <c r="AK262" s="3934" t="n"/>
      <c r="AL262" s="3934" t="n"/>
      <c r="AM262" s="3934" t="n"/>
      <c r="AN262" s="3934" t="n"/>
      <c r="AO262" s="3934" t="n"/>
      <c r="AP262" s="3934" t="n"/>
      <c r="AQ262" s="3934" t="n"/>
      <c r="AR262" s="3934" t="n"/>
    </row>
    <row r="263">
      <c r="A263" s="3941" t="n"/>
      <c r="B263" s="3944" t="n"/>
      <c r="C263" s="3944" t="n"/>
      <c r="D263" s="3944" t="n"/>
      <c r="E263" s="3944" t="n"/>
      <c r="F263" s="3944" t="n"/>
      <c r="G263" s="3944" t="n"/>
      <c r="H263" s="3944" t="n"/>
      <c r="I263" s="3944" t="n"/>
      <c r="J263" s="3944" t="n"/>
      <c r="K263" s="3942">
        <f>IF(A263="","",SUM(E263:J263))</f>
        <v/>
      </c>
      <c r="L263" s="3934" t="n"/>
      <c r="M263" s="3934" t="n"/>
      <c r="N263" s="3934" t="n"/>
      <c r="O263" s="3934" t="n"/>
      <c r="P263" s="3934" t="n"/>
      <c r="Q263" s="3934" t="n"/>
      <c r="R263" s="3934" t="n"/>
      <c r="S263" s="3934" t="n"/>
      <c r="T263" s="3934" t="n"/>
      <c r="U263" s="3934" t="n"/>
      <c r="V263" s="3934" t="n"/>
      <c r="W263" s="3934" t="n"/>
      <c r="X263" s="3934" t="n"/>
      <c r="Y263" s="3934" t="n"/>
      <c r="Z263" s="3934" t="n"/>
      <c r="AA263" s="3934" t="n"/>
      <c r="AB263" s="3934" t="n"/>
      <c r="AC263" s="3934" t="n"/>
      <c r="AD263" s="3934" t="n"/>
      <c r="AE263" s="3934" t="n"/>
      <c r="AF263" s="3934" t="n"/>
      <c r="AG263" s="3934" t="n"/>
      <c r="AH263" s="3934" t="n"/>
      <c r="AI263" s="3934" t="n"/>
      <c r="AJ263" s="3934" t="n"/>
      <c r="AK263" s="3934" t="n"/>
      <c r="AL263" s="3934" t="n"/>
      <c r="AM263" s="3934" t="n"/>
      <c r="AN263" s="3934" t="n"/>
      <c r="AO263" s="3934" t="n"/>
      <c r="AP263" s="3934" t="n"/>
      <c r="AQ263" s="3934" t="n"/>
      <c r="AR263" s="3934" t="n"/>
    </row>
    <row r="264">
      <c r="A264" s="3941" t="n"/>
      <c r="B264" s="3944" t="n"/>
      <c r="C264" s="3944" t="n"/>
      <c r="D264" s="3944" t="n"/>
      <c r="E264" s="3944" t="n"/>
      <c r="F264" s="3944" t="n"/>
      <c r="G264" s="3944" t="n"/>
      <c r="H264" s="3944" t="n"/>
      <c r="I264" s="3944" t="n"/>
      <c r="J264" s="3944" t="n"/>
      <c r="K264" s="3942">
        <f>IF(A264="","",SUM(E264:J264))</f>
        <v/>
      </c>
      <c r="L264" s="3934" t="n"/>
      <c r="M264" s="3934" t="n"/>
      <c r="N264" s="3934" t="n"/>
      <c r="O264" s="3934" t="n"/>
      <c r="P264" s="3934" t="n"/>
      <c r="Q264" s="3934" t="n"/>
      <c r="R264" s="3934" t="n"/>
      <c r="S264" s="3934" t="n"/>
      <c r="T264" s="3934" t="n"/>
      <c r="U264" s="3934" t="n"/>
      <c r="V264" s="3934" t="n"/>
      <c r="W264" s="3934" t="n"/>
      <c r="X264" s="3934" t="n"/>
      <c r="Y264" s="3934" t="n"/>
      <c r="Z264" s="3934" t="n"/>
      <c r="AA264" s="3934" t="n"/>
      <c r="AB264" s="3934" t="n"/>
      <c r="AC264" s="3934" t="n"/>
      <c r="AD264" s="3934" t="n"/>
      <c r="AE264" s="3934" t="n"/>
      <c r="AF264" s="3934" t="n"/>
      <c r="AG264" s="3934" t="n"/>
      <c r="AH264" s="3934" t="n"/>
      <c r="AI264" s="3934" t="n"/>
      <c r="AJ264" s="3934" t="n"/>
      <c r="AK264" s="3934" t="n"/>
      <c r="AL264" s="3934" t="n"/>
      <c r="AM264" s="3934" t="n"/>
      <c r="AN264" s="3934" t="n"/>
      <c r="AO264" s="3934" t="n"/>
      <c r="AP264" s="3934" t="n"/>
      <c r="AQ264" s="3934" t="n"/>
      <c r="AR264" s="3934" t="n"/>
    </row>
    <row r="265">
      <c r="A265" s="3941" t="n"/>
      <c r="B265" s="3944" t="n"/>
      <c r="C265" s="3944" t="n"/>
      <c r="D265" s="3944" t="n"/>
      <c r="E265" s="3944" t="n"/>
      <c r="F265" s="3944" t="n"/>
      <c r="G265" s="3944" t="n"/>
      <c r="H265" s="3944" t="n"/>
      <c r="I265" s="3944" t="n"/>
      <c r="J265" s="3944" t="n"/>
      <c r="K265" s="3942">
        <f>IF(A265="","",SUM(E265:J265))</f>
        <v/>
      </c>
      <c r="L265" s="3934" t="n"/>
      <c r="M265" s="3934" t="n"/>
      <c r="N265" s="3934" t="n"/>
      <c r="O265" s="3934" t="n"/>
      <c r="P265" s="3934" t="n"/>
      <c r="Q265" s="3934" t="n"/>
      <c r="R265" s="3934" t="n"/>
      <c r="S265" s="3934" t="n"/>
      <c r="T265" s="3934" t="n"/>
      <c r="U265" s="3934" t="n"/>
      <c r="V265" s="3934" t="n"/>
      <c r="W265" s="3934" t="n"/>
      <c r="X265" s="3934" t="n"/>
      <c r="Y265" s="3934" t="n"/>
      <c r="Z265" s="3934" t="n"/>
      <c r="AA265" s="3934" t="n"/>
      <c r="AB265" s="3934" t="n"/>
      <c r="AC265" s="3934" t="n"/>
      <c r="AD265" s="3934" t="n"/>
      <c r="AE265" s="3934" t="n"/>
      <c r="AF265" s="3934" t="n"/>
      <c r="AG265" s="3934" t="n"/>
      <c r="AH265" s="3934" t="n"/>
      <c r="AI265" s="3934" t="n"/>
      <c r="AJ265" s="3934" t="n"/>
      <c r="AK265" s="3934" t="n"/>
      <c r="AL265" s="3934" t="n"/>
      <c r="AM265" s="3934" t="n"/>
      <c r="AN265" s="3934" t="n"/>
      <c r="AO265" s="3934" t="n"/>
      <c r="AP265" s="3934" t="n"/>
      <c r="AQ265" s="3934" t="n"/>
      <c r="AR265" s="3934" t="n"/>
    </row>
    <row r="266">
      <c r="A266" s="3941" t="n"/>
      <c r="B266" s="3944" t="n"/>
      <c r="C266" s="3944" t="n"/>
      <c r="D266" s="3944" t="n"/>
      <c r="E266" s="3944" t="n"/>
      <c r="F266" s="3944" t="n"/>
      <c r="G266" s="3944" t="n"/>
      <c r="H266" s="3944" t="n"/>
      <c r="I266" s="3944" t="n"/>
      <c r="J266" s="3944" t="n"/>
      <c r="K266" s="3942">
        <f>IF(A266="","",SUM(E266:J266))</f>
        <v/>
      </c>
      <c r="L266" s="3934" t="n"/>
      <c r="M266" s="3934" t="n"/>
      <c r="N266" s="3934" t="n"/>
      <c r="O266" s="3934" t="n"/>
      <c r="P266" s="3934" t="n"/>
      <c r="Q266" s="3934" t="n"/>
      <c r="R266" s="3934" t="n"/>
      <c r="S266" s="3934" t="n"/>
      <c r="T266" s="3934" t="n"/>
      <c r="U266" s="3934" t="n"/>
      <c r="V266" s="3934" t="n"/>
      <c r="W266" s="3934" t="n"/>
      <c r="X266" s="3934" t="n"/>
      <c r="Y266" s="3934" t="n"/>
      <c r="Z266" s="3934" t="n"/>
      <c r="AA266" s="3934" t="n"/>
      <c r="AB266" s="3934" t="n"/>
      <c r="AC266" s="3934" t="n"/>
      <c r="AD266" s="3934" t="n"/>
      <c r="AE266" s="3934" t="n"/>
      <c r="AF266" s="3934" t="n"/>
      <c r="AG266" s="3934" t="n"/>
      <c r="AH266" s="3934" t="n"/>
      <c r="AI266" s="3934" t="n"/>
      <c r="AJ266" s="3934" t="n"/>
      <c r="AK266" s="3934" t="n"/>
      <c r="AL266" s="3934" t="n"/>
      <c r="AM266" s="3934" t="n"/>
      <c r="AN266" s="3934" t="n"/>
      <c r="AO266" s="3934" t="n"/>
      <c r="AP266" s="3934" t="n"/>
      <c r="AQ266" s="3934" t="n"/>
      <c r="AR266" s="3934" t="n"/>
    </row>
    <row r="267">
      <c r="A267" s="3941" t="n"/>
      <c r="B267" s="3944" t="n"/>
      <c r="C267" s="3944" t="n"/>
      <c r="D267" s="3944" t="n"/>
      <c r="E267" s="3944" t="n"/>
      <c r="F267" s="3944" t="n"/>
      <c r="G267" s="3944" t="n"/>
      <c r="H267" s="3944" t="n"/>
      <c r="I267" s="3944" t="n"/>
      <c r="J267" s="3944" t="n"/>
      <c r="K267" s="3942">
        <f>IF(A267="","",SUM(E267:J267))</f>
        <v/>
      </c>
      <c r="L267" s="3934" t="n"/>
      <c r="M267" s="3934" t="n"/>
      <c r="N267" s="3934" t="n"/>
      <c r="O267" s="3934" t="n"/>
      <c r="P267" s="3934" t="n"/>
      <c r="Q267" s="3934" t="n"/>
      <c r="R267" s="3934" t="n"/>
      <c r="S267" s="3934" t="n"/>
      <c r="T267" s="3934" t="n"/>
      <c r="U267" s="3934" t="n"/>
      <c r="V267" s="3934" t="n"/>
      <c r="W267" s="3934" t="n"/>
      <c r="X267" s="3934" t="n"/>
      <c r="Y267" s="3934" t="n"/>
      <c r="Z267" s="3934" t="n"/>
      <c r="AA267" s="3934" t="n"/>
      <c r="AB267" s="3934" t="n"/>
      <c r="AC267" s="3934" t="n"/>
      <c r="AD267" s="3934" t="n"/>
      <c r="AE267" s="3934" t="n"/>
      <c r="AF267" s="3934" t="n"/>
      <c r="AG267" s="3934" t="n"/>
      <c r="AH267" s="3934" t="n"/>
      <c r="AI267" s="3934" t="n"/>
      <c r="AJ267" s="3934" t="n"/>
      <c r="AK267" s="3934" t="n"/>
      <c r="AL267" s="3934" t="n"/>
      <c r="AM267" s="3934" t="n"/>
      <c r="AN267" s="3934" t="n"/>
      <c r="AO267" s="3934" t="n"/>
      <c r="AP267" s="3934" t="n"/>
      <c r="AQ267" s="3934" t="n"/>
      <c r="AR267" s="3934" t="n"/>
    </row>
    <row r="268">
      <c r="A268" s="3941" t="n"/>
      <c r="B268" s="3944" t="n"/>
      <c r="C268" s="3944" t="n"/>
      <c r="D268" s="3944" t="n"/>
      <c r="E268" s="3944" t="n"/>
      <c r="F268" s="3944" t="n"/>
      <c r="G268" s="3944" t="n"/>
      <c r="H268" s="3944" t="n"/>
      <c r="I268" s="3944" t="n"/>
      <c r="J268" s="3944" t="n"/>
      <c r="K268" s="3942">
        <f>IF(A268="","",SUM(E268:J268))</f>
        <v/>
      </c>
      <c r="L268" s="3934" t="n"/>
      <c r="M268" s="3934" t="n"/>
      <c r="N268" s="3934" t="n"/>
      <c r="O268" s="3934" t="n"/>
      <c r="P268" s="3934" t="n"/>
      <c r="Q268" s="3934" t="n"/>
      <c r="R268" s="3934" t="n"/>
      <c r="S268" s="3934" t="n"/>
      <c r="T268" s="3934" t="n"/>
      <c r="U268" s="3934" t="n"/>
      <c r="V268" s="3934" t="n"/>
      <c r="W268" s="3934" t="n"/>
      <c r="X268" s="3934" t="n"/>
      <c r="Y268" s="3934" t="n"/>
      <c r="Z268" s="3934" t="n"/>
      <c r="AA268" s="3934" t="n"/>
      <c r="AB268" s="3934" t="n"/>
      <c r="AC268" s="3934" t="n"/>
      <c r="AD268" s="3934" t="n"/>
      <c r="AE268" s="3934" t="n"/>
      <c r="AF268" s="3934" t="n"/>
      <c r="AG268" s="3934" t="n"/>
      <c r="AH268" s="3934" t="n"/>
      <c r="AI268" s="3934" t="n"/>
      <c r="AJ268" s="3934" t="n"/>
      <c r="AK268" s="3934" t="n"/>
      <c r="AL268" s="3934" t="n"/>
      <c r="AM268" s="3934" t="n"/>
      <c r="AN268" s="3934" t="n"/>
      <c r="AO268" s="3934" t="n"/>
      <c r="AP268" s="3934" t="n"/>
      <c r="AQ268" s="3934" t="n"/>
      <c r="AR268" s="3934" t="n"/>
    </row>
    <row r="269">
      <c r="A269" s="3941" t="n"/>
      <c r="B269" s="3944" t="n"/>
      <c r="C269" s="3944" t="n"/>
      <c r="D269" s="3944" t="n"/>
      <c r="E269" s="3944" t="n"/>
      <c r="F269" s="3944" t="n"/>
      <c r="G269" s="3944" t="n"/>
      <c r="H269" s="3944" t="n"/>
      <c r="I269" s="3944" t="n"/>
      <c r="J269" s="3944" t="n"/>
      <c r="K269" s="3942">
        <f>IF(A269="","",SUM(E269:J269))</f>
        <v/>
      </c>
      <c r="L269" s="3934" t="n"/>
      <c r="M269" s="3934" t="n"/>
      <c r="N269" s="3934" t="n"/>
      <c r="O269" s="3934" t="n"/>
      <c r="P269" s="3934" t="n"/>
      <c r="Q269" s="3934" t="n"/>
      <c r="R269" s="3934" t="n"/>
      <c r="S269" s="3934" t="n"/>
      <c r="T269" s="3934" t="n"/>
      <c r="U269" s="3934" t="n"/>
      <c r="V269" s="3934" t="n"/>
      <c r="W269" s="3934" t="n"/>
      <c r="X269" s="3934" t="n"/>
      <c r="Y269" s="3934" t="n"/>
      <c r="Z269" s="3934" t="n"/>
      <c r="AA269" s="3934" t="n"/>
      <c r="AB269" s="3934" t="n"/>
      <c r="AC269" s="3934" t="n"/>
      <c r="AD269" s="3934" t="n"/>
      <c r="AE269" s="3934" t="n"/>
      <c r="AF269" s="3934" t="n"/>
      <c r="AG269" s="3934" t="n"/>
      <c r="AH269" s="3934" t="n"/>
      <c r="AI269" s="3934" t="n"/>
      <c r="AJ269" s="3934" t="n"/>
      <c r="AK269" s="3934" t="n"/>
      <c r="AL269" s="3934" t="n"/>
      <c r="AM269" s="3934" t="n"/>
      <c r="AN269" s="3934" t="n"/>
      <c r="AO269" s="3934" t="n"/>
      <c r="AP269" s="3934" t="n"/>
      <c r="AQ269" s="3934" t="n"/>
      <c r="AR269" s="3934" t="n"/>
    </row>
    <row r="270">
      <c r="A270" s="3941" t="n"/>
      <c r="B270" s="3944" t="n"/>
      <c r="C270" s="3944" t="n"/>
      <c r="D270" s="3944" t="n"/>
      <c r="E270" s="3944" t="n"/>
      <c r="F270" s="3944" t="n"/>
      <c r="G270" s="3944" t="n"/>
      <c r="H270" s="3944" t="n"/>
      <c r="I270" s="3944" t="n"/>
      <c r="J270" s="3944" t="n"/>
      <c r="K270" s="3942">
        <f>IF(A270="","",SUM(E270:J270))</f>
        <v/>
      </c>
      <c r="L270" s="3934" t="n"/>
      <c r="M270" s="3934" t="n"/>
      <c r="N270" s="3934" t="n"/>
      <c r="O270" s="3934" t="n"/>
      <c r="P270" s="3934" t="n"/>
      <c r="Q270" s="3934" t="n"/>
      <c r="R270" s="3934" t="n"/>
      <c r="S270" s="3934" t="n"/>
      <c r="T270" s="3934" t="n"/>
      <c r="U270" s="3934" t="n"/>
      <c r="V270" s="3934" t="n"/>
      <c r="W270" s="3934" t="n"/>
      <c r="X270" s="3934" t="n"/>
      <c r="Y270" s="3934" t="n"/>
      <c r="Z270" s="3934" t="n"/>
      <c r="AA270" s="3934" t="n"/>
      <c r="AB270" s="3934" t="n"/>
      <c r="AC270" s="3934" t="n"/>
      <c r="AD270" s="3934" t="n"/>
      <c r="AE270" s="3934" t="n"/>
      <c r="AF270" s="3934" t="n"/>
      <c r="AG270" s="3934" t="n"/>
      <c r="AH270" s="3934" t="n"/>
      <c r="AI270" s="3934" t="n"/>
      <c r="AJ270" s="3934" t="n"/>
      <c r="AK270" s="3934" t="n"/>
      <c r="AL270" s="3934" t="n"/>
      <c r="AM270" s="3934" t="n"/>
      <c r="AN270" s="3934" t="n"/>
      <c r="AO270" s="3934" t="n"/>
      <c r="AP270" s="3934" t="n"/>
      <c r="AQ270" s="3934" t="n"/>
      <c r="AR270" s="3934" t="n"/>
    </row>
    <row r="271">
      <c r="A271" s="3941" t="n"/>
      <c r="B271" s="3944" t="n"/>
      <c r="C271" s="3944" t="n"/>
      <c r="D271" s="3944" t="n"/>
      <c r="E271" s="3944" t="n"/>
      <c r="F271" s="3944" t="n"/>
      <c r="G271" s="3944" t="n"/>
      <c r="H271" s="3944" t="n"/>
      <c r="I271" s="3944" t="n"/>
      <c r="J271" s="3944" t="n"/>
      <c r="K271" s="3942">
        <f>IF(A271="","",SUM(E271:J271))</f>
        <v/>
      </c>
      <c r="L271" s="3934" t="n"/>
      <c r="M271" s="3934" t="n"/>
      <c r="N271" s="3934" t="n"/>
      <c r="O271" s="3934" t="n"/>
      <c r="P271" s="3934" t="n"/>
      <c r="Q271" s="3934" t="n"/>
      <c r="R271" s="3934" t="n"/>
      <c r="S271" s="3934" t="n"/>
      <c r="T271" s="3934" t="n"/>
      <c r="U271" s="3934" t="n"/>
      <c r="V271" s="3934" t="n"/>
      <c r="W271" s="3934" t="n"/>
      <c r="X271" s="3934" t="n"/>
      <c r="Y271" s="3934" t="n"/>
      <c r="Z271" s="3934" t="n"/>
      <c r="AA271" s="3934" t="n"/>
      <c r="AB271" s="3934" t="n"/>
      <c r="AC271" s="3934" t="n"/>
      <c r="AD271" s="3934" t="n"/>
      <c r="AE271" s="3934" t="n"/>
      <c r="AF271" s="3934" t="n"/>
      <c r="AG271" s="3934" t="n"/>
      <c r="AH271" s="3934" t="n"/>
      <c r="AI271" s="3934" t="n"/>
      <c r="AJ271" s="3934" t="n"/>
      <c r="AK271" s="3934" t="n"/>
      <c r="AL271" s="3934" t="n"/>
      <c r="AM271" s="3934" t="n"/>
      <c r="AN271" s="3934" t="n"/>
      <c r="AO271" s="3934" t="n"/>
      <c r="AP271" s="3934" t="n"/>
      <c r="AQ271" s="3934" t="n"/>
      <c r="AR271" s="3934" t="n"/>
    </row>
    <row r="272">
      <c r="A272" s="3941" t="n"/>
      <c r="B272" s="3944" t="n"/>
      <c r="C272" s="3944" t="n"/>
      <c r="D272" s="3944" t="n"/>
      <c r="E272" s="3944" t="n"/>
      <c r="F272" s="3944" t="n"/>
      <c r="G272" s="3944" t="n"/>
      <c r="H272" s="3944" t="n"/>
      <c r="I272" s="3944" t="n"/>
      <c r="J272" s="3944" t="n"/>
      <c r="K272" s="3942">
        <f>IF(A272="","",SUM(E272:J272))</f>
        <v/>
      </c>
      <c r="L272" s="3934" t="n"/>
      <c r="M272" s="3934" t="n"/>
      <c r="N272" s="3934" t="n"/>
      <c r="O272" s="3934" t="n"/>
      <c r="P272" s="3934" t="n"/>
      <c r="Q272" s="3934" t="n"/>
      <c r="R272" s="3934" t="n"/>
      <c r="S272" s="3934" t="n"/>
      <c r="T272" s="3934" t="n"/>
      <c r="U272" s="3934" t="n"/>
      <c r="V272" s="3934" t="n"/>
      <c r="W272" s="3934" t="n"/>
      <c r="X272" s="3934" t="n"/>
      <c r="Y272" s="3934" t="n"/>
      <c r="Z272" s="3934" t="n"/>
      <c r="AA272" s="3934" t="n"/>
      <c r="AB272" s="3934" t="n"/>
      <c r="AC272" s="3934" t="n"/>
      <c r="AD272" s="3934" t="n"/>
      <c r="AE272" s="3934" t="n"/>
      <c r="AF272" s="3934" t="n"/>
      <c r="AG272" s="3934" t="n"/>
      <c r="AH272" s="3934" t="n"/>
      <c r="AI272" s="3934" t="n"/>
      <c r="AJ272" s="3934" t="n"/>
      <c r="AK272" s="3934" t="n"/>
      <c r="AL272" s="3934" t="n"/>
      <c r="AM272" s="3934" t="n"/>
      <c r="AN272" s="3934" t="n"/>
      <c r="AO272" s="3934" t="n"/>
      <c r="AP272" s="3934" t="n"/>
      <c r="AQ272" s="3934" t="n"/>
      <c r="AR272" s="3934" t="n"/>
    </row>
    <row r="273">
      <c r="A273" s="3941" t="n"/>
      <c r="B273" s="3944" t="n"/>
      <c r="C273" s="3944" t="n"/>
      <c r="D273" s="3944" t="n"/>
      <c r="E273" s="3944" t="n"/>
      <c r="F273" s="3944" t="n"/>
      <c r="G273" s="3944" t="n"/>
      <c r="H273" s="3944" t="n"/>
      <c r="I273" s="3944" t="n"/>
      <c r="J273" s="3944" t="n"/>
      <c r="K273" s="3942">
        <f>IF(A273="","",SUM(E273:J273))</f>
        <v/>
      </c>
      <c r="L273" s="3934" t="n"/>
      <c r="M273" s="3934" t="n"/>
      <c r="N273" s="3934" t="n"/>
      <c r="O273" s="3934" t="n"/>
      <c r="P273" s="3934" t="n"/>
      <c r="Q273" s="3934" t="n"/>
      <c r="R273" s="3934" t="n"/>
      <c r="S273" s="3934" t="n"/>
      <c r="T273" s="3934" t="n"/>
      <c r="U273" s="3934" t="n"/>
      <c r="V273" s="3934" t="n"/>
      <c r="W273" s="3934" t="n"/>
      <c r="X273" s="3934" t="n"/>
      <c r="Y273" s="3934" t="n"/>
      <c r="Z273" s="3934" t="n"/>
      <c r="AA273" s="3934" t="n"/>
      <c r="AB273" s="3934" t="n"/>
      <c r="AC273" s="3934" t="n"/>
      <c r="AD273" s="3934" t="n"/>
      <c r="AE273" s="3934" t="n"/>
      <c r="AF273" s="3934" t="n"/>
      <c r="AG273" s="3934" t="n"/>
      <c r="AH273" s="3934" t="n"/>
      <c r="AI273" s="3934" t="n"/>
      <c r="AJ273" s="3934" t="n"/>
      <c r="AK273" s="3934" t="n"/>
      <c r="AL273" s="3934" t="n"/>
      <c r="AM273" s="3934" t="n"/>
      <c r="AN273" s="3934" t="n"/>
      <c r="AO273" s="3934" t="n"/>
      <c r="AP273" s="3934" t="n"/>
      <c r="AQ273" s="3934" t="n"/>
      <c r="AR273" s="3934" t="n"/>
    </row>
    <row r="274">
      <c r="A274" s="3941" t="n"/>
      <c r="B274" s="3944" t="n"/>
      <c r="C274" s="3944" t="n"/>
      <c r="D274" s="3944" t="n"/>
      <c r="E274" s="3944" t="n"/>
      <c r="F274" s="3944" t="n"/>
      <c r="G274" s="3944" t="n"/>
      <c r="H274" s="3944" t="n"/>
      <c r="I274" s="3944" t="n"/>
      <c r="J274" s="3944" t="n"/>
      <c r="K274" s="3942">
        <f>IF(A274="","",SUM(E274:J274))</f>
        <v/>
      </c>
      <c r="L274" s="3934" t="n"/>
      <c r="M274" s="3934" t="n"/>
      <c r="N274" s="3934" t="n"/>
      <c r="O274" s="3934" t="n"/>
      <c r="P274" s="3934" t="n"/>
      <c r="Q274" s="3934" t="n"/>
      <c r="R274" s="3934" t="n"/>
      <c r="S274" s="3934" t="n"/>
      <c r="T274" s="3934" t="n"/>
      <c r="U274" s="3934" t="n"/>
      <c r="V274" s="3934" t="n"/>
      <c r="W274" s="3934" t="n"/>
      <c r="X274" s="3934" t="n"/>
      <c r="Y274" s="3934" t="n"/>
      <c r="Z274" s="3934" t="n"/>
      <c r="AA274" s="3934" t="n"/>
      <c r="AB274" s="3934" t="n"/>
      <c r="AC274" s="3934" t="n"/>
      <c r="AD274" s="3934" t="n"/>
      <c r="AE274" s="3934" t="n"/>
      <c r="AF274" s="3934" t="n"/>
      <c r="AG274" s="3934" t="n"/>
      <c r="AH274" s="3934" t="n"/>
      <c r="AI274" s="3934" t="n"/>
      <c r="AJ274" s="3934" t="n"/>
      <c r="AK274" s="3934" t="n"/>
      <c r="AL274" s="3934" t="n"/>
      <c r="AM274" s="3934" t="n"/>
      <c r="AN274" s="3934" t="n"/>
      <c r="AO274" s="3934" t="n"/>
      <c r="AP274" s="3934" t="n"/>
      <c r="AQ274" s="3934" t="n"/>
      <c r="AR274" s="3934" t="n"/>
    </row>
    <row r="275">
      <c r="A275" s="3941" t="n"/>
      <c r="B275" s="3944" t="n"/>
      <c r="C275" s="3944" t="n"/>
      <c r="D275" s="3944" t="n"/>
      <c r="E275" s="3944" t="n"/>
      <c r="F275" s="3944" t="n"/>
      <c r="G275" s="3944" t="n"/>
      <c r="H275" s="3944" t="n"/>
      <c r="I275" s="3944" t="n"/>
      <c r="J275" s="3944" t="n"/>
      <c r="K275" s="3942">
        <f>IF(A275="","",SUM(E275:J275))</f>
        <v/>
      </c>
      <c r="L275" s="3934" t="n"/>
      <c r="M275" s="3934" t="n"/>
      <c r="N275" s="3934" t="n"/>
      <c r="O275" s="3934" t="n"/>
      <c r="P275" s="3934" t="n"/>
      <c r="Q275" s="3934" t="n"/>
      <c r="R275" s="3934" t="n"/>
      <c r="S275" s="3934" t="n"/>
      <c r="T275" s="3934" t="n"/>
      <c r="U275" s="3934" t="n"/>
      <c r="V275" s="3934" t="n"/>
      <c r="W275" s="3934" t="n"/>
      <c r="X275" s="3934" t="n"/>
      <c r="Y275" s="3934" t="n"/>
      <c r="Z275" s="3934" t="n"/>
      <c r="AA275" s="3934" t="n"/>
      <c r="AB275" s="3934" t="n"/>
      <c r="AC275" s="3934" t="n"/>
      <c r="AD275" s="3934" t="n"/>
      <c r="AE275" s="3934" t="n"/>
      <c r="AF275" s="3934" t="n"/>
      <c r="AG275" s="3934" t="n"/>
      <c r="AH275" s="3934" t="n"/>
      <c r="AI275" s="3934" t="n"/>
      <c r="AJ275" s="3934" t="n"/>
      <c r="AK275" s="3934" t="n"/>
      <c r="AL275" s="3934" t="n"/>
      <c r="AM275" s="3934" t="n"/>
      <c r="AN275" s="3934" t="n"/>
      <c r="AO275" s="3934" t="n"/>
      <c r="AP275" s="3934" t="n"/>
      <c r="AQ275" s="3934" t="n"/>
      <c r="AR275" s="3934" t="n"/>
    </row>
    <row r="276">
      <c r="A276" s="3941" t="n"/>
      <c r="B276" s="3944" t="n"/>
      <c r="C276" s="3944" t="n"/>
      <c r="D276" s="3944" t="n"/>
      <c r="E276" s="3944" t="n"/>
      <c r="F276" s="3944" t="n"/>
      <c r="G276" s="3944" t="n"/>
      <c r="H276" s="3944" t="n"/>
      <c r="I276" s="3944" t="n"/>
      <c r="J276" s="3944" t="n"/>
      <c r="K276" s="3942">
        <f>IF(A276="","",SUM(E276:J276))</f>
        <v/>
      </c>
      <c r="L276" s="3934" t="n"/>
      <c r="M276" s="3934" t="n"/>
      <c r="N276" s="3934" t="n"/>
      <c r="O276" s="3934" t="n"/>
      <c r="P276" s="3934" t="n"/>
      <c r="Q276" s="3934" t="n"/>
      <c r="R276" s="3934" t="n"/>
      <c r="S276" s="3934" t="n"/>
      <c r="T276" s="3934" t="n"/>
      <c r="U276" s="3934" t="n"/>
      <c r="V276" s="3934" t="n"/>
      <c r="W276" s="3934" t="n"/>
      <c r="X276" s="3934" t="n"/>
      <c r="Y276" s="3934" t="n"/>
      <c r="Z276" s="3934" t="n"/>
      <c r="AA276" s="3934" t="n"/>
      <c r="AB276" s="3934" t="n"/>
      <c r="AC276" s="3934" t="n"/>
      <c r="AD276" s="3934" t="n"/>
      <c r="AE276" s="3934" t="n"/>
      <c r="AF276" s="3934" t="n"/>
      <c r="AG276" s="3934" t="n"/>
      <c r="AH276" s="3934" t="n"/>
      <c r="AI276" s="3934" t="n"/>
      <c r="AJ276" s="3934" t="n"/>
      <c r="AK276" s="3934" t="n"/>
      <c r="AL276" s="3934" t="n"/>
      <c r="AM276" s="3934" t="n"/>
      <c r="AN276" s="3934" t="n"/>
      <c r="AO276" s="3934" t="n"/>
      <c r="AP276" s="3934" t="n"/>
      <c r="AQ276" s="3934" t="n"/>
      <c r="AR276" s="3934" t="n"/>
    </row>
    <row r="277">
      <c r="A277" s="3941" t="n"/>
      <c r="B277" s="3944" t="n"/>
      <c r="C277" s="3944" t="n"/>
      <c r="D277" s="3944" t="n"/>
      <c r="E277" s="3944" t="n"/>
      <c r="F277" s="3944" t="n"/>
      <c r="G277" s="3944" t="n"/>
      <c r="H277" s="3944" t="n"/>
      <c r="I277" s="3944" t="n"/>
      <c r="J277" s="3944" t="n"/>
      <c r="K277" s="3942">
        <f>IF(A277="","",SUM(E277:J277))</f>
        <v/>
      </c>
      <c r="L277" s="3934" t="n"/>
      <c r="M277" s="3934" t="n"/>
      <c r="N277" s="3934" t="n"/>
      <c r="O277" s="3934" t="n"/>
      <c r="P277" s="3934" t="n"/>
      <c r="Q277" s="3934" t="n"/>
      <c r="R277" s="3934" t="n"/>
      <c r="S277" s="3934" t="n"/>
      <c r="T277" s="3934" t="n"/>
      <c r="U277" s="3934" t="n"/>
      <c r="V277" s="3934" t="n"/>
      <c r="W277" s="3934" t="n"/>
      <c r="X277" s="3934" t="n"/>
      <c r="Y277" s="3934" t="n"/>
      <c r="Z277" s="3934" t="n"/>
      <c r="AA277" s="3934" t="n"/>
      <c r="AB277" s="3934" t="n"/>
      <c r="AC277" s="3934" t="n"/>
      <c r="AD277" s="3934" t="n"/>
      <c r="AE277" s="3934" t="n"/>
      <c r="AF277" s="3934" t="n"/>
      <c r="AG277" s="3934" t="n"/>
      <c r="AH277" s="3934" t="n"/>
      <c r="AI277" s="3934" t="n"/>
      <c r="AJ277" s="3934" t="n"/>
      <c r="AK277" s="3934" t="n"/>
      <c r="AL277" s="3934" t="n"/>
      <c r="AM277" s="3934" t="n"/>
      <c r="AN277" s="3934" t="n"/>
      <c r="AO277" s="3934" t="n"/>
      <c r="AP277" s="3934" t="n"/>
      <c r="AQ277" s="3934" t="n"/>
      <c r="AR277" s="3934" t="n"/>
    </row>
    <row r="278">
      <c r="A278" s="3941" t="n"/>
      <c r="B278" s="3944" t="n"/>
      <c r="C278" s="3944" t="n"/>
      <c r="D278" s="3944" t="n"/>
      <c r="E278" s="3944" t="n"/>
      <c r="F278" s="3944" t="n"/>
      <c r="G278" s="3944" t="n"/>
      <c r="H278" s="3944" t="n"/>
      <c r="I278" s="3944" t="n"/>
      <c r="J278" s="3944" t="n"/>
      <c r="K278" s="3942">
        <f>IF(A278="","",SUM(E278:J278))</f>
        <v/>
      </c>
      <c r="L278" s="3934" t="n"/>
      <c r="M278" s="3934" t="n"/>
      <c r="N278" s="3934" t="n"/>
      <c r="O278" s="3934" t="n"/>
      <c r="P278" s="3934" t="n"/>
      <c r="Q278" s="3934" t="n"/>
      <c r="R278" s="3934" t="n"/>
      <c r="S278" s="3934" t="n"/>
      <c r="T278" s="3934" t="n"/>
      <c r="U278" s="3934" t="n"/>
      <c r="V278" s="3934" t="n"/>
      <c r="W278" s="3934" t="n"/>
      <c r="X278" s="3934" t="n"/>
      <c r="Y278" s="3934" t="n"/>
      <c r="Z278" s="3934" t="n"/>
      <c r="AA278" s="3934" t="n"/>
      <c r="AB278" s="3934" t="n"/>
      <c r="AC278" s="3934" t="n"/>
      <c r="AD278" s="3934" t="n"/>
      <c r="AE278" s="3934" t="n"/>
      <c r="AF278" s="3934" t="n"/>
      <c r="AG278" s="3934" t="n"/>
      <c r="AH278" s="3934" t="n"/>
      <c r="AI278" s="3934" t="n"/>
      <c r="AJ278" s="3934" t="n"/>
      <c r="AK278" s="3934" t="n"/>
      <c r="AL278" s="3934" t="n"/>
      <c r="AM278" s="3934" t="n"/>
      <c r="AN278" s="3934" t="n"/>
      <c r="AO278" s="3934" t="n"/>
      <c r="AP278" s="3934" t="n"/>
      <c r="AQ278" s="3934" t="n"/>
      <c r="AR278" s="3934" t="n"/>
    </row>
    <row r="279">
      <c r="A279" s="3941" t="n"/>
      <c r="B279" s="3944" t="n"/>
      <c r="C279" s="3944" t="n"/>
      <c r="D279" s="3944" t="n"/>
      <c r="E279" s="3944" t="n"/>
      <c r="F279" s="3944" t="n"/>
      <c r="G279" s="3944" t="n"/>
      <c r="H279" s="3944" t="n"/>
      <c r="I279" s="3944" t="n"/>
      <c r="J279" s="3944" t="n"/>
      <c r="K279" s="3942">
        <f>IF(A279="","",SUM(E279:J279))</f>
        <v/>
      </c>
      <c r="L279" s="3934" t="n"/>
      <c r="M279" s="3934" t="n"/>
      <c r="N279" s="3934" t="n"/>
      <c r="O279" s="3934" t="n"/>
      <c r="P279" s="3934" t="n"/>
      <c r="Q279" s="3934" t="n"/>
      <c r="R279" s="3934" t="n"/>
      <c r="S279" s="3934" t="n"/>
      <c r="T279" s="3934" t="n"/>
      <c r="U279" s="3934" t="n"/>
      <c r="V279" s="3934" t="n"/>
      <c r="W279" s="3934" t="n"/>
      <c r="X279" s="3934" t="n"/>
      <c r="Y279" s="3934" t="n"/>
      <c r="Z279" s="3934" t="n"/>
      <c r="AA279" s="3934" t="n"/>
      <c r="AB279" s="3934" t="n"/>
      <c r="AC279" s="3934" t="n"/>
      <c r="AD279" s="3934" t="n"/>
      <c r="AE279" s="3934" t="n"/>
      <c r="AF279" s="3934" t="n"/>
      <c r="AG279" s="3934" t="n"/>
      <c r="AH279" s="3934" t="n"/>
      <c r="AI279" s="3934" t="n"/>
      <c r="AJ279" s="3934" t="n"/>
      <c r="AK279" s="3934" t="n"/>
      <c r="AL279" s="3934" t="n"/>
      <c r="AM279" s="3934" t="n"/>
      <c r="AN279" s="3934" t="n"/>
      <c r="AO279" s="3934" t="n"/>
      <c r="AP279" s="3934" t="n"/>
      <c r="AQ279" s="3934" t="n"/>
      <c r="AR279" s="3934" t="n"/>
    </row>
    <row r="280">
      <c r="A280" s="3941" t="n"/>
      <c r="B280" s="3944" t="n"/>
      <c r="C280" s="3944" t="n"/>
      <c r="D280" s="3944" t="n"/>
      <c r="E280" s="3944" t="n"/>
      <c r="F280" s="3944" t="n"/>
      <c r="G280" s="3944" t="n"/>
      <c r="H280" s="3944" t="n"/>
      <c r="I280" s="3944" t="n"/>
      <c r="J280" s="3944" t="n"/>
      <c r="K280" s="3942">
        <f>IF(A280="","",SUM(E280:J280))</f>
        <v/>
      </c>
      <c r="L280" s="3934" t="n"/>
      <c r="M280" s="3934" t="n"/>
      <c r="N280" s="3934" t="n"/>
      <c r="O280" s="3934" t="n"/>
      <c r="P280" s="3934" t="n"/>
      <c r="Q280" s="3934" t="n"/>
      <c r="R280" s="3934" t="n"/>
      <c r="S280" s="3934" t="n"/>
      <c r="T280" s="3934" t="n"/>
      <c r="U280" s="3934" t="n"/>
      <c r="V280" s="3934" t="n"/>
      <c r="W280" s="3934" t="n"/>
      <c r="X280" s="3934" t="n"/>
      <c r="Y280" s="3934" t="n"/>
      <c r="Z280" s="3934" t="n"/>
      <c r="AA280" s="3934" t="n"/>
      <c r="AB280" s="3934" t="n"/>
      <c r="AC280" s="3934" t="n"/>
      <c r="AD280" s="3934" t="n"/>
      <c r="AE280" s="3934" t="n"/>
      <c r="AF280" s="3934" t="n"/>
      <c r="AG280" s="3934" t="n"/>
      <c r="AH280" s="3934" t="n"/>
      <c r="AI280" s="3934" t="n"/>
      <c r="AJ280" s="3934" t="n"/>
      <c r="AK280" s="3934" t="n"/>
      <c r="AL280" s="3934" t="n"/>
      <c r="AM280" s="3934" t="n"/>
      <c r="AN280" s="3934" t="n"/>
      <c r="AO280" s="3934" t="n"/>
      <c r="AP280" s="3934" t="n"/>
      <c r="AQ280" s="3934" t="n"/>
      <c r="AR280" s="3934" t="n"/>
    </row>
    <row r="281">
      <c r="A281" s="3941" t="n"/>
      <c r="B281" s="3944" t="n"/>
      <c r="C281" s="3944" t="n"/>
      <c r="D281" s="3944" t="n"/>
      <c r="E281" s="3944" t="n"/>
      <c r="F281" s="3944" t="n"/>
      <c r="G281" s="3944" t="n"/>
      <c r="H281" s="3944" t="n"/>
      <c r="I281" s="3944" t="n"/>
      <c r="J281" s="3944" t="n"/>
      <c r="K281" s="3942">
        <f>IF(A281="","",SUM(E281:J281))</f>
        <v/>
      </c>
      <c r="L281" s="3934" t="n"/>
      <c r="M281" s="3934" t="n"/>
      <c r="N281" s="3934" t="n"/>
      <c r="O281" s="3934" t="n"/>
      <c r="P281" s="3934" t="n"/>
      <c r="Q281" s="3934" t="n"/>
      <c r="R281" s="3934" t="n"/>
      <c r="S281" s="3934" t="n"/>
      <c r="T281" s="3934" t="n"/>
      <c r="U281" s="3934" t="n"/>
      <c r="V281" s="3934" t="n"/>
      <c r="W281" s="3934" t="n"/>
      <c r="X281" s="3934" t="n"/>
      <c r="Y281" s="3934" t="n"/>
      <c r="Z281" s="3934" t="n"/>
      <c r="AA281" s="3934" t="n"/>
      <c r="AB281" s="3934" t="n"/>
      <c r="AC281" s="3934" t="n"/>
      <c r="AD281" s="3934" t="n"/>
      <c r="AE281" s="3934" t="n"/>
      <c r="AF281" s="3934" t="n"/>
      <c r="AG281" s="3934" t="n"/>
      <c r="AH281" s="3934" t="n"/>
      <c r="AI281" s="3934" t="n"/>
      <c r="AJ281" s="3934" t="n"/>
      <c r="AK281" s="3934" t="n"/>
      <c r="AL281" s="3934" t="n"/>
      <c r="AM281" s="3934" t="n"/>
      <c r="AN281" s="3934" t="n"/>
      <c r="AO281" s="3934" t="n"/>
      <c r="AP281" s="3934" t="n"/>
      <c r="AQ281" s="3934" t="n"/>
      <c r="AR281" s="3934" t="n"/>
    </row>
    <row r="282">
      <c r="A282" s="3941" t="n"/>
      <c r="B282" s="3944" t="n"/>
      <c r="C282" s="3944" t="n"/>
      <c r="D282" s="3944" t="n"/>
      <c r="E282" s="3944" t="n"/>
      <c r="F282" s="3944" t="n"/>
      <c r="G282" s="3944" t="n"/>
      <c r="H282" s="3944" t="n"/>
      <c r="I282" s="3944" t="n"/>
      <c r="J282" s="3944" t="n"/>
      <c r="K282" s="3942">
        <f>IF(A282="","",SUM(E282:J282))</f>
        <v/>
      </c>
      <c r="L282" s="3934" t="n"/>
      <c r="M282" s="3934" t="n"/>
      <c r="N282" s="3934" t="n"/>
      <c r="O282" s="3934" t="n"/>
      <c r="P282" s="3934" t="n"/>
      <c r="Q282" s="3934" t="n"/>
      <c r="R282" s="3934" t="n"/>
      <c r="S282" s="3934" t="n"/>
      <c r="T282" s="3934" t="n"/>
      <c r="U282" s="3934" t="n"/>
      <c r="V282" s="3934" t="n"/>
      <c r="W282" s="3934" t="n"/>
      <c r="X282" s="3934" t="n"/>
      <c r="Y282" s="3934" t="n"/>
      <c r="Z282" s="3934" t="n"/>
      <c r="AA282" s="3934" t="n"/>
      <c r="AB282" s="3934" t="n"/>
      <c r="AC282" s="3934" t="n"/>
      <c r="AD282" s="3934" t="n"/>
      <c r="AE282" s="3934" t="n"/>
      <c r="AF282" s="3934" t="n"/>
      <c r="AG282" s="3934" t="n"/>
      <c r="AH282" s="3934" t="n"/>
      <c r="AI282" s="3934" t="n"/>
      <c r="AJ282" s="3934" t="n"/>
      <c r="AK282" s="3934" t="n"/>
      <c r="AL282" s="3934" t="n"/>
      <c r="AM282" s="3934" t="n"/>
      <c r="AN282" s="3934" t="n"/>
      <c r="AO282" s="3934" t="n"/>
      <c r="AP282" s="3934" t="n"/>
      <c r="AQ282" s="3934" t="n"/>
      <c r="AR282" s="3934" t="n"/>
    </row>
    <row r="283">
      <c r="A283" s="3941" t="n"/>
      <c r="B283" s="3944" t="n"/>
      <c r="C283" s="3944" t="n"/>
      <c r="D283" s="3944" t="n"/>
      <c r="E283" s="3944" t="n"/>
      <c r="F283" s="3944" t="n"/>
      <c r="G283" s="3944" t="n"/>
      <c r="H283" s="3944" t="n"/>
      <c r="I283" s="3944" t="n"/>
      <c r="J283" s="3944" t="n"/>
      <c r="K283" s="3942">
        <f>IF(A283="","",SUM(E283:J283))</f>
        <v/>
      </c>
      <c r="L283" s="3934" t="n"/>
      <c r="M283" s="3934" t="n"/>
      <c r="N283" s="3934" t="n"/>
      <c r="O283" s="3934" t="n"/>
      <c r="P283" s="3934" t="n"/>
      <c r="Q283" s="3934" t="n"/>
      <c r="R283" s="3934" t="n"/>
      <c r="S283" s="3934" t="n"/>
      <c r="T283" s="3934" t="n"/>
      <c r="U283" s="3934" t="n"/>
      <c r="V283" s="3934" t="n"/>
      <c r="W283" s="3934" t="n"/>
      <c r="X283" s="3934" t="n"/>
      <c r="Y283" s="3934" t="n"/>
      <c r="Z283" s="3934" t="n"/>
      <c r="AA283" s="3934" t="n"/>
      <c r="AB283" s="3934" t="n"/>
      <c r="AC283" s="3934" t="n"/>
      <c r="AD283" s="3934" t="n"/>
      <c r="AE283" s="3934" t="n"/>
      <c r="AF283" s="3934" t="n"/>
      <c r="AG283" s="3934" t="n"/>
      <c r="AH283" s="3934" t="n"/>
      <c r="AI283" s="3934" t="n"/>
      <c r="AJ283" s="3934" t="n"/>
      <c r="AK283" s="3934" t="n"/>
      <c r="AL283" s="3934" t="n"/>
      <c r="AM283" s="3934" t="n"/>
      <c r="AN283" s="3934" t="n"/>
      <c r="AO283" s="3934" t="n"/>
      <c r="AP283" s="3934" t="n"/>
      <c r="AQ283" s="3934" t="n"/>
      <c r="AR283" s="3934" t="n"/>
    </row>
    <row r="284">
      <c r="A284" s="3941" t="n"/>
      <c r="B284" s="3944" t="n"/>
      <c r="C284" s="3944" t="n"/>
      <c r="D284" s="3944" t="n"/>
      <c r="E284" s="3944" t="n"/>
      <c r="F284" s="3944" t="n"/>
      <c r="G284" s="3944" t="n"/>
      <c r="H284" s="3944" t="n"/>
      <c r="I284" s="3944" t="n"/>
      <c r="J284" s="3944" t="n"/>
      <c r="K284" s="3942">
        <f>IF(A284="","",SUM(E284:J284))</f>
        <v/>
      </c>
      <c r="L284" s="3934" t="n"/>
      <c r="M284" s="3934" t="n"/>
      <c r="N284" s="3934" t="n"/>
      <c r="O284" s="3934" t="n"/>
      <c r="P284" s="3934" t="n"/>
      <c r="Q284" s="3934" t="n"/>
      <c r="R284" s="3934" t="n"/>
      <c r="S284" s="3934" t="n"/>
      <c r="T284" s="3934" t="n"/>
      <c r="U284" s="3934" t="n"/>
      <c r="V284" s="3934" t="n"/>
      <c r="W284" s="3934" t="n"/>
      <c r="X284" s="3934" t="n"/>
      <c r="Y284" s="3934" t="n"/>
      <c r="Z284" s="3934" t="n"/>
      <c r="AA284" s="3934" t="n"/>
      <c r="AB284" s="3934" t="n"/>
      <c r="AC284" s="3934" t="n"/>
      <c r="AD284" s="3934" t="n"/>
      <c r="AE284" s="3934" t="n"/>
      <c r="AF284" s="3934" t="n"/>
      <c r="AG284" s="3934" t="n"/>
      <c r="AH284" s="3934" t="n"/>
      <c r="AI284" s="3934" t="n"/>
      <c r="AJ284" s="3934" t="n"/>
      <c r="AK284" s="3934" t="n"/>
      <c r="AL284" s="3934" t="n"/>
      <c r="AM284" s="3934" t="n"/>
      <c r="AN284" s="3934" t="n"/>
      <c r="AO284" s="3934" t="n"/>
      <c r="AP284" s="3934" t="n"/>
      <c r="AQ284" s="3934" t="n"/>
      <c r="AR284" s="3934" t="n"/>
    </row>
    <row r="285">
      <c r="A285" s="3941" t="n"/>
      <c r="B285" s="3944" t="n"/>
      <c r="C285" s="3944" t="n"/>
      <c r="D285" s="3944" t="n"/>
      <c r="E285" s="3944" t="n"/>
      <c r="F285" s="3944" t="n"/>
      <c r="G285" s="3944" t="n"/>
      <c r="H285" s="3944" t="n"/>
      <c r="I285" s="3944" t="n"/>
      <c r="J285" s="3944" t="n"/>
      <c r="K285" s="3942">
        <f>IF(A285="","",SUM(E285:J285))</f>
        <v/>
      </c>
      <c r="L285" s="3934" t="n"/>
      <c r="M285" s="3934" t="n"/>
      <c r="N285" s="3934" t="n"/>
      <c r="O285" s="3934" t="n"/>
      <c r="P285" s="3934" t="n"/>
      <c r="Q285" s="3934" t="n"/>
      <c r="R285" s="3934" t="n"/>
      <c r="S285" s="3934" t="n"/>
      <c r="T285" s="3934" t="n"/>
      <c r="U285" s="3934" t="n"/>
      <c r="V285" s="3934" t="n"/>
      <c r="W285" s="3934" t="n"/>
      <c r="X285" s="3934" t="n"/>
      <c r="Y285" s="3934" t="n"/>
      <c r="Z285" s="3934" t="n"/>
      <c r="AA285" s="3934" t="n"/>
      <c r="AB285" s="3934" t="n"/>
      <c r="AC285" s="3934" t="n"/>
      <c r="AD285" s="3934" t="n"/>
      <c r="AE285" s="3934" t="n"/>
      <c r="AF285" s="3934" t="n"/>
      <c r="AG285" s="3934" t="n"/>
      <c r="AH285" s="3934" t="n"/>
      <c r="AI285" s="3934" t="n"/>
      <c r="AJ285" s="3934" t="n"/>
      <c r="AK285" s="3934" t="n"/>
      <c r="AL285" s="3934" t="n"/>
      <c r="AM285" s="3934" t="n"/>
      <c r="AN285" s="3934" t="n"/>
      <c r="AO285" s="3934" t="n"/>
      <c r="AP285" s="3934" t="n"/>
      <c r="AQ285" s="3934" t="n"/>
      <c r="AR285" s="3934" t="n"/>
    </row>
    <row r="286">
      <c r="A286" s="3941" t="n"/>
      <c r="B286" s="3944" t="n"/>
      <c r="C286" s="3944" t="n"/>
      <c r="D286" s="3944" t="n"/>
      <c r="E286" s="3944" t="n"/>
      <c r="F286" s="3944" t="n"/>
      <c r="G286" s="3944" t="n"/>
      <c r="H286" s="3944" t="n"/>
      <c r="I286" s="3944" t="n"/>
      <c r="J286" s="3944" t="n"/>
      <c r="K286" s="3942">
        <f>IF(A286="","",SUM(E286:J286))</f>
        <v/>
      </c>
      <c r="L286" s="3934" t="n"/>
      <c r="M286" s="3934" t="n"/>
      <c r="N286" s="3934" t="n"/>
      <c r="O286" s="3934" t="n"/>
      <c r="P286" s="3934" t="n"/>
      <c r="Q286" s="3934" t="n"/>
      <c r="R286" s="3934" t="n"/>
      <c r="S286" s="3934" t="n"/>
      <c r="T286" s="3934" t="n"/>
      <c r="U286" s="3934" t="n"/>
      <c r="V286" s="3934" t="n"/>
      <c r="W286" s="3934" t="n"/>
      <c r="X286" s="3934" t="n"/>
      <c r="Y286" s="3934" t="n"/>
      <c r="Z286" s="3934" t="n"/>
      <c r="AA286" s="3934" t="n"/>
      <c r="AB286" s="3934" t="n"/>
      <c r="AC286" s="3934" t="n"/>
      <c r="AD286" s="3934" t="n"/>
      <c r="AE286" s="3934" t="n"/>
      <c r="AF286" s="3934" t="n"/>
      <c r="AG286" s="3934" t="n"/>
      <c r="AH286" s="3934" t="n"/>
      <c r="AI286" s="3934" t="n"/>
      <c r="AJ286" s="3934" t="n"/>
      <c r="AK286" s="3934" t="n"/>
      <c r="AL286" s="3934" t="n"/>
      <c r="AM286" s="3934" t="n"/>
      <c r="AN286" s="3934" t="n"/>
      <c r="AO286" s="3934" t="n"/>
      <c r="AP286" s="3934" t="n"/>
      <c r="AQ286" s="3934" t="n"/>
      <c r="AR286" s="3934" t="n"/>
    </row>
    <row r="287">
      <c r="A287" s="3941" t="n"/>
      <c r="B287" s="3944" t="n"/>
      <c r="C287" s="3944" t="n"/>
      <c r="D287" s="3944" t="n"/>
      <c r="E287" s="3944" t="n"/>
      <c r="F287" s="3944" t="n"/>
      <c r="G287" s="3944" t="n"/>
      <c r="H287" s="3944" t="n"/>
      <c r="I287" s="3944" t="n"/>
      <c r="J287" s="3944" t="n"/>
      <c r="K287" s="3942">
        <f>IF(A287="","",SUM(E287:J287))</f>
        <v/>
      </c>
      <c r="L287" s="3934" t="n"/>
      <c r="M287" s="3934" t="n"/>
      <c r="N287" s="3934" t="n"/>
      <c r="O287" s="3934" t="n"/>
      <c r="P287" s="3934" t="n"/>
      <c r="Q287" s="3934" t="n"/>
      <c r="R287" s="3934" t="n"/>
      <c r="S287" s="3934" t="n"/>
      <c r="T287" s="3934" t="n"/>
      <c r="U287" s="3934" t="n"/>
      <c r="V287" s="3934" t="n"/>
      <c r="W287" s="3934" t="n"/>
      <c r="X287" s="3934" t="n"/>
      <c r="Y287" s="3934" t="n"/>
      <c r="Z287" s="3934" t="n"/>
      <c r="AA287" s="3934" t="n"/>
      <c r="AB287" s="3934" t="n"/>
      <c r="AC287" s="3934" t="n"/>
      <c r="AD287" s="3934" t="n"/>
      <c r="AE287" s="3934" t="n"/>
      <c r="AF287" s="3934" t="n"/>
      <c r="AG287" s="3934" t="n"/>
      <c r="AH287" s="3934" t="n"/>
      <c r="AI287" s="3934" t="n"/>
      <c r="AJ287" s="3934" t="n"/>
      <c r="AK287" s="3934" t="n"/>
      <c r="AL287" s="3934" t="n"/>
      <c r="AM287" s="3934" t="n"/>
      <c r="AN287" s="3934" t="n"/>
      <c r="AO287" s="3934" t="n"/>
      <c r="AP287" s="3934" t="n"/>
      <c r="AQ287" s="3934" t="n"/>
      <c r="AR287" s="3934" t="n"/>
    </row>
    <row r="288">
      <c r="A288" s="3941" t="n"/>
      <c r="B288" s="3944" t="n"/>
      <c r="C288" s="3944" t="n"/>
      <c r="D288" s="3944" t="n"/>
      <c r="E288" s="3944" t="n"/>
      <c r="F288" s="3944" t="n"/>
      <c r="G288" s="3944" t="n"/>
      <c r="H288" s="3944" t="n"/>
      <c r="I288" s="3944" t="n"/>
      <c r="J288" s="3944" t="n"/>
      <c r="K288" s="3942">
        <f>IF(A288="","",SUM(E288:J288))</f>
        <v/>
      </c>
      <c r="L288" s="3934" t="n"/>
      <c r="M288" s="3934" t="n"/>
      <c r="N288" s="3934" t="n"/>
      <c r="O288" s="3934" t="n"/>
      <c r="P288" s="3934" t="n"/>
      <c r="Q288" s="3934" t="n"/>
      <c r="R288" s="3934" t="n"/>
      <c r="S288" s="3934" t="n"/>
      <c r="T288" s="3934" t="n"/>
      <c r="U288" s="3934" t="n"/>
      <c r="V288" s="3934" t="n"/>
      <c r="W288" s="3934" t="n"/>
      <c r="X288" s="3934" t="n"/>
      <c r="Y288" s="3934" t="n"/>
      <c r="Z288" s="3934" t="n"/>
      <c r="AA288" s="3934" t="n"/>
      <c r="AB288" s="3934" t="n"/>
      <c r="AC288" s="3934" t="n"/>
      <c r="AD288" s="3934" t="n"/>
      <c r="AE288" s="3934" t="n"/>
      <c r="AF288" s="3934" t="n"/>
      <c r="AG288" s="3934" t="n"/>
      <c r="AH288" s="3934" t="n"/>
      <c r="AI288" s="3934" t="n"/>
      <c r="AJ288" s="3934" t="n"/>
      <c r="AK288" s="3934" t="n"/>
      <c r="AL288" s="3934" t="n"/>
      <c r="AM288" s="3934" t="n"/>
      <c r="AN288" s="3934" t="n"/>
      <c r="AO288" s="3934" t="n"/>
      <c r="AP288" s="3934" t="n"/>
      <c r="AQ288" s="3934" t="n"/>
      <c r="AR288" s="3934" t="n"/>
    </row>
    <row r="289">
      <c r="A289" s="3941" t="n"/>
      <c r="B289" s="3944" t="n"/>
      <c r="C289" s="3944" t="n"/>
      <c r="D289" s="3944" t="n"/>
      <c r="E289" s="3944" t="n"/>
      <c r="F289" s="3944" t="n"/>
      <c r="G289" s="3944" t="n"/>
      <c r="H289" s="3944" t="n"/>
      <c r="I289" s="3944" t="n"/>
      <c r="J289" s="3944" t="n"/>
      <c r="K289" s="3942">
        <f>IF(A289="","",SUM(E289:J289))</f>
        <v/>
      </c>
      <c r="L289" s="3934" t="n"/>
      <c r="M289" s="3934" t="n"/>
      <c r="N289" s="3934" t="n"/>
      <c r="O289" s="3934" t="n"/>
      <c r="P289" s="3934" t="n"/>
      <c r="Q289" s="3934" t="n"/>
      <c r="R289" s="3934" t="n"/>
      <c r="S289" s="3934" t="n"/>
      <c r="T289" s="3934" t="n"/>
      <c r="U289" s="3934" t="n"/>
      <c r="V289" s="3934" t="n"/>
      <c r="W289" s="3934" t="n"/>
      <c r="X289" s="3934" t="n"/>
      <c r="Y289" s="3934" t="n"/>
      <c r="Z289" s="3934" t="n"/>
      <c r="AA289" s="3934" t="n"/>
      <c r="AB289" s="3934" t="n"/>
      <c r="AC289" s="3934" t="n"/>
      <c r="AD289" s="3934" t="n"/>
      <c r="AE289" s="3934" t="n"/>
      <c r="AF289" s="3934" t="n"/>
      <c r="AG289" s="3934" t="n"/>
      <c r="AH289" s="3934" t="n"/>
      <c r="AI289" s="3934" t="n"/>
      <c r="AJ289" s="3934" t="n"/>
      <c r="AK289" s="3934" t="n"/>
      <c r="AL289" s="3934" t="n"/>
      <c r="AM289" s="3934" t="n"/>
      <c r="AN289" s="3934" t="n"/>
      <c r="AO289" s="3934" t="n"/>
      <c r="AP289" s="3934" t="n"/>
      <c r="AQ289" s="3934" t="n"/>
      <c r="AR289" s="3934" t="n"/>
    </row>
    <row r="290">
      <c r="A290" s="3941" t="n"/>
      <c r="B290" s="3944" t="n"/>
      <c r="C290" s="3944" t="n"/>
      <c r="D290" s="3944" t="n"/>
      <c r="E290" s="3944" t="n"/>
      <c r="F290" s="3944" t="n"/>
      <c r="G290" s="3944" t="n"/>
      <c r="H290" s="3944" t="n"/>
      <c r="I290" s="3944" t="n"/>
      <c r="J290" s="3944" t="n"/>
      <c r="K290" s="3942">
        <f>IF(A290="","",SUM(E290:J290))</f>
        <v/>
      </c>
      <c r="L290" s="3934" t="n"/>
      <c r="M290" s="3934" t="n"/>
      <c r="N290" s="3934" t="n"/>
      <c r="O290" s="3934" t="n"/>
      <c r="P290" s="3934" t="n"/>
      <c r="Q290" s="3934" t="n"/>
      <c r="R290" s="3934" t="n"/>
      <c r="S290" s="3934" t="n"/>
      <c r="T290" s="3934" t="n"/>
      <c r="U290" s="3934" t="n"/>
      <c r="V290" s="3934" t="n"/>
      <c r="W290" s="3934" t="n"/>
      <c r="X290" s="3934" t="n"/>
      <c r="Y290" s="3934" t="n"/>
      <c r="Z290" s="3934" t="n"/>
      <c r="AA290" s="3934" t="n"/>
      <c r="AB290" s="3934" t="n"/>
      <c r="AC290" s="3934" t="n"/>
      <c r="AD290" s="3934" t="n"/>
      <c r="AE290" s="3934" t="n"/>
      <c r="AF290" s="3934" t="n"/>
      <c r="AG290" s="3934" t="n"/>
      <c r="AH290" s="3934" t="n"/>
      <c r="AI290" s="3934" t="n"/>
      <c r="AJ290" s="3934" t="n"/>
      <c r="AK290" s="3934" t="n"/>
      <c r="AL290" s="3934" t="n"/>
      <c r="AM290" s="3934" t="n"/>
      <c r="AN290" s="3934" t="n"/>
      <c r="AO290" s="3934" t="n"/>
      <c r="AP290" s="3934" t="n"/>
      <c r="AQ290" s="3934" t="n"/>
      <c r="AR290" s="3934" t="n"/>
    </row>
    <row r="291">
      <c r="A291" s="3941" t="n"/>
      <c r="B291" s="3944" t="n"/>
      <c r="C291" s="3944" t="n"/>
      <c r="D291" s="3944" t="n"/>
      <c r="E291" s="3944" t="n"/>
      <c r="F291" s="3944" t="n"/>
      <c r="G291" s="3944" t="n"/>
      <c r="H291" s="3944" t="n"/>
      <c r="I291" s="3944" t="n"/>
      <c r="J291" s="3944" t="n"/>
      <c r="K291" s="3942">
        <f>IF(A291="","",SUM(E291:J291))</f>
        <v/>
      </c>
      <c r="L291" s="3934" t="n"/>
      <c r="M291" s="3934" t="n"/>
      <c r="N291" s="3934" t="n"/>
      <c r="O291" s="3934" t="n"/>
      <c r="P291" s="3934" t="n"/>
      <c r="Q291" s="3934" t="n"/>
      <c r="R291" s="3934" t="n"/>
      <c r="S291" s="3934" t="n"/>
      <c r="T291" s="3934" t="n"/>
      <c r="U291" s="3934" t="n"/>
      <c r="V291" s="3934" t="n"/>
      <c r="W291" s="3934" t="n"/>
      <c r="X291" s="3934" t="n"/>
      <c r="Y291" s="3934" t="n"/>
      <c r="Z291" s="3934" t="n"/>
      <c r="AA291" s="3934" t="n"/>
      <c r="AB291" s="3934" t="n"/>
      <c r="AC291" s="3934" t="n"/>
      <c r="AD291" s="3934" t="n"/>
      <c r="AE291" s="3934" t="n"/>
      <c r="AF291" s="3934" t="n"/>
      <c r="AG291" s="3934" t="n"/>
      <c r="AH291" s="3934" t="n"/>
      <c r="AI291" s="3934" t="n"/>
      <c r="AJ291" s="3934" t="n"/>
      <c r="AK291" s="3934" t="n"/>
      <c r="AL291" s="3934" t="n"/>
      <c r="AM291" s="3934" t="n"/>
      <c r="AN291" s="3934" t="n"/>
      <c r="AO291" s="3934" t="n"/>
      <c r="AP291" s="3934" t="n"/>
      <c r="AQ291" s="3934" t="n"/>
      <c r="AR291" s="3934" t="n"/>
    </row>
    <row r="292">
      <c r="A292" s="3941" t="n"/>
      <c r="B292" s="3944" t="n"/>
      <c r="C292" s="3944" t="n"/>
      <c r="D292" s="3944" t="n"/>
      <c r="E292" s="3944" t="n"/>
      <c r="F292" s="3944" t="n"/>
      <c r="G292" s="3944" t="n"/>
      <c r="H292" s="3944" t="n"/>
      <c r="I292" s="3944" t="n"/>
      <c r="J292" s="3944" t="n"/>
      <c r="K292" s="3942">
        <f>IF(A292="","",SUM(E292:J292))</f>
        <v/>
      </c>
      <c r="L292" s="3934" t="n"/>
      <c r="M292" s="3934" t="n"/>
      <c r="N292" s="3934" t="n"/>
      <c r="O292" s="3934" t="n"/>
      <c r="P292" s="3934" t="n"/>
      <c r="Q292" s="3934" t="n"/>
      <c r="R292" s="3934" t="n"/>
      <c r="S292" s="3934" t="n"/>
      <c r="T292" s="3934" t="n"/>
      <c r="U292" s="3934" t="n"/>
      <c r="V292" s="3934" t="n"/>
      <c r="W292" s="3934" t="n"/>
      <c r="X292" s="3934" t="n"/>
      <c r="Y292" s="3934" t="n"/>
      <c r="Z292" s="3934" t="n"/>
      <c r="AA292" s="3934" t="n"/>
      <c r="AB292" s="3934" t="n"/>
      <c r="AC292" s="3934" t="n"/>
      <c r="AD292" s="3934" t="n"/>
      <c r="AE292" s="3934" t="n"/>
      <c r="AF292" s="3934" t="n"/>
      <c r="AG292" s="3934" t="n"/>
      <c r="AH292" s="3934" t="n"/>
      <c r="AI292" s="3934" t="n"/>
      <c r="AJ292" s="3934" t="n"/>
      <c r="AK292" s="3934" t="n"/>
      <c r="AL292" s="3934" t="n"/>
      <c r="AM292" s="3934" t="n"/>
      <c r="AN292" s="3934" t="n"/>
      <c r="AO292" s="3934" t="n"/>
      <c r="AP292" s="3934" t="n"/>
      <c r="AQ292" s="3934" t="n"/>
      <c r="AR292" s="3934" t="n"/>
    </row>
    <row r="293">
      <c r="A293" s="3941" t="n"/>
      <c r="B293" s="3944" t="n"/>
      <c r="C293" s="3944" t="n"/>
      <c r="D293" s="3944" t="n"/>
      <c r="E293" s="3944" t="n"/>
      <c r="F293" s="3944" t="n"/>
      <c r="G293" s="3944" t="n"/>
      <c r="H293" s="3944" t="n"/>
      <c r="I293" s="3944" t="n"/>
      <c r="J293" s="3944" t="n"/>
      <c r="K293" s="3942">
        <f>IF(A293="","",SUM(E293:J293))</f>
        <v/>
      </c>
      <c r="L293" s="3934" t="n"/>
      <c r="M293" s="3934" t="n"/>
      <c r="N293" s="3934" t="n"/>
      <c r="O293" s="3934" t="n"/>
      <c r="P293" s="3934" t="n"/>
      <c r="Q293" s="3934" t="n"/>
      <c r="R293" s="3934" t="n"/>
      <c r="S293" s="3934" t="n"/>
      <c r="T293" s="3934" t="n"/>
      <c r="U293" s="3934" t="n"/>
      <c r="V293" s="3934" t="n"/>
      <c r="W293" s="3934" t="n"/>
      <c r="X293" s="3934" t="n"/>
      <c r="Y293" s="3934" t="n"/>
      <c r="Z293" s="3934" t="n"/>
      <c r="AA293" s="3934" t="n"/>
      <c r="AB293" s="3934" t="n"/>
      <c r="AC293" s="3934" t="n"/>
      <c r="AD293" s="3934" t="n"/>
      <c r="AE293" s="3934" t="n"/>
      <c r="AF293" s="3934" t="n"/>
      <c r="AG293" s="3934" t="n"/>
      <c r="AH293" s="3934" t="n"/>
      <c r="AI293" s="3934" t="n"/>
      <c r="AJ293" s="3934" t="n"/>
      <c r="AK293" s="3934" t="n"/>
      <c r="AL293" s="3934" t="n"/>
      <c r="AM293" s="3934" t="n"/>
      <c r="AN293" s="3934" t="n"/>
      <c r="AO293" s="3934" t="n"/>
      <c r="AP293" s="3934" t="n"/>
      <c r="AQ293" s="3934" t="n"/>
      <c r="AR293" s="3934" t="n"/>
    </row>
    <row r="294">
      <c r="A294" s="3941" t="n"/>
      <c r="B294" s="3944" t="n"/>
      <c r="C294" s="3944" t="n"/>
      <c r="D294" s="3944" t="n"/>
      <c r="E294" s="3944" t="n"/>
      <c r="F294" s="3944" t="n"/>
      <c r="G294" s="3944" t="n"/>
      <c r="H294" s="3944" t="n"/>
      <c r="I294" s="3944" t="n"/>
      <c r="J294" s="3944" t="n"/>
      <c r="K294" s="3942">
        <f>IF(A294="","",SUM(E294:J294))</f>
        <v/>
      </c>
      <c r="L294" s="3934" t="n"/>
      <c r="M294" s="3934" t="n"/>
      <c r="N294" s="3934" t="n"/>
      <c r="O294" s="3934" t="n"/>
      <c r="P294" s="3934" t="n"/>
      <c r="Q294" s="3934" t="n"/>
      <c r="R294" s="3934" t="n"/>
      <c r="S294" s="3934" t="n"/>
      <c r="T294" s="3934" t="n"/>
      <c r="U294" s="3934" t="n"/>
      <c r="V294" s="3934" t="n"/>
      <c r="W294" s="3934" t="n"/>
      <c r="X294" s="3934" t="n"/>
      <c r="Y294" s="3934" t="n"/>
      <c r="Z294" s="3934" t="n"/>
      <c r="AA294" s="3934" t="n"/>
      <c r="AB294" s="3934" t="n"/>
      <c r="AC294" s="3934" t="n"/>
      <c r="AD294" s="3934" t="n"/>
      <c r="AE294" s="3934" t="n"/>
      <c r="AF294" s="3934" t="n"/>
      <c r="AG294" s="3934" t="n"/>
      <c r="AH294" s="3934" t="n"/>
      <c r="AI294" s="3934" t="n"/>
      <c r="AJ294" s="3934" t="n"/>
      <c r="AK294" s="3934" t="n"/>
      <c r="AL294" s="3934" t="n"/>
      <c r="AM294" s="3934" t="n"/>
      <c r="AN294" s="3934" t="n"/>
      <c r="AO294" s="3934" t="n"/>
      <c r="AP294" s="3934" t="n"/>
      <c r="AQ294" s="3934" t="n"/>
      <c r="AR294" s="3934" t="n"/>
    </row>
    <row r="295">
      <c r="A295" s="3941" t="n"/>
      <c r="B295" s="3944" t="n"/>
      <c r="C295" s="3944" t="n"/>
      <c r="D295" s="3944" t="n"/>
      <c r="E295" s="3944" t="n"/>
      <c r="F295" s="3944" t="n"/>
      <c r="G295" s="3944" t="n"/>
      <c r="H295" s="3944" t="n"/>
      <c r="I295" s="3944" t="n"/>
      <c r="J295" s="3944" t="n"/>
      <c r="K295" s="3942">
        <f>IF(A295="","",SUM(E295:J295))</f>
        <v/>
      </c>
      <c r="L295" s="3934" t="n"/>
      <c r="M295" s="3934" t="n"/>
      <c r="N295" s="3934" t="n"/>
      <c r="O295" s="3934" t="n"/>
      <c r="P295" s="3934" t="n"/>
      <c r="Q295" s="3934" t="n"/>
      <c r="R295" s="3934" t="n"/>
      <c r="S295" s="3934" t="n"/>
      <c r="T295" s="3934" t="n"/>
      <c r="U295" s="3934" t="n"/>
      <c r="V295" s="3934" t="n"/>
      <c r="W295" s="3934" t="n"/>
      <c r="X295" s="3934" t="n"/>
      <c r="Y295" s="3934" t="n"/>
      <c r="Z295" s="3934" t="n"/>
      <c r="AA295" s="3934" t="n"/>
      <c r="AB295" s="3934" t="n"/>
      <c r="AC295" s="3934" t="n"/>
      <c r="AD295" s="3934" t="n"/>
      <c r="AE295" s="3934" t="n"/>
      <c r="AF295" s="3934" t="n"/>
      <c r="AG295" s="3934" t="n"/>
      <c r="AH295" s="3934" t="n"/>
      <c r="AI295" s="3934" t="n"/>
      <c r="AJ295" s="3934" t="n"/>
      <c r="AK295" s="3934" t="n"/>
      <c r="AL295" s="3934" t="n"/>
      <c r="AM295" s="3934" t="n"/>
      <c r="AN295" s="3934" t="n"/>
      <c r="AO295" s="3934" t="n"/>
      <c r="AP295" s="3934" t="n"/>
      <c r="AQ295" s="3934" t="n"/>
      <c r="AR295" s="3934" t="n"/>
    </row>
    <row r="296">
      <c r="A296" s="3941" t="n"/>
      <c r="B296" s="3944" t="n"/>
      <c r="C296" s="3944" t="n"/>
      <c r="D296" s="3944" t="n"/>
      <c r="E296" s="3944" t="n"/>
      <c r="F296" s="3944" t="n"/>
      <c r="G296" s="3944" t="n"/>
      <c r="H296" s="3944" t="n"/>
      <c r="I296" s="3944" t="n"/>
      <c r="J296" s="3944" t="n"/>
      <c r="K296" s="3942">
        <f>IF(A296="","",SUM(E296:J296))</f>
        <v/>
      </c>
      <c r="L296" s="3934" t="n"/>
      <c r="M296" s="3934" t="n"/>
      <c r="N296" s="3934" t="n"/>
      <c r="O296" s="3934" t="n"/>
      <c r="P296" s="3934" t="n"/>
      <c r="Q296" s="3934" t="n"/>
      <c r="R296" s="3934" t="n"/>
      <c r="S296" s="3934" t="n"/>
      <c r="T296" s="3934" t="n"/>
      <c r="U296" s="3934" t="n"/>
      <c r="V296" s="3934" t="n"/>
      <c r="W296" s="3934" t="n"/>
      <c r="X296" s="3934" t="n"/>
      <c r="Y296" s="3934" t="n"/>
      <c r="Z296" s="3934" t="n"/>
      <c r="AA296" s="3934" t="n"/>
      <c r="AB296" s="3934" t="n"/>
      <c r="AC296" s="3934" t="n"/>
      <c r="AD296" s="3934" t="n"/>
      <c r="AE296" s="3934" t="n"/>
      <c r="AF296" s="3934" t="n"/>
      <c r="AG296" s="3934" t="n"/>
      <c r="AH296" s="3934" t="n"/>
      <c r="AI296" s="3934" t="n"/>
      <c r="AJ296" s="3934" t="n"/>
      <c r="AK296" s="3934" t="n"/>
      <c r="AL296" s="3934" t="n"/>
      <c r="AM296" s="3934" t="n"/>
      <c r="AN296" s="3934" t="n"/>
      <c r="AO296" s="3934" t="n"/>
      <c r="AP296" s="3934" t="n"/>
      <c r="AQ296" s="3934" t="n"/>
      <c r="AR296" s="3934" t="n"/>
    </row>
    <row r="297">
      <c r="A297" s="3941" t="n"/>
      <c r="B297" s="3944" t="n"/>
      <c r="C297" s="3944" t="n"/>
      <c r="D297" s="3944" t="n"/>
      <c r="E297" s="3944" t="n"/>
      <c r="F297" s="3944" t="n"/>
      <c r="G297" s="3944" t="n"/>
      <c r="H297" s="3944" t="n"/>
      <c r="I297" s="3944" t="n"/>
      <c r="J297" s="3944" t="n"/>
      <c r="K297" s="3942">
        <f>IF(A297="","",SUM(E297:J297))</f>
        <v/>
      </c>
      <c r="L297" s="3934" t="n"/>
      <c r="M297" s="3934" t="n"/>
      <c r="N297" s="3934" t="n"/>
      <c r="O297" s="3934" t="n"/>
      <c r="P297" s="3934" t="n"/>
      <c r="Q297" s="3934" t="n"/>
      <c r="R297" s="3934" t="n"/>
      <c r="S297" s="3934" t="n"/>
      <c r="T297" s="3934" t="n"/>
      <c r="U297" s="3934" t="n"/>
      <c r="V297" s="3934" t="n"/>
      <c r="W297" s="3934" t="n"/>
      <c r="X297" s="3934" t="n"/>
      <c r="Y297" s="3934" t="n"/>
      <c r="Z297" s="3934" t="n"/>
      <c r="AA297" s="3934" t="n"/>
      <c r="AB297" s="3934" t="n"/>
      <c r="AC297" s="3934" t="n"/>
      <c r="AD297" s="3934" t="n"/>
      <c r="AE297" s="3934" t="n"/>
      <c r="AF297" s="3934" t="n"/>
      <c r="AG297" s="3934" t="n"/>
      <c r="AH297" s="3934" t="n"/>
      <c r="AI297" s="3934" t="n"/>
      <c r="AJ297" s="3934" t="n"/>
      <c r="AK297" s="3934" t="n"/>
      <c r="AL297" s="3934" t="n"/>
      <c r="AM297" s="3934" t="n"/>
      <c r="AN297" s="3934" t="n"/>
      <c r="AO297" s="3934" t="n"/>
      <c r="AP297" s="3934" t="n"/>
      <c r="AQ297" s="3934" t="n"/>
      <c r="AR297" s="3934" t="n"/>
    </row>
    <row r="298">
      <c r="A298" s="3941" t="n"/>
      <c r="B298" s="3944" t="n"/>
      <c r="C298" s="3944" t="n"/>
      <c r="D298" s="3944" t="n"/>
      <c r="E298" s="3944" t="n"/>
      <c r="F298" s="3944" t="n"/>
      <c r="G298" s="3944" t="n"/>
      <c r="H298" s="3944" t="n"/>
      <c r="I298" s="3944" t="n"/>
      <c r="J298" s="3944" t="n"/>
      <c r="K298" s="3942">
        <f>IF(A298="","",SUM(E298:J298))</f>
        <v/>
      </c>
      <c r="L298" s="3934" t="n"/>
      <c r="M298" s="3934" t="n"/>
      <c r="N298" s="3934" t="n"/>
      <c r="O298" s="3934" t="n"/>
      <c r="P298" s="3934" t="n"/>
      <c r="Q298" s="3934" t="n"/>
      <c r="R298" s="3934" t="n"/>
      <c r="S298" s="3934" t="n"/>
      <c r="T298" s="3934" t="n"/>
      <c r="U298" s="3934" t="n"/>
      <c r="V298" s="3934" t="n"/>
      <c r="W298" s="3934" t="n"/>
      <c r="X298" s="3934" t="n"/>
      <c r="Y298" s="3934" t="n"/>
      <c r="Z298" s="3934" t="n"/>
      <c r="AA298" s="3934" t="n"/>
      <c r="AB298" s="3934" t="n"/>
      <c r="AC298" s="3934" t="n"/>
      <c r="AD298" s="3934" t="n"/>
      <c r="AE298" s="3934" t="n"/>
      <c r="AF298" s="3934" t="n"/>
      <c r="AG298" s="3934" t="n"/>
      <c r="AH298" s="3934" t="n"/>
      <c r="AI298" s="3934" t="n"/>
      <c r="AJ298" s="3934" t="n"/>
      <c r="AK298" s="3934" t="n"/>
      <c r="AL298" s="3934" t="n"/>
      <c r="AM298" s="3934" t="n"/>
      <c r="AN298" s="3934" t="n"/>
      <c r="AO298" s="3934" t="n"/>
      <c r="AP298" s="3934" t="n"/>
      <c r="AQ298" s="3934" t="n"/>
      <c r="AR298" s="3934" t="n"/>
    </row>
    <row r="299">
      <c r="A299" s="3941" t="n"/>
      <c r="B299" s="3944" t="n"/>
      <c r="C299" s="3944" t="n"/>
      <c r="D299" s="3944" t="n"/>
      <c r="E299" s="3944" t="n"/>
      <c r="F299" s="3944" t="n"/>
      <c r="G299" s="3944" t="n"/>
      <c r="H299" s="3944" t="n"/>
      <c r="I299" s="3944" t="n"/>
      <c r="J299" s="3944" t="n"/>
      <c r="K299" s="3942">
        <f>IF(A299="","",SUM(E299:J299))</f>
        <v/>
      </c>
      <c r="L299" s="3934" t="n"/>
      <c r="M299" s="3934" t="n"/>
      <c r="N299" s="3934" t="n"/>
      <c r="O299" s="3934" t="n"/>
      <c r="P299" s="3934" t="n"/>
      <c r="Q299" s="3934" t="n"/>
      <c r="R299" s="3934" t="n"/>
      <c r="S299" s="3934" t="n"/>
      <c r="T299" s="3934" t="n"/>
      <c r="U299" s="3934" t="n"/>
      <c r="V299" s="3934" t="n"/>
      <c r="W299" s="3934" t="n"/>
      <c r="X299" s="3934" t="n"/>
      <c r="Y299" s="3934" t="n"/>
      <c r="Z299" s="3934" t="n"/>
      <c r="AA299" s="3934" t="n"/>
      <c r="AB299" s="3934" t="n"/>
      <c r="AC299" s="3934" t="n"/>
      <c r="AD299" s="3934" t="n"/>
      <c r="AE299" s="3934" t="n"/>
      <c r="AF299" s="3934" t="n"/>
      <c r="AG299" s="3934" t="n"/>
      <c r="AH299" s="3934" t="n"/>
      <c r="AI299" s="3934" t="n"/>
      <c r="AJ299" s="3934" t="n"/>
      <c r="AK299" s="3934" t="n"/>
      <c r="AL299" s="3934" t="n"/>
      <c r="AM299" s="3934" t="n"/>
      <c r="AN299" s="3934" t="n"/>
      <c r="AO299" s="3934" t="n"/>
      <c r="AP299" s="3934" t="n"/>
      <c r="AQ299" s="3934" t="n"/>
      <c r="AR299" s="3934" t="n"/>
    </row>
    <row r="300">
      <c r="A300" s="3941" t="n"/>
      <c r="B300" s="3944" t="n"/>
      <c r="C300" s="3944" t="n"/>
      <c r="D300" s="3944" t="n"/>
      <c r="E300" s="3944" t="n"/>
      <c r="F300" s="3944" t="n"/>
      <c r="G300" s="3944" t="n"/>
      <c r="H300" s="3944" t="n"/>
      <c r="I300" s="3944" t="n"/>
      <c r="J300" s="3944" t="n"/>
      <c r="K300" s="3942">
        <f>IF(A300="","",SUM(E300:J300))</f>
        <v/>
      </c>
      <c r="L300" s="3934" t="n"/>
      <c r="M300" s="3934" t="n"/>
      <c r="N300" s="3934" t="n"/>
      <c r="O300" s="3934" t="n"/>
      <c r="P300" s="3934" t="n"/>
      <c r="Q300" s="3934" t="n"/>
      <c r="R300" s="3934" t="n"/>
      <c r="S300" s="3934" t="n"/>
      <c r="T300" s="3934" t="n"/>
      <c r="U300" s="3934" t="n"/>
      <c r="V300" s="3934" t="n"/>
      <c r="W300" s="3934" t="n"/>
      <c r="X300" s="3934" t="n"/>
      <c r="Y300" s="3934" t="n"/>
      <c r="Z300" s="3934" t="n"/>
      <c r="AA300" s="3934" t="n"/>
      <c r="AB300" s="3934" t="n"/>
      <c r="AC300" s="3934" t="n"/>
      <c r="AD300" s="3934" t="n"/>
      <c r="AE300" s="3934" t="n"/>
      <c r="AF300" s="3934" t="n"/>
      <c r="AG300" s="3934" t="n"/>
      <c r="AH300" s="3934" t="n"/>
      <c r="AI300" s="3934" t="n"/>
      <c r="AJ300" s="3934" t="n"/>
      <c r="AK300" s="3934" t="n"/>
      <c r="AL300" s="3934" t="n"/>
      <c r="AM300" s="3934" t="n"/>
      <c r="AN300" s="3934" t="n"/>
      <c r="AO300" s="3934" t="n"/>
      <c r="AP300" s="3934" t="n"/>
      <c r="AQ300" s="3934" t="n"/>
      <c r="AR300" s="3934" t="n"/>
    </row>
    <row r="301">
      <c r="A301" s="3941" t="n"/>
      <c r="B301" s="3944" t="n"/>
      <c r="C301" s="3944" t="n"/>
      <c r="D301" s="3944" t="n"/>
      <c r="E301" s="3944" t="n"/>
      <c r="F301" s="3944" t="n"/>
      <c r="G301" s="3944" t="n"/>
      <c r="H301" s="3944" t="n"/>
      <c r="I301" s="3944" t="n"/>
      <c r="J301" s="3944" t="n"/>
      <c r="K301" s="3942">
        <f>IF(A301="","",SUM(E301:J301))</f>
        <v/>
      </c>
      <c r="L301" s="3934" t="n"/>
      <c r="M301" s="3934" t="n"/>
      <c r="N301" s="3934" t="n"/>
      <c r="O301" s="3934" t="n"/>
      <c r="P301" s="3934" t="n"/>
      <c r="Q301" s="3934" t="n"/>
      <c r="R301" s="3934" t="n"/>
      <c r="S301" s="3934" t="n"/>
      <c r="T301" s="3934" t="n"/>
      <c r="U301" s="3934" t="n"/>
      <c r="V301" s="3934" t="n"/>
      <c r="W301" s="3934" t="n"/>
      <c r="X301" s="3934" t="n"/>
      <c r="Y301" s="3934" t="n"/>
      <c r="Z301" s="3934" t="n"/>
      <c r="AA301" s="3934" t="n"/>
      <c r="AB301" s="3934" t="n"/>
      <c r="AC301" s="3934" t="n"/>
      <c r="AD301" s="3934" t="n"/>
      <c r="AE301" s="3934" t="n"/>
      <c r="AF301" s="3934" t="n"/>
      <c r="AG301" s="3934" t="n"/>
      <c r="AH301" s="3934" t="n"/>
      <c r="AI301" s="3934" t="n"/>
      <c r="AJ301" s="3934" t="n"/>
      <c r="AK301" s="3934" t="n"/>
      <c r="AL301" s="3934" t="n"/>
      <c r="AM301" s="3934" t="n"/>
      <c r="AN301" s="3934" t="n"/>
      <c r="AO301" s="3934" t="n"/>
      <c r="AP301" s="3934" t="n"/>
      <c r="AQ301" s="3934" t="n"/>
      <c r="AR301" s="3934" t="n"/>
    </row>
    <row r="302">
      <c r="A302" s="3941" t="n"/>
      <c r="B302" s="3944" t="n"/>
      <c r="C302" s="3944" t="n"/>
      <c r="D302" s="3944" t="n"/>
      <c r="E302" s="3944" t="n"/>
      <c r="F302" s="3944" t="n"/>
      <c r="G302" s="3944" t="n"/>
      <c r="H302" s="3944" t="n"/>
      <c r="I302" s="3944" t="n"/>
      <c r="J302" s="3944" t="n"/>
      <c r="K302" s="3942">
        <f>IF(A302="","",SUM(E302:J302))</f>
        <v/>
      </c>
      <c r="L302" s="3934" t="n"/>
      <c r="M302" s="3934" t="n"/>
      <c r="N302" s="3934" t="n"/>
      <c r="O302" s="3934" t="n"/>
      <c r="P302" s="3934" t="n"/>
      <c r="Q302" s="3934" t="n"/>
      <c r="R302" s="3934" t="n"/>
      <c r="S302" s="3934" t="n"/>
      <c r="T302" s="3934" t="n"/>
      <c r="U302" s="3934" t="n"/>
      <c r="V302" s="3934" t="n"/>
      <c r="W302" s="3934" t="n"/>
      <c r="X302" s="3934" t="n"/>
      <c r="Y302" s="3934" t="n"/>
      <c r="Z302" s="3934" t="n"/>
      <c r="AA302" s="3934" t="n"/>
      <c r="AB302" s="3934" t="n"/>
      <c r="AC302" s="3934" t="n"/>
      <c r="AD302" s="3934" t="n"/>
      <c r="AE302" s="3934" t="n"/>
      <c r="AF302" s="3934" t="n"/>
      <c r="AG302" s="3934" t="n"/>
      <c r="AH302" s="3934" t="n"/>
      <c r="AI302" s="3934" t="n"/>
      <c r="AJ302" s="3934" t="n"/>
      <c r="AK302" s="3934" t="n"/>
      <c r="AL302" s="3934" t="n"/>
      <c r="AM302" s="3934" t="n"/>
      <c r="AN302" s="3934" t="n"/>
      <c r="AO302" s="3934" t="n"/>
      <c r="AP302" s="3934" t="n"/>
      <c r="AQ302" s="3934" t="n"/>
      <c r="AR302" s="3934" t="n"/>
    </row>
    <row r="303">
      <c r="A303" s="3941" t="n"/>
      <c r="B303" s="3944" t="n"/>
      <c r="C303" s="3944" t="n"/>
      <c r="D303" s="3944" t="n"/>
      <c r="E303" s="3944" t="n"/>
      <c r="F303" s="3944" t="n"/>
      <c r="G303" s="3944" t="n"/>
      <c r="H303" s="3944" t="n"/>
      <c r="I303" s="3944" t="n"/>
      <c r="J303" s="3944" t="n"/>
      <c r="K303" s="3942">
        <f>IF(A303="","",SUM(E303:J303))</f>
        <v/>
      </c>
      <c r="L303" s="3934" t="n"/>
      <c r="M303" s="3934" t="n"/>
      <c r="N303" s="3934" t="n"/>
      <c r="O303" s="3934" t="n"/>
      <c r="P303" s="3934" t="n"/>
      <c r="Q303" s="3934" t="n"/>
      <c r="R303" s="3934" t="n"/>
      <c r="S303" s="3934" t="n"/>
      <c r="T303" s="3934" t="n"/>
      <c r="U303" s="3934" t="n"/>
      <c r="V303" s="3934" t="n"/>
      <c r="W303" s="3934" t="n"/>
      <c r="X303" s="3934" t="n"/>
      <c r="Y303" s="3934" t="n"/>
      <c r="Z303" s="3934" t="n"/>
      <c r="AA303" s="3934" t="n"/>
      <c r="AB303" s="3934" t="n"/>
      <c r="AC303" s="3934" t="n"/>
      <c r="AD303" s="3934" t="n"/>
      <c r="AE303" s="3934" t="n"/>
      <c r="AF303" s="3934" t="n"/>
      <c r="AG303" s="3934" t="n"/>
      <c r="AH303" s="3934" t="n"/>
      <c r="AI303" s="3934" t="n"/>
      <c r="AJ303" s="3934" t="n"/>
      <c r="AK303" s="3934" t="n"/>
      <c r="AL303" s="3934" t="n"/>
      <c r="AM303" s="3934" t="n"/>
      <c r="AN303" s="3934" t="n"/>
      <c r="AO303" s="3934" t="n"/>
      <c r="AP303" s="3934" t="n"/>
      <c r="AQ303" s="3934" t="n"/>
      <c r="AR303" s="3934" t="n"/>
    </row>
    <row r="304">
      <c r="A304" s="3941" t="n"/>
      <c r="B304" s="3944" t="n"/>
      <c r="C304" s="3944" t="n"/>
      <c r="D304" s="3944" t="n"/>
      <c r="E304" s="3944" t="n"/>
      <c r="F304" s="3944" t="n"/>
      <c r="G304" s="3944" t="n"/>
      <c r="H304" s="3944" t="n"/>
      <c r="I304" s="3944" t="n"/>
      <c r="J304" s="3944" t="n"/>
      <c r="K304" s="3942">
        <f>IF(A304="","",SUM(E304:J304))</f>
        <v/>
      </c>
      <c r="L304" s="3934" t="n"/>
      <c r="M304" s="3934" t="n"/>
      <c r="N304" s="3934" t="n"/>
      <c r="O304" s="3934" t="n"/>
      <c r="P304" s="3934" t="n"/>
      <c r="Q304" s="3934" t="n"/>
      <c r="R304" s="3934" t="n"/>
      <c r="S304" s="3934" t="n"/>
      <c r="T304" s="3934" t="n"/>
      <c r="U304" s="3934" t="n"/>
      <c r="V304" s="3934" t="n"/>
      <c r="W304" s="3934" t="n"/>
      <c r="X304" s="3934" t="n"/>
      <c r="Y304" s="3934" t="n"/>
      <c r="Z304" s="3934" t="n"/>
      <c r="AA304" s="3934" t="n"/>
      <c r="AB304" s="3934" t="n"/>
      <c r="AC304" s="3934" t="n"/>
      <c r="AD304" s="3934" t="n"/>
      <c r="AE304" s="3934" t="n"/>
      <c r="AF304" s="3934" t="n"/>
      <c r="AG304" s="3934" t="n"/>
      <c r="AH304" s="3934" t="n"/>
      <c r="AI304" s="3934" t="n"/>
      <c r="AJ304" s="3934" t="n"/>
      <c r="AK304" s="3934" t="n"/>
      <c r="AL304" s="3934" t="n"/>
      <c r="AM304" s="3934" t="n"/>
      <c r="AN304" s="3934" t="n"/>
      <c r="AO304" s="3934" t="n"/>
      <c r="AP304" s="3934" t="n"/>
      <c r="AQ304" s="3934" t="n"/>
      <c r="AR304" s="3934" t="n"/>
    </row>
    <row r="305">
      <c r="A305" s="3941" t="n"/>
      <c r="B305" s="3944" t="n"/>
      <c r="C305" s="3944" t="n"/>
      <c r="D305" s="3944" t="n"/>
      <c r="E305" s="3944" t="n"/>
      <c r="F305" s="3944" t="n"/>
      <c r="G305" s="3944" t="n"/>
      <c r="H305" s="3944" t="n"/>
      <c r="I305" s="3944" t="n"/>
      <c r="J305" s="3944" t="n"/>
      <c r="K305" s="3942">
        <f>IF(A305="","",SUM(E305:J305))</f>
        <v/>
      </c>
      <c r="L305" s="3934" t="n"/>
      <c r="M305" s="3934" t="n"/>
      <c r="N305" s="3934" t="n"/>
      <c r="O305" s="3934" t="n"/>
      <c r="P305" s="3934" t="n"/>
      <c r="Q305" s="3934" t="n"/>
      <c r="R305" s="3934" t="n"/>
      <c r="S305" s="3934" t="n"/>
      <c r="T305" s="3934" t="n"/>
      <c r="U305" s="3934" t="n"/>
      <c r="V305" s="3934" t="n"/>
      <c r="W305" s="3934" t="n"/>
      <c r="X305" s="3934" t="n"/>
      <c r="Y305" s="3934" t="n"/>
      <c r="Z305" s="3934" t="n"/>
      <c r="AA305" s="3934" t="n"/>
      <c r="AB305" s="3934" t="n"/>
      <c r="AC305" s="3934" t="n"/>
      <c r="AD305" s="3934" t="n"/>
      <c r="AE305" s="3934" t="n"/>
      <c r="AF305" s="3934" t="n"/>
      <c r="AG305" s="3934" t="n"/>
      <c r="AH305" s="3934" t="n"/>
      <c r="AI305" s="3934" t="n"/>
      <c r="AJ305" s="3934" t="n"/>
      <c r="AK305" s="3934" t="n"/>
      <c r="AL305" s="3934" t="n"/>
      <c r="AM305" s="3934" t="n"/>
      <c r="AN305" s="3934" t="n"/>
      <c r="AO305" s="3934" t="n"/>
      <c r="AP305" s="3934" t="n"/>
      <c r="AQ305" s="3934" t="n"/>
      <c r="AR305" s="3934" t="n"/>
    </row>
    <row r="306">
      <c r="A306" s="3941" t="n"/>
      <c r="B306" s="3944" t="n"/>
      <c r="C306" s="3944" t="n"/>
      <c r="D306" s="3944" t="n"/>
      <c r="E306" s="3944" t="n"/>
      <c r="F306" s="3944" t="n"/>
      <c r="G306" s="3944" t="n"/>
      <c r="H306" s="3944" t="n"/>
      <c r="I306" s="3944" t="n"/>
      <c r="J306" s="3944" t="n"/>
      <c r="K306" s="3942">
        <f>IF(A306="","",SUM(E306:J306))</f>
        <v/>
      </c>
      <c r="L306" s="3934" t="n"/>
      <c r="M306" s="3934" t="n"/>
      <c r="N306" s="3934" t="n"/>
      <c r="O306" s="3934" t="n"/>
      <c r="P306" s="3934" t="n"/>
      <c r="Q306" s="3934" t="n"/>
      <c r="R306" s="3934" t="n"/>
      <c r="S306" s="3934" t="n"/>
      <c r="T306" s="3934" t="n"/>
      <c r="U306" s="3934" t="n"/>
      <c r="V306" s="3934" t="n"/>
      <c r="W306" s="3934" t="n"/>
      <c r="X306" s="3934" t="n"/>
      <c r="Y306" s="3934" t="n"/>
      <c r="Z306" s="3934" t="n"/>
      <c r="AA306" s="3934" t="n"/>
      <c r="AB306" s="3934" t="n"/>
      <c r="AC306" s="3934" t="n"/>
      <c r="AD306" s="3934" t="n"/>
      <c r="AE306" s="3934" t="n"/>
      <c r="AF306" s="3934" t="n"/>
      <c r="AG306" s="3934" t="n"/>
      <c r="AH306" s="3934" t="n"/>
      <c r="AI306" s="3934" t="n"/>
      <c r="AJ306" s="3934" t="n"/>
      <c r="AK306" s="3934" t="n"/>
      <c r="AL306" s="3934" t="n"/>
      <c r="AM306" s="3934" t="n"/>
      <c r="AN306" s="3934" t="n"/>
      <c r="AO306" s="3934" t="n"/>
      <c r="AP306" s="3934" t="n"/>
      <c r="AQ306" s="3934" t="n"/>
      <c r="AR306" s="3934" t="n"/>
    </row>
    <row r="307">
      <c r="A307" s="3941" t="n"/>
      <c r="B307" s="3944" t="n"/>
      <c r="C307" s="3944" t="n"/>
      <c r="D307" s="3944" t="n"/>
      <c r="E307" s="3944" t="n"/>
      <c r="F307" s="3944" t="n"/>
      <c r="G307" s="3944" t="n"/>
      <c r="H307" s="3944" t="n"/>
      <c r="I307" s="3944" t="n"/>
      <c r="J307" s="3944" t="n"/>
      <c r="K307" s="3942">
        <f>IF(A307="","",SUM(E307:J307))</f>
        <v/>
      </c>
      <c r="L307" s="3934" t="n"/>
      <c r="M307" s="3934" t="n"/>
      <c r="N307" s="3934" t="n"/>
      <c r="O307" s="3934" t="n"/>
      <c r="P307" s="3934" t="n"/>
      <c r="Q307" s="3934" t="n"/>
      <c r="R307" s="3934" t="n"/>
      <c r="S307" s="3934" t="n"/>
      <c r="T307" s="3934" t="n"/>
      <c r="U307" s="3934" t="n"/>
      <c r="V307" s="3934" t="n"/>
      <c r="W307" s="3934" t="n"/>
      <c r="X307" s="3934" t="n"/>
      <c r="Y307" s="3934" t="n"/>
      <c r="Z307" s="3934" t="n"/>
      <c r="AA307" s="3934" t="n"/>
      <c r="AB307" s="3934" t="n"/>
      <c r="AC307" s="3934" t="n"/>
      <c r="AD307" s="3934" t="n"/>
      <c r="AE307" s="3934" t="n"/>
      <c r="AF307" s="3934" t="n"/>
      <c r="AG307" s="3934" t="n"/>
      <c r="AH307" s="3934" t="n"/>
      <c r="AI307" s="3934" t="n"/>
      <c r="AJ307" s="3934" t="n"/>
      <c r="AK307" s="3934" t="n"/>
      <c r="AL307" s="3934" t="n"/>
      <c r="AM307" s="3934" t="n"/>
      <c r="AN307" s="3934" t="n"/>
      <c r="AO307" s="3934" t="n"/>
      <c r="AP307" s="3934" t="n"/>
      <c r="AQ307" s="3934" t="n"/>
      <c r="AR307" s="3934" t="n"/>
    </row>
    <row r="308">
      <c r="A308" s="3941" t="n"/>
      <c r="B308" s="3944" t="n"/>
      <c r="C308" s="3944" t="n"/>
      <c r="D308" s="3944" t="n"/>
      <c r="E308" s="3944" t="n"/>
      <c r="F308" s="3944" t="n"/>
      <c r="G308" s="3944" t="n"/>
      <c r="H308" s="3944" t="n"/>
      <c r="I308" s="3944" t="n"/>
      <c r="J308" s="3944" t="n"/>
      <c r="K308" s="3942">
        <f>IF(A308="","",SUM(E308:J308))</f>
        <v/>
      </c>
      <c r="L308" s="3934" t="n"/>
      <c r="M308" s="3934" t="n"/>
      <c r="N308" s="3934" t="n"/>
      <c r="O308" s="3934" t="n"/>
      <c r="P308" s="3934" t="n"/>
      <c r="Q308" s="3934" t="n"/>
      <c r="R308" s="3934" t="n"/>
      <c r="S308" s="3934" t="n"/>
      <c r="T308" s="3934" t="n"/>
      <c r="U308" s="3934" t="n"/>
      <c r="V308" s="3934" t="n"/>
      <c r="W308" s="3934" t="n"/>
      <c r="X308" s="3934" t="n"/>
      <c r="Y308" s="3934" t="n"/>
      <c r="Z308" s="3934" t="n"/>
      <c r="AA308" s="3934" t="n"/>
      <c r="AB308" s="3934" t="n"/>
      <c r="AC308" s="3934" t="n"/>
      <c r="AD308" s="3934" t="n"/>
      <c r="AE308" s="3934" t="n"/>
      <c r="AF308" s="3934" t="n"/>
      <c r="AG308" s="3934" t="n"/>
      <c r="AH308" s="3934" t="n"/>
      <c r="AI308" s="3934" t="n"/>
      <c r="AJ308" s="3934" t="n"/>
      <c r="AK308" s="3934" t="n"/>
      <c r="AL308" s="3934" t="n"/>
      <c r="AM308" s="3934" t="n"/>
      <c r="AN308" s="3934" t="n"/>
      <c r="AO308" s="3934" t="n"/>
      <c r="AP308" s="3934" t="n"/>
      <c r="AQ308" s="3934" t="n"/>
      <c r="AR308" s="3934" t="n"/>
    </row>
    <row r="309">
      <c r="A309" s="3941" t="n"/>
      <c r="B309" s="3944" t="n"/>
      <c r="C309" s="3944" t="n"/>
      <c r="D309" s="3944" t="n"/>
      <c r="E309" s="3944" t="n"/>
      <c r="F309" s="3944" t="n"/>
      <c r="G309" s="3944" t="n"/>
      <c r="H309" s="3944" t="n"/>
      <c r="I309" s="3944" t="n"/>
      <c r="J309" s="3944" t="n"/>
      <c r="K309" s="3942">
        <f>IF(A309="","",SUM(E309:J309))</f>
        <v/>
      </c>
      <c r="L309" s="3934" t="n"/>
      <c r="M309" s="3934" t="n"/>
      <c r="N309" s="3934" t="n"/>
      <c r="O309" s="3934" t="n"/>
      <c r="P309" s="3934" t="n"/>
      <c r="Q309" s="3934" t="n"/>
      <c r="R309" s="3934" t="n"/>
      <c r="S309" s="3934" t="n"/>
      <c r="T309" s="3934" t="n"/>
      <c r="U309" s="3934" t="n"/>
      <c r="V309" s="3934" t="n"/>
      <c r="W309" s="3934" t="n"/>
      <c r="X309" s="3934" t="n"/>
      <c r="Y309" s="3934" t="n"/>
      <c r="Z309" s="3934" t="n"/>
      <c r="AA309" s="3934" t="n"/>
      <c r="AB309" s="3934" t="n"/>
      <c r="AC309" s="3934" t="n"/>
      <c r="AD309" s="3934" t="n"/>
      <c r="AE309" s="3934" t="n"/>
      <c r="AF309" s="3934" t="n"/>
      <c r="AG309" s="3934" t="n"/>
      <c r="AH309" s="3934" t="n"/>
      <c r="AI309" s="3934" t="n"/>
      <c r="AJ309" s="3934" t="n"/>
      <c r="AK309" s="3934" t="n"/>
      <c r="AL309" s="3934" t="n"/>
      <c r="AM309" s="3934" t="n"/>
      <c r="AN309" s="3934" t="n"/>
      <c r="AO309" s="3934" t="n"/>
      <c r="AP309" s="3934" t="n"/>
      <c r="AQ309" s="3934" t="n"/>
      <c r="AR309" s="3934" t="n"/>
    </row>
    <row r="310">
      <c r="A310" s="3941" t="n"/>
      <c r="B310" s="3944" t="n"/>
      <c r="C310" s="3944" t="n"/>
      <c r="D310" s="3944" t="n"/>
      <c r="E310" s="3944" t="n"/>
      <c r="F310" s="3944" t="n"/>
      <c r="G310" s="3944" t="n"/>
      <c r="H310" s="3944" t="n"/>
      <c r="I310" s="3944" t="n"/>
      <c r="J310" s="3944" t="n"/>
      <c r="K310" s="3942">
        <f>IF(A310="","",SUM(E310:J310))</f>
        <v/>
      </c>
      <c r="L310" s="3934" t="n"/>
      <c r="M310" s="3934" t="n"/>
      <c r="N310" s="3934" t="n"/>
      <c r="O310" s="3934" t="n"/>
      <c r="P310" s="3934" t="n"/>
      <c r="Q310" s="3934" t="n"/>
      <c r="R310" s="3934" t="n"/>
      <c r="S310" s="3934" t="n"/>
      <c r="T310" s="3934" t="n"/>
      <c r="U310" s="3934" t="n"/>
      <c r="V310" s="3934" t="n"/>
      <c r="W310" s="3934" t="n"/>
      <c r="X310" s="3934" t="n"/>
      <c r="Y310" s="3934" t="n"/>
      <c r="Z310" s="3934" t="n"/>
      <c r="AA310" s="3934" t="n"/>
      <c r="AB310" s="3934" t="n"/>
      <c r="AC310" s="3934" t="n"/>
      <c r="AD310" s="3934" t="n"/>
      <c r="AE310" s="3934" t="n"/>
      <c r="AF310" s="3934" t="n"/>
      <c r="AG310" s="3934" t="n"/>
      <c r="AH310" s="3934" t="n"/>
      <c r="AI310" s="3934" t="n"/>
      <c r="AJ310" s="3934" t="n"/>
      <c r="AK310" s="3934" t="n"/>
      <c r="AL310" s="3934" t="n"/>
      <c r="AM310" s="3934" t="n"/>
      <c r="AN310" s="3934" t="n"/>
      <c r="AO310" s="3934" t="n"/>
      <c r="AP310" s="3934" t="n"/>
      <c r="AQ310" s="3934" t="n"/>
      <c r="AR310" s="3934" t="n"/>
    </row>
    <row r="311">
      <c r="A311" s="3941" t="n"/>
      <c r="B311" s="3944" t="n"/>
      <c r="C311" s="3944" t="n"/>
      <c r="D311" s="3944" t="n"/>
      <c r="E311" s="3944" t="n"/>
      <c r="F311" s="3944" t="n"/>
      <c r="G311" s="3944" t="n"/>
      <c r="H311" s="3944" t="n"/>
      <c r="I311" s="3944" t="n"/>
      <c r="J311" s="3944" t="n"/>
      <c r="K311" s="3942">
        <f>IF(A311="","",SUM(E311:J311))</f>
        <v/>
      </c>
      <c r="L311" s="3934" t="n"/>
      <c r="M311" s="3934" t="n"/>
      <c r="N311" s="3934" t="n"/>
      <c r="O311" s="3934" t="n"/>
      <c r="P311" s="3934" t="n"/>
      <c r="Q311" s="3934" t="n"/>
      <c r="R311" s="3934" t="n"/>
      <c r="S311" s="3934" t="n"/>
      <c r="T311" s="3934" t="n"/>
      <c r="U311" s="3934" t="n"/>
      <c r="V311" s="3934" t="n"/>
      <c r="W311" s="3934" t="n"/>
      <c r="X311" s="3934" t="n"/>
      <c r="Y311" s="3934" t="n"/>
      <c r="Z311" s="3934" t="n"/>
      <c r="AA311" s="3934" t="n"/>
      <c r="AB311" s="3934" t="n"/>
      <c r="AC311" s="3934" t="n"/>
      <c r="AD311" s="3934" t="n"/>
      <c r="AE311" s="3934" t="n"/>
      <c r="AF311" s="3934" t="n"/>
      <c r="AG311" s="3934" t="n"/>
      <c r="AH311" s="3934" t="n"/>
      <c r="AI311" s="3934" t="n"/>
      <c r="AJ311" s="3934" t="n"/>
      <c r="AK311" s="3934" t="n"/>
      <c r="AL311" s="3934" t="n"/>
      <c r="AM311" s="3934" t="n"/>
      <c r="AN311" s="3934" t="n"/>
      <c r="AO311" s="3934" t="n"/>
      <c r="AP311" s="3934" t="n"/>
      <c r="AQ311" s="3934" t="n"/>
      <c r="AR311" s="3934" t="n"/>
    </row>
    <row r="312">
      <c r="A312" s="3941" t="n"/>
      <c r="B312" s="3944" t="n"/>
      <c r="C312" s="3944" t="n"/>
      <c r="D312" s="3944" t="n"/>
      <c r="E312" s="3944" t="n"/>
      <c r="F312" s="3944" t="n"/>
      <c r="G312" s="3944" t="n"/>
      <c r="H312" s="3944" t="n"/>
      <c r="I312" s="3944" t="n"/>
      <c r="J312" s="3944" t="n"/>
      <c r="K312" s="3942">
        <f>IF(A312="","",SUM(E312:J312))</f>
        <v/>
      </c>
      <c r="L312" s="3934" t="n"/>
      <c r="M312" s="3934" t="n"/>
      <c r="N312" s="3934" t="n"/>
      <c r="O312" s="3934" t="n"/>
      <c r="P312" s="3934" t="n"/>
      <c r="Q312" s="3934" t="n"/>
      <c r="R312" s="3934" t="n"/>
      <c r="S312" s="3934" t="n"/>
      <c r="T312" s="3934" t="n"/>
      <c r="U312" s="3934" t="n"/>
      <c r="V312" s="3934" t="n"/>
      <c r="W312" s="3934" t="n"/>
      <c r="X312" s="3934" t="n"/>
      <c r="Y312" s="3934" t="n"/>
      <c r="Z312" s="3934" t="n"/>
      <c r="AA312" s="3934" t="n"/>
      <c r="AB312" s="3934" t="n"/>
      <c r="AC312" s="3934" t="n"/>
      <c r="AD312" s="3934" t="n"/>
      <c r="AE312" s="3934" t="n"/>
      <c r="AF312" s="3934" t="n"/>
      <c r="AG312" s="3934" t="n"/>
      <c r="AH312" s="3934" t="n"/>
      <c r="AI312" s="3934" t="n"/>
      <c r="AJ312" s="3934" t="n"/>
      <c r="AK312" s="3934" t="n"/>
      <c r="AL312" s="3934" t="n"/>
      <c r="AM312" s="3934" t="n"/>
      <c r="AN312" s="3934" t="n"/>
      <c r="AO312" s="3934" t="n"/>
      <c r="AP312" s="3934" t="n"/>
      <c r="AQ312" s="3934" t="n"/>
      <c r="AR312" s="3934" t="n"/>
    </row>
    <row r="313">
      <c r="A313" s="3941" t="n"/>
      <c r="B313" s="3944" t="n"/>
      <c r="C313" s="3944" t="n"/>
      <c r="D313" s="3944" t="n"/>
      <c r="E313" s="3944" t="n"/>
      <c r="F313" s="3944" t="n"/>
      <c r="G313" s="3944" t="n"/>
      <c r="H313" s="3944" t="n"/>
      <c r="I313" s="3944" t="n"/>
      <c r="J313" s="3944" t="n"/>
      <c r="K313" s="3942">
        <f>IF(A313="","",SUM(E313:J313))</f>
        <v/>
      </c>
      <c r="L313" s="3934" t="n"/>
      <c r="M313" s="3934" t="n"/>
      <c r="N313" s="3934" t="n"/>
      <c r="O313" s="3934" t="n"/>
      <c r="P313" s="3934" t="n"/>
      <c r="Q313" s="3934" t="n"/>
      <c r="R313" s="3934" t="n"/>
      <c r="S313" s="3934" t="n"/>
      <c r="T313" s="3934" t="n"/>
      <c r="U313" s="3934" t="n"/>
      <c r="V313" s="3934" t="n"/>
      <c r="W313" s="3934" t="n"/>
      <c r="X313" s="3934" t="n"/>
      <c r="Y313" s="3934" t="n"/>
      <c r="Z313" s="3934" t="n"/>
      <c r="AA313" s="3934" t="n"/>
      <c r="AB313" s="3934" t="n"/>
      <c r="AC313" s="3934" t="n"/>
      <c r="AD313" s="3934" t="n"/>
      <c r="AE313" s="3934" t="n"/>
      <c r="AF313" s="3934" t="n"/>
      <c r="AG313" s="3934" t="n"/>
      <c r="AH313" s="3934" t="n"/>
      <c r="AI313" s="3934" t="n"/>
      <c r="AJ313" s="3934" t="n"/>
      <c r="AK313" s="3934" t="n"/>
      <c r="AL313" s="3934" t="n"/>
      <c r="AM313" s="3934" t="n"/>
      <c r="AN313" s="3934" t="n"/>
      <c r="AO313" s="3934" t="n"/>
      <c r="AP313" s="3934" t="n"/>
      <c r="AQ313" s="3934" t="n"/>
      <c r="AR313" s="3934" t="n"/>
    </row>
    <row r="314">
      <c r="A314" s="3941" t="n"/>
      <c r="B314" s="3944" t="n"/>
      <c r="C314" s="3944" t="n"/>
      <c r="D314" s="3944" t="n"/>
      <c r="E314" s="3944" t="n"/>
      <c r="F314" s="3944" t="n"/>
      <c r="G314" s="3944" t="n"/>
      <c r="H314" s="3944" t="n"/>
      <c r="I314" s="3944" t="n"/>
      <c r="J314" s="3944" t="n"/>
      <c r="K314" s="3942">
        <f>IF(A314="","",SUM(E314:J314))</f>
        <v/>
      </c>
      <c r="L314" s="3934" t="n"/>
      <c r="M314" s="3934" t="n"/>
      <c r="N314" s="3934" t="n"/>
      <c r="O314" s="3934" t="n"/>
      <c r="P314" s="3934" t="n"/>
      <c r="Q314" s="3934" t="n"/>
      <c r="R314" s="3934" t="n"/>
      <c r="S314" s="3934" t="n"/>
      <c r="T314" s="3934" t="n"/>
      <c r="U314" s="3934" t="n"/>
      <c r="V314" s="3934" t="n"/>
      <c r="W314" s="3934" t="n"/>
      <c r="X314" s="3934" t="n"/>
      <c r="Y314" s="3934" t="n"/>
      <c r="Z314" s="3934" t="n"/>
      <c r="AA314" s="3934" t="n"/>
      <c r="AB314" s="3934" t="n"/>
      <c r="AC314" s="3934" t="n"/>
      <c r="AD314" s="3934" t="n"/>
      <c r="AE314" s="3934" t="n"/>
      <c r="AF314" s="3934" t="n"/>
      <c r="AG314" s="3934" t="n"/>
      <c r="AH314" s="3934" t="n"/>
      <c r="AI314" s="3934" t="n"/>
      <c r="AJ314" s="3934" t="n"/>
      <c r="AK314" s="3934" t="n"/>
      <c r="AL314" s="3934" t="n"/>
      <c r="AM314" s="3934" t="n"/>
      <c r="AN314" s="3934" t="n"/>
      <c r="AO314" s="3934" t="n"/>
      <c r="AP314" s="3934" t="n"/>
      <c r="AQ314" s="3934" t="n"/>
      <c r="AR314" s="3934" t="n"/>
    </row>
    <row r="315">
      <c r="A315" s="3941" t="n"/>
      <c r="B315" s="3944" t="n"/>
      <c r="C315" s="3944" t="n"/>
      <c r="D315" s="3944" t="n"/>
      <c r="E315" s="3944" t="n"/>
      <c r="F315" s="3944" t="n"/>
      <c r="G315" s="3944" t="n"/>
      <c r="H315" s="3944" t="n"/>
      <c r="I315" s="3944" t="n"/>
      <c r="J315" s="3944" t="n"/>
      <c r="K315" s="3942">
        <f>IF(A315="","",SUM(E315:J315))</f>
        <v/>
      </c>
      <c r="L315" s="3934" t="n"/>
      <c r="M315" s="3934" t="n"/>
      <c r="N315" s="3934" t="n"/>
      <c r="O315" s="3934" t="n"/>
      <c r="P315" s="3934" t="n"/>
      <c r="Q315" s="3934" t="n"/>
      <c r="R315" s="3934" t="n"/>
      <c r="S315" s="3934" t="n"/>
      <c r="T315" s="3934" t="n"/>
      <c r="U315" s="3934" t="n"/>
      <c r="V315" s="3934" t="n"/>
      <c r="W315" s="3934" t="n"/>
      <c r="X315" s="3934" t="n"/>
      <c r="Y315" s="3934" t="n"/>
      <c r="Z315" s="3934" t="n"/>
      <c r="AA315" s="3934" t="n"/>
      <c r="AB315" s="3934" t="n"/>
      <c r="AC315" s="3934" t="n"/>
      <c r="AD315" s="3934" t="n"/>
      <c r="AE315" s="3934" t="n"/>
      <c r="AF315" s="3934" t="n"/>
      <c r="AG315" s="3934" t="n"/>
      <c r="AH315" s="3934" t="n"/>
      <c r="AI315" s="3934" t="n"/>
      <c r="AJ315" s="3934" t="n"/>
      <c r="AK315" s="3934" t="n"/>
      <c r="AL315" s="3934" t="n"/>
      <c r="AM315" s="3934" t="n"/>
      <c r="AN315" s="3934" t="n"/>
      <c r="AO315" s="3934" t="n"/>
      <c r="AP315" s="3934" t="n"/>
      <c r="AQ315" s="3934" t="n"/>
      <c r="AR315" s="3934" t="n"/>
    </row>
    <row r="316">
      <c r="A316" s="3941" t="n"/>
      <c r="B316" s="3944" t="n"/>
      <c r="C316" s="3944" t="n"/>
      <c r="D316" s="3944" t="n"/>
      <c r="E316" s="3944" t="n"/>
      <c r="F316" s="3944" t="n"/>
      <c r="G316" s="3944" t="n"/>
      <c r="H316" s="3944" t="n"/>
      <c r="I316" s="3944" t="n"/>
      <c r="J316" s="3944" t="n"/>
      <c r="K316" s="3942">
        <f>IF(A316="","",SUM(E316:J316))</f>
        <v/>
      </c>
      <c r="L316" s="3934" t="n"/>
      <c r="M316" s="3934" t="n"/>
      <c r="N316" s="3934" t="n"/>
      <c r="O316" s="3934" t="n"/>
      <c r="P316" s="3934" t="n"/>
      <c r="Q316" s="3934" t="n"/>
      <c r="R316" s="3934" t="n"/>
      <c r="S316" s="3934" t="n"/>
      <c r="T316" s="3934" t="n"/>
      <c r="U316" s="3934" t="n"/>
      <c r="V316" s="3934" t="n"/>
      <c r="W316" s="3934" t="n"/>
      <c r="X316" s="3934" t="n"/>
      <c r="Y316" s="3934" t="n"/>
      <c r="Z316" s="3934" t="n"/>
      <c r="AA316" s="3934" t="n"/>
      <c r="AB316" s="3934" t="n"/>
      <c r="AC316" s="3934" t="n"/>
      <c r="AD316" s="3934" t="n"/>
      <c r="AE316" s="3934" t="n"/>
      <c r="AF316" s="3934" t="n"/>
      <c r="AG316" s="3934" t="n"/>
      <c r="AH316" s="3934" t="n"/>
      <c r="AI316" s="3934" t="n"/>
      <c r="AJ316" s="3934" t="n"/>
      <c r="AK316" s="3934" t="n"/>
      <c r="AL316" s="3934" t="n"/>
      <c r="AM316" s="3934" t="n"/>
      <c r="AN316" s="3934" t="n"/>
      <c r="AO316" s="3934" t="n"/>
      <c r="AP316" s="3934" t="n"/>
      <c r="AQ316" s="3934" t="n"/>
      <c r="AR316" s="3934" t="n"/>
    </row>
    <row r="317">
      <c r="A317" s="3941" t="n"/>
      <c r="B317" s="3944" t="n"/>
      <c r="C317" s="3944" t="n"/>
      <c r="D317" s="3944" t="n"/>
      <c r="E317" s="3944" t="n"/>
      <c r="F317" s="3944" t="n"/>
      <c r="G317" s="3944" t="n"/>
      <c r="H317" s="3944" t="n"/>
      <c r="I317" s="3944" t="n"/>
      <c r="J317" s="3944" t="n"/>
      <c r="K317" s="3942">
        <f>IF(A317="","",SUM(E317:J317))</f>
        <v/>
      </c>
      <c r="L317" s="3934" t="n"/>
      <c r="M317" s="3934" t="n"/>
      <c r="N317" s="3934" t="n"/>
      <c r="O317" s="3934" t="n"/>
      <c r="P317" s="3934" t="n"/>
      <c r="Q317" s="3934" t="n"/>
      <c r="R317" s="3934" t="n"/>
      <c r="S317" s="3934" t="n"/>
      <c r="T317" s="3934" t="n"/>
      <c r="U317" s="3934" t="n"/>
      <c r="V317" s="3934" t="n"/>
      <c r="W317" s="3934" t="n"/>
      <c r="X317" s="3934" t="n"/>
      <c r="Y317" s="3934" t="n"/>
      <c r="Z317" s="3934" t="n"/>
      <c r="AA317" s="3934" t="n"/>
      <c r="AB317" s="3934" t="n"/>
      <c r="AC317" s="3934" t="n"/>
      <c r="AD317" s="3934" t="n"/>
      <c r="AE317" s="3934" t="n"/>
      <c r="AF317" s="3934" t="n"/>
      <c r="AG317" s="3934" t="n"/>
      <c r="AH317" s="3934" t="n"/>
      <c r="AI317" s="3934" t="n"/>
      <c r="AJ317" s="3934" t="n"/>
      <c r="AK317" s="3934" t="n"/>
      <c r="AL317" s="3934" t="n"/>
      <c r="AM317" s="3934" t="n"/>
      <c r="AN317" s="3934" t="n"/>
      <c r="AO317" s="3934" t="n"/>
      <c r="AP317" s="3934" t="n"/>
      <c r="AQ317" s="3934" t="n"/>
      <c r="AR317" s="3934" t="n"/>
    </row>
    <row r="318">
      <c r="A318" s="3941" t="n"/>
      <c r="B318" s="3944" t="n"/>
      <c r="C318" s="3944" t="n"/>
      <c r="D318" s="3944" t="n"/>
      <c r="E318" s="3944" t="n"/>
      <c r="F318" s="3944" t="n"/>
      <c r="G318" s="3944" t="n"/>
      <c r="H318" s="3944" t="n"/>
      <c r="I318" s="3944" t="n"/>
      <c r="J318" s="3944" t="n"/>
      <c r="K318" s="3942">
        <f>IF(A318="","",SUM(E318:J318))</f>
        <v/>
      </c>
      <c r="L318" s="3934" t="n"/>
      <c r="M318" s="3934" t="n"/>
      <c r="N318" s="3934" t="n"/>
      <c r="O318" s="3934" t="n"/>
      <c r="P318" s="3934" t="n"/>
      <c r="Q318" s="3934" t="n"/>
      <c r="R318" s="3934" t="n"/>
      <c r="S318" s="3934" t="n"/>
      <c r="T318" s="3934" t="n"/>
      <c r="U318" s="3934" t="n"/>
      <c r="V318" s="3934" t="n"/>
      <c r="W318" s="3934" t="n"/>
      <c r="X318" s="3934" t="n"/>
      <c r="Y318" s="3934" t="n"/>
      <c r="Z318" s="3934" t="n"/>
      <c r="AA318" s="3934" t="n"/>
      <c r="AB318" s="3934" t="n"/>
      <c r="AC318" s="3934" t="n"/>
      <c r="AD318" s="3934" t="n"/>
      <c r="AE318" s="3934" t="n"/>
      <c r="AF318" s="3934" t="n"/>
      <c r="AG318" s="3934" t="n"/>
      <c r="AH318" s="3934" t="n"/>
      <c r="AI318" s="3934" t="n"/>
      <c r="AJ318" s="3934" t="n"/>
      <c r="AK318" s="3934" t="n"/>
      <c r="AL318" s="3934" t="n"/>
      <c r="AM318" s="3934" t="n"/>
      <c r="AN318" s="3934" t="n"/>
      <c r="AO318" s="3934" t="n"/>
      <c r="AP318" s="3934" t="n"/>
      <c r="AQ318" s="3934" t="n"/>
      <c r="AR318" s="3934" t="n"/>
    </row>
    <row r="319">
      <c r="A319" s="3941" t="n"/>
      <c r="B319" s="3944" t="n"/>
      <c r="C319" s="3944" t="n"/>
      <c r="D319" s="3944" t="n"/>
      <c r="E319" s="3944" t="n"/>
      <c r="F319" s="3944" t="n"/>
      <c r="G319" s="3944" t="n"/>
      <c r="H319" s="3944" t="n"/>
      <c r="I319" s="3944" t="n"/>
      <c r="J319" s="3944" t="n"/>
      <c r="K319" s="3942">
        <f>IF(A319="","",SUM(E319:J319))</f>
        <v/>
      </c>
      <c r="L319" s="3934" t="n"/>
      <c r="M319" s="3934" t="n"/>
      <c r="N319" s="3934" t="n"/>
      <c r="O319" s="3934" t="n"/>
      <c r="P319" s="3934" t="n"/>
      <c r="Q319" s="3934" t="n"/>
      <c r="R319" s="3934" t="n"/>
      <c r="S319" s="3934" t="n"/>
      <c r="T319" s="3934" t="n"/>
      <c r="U319" s="3934" t="n"/>
      <c r="V319" s="3934" t="n"/>
      <c r="W319" s="3934" t="n"/>
      <c r="X319" s="3934" t="n"/>
      <c r="Y319" s="3934" t="n"/>
      <c r="Z319" s="3934" t="n"/>
      <c r="AA319" s="3934" t="n"/>
      <c r="AB319" s="3934" t="n"/>
      <c r="AC319" s="3934" t="n"/>
      <c r="AD319" s="3934" t="n"/>
      <c r="AE319" s="3934" t="n"/>
      <c r="AF319" s="3934" t="n"/>
      <c r="AG319" s="3934" t="n"/>
      <c r="AH319" s="3934" t="n"/>
      <c r="AI319" s="3934" t="n"/>
      <c r="AJ319" s="3934" t="n"/>
      <c r="AK319" s="3934" t="n"/>
      <c r="AL319" s="3934" t="n"/>
      <c r="AM319" s="3934" t="n"/>
      <c r="AN319" s="3934" t="n"/>
      <c r="AO319" s="3934" t="n"/>
      <c r="AP319" s="3934" t="n"/>
      <c r="AQ319" s="3934" t="n"/>
      <c r="AR319" s="3934" t="n"/>
    </row>
    <row r="320">
      <c r="A320" s="3941" t="n"/>
      <c r="B320" s="3944" t="n"/>
      <c r="C320" s="3944" t="n"/>
      <c r="D320" s="3944" t="n"/>
      <c r="E320" s="3944" t="n"/>
      <c r="F320" s="3944" t="n"/>
      <c r="G320" s="3944" t="n"/>
      <c r="H320" s="3944" t="n"/>
      <c r="I320" s="3944" t="n"/>
      <c r="J320" s="3944" t="n"/>
      <c r="K320" s="3942">
        <f>IF(A320="","",SUM(E320:J320))</f>
        <v/>
      </c>
      <c r="L320" s="3934" t="n"/>
      <c r="M320" s="3934" t="n"/>
      <c r="N320" s="3934" t="n"/>
      <c r="O320" s="3934" t="n"/>
      <c r="P320" s="3934" t="n"/>
      <c r="Q320" s="3934" t="n"/>
      <c r="R320" s="3934" t="n"/>
      <c r="S320" s="3934" t="n"/>
      <c r="T320" s="3934" t="n"/>
      <c r="U320" s="3934" t="n"/>
      <c r="V320" s="3934" t="n"/>
      <c r="W320" s="3934" t="n"/>
      <c r="X320" s="3934" t="n"/>
      <c r="Y320" s="3934" t="n"/>
      <c r="Z320" s="3934" t="n"/>
      <c r="AA320" s="3934" t="n"/>
      <c r="AB320" s="3934" t="n"/>
      <c r="AC320" s="3934" t="n"/>
      <c r="AD320" s="3934" t="n"/>
      <c r="AE320" s="3934" t="n"/>
      <c r="AF320" s="3934" t="n"/>
      <c r="AG320" s="3934" t="n"/>
      <c r="AH320" s="3934" t="n"/>
      <c r="AI320" s="3934" t="n"/>
      <c r="AJ320" s="3934" t="n"/>
      <c r="AK320" s="3934" t="n"/>
      <c r="AL320" s="3934" t="n"/>
      <c r="AM320" s="3934" t="n"/>
      <c r="AN320" s="3934" t="n"/>
      <c r="AO320" s="3934" t="n"/>
      <c r="AP320" s="3934" t="n"/>
      <c r="AQ320" s="3934" t="n"/>
      <c r="AR320" s="3934" t="n"/>
    </row>
    <row r="321">
      <c r="A321" s="3941" t="n"/>
      <c r="B321" s="3944" t="n"/>
      <c r="C321" s="3944" t="n"/>
      <c r="D321" s="3944" t="n"/>
      <c r="E321" s="3944" t="n"/>
      <c r="F321" s="3944" t="n"/>
      <c r="G321" s="3944" t="n"/>
      <c r="H321" s="3944" t="n"/>
      <c r="I321" s="3944" t="n"/>
      <c r="J321" s="3944" t="n"/>
      <c r="K321" s="3942">
        <f>IF(A321="","",SUM(E321:J321))</f>
        <v/>
      </c>
      <c r="L321" s="3934" t="n"/>
      <c r="M321" s="3934" t="n"/>
      <c r="N321" s="3934" t="n"/>
      <c r="O321" s="3934" t="n"/>
      <c r="P321" s="3934" t="n"/>
      <c r="Q321" s="3934" t="n"/>
      <c r="R321" s="3934" t="n"/>
      <c r="S321" s="3934" t="n"/>
      <c r="T321" s="3934" t="n"/>
      <c r="U321" s="3934" t="n"/>
      <c r="V321" s="3934" t="n"/>
      <c r="W321" s="3934" t="n"/>
      <c r="X321" s="3934" t="n"/>
      <c r="Y321" s="3934" t="n"/>
      <c r="Z321" s="3934" t="n"/>
      <c r="AA321" s="3934" t="n"/>
      <c r="AB321" s="3934" t="n"/>
      <c r="AC321" s="3934" t="n"/>
      <c r="AD321" s="3934" t="n"/>
      <c r="AE321" s="3934" t="n"/>
      <c r="AF321" s="3934" t="n"/>
      <c r="AG321" s="3934" t="n"/>
      <c r="AH321" s="3934" t="n"/>
      <c r="AI321" s="3934" t="n"/>
      <c r="AJ321" s="3934" t="n"/>
      <c r="AK321" s="3934" t="n"/>
      <c r="AL321" s="3934" t="n"/>
      <c r="AM321" s="3934" t="n"/>
      <c r="AN321" s="3934" t="n"/>
      <c r="AO321" s="3934" t="n"/>
      <c r="AP321" s="3934" t="n"/>
      <c r="AQ321" s="3934" t="n"/>
      <c r="AR321" s="3934" t="n"/>
    </row>
    <row r="322">
      <c r="A322" s="3941" t="n"/>
      <c r="B322" s="3944" t="n"/>
      <c r="C322" s="3944" t="n"/>
      <c r="D322" s="3944" t="n"/>
      <c r="E322" s="3944" t="n"/>
      <c r="F322" s="3944" t="n"/>
      <c r="G322" s="3944" t="n"/>
      <c r="H322" s="3944" t="n"/>
      <c r="I322" s="3944" t="n"/>
      <c r="J322" s="3944" t="n"/>
      <c r="K322" s="3942">
        <f>IF(A322="","",SUM(E322:J322))</f>
        <v/>
      </c>
      <c r="L322" s="3934" t="n"/>
      <c r="M322" s="3934" t="n"/>
      <c r="N322" s="3934" t="n"/>
      <c r="O322" s="3934" t="n"/>
      <c r="P322" s="3934" t="n"/>
      <c r="Q322" s="3934" t="n"/>
      <c r="R322" s="3934" t="n"/>
      <c r="S322" s="3934" t="n"/>
      <c r="T322" s="3934" t="n"/>
      <c r="U322" s="3934" t="n"/>
      <c r="V322" s="3934" t="n"/>
      <c r="W322" s="3934" t="n"/>
      <c r="X322" s="3934" t="n"/>
      <c r="Y322" s="3934" t="n"/>
      <c r="Z322" s="3934" t="n"/>
      <c r="AA322" s="3934" t="n"/>
      <c r="AB322" s="3934" t="n"/>
      <c r="AC322" s="3934" t="n"/>
      <c r="AD322" s="3934" t="n"/>
      <c r="AE322" s="3934" t="n"/>
      <c r="AF322" s="3934" t="n"/>
      <c r="AG322" s="3934" t="n"/>
      <c r="AH322" s="3934" t="n"/>
      <c r="AI322" s="3934" t="n"/>
      <c r="AJ322" s="3934" t="n"/>
      <c r="AK322" s="3934" t="n"/>
      <c r="AL322" s="3934" t="n"/>
      <c r="AM322" s="3934" t="n"/>
      <c r="AN322" s="3934" t="n"/>
      <c r="AO322" s="3934" t="n"/>
      <c r="AP322" s="3934" t="n"/>
      <c r="AQ322" s="3934" t="n"/>
      <c r="AR322" s="3934" t="n"/>
    </row>
    <row r="323">
      <c r="A323" s="3941" t="n"/>
      <c r="B323" s="3944" t="n"/>
      <c r="C323" s="3944" t="n"/>
      <c r="D323" s="3944" t="n"/>
      <c r="E323" s="3944" t="n"/>
      <c r="F323" s="3944" t="n"/>
      <c r="G323" s="3944" t="n"/>
      <c r="H323" s="3944" t="n"/>
      <c r="I323" s="3944" t="n"/>
      <c r="J323" s="3944" t="n"/>
      <c r="K323" s="3942">
        <f>IF(A323="","",SUM(E323:J323))</f>
        <v/>
      </c>
      <c r="L323" s="3934" t="n"/>
      <c r="M323" s="3934" t="n"/>
      <c r="N323" s="3934" t="n"/>
      <c r="O323" s="3934" t="n"/>
      <c r="P323" s="3934" t="n"/>
      <c r="Q323" s="3934" t="n"/>
      <c r="R323" s="3934" t="n"/>
      <c r="S323" s="3934" t="n"/>
      <c r="T323" s="3934" t="n"/>
      <c r="U323" s="3934" t="n"/>
      <c r="V323" s="3934" t="n"/>
      <c r="W323" s="3934" t="n"/>
      <c r="X323" s="3934" t="n"/>
      <c r="Y323" s="3934" t="n"/>
      <c r="Z323" s="3934" t="n"/>
      <c r="AA323" s="3934" t="n"/>
      <c r="AB323" s="3934" t="n"/>
      <c r="AC323" s="3934" t="n"/>
      <c r="AD323" s="3934" t="n"/>
      <c r="AE323" s="3934" t="n"/>
      <c r="AF323" s="3934" t="n"/>
      <c r="AG323" s="3934" t="n"/>
      <c r="AH323" s="3934" t="n"/>
      <c r="AI323" s="3934" t="n"/>
      <c r="AJ323" s="3934" t="n"/>
      <c r="AK323" s="3934" t="n"/>
      <c r="AL323" s="3934" t="n"/>
      <c r="AM323" s="3934" t="n"/>
      <c r="AN323" s="3934" t="n"/>
      <c r="AO323" s="3934" t="n"/>
      <c r="AP323" s="3934" t="n"/>
      <c r="AQ323" s="3934" t="n"/>
      <c r="AR323" s="3934" t="n"/>
    </row>
    <row r="324">
      <c r="A324" s="3941" t="n"/>
      <c r="B324" s="3944" t="n"/>
      <c r="C324" s="3944" t="n"/>
      <c r="D324" s="3944" t="n"/>
      <c r="E324" s="3944" t="n"/>
      <c r="F324" s="3944" t="n"/>
      <c r="G324" s="3944" t="n"/>
      <c r="H324" s="3944" t="n"/>
      <c r="I324" s="3944" t="n"/>
      <c r="J324" s="3944" t="n"/>
      <c r="K324" s="3942">
        <f>IF(A324="","",SUM(E324:J324))</f>
        <v/>
      </c>
      <c r="L324" s="3934" t="n"/>
      <c r="M324" s="3934" t="n"/>
      <c r="N324" s="3934" t="n"/>
      <c r="O324" s="3934" t="n"/>
      <c r="P324" s="3934" t="n"/>
      <c r="Q324" s="3934" t="n"/>
      <c r="R324" s="3934" t="n"/>
      <c r="S324" s="3934" t="n"/>
      <c r="T324" s="3934" t="n"/>
      <c r="U324" s="3934" t="n"/>
      <c r="V324" s="3934" t="n"/>
      <c r="W324" s="3934" t="n"/>
      <c r="X324" s="3934" t="n"/>
      <c r="Y324" s="3934" t="n"/>
      <c r="Z324" s="3934" t="n"/>
      <c r="AA324" s="3934" t="n"/>
      <c r="AB324" s="3934" t="n"/>
      <c r="AC324" s="3934" t="n"/>
      <c r="AD324" s="3934" t="n"/>
      <c r="AE324" s="3934" t="n"/>
      <c r="AF324" s="3934" t="n"/>
      <c r="AG324" s="3934" t="n"/>
      <c r="AH324" s="3934" t="n"/>
      <c r="AI324" s="3934" t="n"/>
      <c r="AJ324" s="3934" t="n"/>
      <c r="AK324" s="3934" t="n"/>
      <c r="AL324" s="3934" t="n"/>
      <c r="AM324" s="3934" t="n"/>
      <c r="AN324" s="3934" t="n"/>
      <c r="AO324" s="3934" t="n"/>
      <c r="AP324" s="3934" t="n"/>
      <c r="AQ324" s="3934" t="n"/>
      <c r="AR324" s="3934" t="n"/>
    </row>
    <row r="325">
      <c r="A325" s="3941" t="n"/>
      <c r="B325" s="3944" t="n"/>
      <c r="C325" s="3944" t="n"/>
      <c r="D325" s="3944" t="n"/>
      <c r="E325" s="3944" t="n"/>
      <c r="F325" s="3944" t="n"/>
      <c r="G325" s="3944" t="n"/>
      <c r="H325" s="3944" t="n"/>
      <c r="I325" s="3944" t="n"/>
      <c r="J325" s="3944" t="n"/>
      <c r="K325" s="3942">
        <f>IF(A325="","",SUM(E325:J325))</f>
        <v/>
      </c>
      <c r="L325" s="3934" t="n"/>
      <c r="M325" s="3934" t="n"/>
      <c r="N325" s="3934" t="n"/>
      <c r="O325" s="3934" t="n"/>
      <c r="P325" s="3934" t="n"/>
      <c r="Q325" s="3934" t="n"/>
      <c r="R325" s="3934" t="n"/>
      <c r="S325" s="3934" t="n"/>
      <c r="T325" s="3934" t="n"/>
      <c r="U325" s="3934" t="n"/>
      <c r="V325" s="3934" t="n"/>
      <c r="W325" s="3934" t="n"/>
      <c r="X325" s="3934" t="n"/>
      <c r="Y325" s="3934" t="n"/>
      <c r="Z325" s="3934" t="n"/>
      <c r="AA325" s="3934" t="n"/>
      <c r="AB325" s="3934" t="n"/>
      <c r="AC325" s="3934" t="n"/>
      <c r="AD325" s="3934" t="n"/>
      <c r="AE325" s="3934" t="n"/>
      <c r="AF325" s="3934" t="n"/>
      <c r="AG325" s="3934" t="n"/>
      <c r="AH325" s="3934" t="n"/>
      <c r="AI325" s="3934" t="n"/>
      <c r="AJ325" s="3934" t="n"/>
      <c r="AK325" s="3934" t="n"/>
      <c r="AL325" s="3934" t="n"/>
      <c r="AM325" s="3934" t="n"/>
      <c r="AN325" s="3934" t="n"/>
      <c r="AO325" s="3934" t="n"/>
      <c r="AP325" s="3934" t="n"/>
      <c r="AQ325" s="3934" t="n"/>
      <c r="AR325" s="3934" t="n"/>
    </row>
    <row r="326">
      <c r="A326" s="3941" t="n"/>
      <c r="B326" s="3944" t="n"/>
      <c r="C326" s="3944" t="n"/>
      <c r="D326" s="3944" t="n"/>
      <c r="E326" s="3944" t="n"/>
      <c r="F326" s="3944" t="n"/>
      <c r="G326" s="3944" t="n"/>
      <c r="H326" s="3944" t="n"/>
      <c r="I326" s="3944" t="n"/>
      <c r="J326" s="3944" t="n"/>
      <c r="K326" s="3942">
        <f>IF(A326="","",SUM(E326:J326))</f>
        <v/>
      </c>
      <c r="L326" s="3934" t="n"/>
      <c r="M326" s="3934" t="n"/>
      <c r="N326" s="3934" t="n"/>
      <c r="O326" s="3934" t="n"/>
      <c r="P326" s="3934" t="n"/>
      <c r="Q326" s="3934" t="n"/>
      <c r="R326" s="3934" t="n"/>
      <c r="S326" s="3934" t="n"/>
      <c r="T326" s="3934" t="n"/>
      <c r="U326" s="3934" t="n"/>
      <c r="V326" s="3934" t="n"/>
      <c r="W326" s="3934" t="n"/>
      <c r="X326" s="3934" t="n"/>
      <c r="Y326" s="3934" t="n"/>
      <c r="Z326" s="3934" t="n"/>
      <c r="AA326" s="3934" t="n"/>
      <c r="AB326" s="3934" t="n"/>
      <c r="AC326" s="3934" t="n"/>
      <c r="AD326" s="3934" t="n"/>
      <c r="AE326" s="3934" t="n"/>
      <c r="AF326" s="3934" t="n"/>
      <c r="AG326" s="3934" t="n"/>
      <c r="AH326" s="3934" t="n"/>
      <c r="AI326" s="3934" t="n"/>
      <c r="AJ326" s="3934" t="n"/>
      <c r="AK326" s="3934" t="n"/>
      <c r="AL326" s="3934" t="n"/>
      <c r="AM326" s="3934" t="n"/>
      <c r="AN326" s="3934" t="n"/>
      <c r="AO326" s="3934" t="n"/>
      <c r="AP326" s="3934" t="n"/>
      <c r="AQ326" s="3934" t="n"/>
      <c r="AR326" s="3934" t="n"/>
    </row>
    <row r="327">
      <c r="A327" s="3941" t="n"/>
      <c r="B327" s="3944" t="n"/>
      <c r="C327" s="3944" t="n"/>
      <c r="D327" s="3944" t="n"/>
      <c r="E327" s="3944" t="n"/>
      <c r="F327" s="3944" t="n"/>
      <c r="G327" s="3944" t="n"/>
      <c r="H327" s="3944" t="n"/>
      <c r="I327" s="3944" t="n"/>
      <c r="J327" s="3944" t="n"/>
      <c r="K327" s="3942">
        <f>IF(A327="","",SUM(E327:J327))</f>
        <v/>
      </c>
      <c r="L327" s="3934" t="n"/>
      <c r="M327" s="3934" t="n"/>
      <c r="N327" s="3934" t="n"/>
      <c r="O327" s="3934" t="n"/>
      <c r="P327" s="3934" t="n"/>
      <c r="Q327" s="3934" t="n"/>
      <c r="R327" s="3934" t="n"/>
      <c r="S327" s="3934" t="n"/>
      <c r="T327" s="3934" t="n"/>
      <c r="U327" s="3934" t="n"/>
      <c r="V327" s="3934" t="n"/>
      <c r="W327" s="3934" t="n"/>
      <c r="X327" s="3934" t="n"/>
      <c r="Y327" s="3934" t="n"/>
      <c r="Z327" s="3934" t="n"/>
      <c r="AA327" s="3934" t="n"/>
      <c r="AB327" s="3934" t="n"/>
      <c r="AC327" s="3934" t="n"/>
      <c r="AD327" s="3934" t="n"/>
      <c r="AE327" s="3934" t="n"/>
      <c r="AF327" s="3934" t="n"/>
      <c r="AG327" s="3934" t="n"/>
      <c r="AH327" s="3934" t="n"/>
      <c r="AI327" s="3934" t="n"/>
      <c r="AJ327" s="3934" t="n"/>
      <c r="AK327" s="3934" t="n"/>
      <c r="AL327" s="3934" t="n"/>
      <c r="AM327" s="3934" t="n"/>
      <c r="AN327" s="3934" t="n"/>
      <c r="AO327" s="3934" t="n"/>
      <c r="AP327" s="3934" t="n"/>
      <c r="AQ327" s="3934" t="n"/>
      <c r="AR327" s="3934" t="n"/>
    </row>
    <row r="328">
      <c r="A328" s="3941" t="n"/>
      <c r="B328" s="3944" t="n"/>
      <c r="C328" s="3944" t="n"/>
      <c r="D328" s="3944" t="n"/>
      <c r="E328" s="3944" t="n"/>
      <c r="F328" s="3944" t="n"/>
      <c r="G328" s="3944" t="n"/>
      <c r="H328" s="3944" t="n"/>
      <c r="I328" s="3944" t="n"/>
      <c r="J328" s="3944" t="n"/>
      <c r="K328" s="3942">
        <f>IF(A328="","",SUM(E328:J328))</f>
        <v/>
      </c>
      <c r="L328" s="3934" t="n"/>
      <c r="M328" s="3934" t="n"/>
      <c r="N328" s="3934" t="n"/>
      <c r="O328" s="3934" t="n"/>
      <c r="P328" s="3934" t="n"/>
      <c r="Q328" s="3934" t="n"/>
      <c r="R328" s="3934" t="n"/>
      <c r="S328" s="3934" t="n"/>
      <c r="T328" s="3934" t="n"/>
      <c r="U328" s="3934" t="n"/>
      <c r="V328" s="3934" t="n"/>
      <c r="W328" s="3934" t="n"/>
      <c r="X328" s="3934" t="n"/>
      <c r="Y328" s="3934" t="n"/>
      <c r="Z328" s="3934" t="n"/>
      <c r="AA328" s="3934" t="n"/>
      <c r="AB328" s="3934" t="n"/>
      <c r="AC328" s="3934" t="n"/>
      <c r="AD328" s="3934" t="n"/>
      <c r="AE328" s="3934" t="n"/>
      <c r="AF328" s="3934" t="n"/>
      <c r="AG328" s="3934" t="n"/>
      <c r="AH328" s="3934" t="n"/>
      <c r="AI328" s="3934" t="n"/>
      <c r="AJ328" s="3934" t="n"/>
      <c r="AK328" s="3934" t="n"/>
      <c r="AL328" s="3934" t="n"/>
      <c r="AM328" s="3934" t="n"/>
      <c r="AN328" s="3934" t="n"/>
      <c r="AO328" s="3934" t="n"/>
      <c r="AP328" s="3934" t="n"/>
      <c r="AQ328" s="3934" t="n"/>
      <c r="AR328" s="3934" t="n"/>
    </row>
    <row r="329">
      <c r="A329" s="3941" t="n"/>
      <c r="B329" s="3944" t="n"/>
      <c r="C329" s="3944" t="n"/>
      <c r="D329" s="3944" t="n"/>
      <c r="E329" s="3944" t="n"/>
      <c r="F329" s="3944" t="n"/>
      <c r="G329" s="3944" t="n"/>
      <c r="H329" s="3944" t="n"/>
      <c r="I329" s="3944" t="n"/>
      <c r="J329" s="3944" t="n"/>
      <c r="K329" s="3942">
        <f>IF(A329="","",SUM(E329:J329))</f>
        <v/>
      </c>
      <c r="L329" s="3934" t="n"/>
      <c r="M329" s="3934" t="n"/>
      <c r="N329" s="3934" t="n"/>
      <c r="O329" s="3934" t="n"/>
      <c r="P329" s="3934" t="n"/>
      <c r="Q329" s="3934" t="n"/>
      <c r="R329" s="3934" t="n"/>
      <c r="S329" s="3934" t="n"/>
      <c r="T329" s="3934" t="n"/>
      <c r="U329" s="3934" t="n"/>
      <c r="V329" s="3934" t="n"/>
      <c r="W329" s="3934" t="n"/>
      <c r="X329" s="3934" t="n"/>
      <c r="Y329" s="3934" t="n"/>
      <c r="Z329" s="3934" t="n"/>
      <c r="AA329" s="3934" t="n"/>
      <c r="AB329" s="3934" t="n"/>
      <c r="AC329" s="3934" t="n"/>
      <c r="AD329" s="3934" t="n"/>
      <c r="AE329" s="3934" t="n"/>
      <c r="AF329" s="3934" t="n"/>
      <c r="AG329" s="3934" t="n"/>
      <c r="AH329" s="3934" t="n"/>
      <c r="AI329" s="3934" t="n"/>
      <c r="AJ329" s="3934" t="n"/>
      <c r="AK329" s="3934" t="n"/>
      <c r="AL329" s="3934" t="n"/>
      <c r="AM329" s="3934" t="n"/>
      <c r="AN329" s="3934" t="n"/>
      <c r="AO329" s="3934" t="n"/>
      <c r="AP329" s="3934" t="n"/>
      <c r="AQ329" s="3934" t="n"/>
      <c r="AR329" s="3934" t="n"/>
    </row>
    <row r="330">
      <c r="A330" s="3941" t="n"/>
      <c r="B330" s="3944" t="n"/>
      <c r="C330" s="3944" t="n"/>
      <c r="D330" s="3944" t="n"/>
      <c r="E330" s="3944" t="n"/>
      <c r="F330" s="3944" t="n"/>
      <c r="G330" s="3944" t="n"/>
      <c r="H330" s="3944" t="n"/>
      <c r="I330" s="3944" t="n"/>
      <c r="J330" s="3944" t="n"/>
      <c r="K330" s="3942">
        <f>IF(A330="","",SUM(E330:J330))</f>
        <v/>
      </c>
      <c r="L330" s="3934" t="n"/>
      <c r="M330" s="3934" t="n"/>
      <c r="N330" s="3934" t="n"/>
      <c r="O330" s="3934" t="n"/>
      <c r="P330" s="3934" t="n"/>
      <c r="Q330" s="3934" t="n"/>
      <c r="R330" s="3934" t="n"/>
      <c r="S330" s="3934" t="n"/>
      <c r="T330" s="3934" t="n"/>
      <c r="U330" s="3934" t="n"/>
      <c r="V330" s="3934" t="n"/>
      <c r="W330" s="3934" t="n"/>
      <c r="X330" s="3934" t="n"/>
      <c r="Y330" s="3934" t="n"/>
      <c r="Z330" s="3934" t="n"/>
      <c r="AA330" s="3934" t="n"/>
      <c r="AB330" s="3934" t="n"/>
      <c r="AC330" s="3934" t="n"/>
      <c r="AD330" s="3934" t="n"/>
      <c r="AE330" s="3934" t="n"/>
      <c r="AF330" s="3934" t="n"/>
      <c r="AG330" s="3934" t="n"/>
      <c r="AH330" s="3934" t="n"/>
      <c r="AI330" s="3934" t="n"/>
      <c r="AJ330" s="3934" t="n"/>
      <c r="AK330" s="3934" t="n"/>
      <c r="AL330" s="3934" t="n"/>
      <c r="AM330" s="3934" t="n"/>
      <c r="AN330" s="3934" t="n"/>
      <c r="AO330" s="3934" t="n"/>
      <c r="AP330" s="3934" t="n"/>
      <c r="AQ330" s="3934" t="n"/>
      <c r="AR330" s="3934" t="n"/>
    </row>
    <row r="331">
      <c r="A331" s="3941" t="n"/>
      <c r="B331" s="3944" t="n"/>
      <c r="C331" s="3944" t="n"/>
      <c r="D331" s="3944" t="n"/>
      <c r="E331" s="3944" t="n"/>
      <c r="F331" s="3944" t="n"/>
      <c r="G331" s="3944" t="n"/>
      <c r="H331" s="3944" t="n"/>
      <c r="I331" s="3944" t="n"/>
      <c r="J331" s="3944" t="n"/>
      <c r="K331" s="3942">
        <f>IF(A331="","",SUM(E331:J331))</f>
        <v/>
      </c>
      <c r="L331" s="3934" t="n"/>
      <c r="M331" s="3934" t="n"/>
      <c r="N331" s="3934" t="n"/>
      <c r="O331" s="3934" t="n"/>
      <c r="P331" s="3934" t="n"/>
      <c r="Q331" s="3934" t="n"/>
      <c r="R331" s="3934" t="n"/>
      <c r="S331" s="3934" t="n"/>
      <c r="T331" s="3934" t="n"/>
      <c r="U331" s="3934" t="n"/>
      <c r="V331" s="3934" t="n"/>
      <c r="W331" s="3934" t="n"/>
      <c r="X331" s="3934" t="n"/>
      <c r="Y331" s="3934" t="n"/>
      <c r="Z331" s="3934" t="n"/>
      <c r="AA331" s="3934" t="n"/>
      <c r="AB331" s="3934" t="n"/>
      <c r="AC331" s="3934" t="n"/>
      <c r="AD331" s="3934" t="n"/>
      <c r="AE331" s="3934" t="n"/>
      <c r="AF331" s="3934" t="n"/>
      <c r="AG331" s="3934" t="n"/>
      <c r="AH331" s="3934" t="n"/>
      <c r="AI331" s="3934" t="n"/>
      <c r="AJ331" s="3934" t="n"/>
      <c r="AK331" s="3934" t="n"/>
      <c r="AL331" s="3934" t="n"/>
      <c r="AM331" s="3934" t="n"/>
      <c r="AN331" s="3934" t="n"/>
      <c r="AO331" s="3934" t="n"/>
      <c r="AP331" s="3934" t="n"/>
      <c r="AQ331" s="3934" t="n"/>
      <c r="AR331" s="3934" t="n"/>
    </row>
    <row r="332">
      <c r="A332" s="3941" t="n"/>
      <c r="B332" s="3944" t="n"/>
      <c r="C332" s="3944" t="n"/>
      <c r="D332" s="3944" t="n"/>
      <c r="E332" s="3944" t="n"/>
      <c r="F332" s="3944" t="n"/>
      <c r="G332" s="3944" t="n"/>
      <c r="H332" s="3944" t="n"/>
      <c r="I332" s="3944" t="n"/>
      <c r="J332" s="3944" t="n"/>
      <c r="K332" s="3942">
        <f>IF(A332="","",SUM(E332:J332))</f>
        <v/>
      </c>
      <c r="L332" s="3934" t="n"/>
      <c r="M332" s="3934" t="n"/>
      <c r="N332" s="3934" t="n"/>
      <c r="O332" s="3934" t="n"/>
      <c r="P332" s="3934" t="n"/>
      <c r="Q332" s="3934" t="n"/>
      <c r="R332" s="3934" t="n"/>
      <c r="S332" s="3934" t="n"/>
      <c r="T332" s="3934" t="n"/>
      <c r="U332" s="3934" t="n"/>
      <c r="V332" s="3934" t="n"/>
      <c r="W332" s="3934" t="n"/>
      <c r="X332" s="3934" t="n"/>
      <c r="Y332" s="3934" t="n"/>
      <c r="Z332" s="3934" t="n"/>
      <c r="AA332" s="3934" t="n"/>
      <c r="AB332" s="3934" t="n"/>
      <c r="AC332" s="3934" t="n"/>
      <c r="AD332" s="3934" t="n"/>
      <c r="AE332" s="3934" t="n"/>
      <c r="AF332" s="3934" t="n"/>
      <c r="AG332" s="3934" t="n"/>
      <c r="AH332" s="3934" t="n"/>
      <c r="AI332" s="3934" t="n"/>
      <c r="AJ332" s="3934" t="n"/>
      <c r="AK332" s="3934" t="n"/>
      <c r="AL332" s="3934" t="n"/>
      <c r="AM332" s="3934" t="n"/>
      <c r="AN332" s="3934" t="n"/>
      <c r="AO332" s="3934" t="n"/>
      <c r="AP332" s="3934" t="n"/>
      <c r="AQ332" s="3934" t="n"/>
      <c r="AR332" s="3934" t="n"/>
    </row>
    <row r="333">
      <c r="A333" s="3941" t="n"/>
      <c r="B333" s="3944" t="n"/>
      <c r="C333" s="3944" t="n"/>
      <c r="D333" s="3944" t="n"/>
      <c r="E333" s="3944" t="n"/>
      <c r="F333" s="3944" t="n"/>
      <c r="G333" s="3944" t="n"/>
      <c r="H333" s="3944" t="n"/>
      <c r="I333" s="3944" t="n"/>
      <c r="J333" s="3944" t="n"/>
      <c r="K333" s="3942">
        <f>IF(A333="","",SUM(E333:J333))</f>
        <v/>
      </c>
      <c r="L333" s="3934" t="n"/>
      <c r="M333" s="3934" t="n"/>
      <c r="N333" s="3934" t="n"/>
      <c r="O333" s="3934" t="n"/>
      <c r="P333" s="3934" t="n"/>
      <c r="Q333" s="3934" t="n"/>
      <c r="R333" s="3934" t="n"/>
      <c r="S333" s="3934" t="n"/>
      <c r="T333" s="3934" t="n"/>
      <c r="U333" s="3934" t="n"/>
      <c r="V333" s="3934" t="n"/>
      <c r="W333" s="3934" t="n"/>
      <c r="X333" s="3934" t="n"/>
      <c r="Y333" s="3934" t="n"/>
      <c r="Z333" s="3934" t="n"/>
      <c r="AA333" s="3934" t="n"/>
      <c r="AB333" s="3934" t="n"/>
      <c r="AC333" s="3934" t="n"/>
      <c r="AD333" s="3934" t="n"/>
      <c r="AE333" s="3934" t="n"/>
      <c r="AF333" s="3934" t="n"/>
      <c r="AG333" s="3934" t="n"/>
      <c r="AH333" s="3934" t="n"/>
      <c r="AI333" s="3934" t="n"/>
      <c r="AJ333" s="3934" t="n"/>
      <c r="AK333" s="3934" t="n"/>
      <c r="AL333" s="3934" t="n"/>
      <c r="AM333" s="3934" t="n"/>
      <c r="AN333" s="3934" t="n"/>
      <c r="AO333" s="3934" t="n"/>
      <c r="AP333" s="3934" t="n"/>
      <c r="AQ333" s="3934" t="n"/>
      <c r="AR333" s="3934" t="n"/>
    </row>
    <row r="334">
      <c r="A334" s="3941" t="n"/>
      <c r="B334" s="3944" t="n"/>
      <c r="C334" s="3944" t="n"/>
      <c r="D334" s="3944" t="n"/>
      <c r="E334" s="3944" t="n"/>
      <c r="F334" s="3944" t="n"/>
      <c r="G334" s="3944" t="n"/>
      <c r="H334" s="3944" t="n"/>
      <c r="I334" s="3944" t="n"/>
      <c r="J334" s="3944" t="n"/>
      <c r="K334" s="3942">
        <f>IF(A334="","",SUM(E334:J334))</f>
        <v/>
      </c>
      <c r="L334" s="3934" t="n"/>
      <c r="M334" s="3934" t="n"/>
      <c r="N334" s="3934" t="n"/>
      <c r="O334" s="3934" t="n"/>
      <c r="P334" s="3934" t="n"/>
      <c r="Q334" s="3934" t="n"/>
      <c r="R334" s="3934" t="n"/>
      <c r="S334" s="3934" t="n"/>
      <c r="T334" s="3934" t="n"/>
      <c r="U334" s="3934" t="n"/>
      <c r="V334" s="3934" t="n"/>
      <c r="W334" s="3934" t="n"/>
      <c r="X334" s="3934" t="n"/>
      <c r="Y334" s="3934" t="n"/>
      <c r="Z334" s="3934" t="n"/>
      <c r="AA334" s="3934" t="n"/>
      <c r="AB334" s="3934" t="n"/>
      <c r="AC334" s="3934" t="n"/>
      <c r="AD334" s="3934" t="n"/>
      <c r="AE334" s="3934" t="n"/>
      <c r="AF334" s="3934" t="n"/>
      <c r="AG334" s="3934" t="n"/>
      <c r="AH334" s="3934" t="n"/>
      <c r="AI334" s="3934" t="n"/>
      <c r="AJ334" s="3934" t="n"/>
      <c r="AK334" s="3934" t="n"/>
      <c r="AL334" s="3934" t="n"/>
      <c r="AM334" s="3934" t="n"/>
      <c r="AN334" s="3934" t="n"/>
      <c r="AO334" s="3934" t="n"/>
      <c r="AP334" s="3934" t="n"/>
      <c r="AQ334" s="3934" t="n"/>
      <c r="AR334" s="3934" t="n"/>
    </row>
    <row r="335">
      <c r="A335" s="3941" t="n"/>
      <c r="B335" s="3944" t="n"/>
      <c r="C335" s="3944" t="n"/>
      <c r="D335" s="3944" t="n"/>
      <c r="E335" s="3944" t="n"/>
      <c r="F335" s="3944" t="n"/>
      <c r="G335" s="3944" t="n"/>
      <c r="H335" s="3944" t="n"/>
      <c r="I335" s="3944" t="n"/>
      <c r="J335" s="3944" t="n"/>
      <c r="K335" s="3942">
        <f>IF(A335="","",SUM(E335:J335))</f>
        <v/>
      </c>
      <c r="L335" s="3934" t="n"/>
      <c r="M335" s="3934" t="n"/>
      <c r="N335" s="3934" t="n"/>
      <c r="O335" s="3934" t="n"/>
      <c r="P335" s="3934" t="n"/>
      <c r="Q335" s="3934" t="n"/>
      <c r="R335" s="3934" t="n"/>
      <c r="S335" s="3934" t="n"/>
      <c r="T335" s="3934" t="n"/>
      <c r="U335" s="3934" t="n"/>
      <c r="V335" s="3934" t="n"/>
      <c r="W335" s="3934" t="n"/>
      <c r="X335" s="3934" t="n"/>
      <c r="Y335" s="3934" t="n"/>
      <c r="Z335" s="3934" t="n"/>
      <c r="AA335" s="3934" t="n"/>
      <c r="AB335" s="3934" t="n"/>
      <c r="AC335" s="3934" t="n"/>
      <c r="AD335" s="3934" t="n"/>
      <c r="AE335" s="3934" t="n"/>
      <c r="AF335" s="3934" t="n"/>
      <c r="AG335" s="3934" t="n"/>
      <c r="AH335" s="3934" t="n"/>
      <c r="AI335" s="3934" t="n"/>
      <c r="AJ335" s="3934" t="n"/>
      <c r="AK335" s="3934" t="n"/>
      <c r="AL335" s="3934" t="n"/>
      <c r="AM335" s="3934" t="n"/>
      <c r="AN335" s="3934" t="n"/>
      <c r="AO335" s="3934" t="n"/>
      <c r="AP335" s="3934" t="n"/>
      <c r="AQ335" s="3934" t="n"/>
      <c r="AR335" s="3934" t="n"/>
    </row>
    <row r="336">
      <c r="A336" s="3941" t="n"/>
      <c r="B336" s="3944" t="n"/>
      <c r="C336" s="3944" t="n"/>
      <c r="D336" s="3944" t="n"/>
      <c r="E336" s="3944" t="n"/>
      <c r="F336" s="3944" t="n"/>
      <c r="G336" s="3944" t="n"/>
      <c r="H336" s="3944" t="n"/>
      <c r="I336" s="3944" t="n"/>
      <c r="J336" s="3944" t="n"/>
      <c r="K336" s="3942">
        <f>IF(A336="","",SUM(E336:J336))</f>
        <v/>
      </c>
      <c r="L336" s="3934" t="n"/>
      <c r="M336" s="3934" t="n"/>
      <c r="N336" s="3934" t="n"/>
      <c r="O336" s="3934" t="n"/>
      <c r="P336" s="3934" t="n"/>
      <c r="Q336" s="3934" t="n"/>
      <c r="R336" s="3934" t="n"/>
      <c r="S336" s="3934" t="n"/>
      <c r="T336" s="3934" t="n"/>
      <c r="U336" s="3934" t="n"/>
      <c r="V336" s="3934" t="n"/>
      <c r="W336" s="3934" t="n"/>
      <c r="X336" s="3934" t="n"/>
      <c r="Y336" s="3934" t="n"/>
      <c r="Z336" s="3934" t="n"/>
      <c r="AA336" s="3934" t="n"/>
      <c r="AB336" s="3934" t="n"/>
      <c r="AC336" s="3934" t="n"/>
      <c r="AD336" s="3934" t="n"/>
      <c r="AE336" s="3934" t="n"/>
      <c r="AF336" s="3934" t="n"/>
      <c r="AG336" s="3934" t="n"/>
      <c r="AH336" s="3934" t="n"/>
      <c r="AI336" s="3934" t="n"/>
      <c r="AJ336" s="3934" t="n"/>
      <c r="AK336" s="3934" t="n"/>
      <c r="AL336" s="3934" t="n"/>
      <c r="AM336" s="3934" t="n"/>
      <c r="AN336" s="3934" t="n"/>
      <c r="AO336" s="3934" t="n"/>
      <c r="AP336" s="3934" t="n"/>
      <c r="AQ336" s="3934" t="n"/>
      <c r="AR336" s="3934" t="n"/>
    </row>
    <row r="337">
      <c r="A337" s="3941" t="n"/>
      <c r="B337" s="3944" t="n"/>
      <c r="C337" s="3944" t="n"/>
      <c r="D337" s="3944" t="n"/>
      <c r="E337" s="3944" t="n"/>
      <c r="F337" s="3944" t="n"/>
      <c r="G337" s="3944" t="n"/>
      <c r="H337" s="3944" t="n"/>
      <c r="I337" s="3944" t="n"/>
      <c r="J337" s="3944" t="n"/>
      <c r="K337" s="3942">
        <f>IF(A337="","",SUM(E337:J337))</f>
        <v/>
      </c>
      <c r="L337" s="3934" t="n"/>
      <c r="M337" s="3934" t="n"/>
      <c r="N337" s="3934" t="n"/>
      <c r="O337" s="3934" t="n"/>
      <c r="P337" s="3934" t="n"/>
      <c r="Q337" s="3934" t="n"/>
      <c r="R337" s="3934" t="n"/>
      <c r="S337" s="3934" t="n"/>
      <c r="T337" s="3934" t="n"/>
      <c r="U337" s="3934" t="n"/>
      <c r="V337" s="3934" t="n"/>
      <c r="W337" s="3934" t="n"/>
      <c r="X337" s="3934" t="n"/>
      <c r="Y337" s="3934" t="n"/>
      <c r="Z337" s="3934" t="n"/>
      <c r="AA337" s="3934" t="n"/>
      <c r="AB337" s="3934" t="n"/>
      <c r="AC337" s="3934" t="n"/>
      <c r="AD337" s="3934" t="n"/>
      <c r="AE337" s="3934" t="n"/>
      <c r="AF337" s="3934" t="n"/>
      <c r="AG337" s="3934" t="n"/>
      <c r="AH337" s="3934" t="n"/>
      <c r="AI337" s="3934" t="n"/>
      <c r="AJ337" s="3934" t="n"/>
      <c r="AK337" s="3934" t="n"/>
      <c r="AL337" s="3934" t="n"/>
      <c r="AM337" s="3934" t="n"/>
      <c r="AN337" s="3934" t="n"/>
      <c r="AO337" s="3934" t="n"/>
      <c r="AP337" s="3934" t="n"/>
      <c r="AQ337" s="3934" t="n"/>
      <c r="AR337" s="3934" t="n"/>
    </row>
    <row r="338">
      <c r="A338" s="3941" t="n"/>
      <c r="B338" s="3944" t="n"/>
      <c r="C338" s="3944" t="n"/>
      <c r="D338" s="3944" t="n"/>
      <c r="E338" s="3944" t="n"/>
      <c r="F338" s="3944" t="n"/>
      <c r="G338" s="3944" t="n"/>
      <c r="H338" s="3944" t="n"/>
      <c r="I338" s="3944" t="n"/>
      <c r="J338" s="3944" t="n"/>
      <c r="K338" s="3942">
        <f>IF(A338="","",SUM(E338:J338))</f>
        <v/>
      </c>
      <c r="L338" s="3934" t="n"/>
      <c r="M338" s="3934" t="n"/>
      <c r="N338" s="3934" t="n"/>
      <c r="O338" s="3934" t="n"/>
      <c r="P338" s="3934" t="n"/>
      <c r="Q338" s="3934" t="n"/>
      <c r="R338" s="3934" t="n"/>
      <c r="S338" s="3934" t="n"/>
      <c r="T338" s="3934" t="n"/>
      <c r="U338" s="3934" t="n"/>
      <c r="V338" s="3934" t="n"/>
      <c r="W338" s="3934" t="n"/>
      <c r="X338" s="3934" t="n"/>
      <c r="Y338" s="3934" t="n"/>
      <c r="Z338" s="3934" t="n"/>
      <c r="AA338" s="3934" t="n"/>
      <c r="AB338" s="3934" t="n"/>
      <c r="AC338" s="3934" t="n"/>
      <c r="AD338" s="3934" t="n"/>
      <c r="AE338" s="3934" t="n"/>
      <c r="AF338" s="3934" t="n"/>
      <c r="AG338" s="3934" t="n"/>
      <c r="AH338" s="3934" t="n"/>
      <c r="AI338" s="3934" t="n"/>
      <c r="AJ338" s="3934" t="n"/>
      <c r="AK338" s="3934" t="n"/>
      <c r="AL338" s="3934" t="n"/>
      <c r="AM338" s="3934" t="n"/>
      <c r="AN338" s="3934" t="n"/>
      <c r="AO338" s="3934" t="n"/>
      <c r="AP338" s="3934" t="n"/>
      <c r="AQ338" s="3934" t="n"/>
      <c r="AR338" s="3934" t="n"/>
    </row>
    <row r="339">
      <c r="A339" s="3941" t="n"/>
      <c r="B339" s="3944" t="n"/>
      <c r="C339" s="3944" t="n"/>
      <c r="D339" s="3944" t="n"/>
      <c r="E339" s="3944" t="n"/>
      <c r="F339" s="3944" t="n"/>
      <c r="G339" s="3944" t="n"/>
      <c r="H339" s="3944" t="n"/>
      <c r="I339" s="3944" t="n"/>
      <c r="J339" s="3944" t="n"/>
      <c r="K339" s="3942">
        <f>IF(A339="","",SUM(E339:J339))</f>
        <v/>
      </c>
      <c r="L339" s="3934" t="n"/>
      <c r="M339" s="3934" t="n"/>
      <c r="N339" s="3934" t="n"/>
      <c r="O339" s="3934" t="n"/>
      <c r="P339" s="3934" t="n"/>
      <c r="Q339" s="3934" t="n"/>
      <c r="R339" s="3934" t="n"/>
      <c r="S339" s="3934" t="n"/>
      <c r="T339" s="3934" t="n"/>
      <c r="U339" s="3934" t="n"/>
      <c r="V339" s="3934" t="n"/>
      <c r="W339" s="3934" t="n"/>
      <c r="X339" s="3934" t="n"/>
      <c r="Y339" s="3934" t="n"/>
      <c r="Z339" s="3934" t="n"/>
      <c r="AA339" s="3934" t="n"/>
      <c r="AB339" s="3934" t="n"/>
      <c r="AC339" s="3934" t="n"/>
      <c r="AD339" s="3934" t="n"/>
      <c r="AE339" s="3934" t="n"/>
      <c r="AF339" s="3934" t="n"/>
      <c r="AG339" s="3934" t="n"/>
      <c r="AH339" s="3934" t="n"/>
      <c r="AI339" s="3934" t="n"/>
      <c r="AJ339" s="3934" t="n"/>
      <c r="AK339" s="3934" t="n"/>
      <c r="AL339" s="3934" t="n"/>
      <c r="AM339" s="3934" t="n"/>
      <c r="AN339" s="3934" t="n"/>
      <c r="AO339" s="3934" t="n"/>
      <c r="AP339" s="3934" t="n"/>
      <c r="AQ339" s="3934" t="n"/>
      <c r="AR339" s="3934" t="n"/>
    </row>
    <row r="340">
      <c r="A340" s="3941" t="n"/>
      <c r="B340" s="3944" t="n"/>
      <c r="C340" s="3944" t="n"/>
      <c r="D340" s="3944" t="n"/>
      <c r="E340" s="3944" t="n"/>
      <c r="F340" s="3944" t="n"/>
      <c r="G340" s="3944" t="n"/>
      <c r="H340" s="3944" t="n"/>
      <c r="I340" s="3944" t="n"/>
      <c r="J340" s="3944" t="n"/>
      <c r="K340" s="3942">
        <f>IF(A340="","",SUM(E340:J340))</f>
        <v/>
      </c>
      <c r="L340" s="3934" t="n"/>
      <c r="M340" s="3934" t="n"/>
      <c r="N340" s="3934" t="n"/>
      <c r="O340" s="3934" t="n"/>
      <c r="P340" s="3934" t="n"/>
      <c r="Q340" s="3934" t="n"/>
      <c r="R340" s="3934" t="n"/>
      <c r="S340" s="3934" t="n"/>
      <c r="T340" s="3934" t="n"/>
      <c r="U340" s="3934" t="n"/>
      <c r="V340" s="3934" t="n"/>
      <c r="W340" s="3934" t="n"/>
      <c r="X340" s="3934" t="n"/>
      <c r="Y340" s="3934" t="n"/>
      <c r="Z340" s="3934" t="n"/>
      <c r="AA340" s="3934" t="n"/>
      <c r="AB340" s="3934" t="n"/>
      <c r="AC340" s="3934" t="n"/>
      <c r="AD340" s="3934" t="n"/>
      <c r="AE340" s="3934" t="n"/>
      <c r="AF340" s="3934" t="n"/>
      <c r="AG340" s="3934" t="n"/>
      <c r="AH340" s="3934" t="n"/>
      <c r="AI340" s="3934" t="n"/>
      <c r="AJ340" s="3934" t="n"/>
      <c r="AK340" s="3934" t="n"/>
      <c r="AL340" s="3934" t="n"/>
      <c r="AM340" s="3934" t="n"/>
      <c r="AN340" s="3934" t="n"/>
      <c r="AO340" s="3934" t="n"/>
      <c r="AP340" s="3934" t="n"/>
      <c r="AQ340" s="3934" t="n"/>
      <c r="AR340" s="3934" t="n"/>
    </row>
    <row r="341">
      <c r="A341" s="3941" t="n"/>
      <c r="B341" s="3944" t="n"/>
      <c r="C341" s="3944" t="n"/>
      <c r="D341" s="3944" t="n"/>
      <c r="E341" s="3944" t="n"/>
      <c r="F341" s="3944" t="n"/>
      <c r="G341" s="3944" t="n"/>
      <c r="H341" s="3944" t="n"/>
      <c r="I341" s="3944" t="n"/>
      <c r="J341" s="3944" t="n"/>
      <c r="K341" s="3942">
        <f>IF(A341="","",SUM(E341:J341))</f>
        <v/>
      </c>
      <c r="L341" s="3934" t="n"/>
      <c r="M341" s="3934" t="n"/>
      <c r="N341" s="3934" t="n"/>
      <c r="O341" s="3934" t="n"/>
      <c r="P341" s="3934" t="n"/>
      <c r="Q341" s="3934" t="n"/>
      <c r="R341" s="3934" t="n"/>
      <c r="S341" s="3934" t="n"/>
      <c r="T341" s="3934" t="n"/>
      <c r="U341" s="3934" t="n"/>
      <c r="V341" s="3934" t="n"/>
      <c r="W341" s="3934" t="n"/>
      <c r="X341" s="3934" t="n"/>
      <c r="Y341" s="3934" t="n"/>
      <c r="Z341" s="3934" t="n"/>
      <c r="AA341" s="3934" t="n"/>
      <c r="AB341" s="3934" t="n"/>
      <c r="AC341" s="3934" t="n"/>
      <c r="AD341" s="3934" t="n"/>
      <c r="AE341" s="3934" t="n"/>
      <c r="AF341" s="3934" t="n"/>
      <c r="AG341" s="3934" t="n"/>
      <c r="AH341" s="3934" t="n"/>
      <c r="AI341" s="3934" t="n"/>
      <c r="AJ341" s="3934" t="n"/>
      <c r="AK341" s="3934" t="n"/>
      <c r="AL341" s="3934" t="n"/>
      <c r="AM341" s="3934" t="n"/>
      <c r="AN341" s="3934" t="n"/>
      <c r="AO341" s="3934" t="n"/>
      <c r="AP341" s="3934" t="n"/>
      <c r="AQ341" s="3934" t="n"/>
      <c r="AR341" s="3934" t="n"/>
    </row>
    <row r="342">
      <c r="A342" s="3941" t="n"/>
      <c r="B342" s="3944" t="n"/>
      <c r="C342" s="3944" t="n"/>
      <c r="D342" s="3944" t="n"/>
      <c r="E342" s="3944" t="n"/>
      <c r="F342" s="3944" t="n"/>
      <c r="G342" s="3944" t="n"/>
      <c r="H342" s="3944" t="n"/>
      <c r="I342" s="3944" t="n"/>
      <c r="J342" s="3944" t="n"/>
      <c r="K342" s="3942">
        <f>IF(A342="","",SUM(E342:J342))</f>
        <v/>
      </c>
      <c r="L342" s="3934" t="n"/>
      <c r="M342" s="3934" t="n"/>
      <c r="N342" s="3934" t="n"/>
      <c r="O342" s="3934" t="n"/>
      <c r="P342" s="3934" t="n"/>
      <c r="Q342" s="3934" t="n"/>
      <c r="R342" s="3934" t="n"/>
      <c r="S342" s="3934" t="n"/>
      <c r="T342" s="3934" t="n"/>
      <c r="U342" s="3934" t="n"/>
      <c r="V342" s="3934" t="n"/>
      <c r="W342" s="3934" t="n"/>
      <c r="X342" s="3934" t="n"/>
      <c r="Y342" s="3934" t="n"/>
      <c r="Z342" s="3934" t="n"/>
      <c r="AA342" s="3934" t="n"/>
      <c r="AB342" s="3934" t="n"/>
      <c r="AC342" s="3934" t="n"/>
      <c r="AD342" s="3934" t="n"/>
      <c r="AE342" s="3934" t="n"/>
      <c r="AF342" s="3934" t="n"/>
      <c r="AG342" s="3934" t="n"/>
      <c r="AH342" s="3934" t="n"/>
      <c r="AI342" s="3934" t="n"/>
      <c r="AJ342" s="3934" t="n"/>
      <c r="AK342" s="3934" t="n"/>
      <c r="AL342" s="3934" t="n"/>
      <c r="AM342" s="3934" t="n"/>
      <c r="AN342" s="3934" t="n"/>
      <c r="AO342" s="3934" t="n"/>
      <c r="AP342" s="3934" t="n"/>
      <c r="AQ342" s="3934" t="n"/>
      <c r="AR342" s="3934" t="n"/>
    </row>
    <row r="343">
      <c r="A343" s="3941" t="n"/>
      <c r="B343" s="3944" t="n"/>
      <c r="C343" s="3944" t="n"/>
      <c r="D343" s="3944" t="n"/>
      <c r="E343" s="3944" t="n"/>
      <c r="F343" s="3944" t="n"/>
      <c r="G343" s="3944" t="n"/>
      <c r="H343" s="3944" t="n"/>
      <c r="I343" s="3944" t="n"/>
      <c r="J343" s="3944" t="n"/>
      <c r="K343" s="3942">
        <f>IF(A343="","",SUM(E343:J343))</f>
        <v/>
      </c>
      <c r="L343" s="3934" t="n"/>
      <c r="M343" s="3934" t="n"/>
      <c r="N343" s="3934" t="n"/>
      <c r="O343" s="3934" t="n"/>
      <c r="P343" s="3934" t="n"/>
      <c r="Q343" s="3934" t="n"/>
      <c r="R343" s="3934" t="n"/>
      <c r="S343" s="3934" t="n"/>
      <c r="T343" s="3934" t="n"/>
      <c r="U343" s="3934" t="n"/>
      <c r="V343" s="3934" t="n"/>
      <c r="W343" s="3934" t="n"/>
      <c r="X343" s="3934" t="n"/>
      <c r="Y343" s="3934" t="n"/>
      <c r="Z343" s="3934" t="n"/>
      <c r="AA343" s="3934" t="n"/>
      <c r="AB343" s="3934" t="n"/>
      <c r="AC343" s="3934" t="n"/>
      <c r="AD343" s="3934" t="n"/>
      <c r="AE343" s="3934" t="n"/>
      <c r="AF343" s="3934" t="n"/>
      <c r="AG343" s="3934" t="n"/>
      <c r="AH343" s="3934" t="n"/>
      <c r="AI343" s="3934" t="n"/>
      <c r="AJ343" s="3934" t="n"/>
      <c r="AK343" s="3934" t="n"/>
      <c r="AL343" s="3934" t="n"/>
      <c r="AM343" s="3934" t="n"/>
      <c r="AN343" s="3934" t="n"/>
      <c r="AO343" s="3934" t="n"/>
      <c r="AP343" s="3934" t="n"/>
      <c r="AQ343" s="3934" t="n"/>
      <c r="AR343" s="3934" t="n"/>
    </row>
    <row r="344">
      <c r="A344" s="3941" t="n"/>
      <c r="B344" s="3944" t="n"/>
      <c r="C344" s="3944" t="n"/>
      <c r="D344" s="3944" t="n"/>
      <c r="E344" s="3944" t="n"/>
      <c r="F344" s="3944" t="n"/>
      <c r="G344" s="3944" t="n"/>
      <c r="H344" s="3944" t="n"/>
      <c r="I344" s="3944" t="n"/>
      <c r="J344" s="3944" t="n"/>
      <c r="K344" s="3942">
        <f>IF(A344="","",SUM(E344:J344))</f>
        <v/>
      </c>
      <c r="L344" s="3934" t="n"/>
      <c r="M344" s="3934" t="n"/>
      <c r="N344" s="3934" t="n"/>
      <c r="O344" s="3934" t="n"/>
      <c r="P344" s="3934" t="n"/>
      <c r="Q344" s="3934" t="n"/>
      <c r="R344" s="3934" t="n"/>
      <c r="S344" s="3934" t="n"/>
      <c r="T344" s="3934" t="n"/>
      <c r="U344" s="3934" t="n"/>
      <c r="V344" s="3934" t="n"/>
      <c r="W344" s="3934" t="n"/>
      <c r="X344" s="3934" t="n"/>
      <c r="Y344" s="3934" t="n"/>
      <c r="Z344" s="3934" t="n"/>
      <c r="AA344" s="3934" t="n"/>
      <c r="AB344" s="3934" t="n"/>
      <c r="AC344" s="3934" t="n"/>
      <c r="AD344" s="3934" t="n"/>
      <c r="AE344" s="3934" t="n"/>
      <c r="AF344" s="3934" t="n"/>
      <c r="AG344" s="3934" t="n"/>
      <c r="AH344" s="3934" t="n"/>
      <c r="AI344" s="3934" t="n"/>
      <c r="AJ344" s="3934" t="n"/>
      <c r="AK344" s="3934" t="n"/>
      <c r="AL344" s="3934" t="n"/>
      <c r="AM344" s="3934" t="n"/>
      <c r="AN344" s="3934" t="n"/>
      <c r="AO344" s="3934" t="n"/>
      <c r="AP344" s="3934" t="n"/>
      <c r="AQ344" s="3934" t="n"/>
      <c r="AR344" s="3934" t="n"/>
    </row>
    <row r="345">
      <c r="A345" s="3941" t="n"/>
      <c r="B345" s="3944" t="n"/>
      <c r="C345" s="3944" t="n"/>
      <c r="D345" s="3944" t="n"/>
      <c r="E345" s="3944" t="n"/>
      <c r="F345" s="3944" t="n"/>
      <c r="G345" s="3944" t="n"/>
      <c r="H345" s="3944" t="n"/>
      <c r="I345" s="3944" t="n"/>
      <c r="J345" s="3944" t="n"/>
      <c r="K345" s="3942">
        <f>IF(A345="","",SUM(E345:J345))</f>
        <v/>
      </c>
      <c r="L345" s="3934" t="n"/>
      <c r="M345" s="3934" t="n"/>
      <c r="N345" s="3934" t="n"/>
      <c r="O345" s="3934" t="n"/>
      <c r="P345" s="3934" t="n"/>
      <c r="Q345" s="3934" t="n"/>
      <c r="R345" s="3934" t="n"/>
      <c r="S345" s="3934" t="n"/>
      <c r="T345" s="3934" t="n"/>
      <c r="U345" s="3934" t="n"/>
      <c r="V345" s="3934" t="n"/>
      <c r="W345" s="3934" t="n"/>
      <c r="X345" s="3934" t="n"/>
      <c r="Y345" s="3934" t="n"/>
      <c r="Z345" s="3934" t="n"/>
      <c r="AA345" s="3934" t="n"/>
      <c r="AB345" s="3934" t="n"/>
      <c r="AC345" s="3934" t="n"/>
      <c r="AD345" s="3934" t="n"/>
      <c r="AE345" s="3934" t="n"/>
      <c r="AF345" s="3934" t="n"/>
      <c r="AG345" s="3934" t="n"/>
      <c r="AH345" s="3934" t="n"/>
      <c r="AI345" s="3934" t="n"/>
      <c r="AJ345" s="3934" t="n"/>
      <c r="AK345" s="3934" t="n"/>
      <c r="AL345" s="3934" t="n"/>
      <c r="AM345" s="3934" t="n"/>
      <c r="AN345" s="3934" t="n"/>
      <c r="AO345" s="3934" t="n"/>
      <c r="AP345" s="3934" t="n"/>
      <c r="AQ345" s="3934" t="n"/>
      <c r="AR345" s="3934" t="n"/>
    </row>
    <row r="346">
      <c r="A346" s="3941" t="n"/>
      <c r="B346" s="3944" t="n"/>
      <c r="C346" s="3944" t="n"/>
      <c r="D346" s="3944" t="n"/>
      <c r="E346" s="3944" t="n"/>
      <c r="F346" s="3944" t="n"/>
      <c r="G346" s="3944" t="n"/>
      <c r="H346" s="3944" t="n"/>
      <c r="I346" s="3944" t="n"/>
      <c r="J346" s="3944" t="n"/>
      <c r="K346" s="3942">
        <f>IF(A346="","",SUM(E346:J346))</f>
        <v/>
      </c>
      <c r="L346" s="3934" t="n"/>
      <c r="M346" s="3934" t="n"/>
      <c r="N346" s="3934" t="n"/>
      <c r="O346" s="3934" t="n"/>
      <c r="P346" s="3934" t="n"/>
      <c r="Q346" s="3934" t="n"/>
      <c r="R346" s="3934" t="n"/>
      <c r="S346" s="3934" t="n"/>
      <c r="T346" s="3934" t="n"/>
      <c r="U346" s="3934" t="n"/>
      <c r="V346" s="3934" t="n"/>
      <c r="W346" s="3934" t="n"/>
      <c r="X346" s="3934" t="n"/>
      <c r="Y346" s="3934" t="n"/>
      <c r="Z346" s="3934" t="n"/>
      <c r="AA346" s="3934" t="n"/>
      <c r="AB346" s="3934" t="n"/>
      <c r="AC346" s="3934" t="n"/>
      <c r="AD346" s="3934" t="n"/>
      <c r="AE346" s="3934" t="n"/>
      <c r="AF346" s="3934" t="n"/>
      <c r="AG346" s="3934" t="n"/>
      <c r="AH346" s="3934" t="n"/>
      <c r="AI346" s="3934" t="n"/>
      <c r="AJ346" s="3934" t="n"/>
      <c r="AK346" s="3934" t="n"/>
      <c r="AL346" s="3934" t="n"/>
      <c r="AM346" s="3934" t="n"/>
      <c r="AN346" s="3934" t="n"/>
      <c r="AO346" s="3934" t="n"/>
      <c r="AP346" s="3934" t="n"/>
      <c r="AQ346" s="3934" t="n"/>
      <c r="AR346" s="3934" t="n"/>
    </row>
    <row r="347">
      <c r="A347" s="3941" t="n"/>
      <c r="B347" s="3944" t="n"/>
      <c r="C347" s="3944" t="n"/>
      <c r="D347" s="3944" t="n"/>
      <c r="E347" s="3944" t="n"/>
      <c r="F347" s="3944" t="n"/>
      <c r="G347" s="3944" t="n"/>
      <c r="H347" s="3944" t="n"/>
      <c r="I347" s="3944" t="n"/>
      <c r="J347" s="3944" t="n"/>
      <c r="K347" s="3942">
        <f>IF(A347="","",SUM(E347:J347))</f>
        <v/>
      </c>
      <c r="L347" s="3934" t="n"/>
      <c r="M347" s="3934" t="n"/>
      <c r="N347" s="3934" t="n"/>
      <c r="O347" s="3934" t="n"/>
      <c r="P347" s="3934" t="n"/>
      <c r="Q347" s="3934" t="n"/>
      <c r="R347" s="3934" t="n"/>
      <c r="S347" s="3934" t="n"/>
      <c r="T347" s="3934" t="n"/>
      <c r="U347" s="3934" t="n"/>
      <c r="V347" s="3934" t="n"/>
      <c r="W347" s="3934" t="n"/>
      <c r="X347" s="3934" t="n"/>
      <c r="Y347" s="3934" t="n"/>
      <c r="Z347" s="3934" t="n"/>
      <c r="AA347" s="3934" t="n"/>
      <c r="AB347" s="3934" t="n"/>
      <c r="AC347" s="3934" t="n"/>
      <c r="AD347" s="3934" t="n"/>
      <c r="AE347" s="3934" t="n"/>
      <c r="AF347" s="3934" t="n"/>
      <c r="AG347" s="3934" t="n"/>
      <c r="AH347" s="3934" t="n"/>
      <c r="AI347" s="3934" t="n"/>
      <c r="AJ347" s="3934" t="n"/>
      <c r="AK347" s="3934" t="n"/>
      <c r="AL347" s="3934" t="n"/>
      <c r="AM347" s="3934" t="n"/>
      <c r="AN347" s="3934" t="n"/>
      <c r="AO347" s="3934" t="n"/>
      <c r="AP347" s="3934" t="n"/>
      <c r="AQ347" s="3934" t="n"/>
      <c r="AR347" s="3934" t="n"/>
    </row>
    <row r="348">
      <c r="A348" s="3941" t="n"/>
      <c r="B348" s="3944" t="n"/>
      <c r="C348" s="3944" t="n"/>
      <c r="D348" s="3944" t="n"/>
      <c r="E348" s="3944" t="n"/>
      <c r="F348" s="3944" t="n"/>
      <c r="G348" s="3944" t="n"/>
      <c r="H348" s="3944" t="n"/>
      <c r="I348" s="3944" t="n"/>
      <c r="J348" s="3944" t="n"/>
      <c r="K348" s="3942">
        <f>IF(A348="","",SUM(E348:J348))</f>
        <v/>
      </c>
      <c r="L348" s="3934" t="n"/>
      <c r="M348" s="3934" t="n"/>
      <c r="N348" s="3934" t="n"/>
      <c r="O348" s="3934" t="n"/>
      <c r="P348" s="3934" t="n"/>
      <c r="Q348" s="3934" t="n"/>
      <c r="R348" s="3934" t="n"/>
      <c r="S348" s="3934" t="n"/>
      <c r="T348" s="3934" t="n"/>
      <c r="U348" s="3934" t="n"/>
      <c r="V348" s="3934" t="n"/>
      <c r="W348" s="3934" t="n"/>
      <c r="X348" s="3934" t="n"/>
      <c r="Y348" s="3934" t="n"/>
      <c r="Z348" s="3934" t="n"/>
      <c r="AA348" s="3934" t="n"/>
      <c r="AB348" s="3934" t="n"/>
      <c r="AC348" s="3934" t="n"/>
      <c r="AD348" s="3934" t="n"/>
      <c r="AE348" s="3934" t="n"/>
      <c r="AF348" s="3934" t="n"/>
      <c r="AG348" s="3934" t="n"/>
      <c r="AH348" s="3934" t="n"/>
      <c r="AI348" s="3934" t="n"/>
      <c r="AJ348" s="3934" t="n"/>
      <c r="AK348" s="3934" t="n"/>
      <c r="AL348" s="3934" t="n"/>
      <c r="AM348" s="3934" t="n"/>
      <c r="AN348" s="3934" t="n"/>
      <c r="AO348" s="3934" t="n"/>
      <c r="AP348" s="3934" t="n"/>
      <c r="AQ348" s="3934" t="n"/>
      <c r="AR348" s="3934" t="n"/>
    </row>
    <row r="349">
      <c r="A349" s="3941" t="n"/>
      <c r="B349" s="3944" t="n"/>
      <c r="C349" s="3944" t="n"/>
      <c r="D349" s="3944" t="n"/>
      <c r="E349" s="3944" t="n"/>
      <c r="F349" s="3944" t="n"/>
      <c r="G349" s="3944" t="n"/>
      <c r="H349" s="3944" t="n"/>
      <c r="I349" s="3944" t="n"/>
      <c r="J349" s="3944" t="n"/>
      <c r="K349" s="3942">
        <f>IF(A349="","",SUM(E349:J349))</f>
        <v/>
      </c>
      <c r="L349" s="3934" t="n"/>
      <c r="M349" s="3934" t="n"/>
      <c r="N349" s="3934" t="n"/>
      <c r="O349" s="3934" t="n"/>
      <c r="P349" s="3934" t="n"/>
      <c r="Q349" s="3934" t="n"/>
      <c r="R349" s="3934" t="n"/>
      <c r="S349" s="3934" t="n"/>
      <c r="T349" s="3934" t="n"/>
      <c r="U349" s="3934" t="n"/>
      <c r="V349" s="3934" t="n"/>
      <c r="W349" s="3934" t="n"/>
      <c r="X349" s="3934" t="n"/>
      <c r="Y349" s="3934" t="n"/>
      <c r="Z349" s="3934" t="n"/>
      <c r="AA349" s="3934" t="n"/>
      <c r="AB349" s="3934" t="n"/>
      <c r="AC349" s="3934" t="n"/>
      <c r="AD349" s="3934" t="n"/>
      <c r="AE349" s="3934" t="n"/>
      <c r="AF349" s="3934" t="n"/>
      <c r="AG349" s="3934" t="n"/>
      <c r="AH349" s="3934" t="n"/>
      <c r="AI349" s="3934" t="n"/>
      <c r="AJ349" s="3934" t="n"/>
      <c r="AK349" s="3934" t="n"/>
      <c r="AL349" s="3934" t="n"/>
      <c r="AM349" s="3934" t="n"/>
      <c r="AN349" s="3934" t="n"/>
      <c r="AO349" s="3934" t="n"/>
      <c r="AP349" s="3934" t="n"/>
      <c r="AQ349" s="3934" t="n"/>
      <c r="AR349" s="3934" t="n"/>
    </row>
    <row r="350">
      <c r="A350" s="3941" t="n"/>
      <c r="B350" s="3944" t="n"/>
      <c r="C350" s="3944" t="n"/>
      <c r="D350" s="3944" t="n"/>
      <c r="E350" s="3944" t="n"/>
      <c r="F350" s="3944" t="n"/>
      <c r="G350" s="3944" t="n"/>
      <c r="H350" s="3944" t="n"/>
      <c r="I350" s="3944" t="n"/>
      <c r="J350" s="3944" t="n"/>
      <c r="K350" s="3942">
        <f>IF(A350="","",SUM(E350:J350))</f>
        <v/>
      </c>
      <c r="L350" s="3934" t="n"/>
      <c r="M350" s="3934" t="n"/>
      <c r="N350" s="3934" t="n"/>
      <c r="O350" s="3934" t="n"/>
      <c r="P350" s="3934" t="n"/>
      <c r="Q350" s="3934" t="n"/>
      <c r="R350" s="3934" t="n"/>
      <c r="S350" s="3934" t="n"/>
      <c r="T350" s="3934" t="n"/>
      <c r="U350" s="3934" t="n"/>
      <c r="V350" s="3934" t="n"/>
      <c r="W350" s="3934" t="n"/>
      <c r="X350" s="3934" t="n"/>
      <c r="Y350" s="3934" t="n"/>
      <c r="Z350" s="3934" t="n"/>
      <c r="AA350" s="3934" t="n"/>
      <c r="AB350" s="3934" t="n"/>
      <c r="AC350" s="3934" t="n"/>
      <c r="AD350" s="3934" t="n"/>
      <c r="AE350" s="3934" t="n"/>
      <c r="AF350" s="3934" t="n"/>
      <c r="AG350" s="3934" t="n"/>
      <c r="AH350" s="3934" t="n"/>
      <c r="AI350" s="3934" t="n"/>
      <c r="AJ350" s="3934" t="n"/>
      <c r="AK350" s="3934" t="n"/>
      <c r="AL350" s="3934" t="n"/>
      <c r="AM350" s="3934" t="n"/>
      <c r="AN350" s="3934" t="n"/>
      <c r="AO350" s="3934" t="n"/>
      <c r="AP350" s="3934" t="n"/>
      <c r="AQ350" s="3934" t="n"/>
      <c r="AR350" s="3934" t="n"/>
    </row>
    <row r="351">
      <c r="A351" s="3941" t="n"/>
      <c r="B351" s="3944" t="n"/>
      <c r="C351" s="3944" t="n"/>
      <c r="D351" s="3944" t="n"/>
      <c r="E351" s="3944" t="n"/>
      <c r="F351" s="3944" t="n"/>
      <c r="G351" s="3944" t="n"/>
      <c r="H351" s="3944" t="n"/>
      <c r="I351" s="3944" t="n"/>
      <c r="J351" s="3944" t="n"/>
      <c r="K351" s="3942">
        <f>IF(A351="","",SUM(E351:J351))</f>
        <v/>
      </c>
      <c r="L351" s="3934" t="n"/>
      <c r="M351" s="3934" t="n"/>
      <c r="N351" s="3934" t="n"/>
      <c r="O351" s="3934" t="n"/>
      <c r="P351" s="3934" t="n"/>
      <c r="Q351" s="3934" t="n"/>
      <c r="R351" s="3934" t="n"/>
      <c r="S351" s="3934" t="n"/>
      <c r="T351" s="3934" t="n"/>
      <c r="U351" s="3934" t="n"/>
      <c r="V351" s="3934" t="n"/>
      <c r="W351" s="3934" t="n"/>
      <c r="X351" s="3934" t="n"/>
      <c r="Y351" s="3934" t="n"/>
      <c r="Z351" s="3934" t="n"/>
      <c r="AA351" s="3934" t="n"/>
      <c r="AB351" s="3934" t="n"/>
      <c r="AC351" s="3934" t="n"/>
      <c r="AD351" s="3934" t="n"/>
      <c r="AE351" s="3934" t="n"/>
      <c r="AF351" s="3934" t="n"/>
      <c r="AG351" s="3934" t="n"/>
      <c r="AH351" s="3934" t="n"/>
      <c r="AI351" s="3934" t="n"/>
      <c r="AJ351" s="3934" t="n"/>
      <c r="AK351" s="3934" t="n"/>
      <c r="AL351" s="3934" t="n"/>
      <c r="AM351" s="3934" t="n"/>
      <c r="AN351" s="3934" t="n"/>
      <c r="AO351" s="3934" t="n"/>
      <c r="AP351" s="3934" t="n"/>
      <c r="AQ351" s="3934" t="n"/>
      <c r="AR351" s="3934" t="n"/>
    </row>
    <row r="352">
      <c r="A352" s="3941" t="n"/>
      <c r="B352" s="3944" t="n"/>
      <c r="C352" s="3944" t="n"/>
      <c r="D352" s="3944" t="n"/>
      <c r="E352" s="3944" t="n"/>
      <c r="F352" s="3944" t="n"/>
      <c r="G352" s="3944" t="n"/>
      <c r="H352" s="3944" t="n"/>
      <c r="I352" s="3944" t="n"/>
      <c r="J352" s="3944" t="n"/>
      <c r="K352" s="3942">
        <f>IF(A352="","",SUM(E352:J352))</f>
        <v/>
      </c>
      <c r="L352" s="3934" t="n"/>
      <c r="M352" s="3934" t="n"/>
      <c r="N352" s="3934" t="n"/>
      <c r="O352" s="3934" t="n"/>
      <c r="P352" s="3934" t="n"/>
      <c r="Q352" s="3934" t="n"/>
      <c r="R352" s="3934" t="n"/>
      <c r="S352" s="3934" t="n"/>
      <c r="T352" s="3934" t="n"/>
      <c r="U352" s="3934" t="n"/>
      <c r="V352" s="3934" t="n"/>
      <c r="W352" s="3934" t="n"/>
      <c r="X352" s="3934" t="n"/>
      <c r="Y352" s="3934" t="n"/>
      <c r="Z352" s="3934" t="n"/>
      <c r="AA352" s="3934" t="n"/>
      <c r="AB352" s="3934" t="n"/>
      <c r="AC352" s="3934" t="n"/>
      <c r="AD352" s="3934" t="n"/>
      <c r="AE352" s="3934" t="n"/>
      <c r="AF352" s="3934" t="n"/>
      <c r="AG352" s="3934" t="n"/>
      <c r="AH352" s="3934" t="n"/>
      <c r="AI352" s="3934" t="n"/>
      <c r="AJ352" s="3934" t="n"/>
      <c r="AK352" s="3934" t="n"/>
      <c r="AL352" s="3934" t="n"/>
      <c r="AM352" s="3934" t="n"/>
      <c r="AN352" s="3934" t="n"/>
      <c r="AO352" s="3934" t="n"/>
      <c r="AP352" s="3934" t="n"/>
      <c r="AQ352" s="3934" t="n"/>
      <c r="AR352" s="3934" t="n"/>
    </row>
    <row r="353">
      <c r="A353" s="3941" t="n"/>
      <c r="B353" s="3944" t="n"/>
      <c r="C353" s="3944" t="n"/>
      <c r="D353" s="3944" t="n"/>
      <c r="E353" s="3944" t="n"/>
      <c r="F353" s="3944" t="n"/>
      <c r="G353" s="3944" t="n"/>
      <c r="H353" s="3944" t="n"/>
      <c r="I353" s="3944" t="n"/>
      <c r="J353" s="3944" t="n"/>
      <c r="K353" s="3942">
        <f>IF(A353="","",SUM(E353:J353))</f>
        <v/>
      </c>
      <c r="L353" s="3934" t="n"/>
      <c r="M353" s="3934" t="n"/>
      <c r="N353" s="3934" t="n"/>
      <c r="O353" s="3934" t="n"/>
      <c r="P353" s="3934" t="n"/>
      <c r="Q353" s="3934" t="n"/>
      <c r="R353" s="3934" t="n"/>
      <c r="S353" s="3934" t="n"/>
      <c r="T353" s="3934" t="n"/>
      <c r="U353" s="3934" t="n"/>
      <c r="V353" s="3934" t="n"/>
      <c r="W353" s="3934" t="n"/>
      <c r="X353" s="3934" t="n"/>
      <c r="Y353" s="3934" t="n"/>
      <c r="Z353" s="3934" t="n"/>
      <c r="AA353" s="3934" t="n"/>
      <c r="AB353" s="3934" t="n"/>
      <c r="AC353" s="3934" t="n"/>
      <c r="AD353" s="3934" t="n"/>
      <c r="AE353" s="3934" t="n"/>
      <c r="AF353" s="3934" t="n"/>
      <c r="AG353" s="3934" t="n"/>
      <c r="AH353" s="3934" t="n"/>
      <c r="AI353" s="3934" t="n"/>
      <c r="AJ353" s="3934" t="n"/>
      <c r="AK353" s="3934" t="n"/>
      <c r="AL353" s="3934" t="n"/>
      <c r="AM353" s="3934" t="n"/>
      <c r="AN353" s="3934" t="n"/>
      <c r="AO353" s="3934" t="n"/>
      <c r="AP353" s="3934" t="n"/>
      <c r="AQ353" s="3934" t="n"/>
      <c r="AR353" s="3934" t="n"/>
    </row>
    <row r="354">
      <c r="A354" s="3941" t="n"/>
      <c r="B354" s="3944" t="n"/>
      <c r="C354" s="3944" t="n"/>
      <c r="D354" s="3944" t="n"/>
      <c r="E354" s="3944" t="n"/>
      <c r="F354" s="3944" t="n"/>
      <c r="G354" s="3944" t="n"/>
      <c r="H354" s="3944" t="n"/>
      <c r="I354" s="3944" t="n"/>
      <c r="J354" s="3944" t="n"/>
      <c r="K354" s="3942">
        <f>IF(A354="","",SUM(E354:J354))</f>
        <v/>
      </c>
      <c r="L354" s="3934" t="n"/>
      <c r="M354" s="3934" t="n"/>
      <c r="N354" s="3934" t="n"/>
      <c r="O354" s="3934" t="n"/>
      <c r="P354" s="3934" t="n"/>
      <c r="Q354" s="3934" t="n"/>
      <c r="R354" s="3934" t="n"/>
      <c r="S354" s="3934" t="n"/>
      <c r="T354" s="3934" t="n"/>
      <c r="U354" s="3934" t="n"/>
      <c r="V354" s="3934" t="n"/>
      <c r="W354" s="3934" t="n"/>
      <c r="X354" s="3934" t="n"/>
      <c r="Y354" s="3934" t="n"/>
      <c r="Z354" s="3934" t="n"/>
      <c r="AA354" s="3934" t="n"/>
      <c r="AB354" s="3934" t="n"/>
      <c r="AC354" s="3934" t="n"/>
      <c r="AD354" s="3934" t="n"/>
      <c r="AE354" s="3934" t="n"/>
      <c r="AF354" s="3934" t="n"/>
      <c r="AG354" s="3934" t="n"/>
      <c r="AH354" s="3934" t="n"/>
      <c r="AI354" s="3934" t="n"/>
      <c r="AJ354" s="3934" t="n"/>
      <c r="AK354" s="3934" t="n"/>
      <c r="AL354" s="3934" t="n"/>
      <c r="AM354" s="3934" t="n"/>
      <c r="AN354" s="3934" t="n"/>
      <c r="AO354" s="3934" t="n"/>
      <c r="AP354" s="3934" t="n"/>
      <c r="AQ354" s="3934" t="n"/>
      <c r="AR354" s="3934" t="n"/>
    </row>
    <row r="355">
      <c r="A355" s="3941" t="n"/>
      <c r="B355" s="3944" t="n"/>
      <c r="C355" s="3944" t="n"/>
      <c r="D355" s="3944" t="n"/>
      <c r="E355" s="3944" t="n"/>
      <c r="F355" s="3944" t="n"/>
      <c r="G355" s="3944" t="n"/>
      <c r="H355" s="3944" t="n"/>
      <c r="I355" s="3944" t="n"/>
      <c r="J355" s="3944" t="n"/>
      <c r="K355" s="3942">
        <f>IF(A355="","",SUM(E355:J355))</f>
        <v/>
      </c>
      <c r="L355" s="3934" t="n"/>
      <c r="M355" s="3934" t="n"/>
      <c r="N355" s="3934" t="n"/>
      <c r="O355" s="3934" t="n"/>
      <c r="P355" s="3934" t="n"/>
      <c r="Q355" s="3934" t="n"/>
      <c r="R355" s="3934" t="n"/>
      <c r="S355" s="3934" t="n"/>
      <c r="T355" s="3934" t="n"/>
      <c r="U355" s="3934" t="n"/>
      <c r="V355" s="3934" t="n"/>
      <c r="W355" s="3934" t="n"/>
      <c r="X355" s="3934" t="n"/>
      <c r="Y355" s="3934" t="n"/>
      <c r="Z355" s="3934" t="n"/>
      <c r="AA355" s="3934" t="n"/>
      <c r="AB355" s="3934" t="n"/>
      <c r="AC355" s="3934" t="n"/>
      <c r="AD355" s="3934" t="n"/>
      <c r="AE355" s="3934" t="n"/>
      <c r="AF355" s="3934" t="n"/>
      <c r="AG355" s="3934" t="n"/>
      <c r="AH355" s="3934" t="n"/>
      <c r="AI355" s="3934" t="n"/>
      <c r="AJ355" s="3934" t="n"/>
      <c r="AK355" s="3934" t="n"/>
      <c r="AL355" s="3934" t="n"/>
      <c r="AM355" s="3934" t="n"/>
      <c r="AN355" s="3934" t="n"/>
      <c r="AO355" s="3934" t="n"/>
      <c r="AP355" s="3934" t="n"/>
      <c r="AQ355" s="3934" t="n"/>
      <c r="AR355" s="3934" t="n"/>
    </row>
    <row r="356">
      <c r="A356" s="3941" t="n"/>
      <c r="B356" s="3944" t="n"/>
      <c r="C356" s="3944" t="n"/>
      <c r="D356" s="3944" t="n"/>
      <c r="E356" s="3944" t="n"/>
      <c r="F356" s="3944" t="n"/>
      <c r="G356" s="3944" t="n"/>
      <c r="H356" s="3944" t="n"/>
      <c r="I356" s="3944" t="n"/>
      <c r="J356" s="3944" t="n"/>
      <c r="K356" s="3942">
        <f>IF(A356="","",SUM(E356:J356))</f>
        <v/>
      </c>
      <c r="L356" s="3934" t="n"/>
      <c r="M356" s="3934" t="n"/>
      <c r="N356" s="3934" t="n"/>
      <c r="O356" s="3934" t="n"/>
      <c r="P356" s="3934" t="n"/>
      <c r="Q356" s="3934" t="n"/>
      <c r="R356" s="3934" t="n"/>
      <c r="S356" s="3934" t="n"/>
      <c r="T356" s="3934" t="n"/>
      <c r="U356" s="3934" t="n"/>
      <c r="V356" s="3934" t="n"/>
      <c r="W356" s="3934" t="n"/>
      <c r="X356" s="3934" t="n"/>
      <c r="Y356" s="3934" t="n"/>
      <c r="Z356" s="3934" t="n"/>
      <c r="AA356" s="3934" t="n"/>
      <c r="AB356" s="3934" t="n"/>
      <c r="AC356" s="3934" t="n"/>
      <c r="AD356" s="3934" t="n"/>
      <c r="AE356" s="3934" t="n"/>
      <c r="AF356" s="3934" t="n"/>
      <c r="AG356" s="3934" t="n"/>
      <c r="AH356" s="3934" t="n"/>
      <c r="AI356" s="3934" t="n"/>
      <c r="AJ356" s="3934" t="n"/>
      <c r="AK356" s="3934" t="n"/>
      <c r="AL356" s="3934" t="n"/>
      <c r="AM356" s="3934" t="n"/>
      <c r="AN356" s="3934" t="n"/>
      <c r="AO356" s="3934" t="n"/>
      <c r="AP356" s="3934" t="n"/>
      <c r="AQ356" s="3934" t="n"/>
      <c r="AR356" s="3934" t="n"/>
    </row>
    <row r="357">
      <c r="A357" s="3941" t="n"/>
      <c r="B357" s="3944" t="n"/>
      <c r="C357" s="3944" t="n"/>
      <c r="D357" s="3944" t="n"/>
      <c r="E357" s="3944" t="n"/>
      <c r="F357" s="3944" t="n"/>
      <c r="G357" s="3944" t="n"/>
      <c r="H357" s="3944" t="n"/>
      <c r="I357" s="3944" t="n"/>
      <c r="J357" s="3944" t="n"/>
      <c r="K357" s="3942">
        <f>IF(A357="","",SUM(E357:J357))</f>
        <v/>
      </c>
      <c r="L357" s="3934" t="n"/>
      <c r="M357" s="3934" t="n"/>
      <c r="N357" s="3934" t="n"/>
      <c r="O357" s="3934" t="n"/>
      <c r="P357" s="3934" t="n"/>
      <c r="Q357" s="3934" t="n"/>
      <c r="R357" s="3934" t="n"/>
      <c r="S357" s="3934" t="n"/>
      <c r="T357" s="3934" t="n"/>
      <c r="U357" s="3934" t="n"/>
      <c r="V357" s="3934" t="n"/>
      <c r="W357" s="3934" t="n"/>
      <c r="X357" s="3934" t="n"/>
      <c r="Y357" s="3934" t="n"/>
      <c r="Z357" s="3934" t="n"/>
      <c r="AA357" s="3934" t="n"/>
      <c r="AB357" s="3934" t="n"/>
      <c r="AC357" s="3934" t="n"/>
      <c r="AD357" s="3934" t="n"/>
      <c r="AE357" s="3934" t="n"/>
      <c r="AF357" s="3934" t="n"/>
      <c r="AG357" s="3934" t="n"/>
      <c r="AH357" s="3934" t="n"/>
      <c r="AI357" s="3934" t="n"/>
      <c r="AJ357" s="3934" t="n"/>
      <c r="AK357" s="3934" t="n"/>
      <c r="AL357" s="3934" t="n"/>
      <c r="AM357" s="3934" t="n"/>
      <c r="AN357" s="3934" t="n"/>
      <c r="AO357" s="3934" t="n"/>
      <c r="AP357" s="3934" t="n"/>
      <c r="AQ357" s="3934" t="n"/>
      <c r="AR357" s="3934" t="n"/>
    </row>
    <row r="358">
      <c r="A358" s="3941" t="n"/>
      <c r="B358" s="3944" t="n"/>
      <c r="C358" s="3944" t="n"/>
      <c r="D358" s="3944" t="n"/>
      <c r="E358" s="3944" t="n"/>
      <c r="F358" s="3944" t="n"/>
      <c r="G358" s="3944" t="n"/>
      <c r="H358" s="3944" t="n"/>
      <c r="I358" s="3944" t="n"/>
      <c r="J358" s="3944" t="n"/>
      <c r="K358" s="3942">
        <f>IF(A358="","",SUM(E358:J358))</f>
        <v/>
      </c>
      <c r="L358" s="3934" t="n"/>
      <c r="M358" s="3934" t="n"/>
      <c r="N358" s="3934" t="n"/>
      <c r="O358" s="3934" t="n"/>
      <c r="P358" s="3934" t="n"/>
      <c r="Q358" s="3934" t="n"/>
      <c r="R358" s="3934" t="n"/>
      <c r="S358" s="3934" t="n"/>
      <c r="T358" s="3934" t="n"/>
      <c r="U358" s="3934" t="n"/>
      <c r="V358" s="3934" t="n"/>
      <c r="W358" s="3934" t="n"/>
      <c r="X358" s="3934" t="n"/>
      <c r="Y358" s="3934" t="n"/>
      <c r="Z358" s="3934" t="n"/>
      <c r="AA358" s="3934" t="n"/>
      <c r="AB358" s="3934" t="n"/>
      <c r="AC358" s="3934" t="n"/>
      <c r="AD358" s="3934" t="n"/>
      <c r="AE358" s="3934" t="n"/>
      <c r="AF358" s="3934" t="n"/>
      <c r="AG358" s="3934" t="n"/>
      <c r="AH358" s="3934" t="n"/>
      <c r="AI358" s="3934" t="n"/>
      <c r="AJ358" s="3934" t="n"/>
      <c r="AK358" s="3934" t="n"/>
      <c r="AL358" s="3934" t="n"/>
      <c r="AM358" s="3934" t="n"/>
      <c r="AN358" s="3934" t="n"/>
      <c r="AO358" s="3934" t="n"/>
      <c r="AP358" s="3934" t="n"/>
      <c r="AQ358" s="3934" t="n"/>
      <c r="AR358" s="3934" t="n"/>
    </row>
    <row r="359">
      <c r="A359" s="3941" t="n"/>
      <c r="B359" s="3944" t="n"/>
      <c r="C359" s="3944" t="n"/>
      <c r="D359" s="3944" t="n"/>
      <c r="E359" s="3944" t="n"/>
      <c r="F359" s="3944" t="n"/>
      <c r="G359" s="3944" t="n"/>
      <c r="H359" s="3944" t="n"/>
      <c r="I359" s="3944" t="n"/>
      <c r="J359" s="3944" t="n"/>
      <c r="K359" s="3942">
        <f>IF(A359="","",SUM(E359:J359))</f>
        <v/>
      </c>
      <c r="L359" s="3934" t="n"/>
      <c r="M359" s="3934" t="n"/>
      <c r="N359" s="3934" t="n"/>
      <c r="O359" s="3934" t="n"/>
      <c r="P359" s="3934" t="n"/>
      <c r="Q359" s="3934" t="n"/>
      <c r="R359" s="3934" t="n"/>
      <c r="S359" s="3934" t="n"/>
      <c r="T359" s="3934" t="n"/>
      <c r="U359" s="3934" t="n"/>
      <c r="V359" s="3934" t="n"/>
      <c r="W359" s="3934" t="n"/>
      <c r="X359" s="3934" t="n"/>
      <c r="Y359" s="3934" t="n"/>
      <c r="Z359" s="3934" t="n"/>
      <c r="AA359" s="3934" t="n"/>
      <c r="AB359" s="3934" t="n"/>
      <c r="AC359" s="3934" t="n"/>
      <c r="AD359" s="3934" t="n"/>
      <c r="AE359" s="3934" t="n"/>
      <c r="AF359" s="3934" t="n"/>
      <c r="AG359" s="3934" t="n"/>
      <c r="AH359" s="3934" t="n"/>
      <c r="AI359" s="3934" t="n"/>
      <c r="AJ359" s="3934" t="n"/>
      <c r="AK359" s="3934" t="n"/>
      <c r="AL359" s="3934" t="n"/>
      <c r="AM359" s="3934" t="n"/>
      <c r="AN359" s="3934" t="n"/>
      <c r="AO359" s="3934" t="n"/>
      <c r="AP359" s="3934" t="n"/>
      <c r="AQ359" s="3934" t="n"/>
      <c r="AR359" s="3934" t="n"/>
    </row>
    <row r="360">
      <c r="A360" s="3941" t="n"/>
      <c r="B360" s="3944" t="n"/>
      <c r="C360" s="3944" t="n"/>
      <c r="D360" s="3944" t="n"/>
      <c r="E360" s="3944" t="n"/>
      <c r="F360" s="3944" t="n"/>
      <c r="G360" s="3944" t="n"/>
      <c r="H360" s="3944" t="n"/>
      <c r="I360" s="3944" t="n"/>
      <c r="J360" s="3944" t="n"/>
      <c r="K360" s="3942">
        <f>IF(A360="","",SUM(E360:J360))</f>
        <v/>
      </c>
      <c r="L360" s="3934" t="n"/>
      <c r="M360" s="3934" t="n"/>
      <c r="N360" s="3934" t="n"/>
      <c r="O360" s="3934" t="n"/>
      <c r="P360" s="3934" t="n"/>
      <c r="Q360" s="3934" t="n"/>
      <c r="R360" s="3934" t="n"/>
      <c r="S360" s="3934" t="n"/>
      <c r="T360" s="3934" t="n"/>
      <c r="U360" s="3934" t="n"/>
      <c r="V360" s="3934" t="n"/>
      <c r="W360" s="3934" t="n"/>
      <c r="X360" s="3934" t="n"/>
      <c r="Y360" s="3934" t="n"/>
      <c r="Z360" s="3934" t="n"/>
      <c r="AA360" s="3934" t="n"/>
      <c r="AB360" s="3934" t="n"/>
      <c r="AC360" s="3934" t="n"/>
      <c r="AD360" s="3934" t="n"/>
      <c r="AE360" s="3934" t="n"/>
      <c r="AF360" s="3934" t="n"/>
      <c r="AG360" s="3934" t="n"/>
      <c r="AH360" s="3934" t="n"/>
      <c r="AI360" s="3934" t="n"/>
      <c r="AJ360" s="3934" t="n"/>
      <c r="AK360" s="3934" t="n"/>
      <c r="AL360" s="3934" t="n"/>
      <c r="AM360" s="3934" t="n"/>
      <c r="AN360" s="3934" t="n"/>
      <c r="AO360" s="3934" t="n"/>
      <c r="AP360" s="3934" t="n"/>
      <c r="AQ360" s="3934" t="n"/>
      <c r="AR360" s="3934" t="n"/>
    </row>
    <row r="361">
      <c r="A361" s="3941" t="n"/>
      <c r="B361" s="3944" t="n"/>
      <c r="C361" s="3944" t="n"/>
      <c r="D361" s="3944" t="n"/>
      <c r="E361" s="3944" t="n"/>
      <c r="F361" s="3944" t="n"/>
      <c r="G361" s="3944" t="n"/>
      <c r="H361" s="3944" t="n"/>
      <c r="I361" s="3944" t="n"/>
      <c r="J361" s="3944" t="n"/>
      <c r="K361" s="3942">
        <f>IF(A361="","",SUM(E361:J361))</f>
        <v/>
      </c>
      <c r="L361" s="3934" t="n"/>
      <c r="M361" s="3934" t="n"/>
      <c r="N361" s="3934" t="n"/>
      <c r="O361" s="3934" t="n"/>
      <c r="P361" s="3934" t="n"/>
      <c r="Q361" s="3934" t="n"/>
      <c r="R361" s="3934" t="n"/>
      <c r="S361" s="3934" t="n"/>
      <c r="T361" s="3934" t="n"/>
      <c r="U361" s="3934" t="n"/>
      <c r="V361" s="3934" t="n"/>
      <c r="W361" s="3934" t="n"/>
      <c r="X361" s="3934" t="n"/>
      <c r="Y361" s="3934" t="n"/>
      <c r="Z361" s="3934" t="n"/>
      <c r="AA361" s="3934" t="n"/>
      <c r="AB361" s="3934" t="n"/>
      <c r="AC361" s="3934" t="n"/>
      <c r="AD361" s="3934" t="n"/>
      <c r="AE361" s="3934" t="n"/>
      <c r="AF361" s="3934" t="n"/>
      <c r="AG361" s="3934" t="n"/>
      <c r="AH361" s="3934" t="n"/>
      <c r="AI361" s="3934" t="n"/>
      <c r="AJ361" s="3934" t="n"/>
      <c r="AK361" s="3934" t="n"/>
      <c r="AL361" s="3934" t="n"/>
      <c r="AM361" s="3934" t="n"/>
      <c r="AN361" s="3934" t="n"/>
      <c r="AO361" s="3934" t="n"/>
      <c r="AP361" s="3934" t="n"/>
      <c r="AQ361" s="3934" t="n"/>
      <c r="AR361" s="3934" t="n"/>
    </row>
    <row r="362">
      <c r="A362" s="3941" t="n"/>
      <c r="B362" s="3944" t="n"/>
      <c r="C362" s="3944" t="n"/>
      <c r="D362" s="3944" t="n"/>
      <c r="E362" s="3944" t="n"/>
      <c r="F362" s="3944" t="n"/>
      <c r="G362" s="3944" t="n"/>
      <c r="H362" s="3944" t="n"/>
      <c r="I362" s="3944" t="n"/>
      <c r="J362" s="3944" t="n"/>
      <c r="K362" s="3942">
        <f>IF(A362="","",SUM(E362:J362))</f>
        <v/>
      </c>
      <c r="L362" s="3934" t="n"/>
      <c r="M362" s="3934" t="n"/>
      <c r="N362" s="3934" t="n"/>
      <c r="O362" s="3934" t="n"/>
      <c r="P362" s="3934" t="n"/>
      <c r="Q362" s="3934" t="n"/>
      <c r="R362" s="3934" t="n"/>
      <c r="S362" s="3934" t="n"/>
      <c r="T362" s="3934" t="n"/>
      <c r="U362" s="3934" t="n"/>
      <c r="V362" s="3934" t="n"/>
      <c r="W362" s="3934" t="n"/>
      <c r="X362" s="3934" t="n"/>
      <c r="Y362" s="3934" t="n"/>
      <c r="Z362" s="3934" t="n"/>
      <c r="AA362" s="3934" t="n"/>
      <c r="AB362" s="3934" t="n"/>
      <c r="AC362" s="3934" t="n"/>
      <c r="AD362" s="3934" t="n"/>
      <c r="AE362" s="3934" t="n"/>
      <c r="AF362" s="3934" t="n"/>
      <c r="AG362" s="3934" t="n"/>
      <c r="AH362" s="3934" t="n"/>
      <c r="AI362" s="3934" t="n"/>
      <c r="AJ362" s="3934" t="n"/>
      <c r="AK362" s="3934" t="n"/>
      <c r="AL362" s="3934" t="n"/>
      <c r="AM362" s="3934" t="n"/>
      <c r="AN362" s="3934" t="n"/>
      <c r="AO362" s="3934" t="n"/>
      <c r="AP362" s="3934" t="n"/>
      <c r="AQ362" s="3934" t="n"/>
      <c r="AR362" s="3934" t="n"/>
    </row>
    <row r="363">
      <c r="A363" s="3941" t="n"/>
      <c r="B363" s="3944" t="n"/>
      <c r="C363" s="3944" t="n"/>
      <c r="D363" s="3944" t="n"/>
      <c r="E363" s="3944" t="n"/>
      <c r="F363" s="3944" t="n"/>
      <c r="G363" s="3944" t="n"/>
      <c r="H363" s="3944" t="n"/>
      <c r="I363" s="3944" t="n"/>
      <c r="J363" s="3944" t="n"/>
      <c r="K363" s="3942">
        <f>IF(A363="","",SUM(E363:J363))</f>
        <v/>
      </c>
      <c r="L363" s="3934" t="n"/>
      <c r="M363" s="3934" t="n"/>
      <c r="N363" s="3934" t="n"/>
      <c r="O363" s="3934" t="n"/>
      <c r="P363" s="3934" t="n"/>
      <c r="Q363" s="3934" t="n"/>
      <c r="R363" s="3934" t="n"/>
      <c r="S363" s="3934" t="n"/>
      <c r="T363" s="3934" t="n"/>
      <c r="U363" s="3934" t="n"/>
      <c r="V363" s="3934" t="n"/>
      <c r="W363" s="3934" t="n"/>
      <c r="X363" s="3934" t="n"/>
      <c r="Y363" s="3934" t="n"/>
      <c r="Z363" s="3934" t="n"/>
      <c r="AA363" s="3934" t="n"/>
      <c r="AB363" s="3934" t="n"/>
      <c r="AC363" s="3934" t="n"/>
      <c r="AD363" s="3934" t="n"/>
      <c r="AE363" s="3934" t="n"/>
      <c r="AF363" s="3934" t="n"/>
      <c r="AG363" s="3934" t="n"/>
      <c r="AH363" s="3934" t="n"/>
      <c r="AI363" s="3934" t="n"/>
      <c r="AJ363" s="3934" t="n"/>
      <c r="AK363" s="3934" t="n"/>
      <c r="AL363" s="3934" t="n"/>
      <c r="AM363" s="3934" t="n"/>
      <c r="AN363" s="3934" t="n"/>
      <c r="AO363" s="3934" t="n"/>
      <c r="AP363" s="3934" t="n"/>
      <c r="AQ363" s="3934" t="n"/>
      <c r="AR363" s="3934" t="n"/>
    </row>
    <row r="364">
      <c r="A364" s="3941" t="n"/>
      <c r="B364" s="3944" t="n"/>
      <c r="C364" s="3944" t="n"/>
      <c r="D364" s="3944" t="n"/>
      <c r="E364" s="3944" t="n"/>
      <c r="F364" s="3944" t="n"/>
      <c r="G364" s="3944" t="n"/>
      <c r="H364" s="3944" t="n"/>
      <c r="I364" s="3944" t="n"/>
      <c r="J364" s="3944" t="n"/>
      <c r="K364" s="3942">
        <f>IF(A364="","",SUM(E364:J364))</f>
        <v/>
      </c>
      <c r="L364" s="3934" t="n"/>
      <c r="M364" s="3934" t="n"/>
      <c r="N364" s="3934" t="n"/>
      <c r="O364" s="3934" t="n"/>
      <c r="P364" s="3934" t="n"/>
      <c r="Q364" s="3934" t="n"/>
      <c r="R364" s="3934" t="n"/>
      <c r="S364" s="3934" t="n"/>
      <c r="T364" s="3934" t="n"/>
      <c r="U364" s="3934" t="n"/>
      <c r="V364" s="3934" t="n"/>
      <c r="W364" s="3934" t="n"/>
      <c r="X364" s="3934" t="n"/>
      <c r="Y364" s="3934" t="n"/>
      <c r="Z364" s="3934" t="n"/>
      <c r="AA364" s="3934" t="n"/>
      <c r="AB364" s="3934" t="n"/>
      <c r="AC364" s="3934" t="n"/>
      <c r="AD364" s="3934" t="n"/>
      <c r="AE364" s="3934" t="n"/>
      <c r="AF364" s="3934" t="n"/>
      <c r="AG364" s="3934" t="n"/>
      <c r="AH364" s="3934" t="n"/>
      <c r="AI364" s="3934" t="n"/>
      <c r="AJ364" s="3934" t="n"/>
      <c r="AK364" s="3934" t="n"/>
      <c r="AL364" s="3934" t="n"/>
      <c r="AM364" s="3934" t="n"/>
      <c r="AN364" s="3934" t="n"/>
      <c r="AO364" s="3934" t="n"/>
      <c r="AP364" s="3934" t="n"/>
      <c r="AQ364" s="3934" t="n"/>
      <c r="AR364" s="3934" t="n"/>
    </row>
    <row r="365">
      <c r="A365" s="3941" t="n"/>
      <c r="B365" s="3944" t="n"/>
      <c r="C365" s="3944" t="n"/>
      <c r="D365" s="3944" t="n"/>
      <c r="E365" s="3944" t="n"/>
      <c r="F365" s="3944" t="n"/>
      <c r="G365" s="3944" t="n"/>
      <c r="H365" s="3944" t="n"/>
      <c r="I365" s="3944" t="n"/>
      <c r="J365" s="3944" t="n"/>
      <c r="K365" s="3942">
        <f>IF(A365="","",SUM(E365:J365))</f>
        <v/>
      </c>
      <c r="L365" s="3934" t="n"/>
      <c r="M365" s="3934" t="n"/>
      <c r="N365" s="3934" t="n"/>
      <c r="O365" s="3934" t="n"/>
      <c r="P365" s="3934" t="n"/>
      <c r="Q365" s="3934" t="n"/>
      <c r="R365" s="3934" t="n"/>
      <c r="S365" s="3934" t="n"/>
      <c r="T365" s="3934" t="n"/>
      <c r="U365" s="3934" t="n"/>
      <c r="V365" s="3934" t="n"/>
      <c r="W365" s="3934" t="n"/>
      <c r="X365" s="3934" t="n"/>
      <c r="Y365" s="3934" t="n"/>
      <c r="Z365" s="3934" t="n"/>
      <c r="AA365" s="3934" t="n"/>
      <c r="AB365" s="3934" t="n"/>
      <c r="AC365" s="3934" t="n"/>
      <c r="AD365" s="3934" t="n"/>
      <c r="AE365" s="3934" t="n"/>
      <c r="AF365" s="3934" t="n"/>
      <c r="AG365" s="3934" t="n"/>
      <c r="AH365" s="3934" t="n"/>
      <c r="AI365" s="3934" t="n"/>
      <c r="AJ365" s="3934" t="n"/>
      <c r="AK365" s="3934" t="n"/>
      <c r="AL365" s="3934" t="n"/>
      <c r="AM365" s="3934" t="n"/>
      <c r="AN365" s="3934" t="n"/>
      <c r="AO365" s="3934" t="n"/>
      <c r="AP365" s="3934" t="n"/>
      <c r="AQ365" s="3934" t="n"/>
      <c r="AR365" s="3934" t="n"/>
    </row>
    <row r="366">
      <c r="A366" s="3941" t="n"/>
      <c r="B366" s="3944" t="n"/>
      <c r="C366" s="3944" t="n"/>
      <c r="D366" s="3944" t="n"/>
      <c r="E366" s="3944" t="n"/>
      <c r="F366" s="3944" t="n"/>
      <c r="G366" s="3944" t="n"/>
      <c r="H366" s="3944" t="n"/>
      <c r="I366" s="3944" t="n"/>
      <c r="J366" s="3944" t="n"/>
      <c r="K366" s="3942">
        <f>IF(A366="","",SUM(E366:J366))</f>
        <v/>
      </c>
      <c r="L366" s="3934" t="n"/>
      <c r="M366" s="3934" t="n"/>
      <c r="N366" s="3934" t="n"/>
      <c r="O366" s="3934" t="n"/>
      <c r="P366" s="3934" t="n"/>
      <c r="Q366" s="3934" t="n"/>
      <c r="R366" s="3934" t="n"/>
      <c r="S366" s="3934" t="n"/>
      <c r="T366" s="3934" t="n"/>
      <c r="U366" s="3934" t="n"/>
      <c r="V366" s="3934" t="n"/>
      <c r="W366" s="3934" t="n"/>
      <c r="X366" s="3934" t="n"/>
      <c r="Y366" s="3934" t="n"/>
      <c r="Z366" s="3934" t="n"/>
      <c r="AA366" s="3934" t="n"/>
      <c r="AB366" s="3934" t="n"/>
      <c r="AC366" s="3934" t="n"/>
      <c r="AD366" s="3934" t="n"/>
      <c r="AE366" s="3934" t="n"/>
      <c r="AF366" s="3934" t="n"/>
      <c r="AG366" s="3934" t="n"/>
      <c r="AH366" s="3934" t="n"/>
      <c r="AI366" s="3934" t="n"/>
      <c r="AJ366" s="3934" t="n"/>
      <c r="AK366" s="3934" t="n"/>
      <c r="AL366" s="3934" t="n"/>
      <c r="AM366" s="3934" t="n"/>
      <c r="AN366" s="3934" t="n"/>
      <c r="AO366" s="3934" t="n"/>
      <c r="AP366" s="3934" t="n"/>
      <c r="AQ366" s="3934" t="n"/>
      <c r="AR366" s="3934" t="n"/>
    </row>
    <row r="367">
      <c r="A367" s="3941" t="n"/>
      <c r="B367" s="3944" t="n"/>
      <c r="C367" s="3944" t="n"/>
      <c r="D367" s="3944" t="n"/>
      <c r="E367" s="3944" t="n"/>
      <c r="F367" s="3944" t="n"/>
      <c r="G367" s="3944" t="n"/>
      <c r="H367" s="3944" t="n"/>
      <c r="I367" s="3944" t="n"/>
      <c r="J367" s="3944" t="n"/>
      <c r="K367" s="3942">
        <f>IF(A367="","",SUM(E367:J367))</f>
        <v/>
      </c>
      <c r="L367" s="3934" t="n"/>
      <c r="M367" s="3934" t="n"/>
      <c r="N367" s="3934" t="n"/>
      <c r="O367" s="3934" t="n"/>
      <c r="P367" s="3934" t="n"/>
      <c r="Q367" s="3934" t="n"/>
      <c r="R367" s="3934" t="n"/>
      <c r="S367" s="3934" t="n"/>
      <c r="T367" s="3934" t="n"/>
      <c r="U367" s="3934" t="n"/>
      <c r="V367" s="3934" t="n"/>
      <c r="W367" s="3934" t="n"/>
      <c r="X367" s="3934" t="n"/>
      <c r="Y367" s="3934" t="n"/>
      <c r="Z367" s="3934" t="n"/>
      <c r="AA367" s="3934" t="n"/>
      <c r="AB367" s="3934" t="n"/>
      <c r="AC367" s="3934" t="n"/>
      <c r="AD367" s="3934" t="n"/>
      <c r="AE367" s="3934" t="n"/>
      <c r="AF367" s="3934" t="n"/>
      <c r="AG367" s="3934" t="n"/>
      <c r="AH367" s="3934" t="n"/>
      <c r="AI367" s="3934" t="n"/>
      <c r="AJ367" s="3934" t="n"/>
      <c r="AK367" s="3934" t="n"/>
      <c r="AL367" s="3934" t="n"/>
      <c r="AM367" s="3934" t="n"/>
      <c r="AN367" s="3934" t="n"/>
      <c r="AO367" s="3934" t="n"/>
      <c r="AP367" s="3934" t="n"/>
      <c r="AQ367" s="3934" t="n"/>
      <c r="AR367" s="3934" t="n"/>
    </row>
    <row r="368">
      <c r="A368" s="3941" t="n"/>
      <c r="B368" s="3944" t="n"/>
      <c r="C368" s="3944" t="n"/>
      <c r="D368" s="3944" t="n"/>
      <c r="E368" s="3944" t="n"/>
      <c r="F368" s="3944" t="n"/>
      <c r="G368" s="3944" t="n"/>
      <c r="H368" s="3944" t="n"/>
      <c r="I368" s="3944" t="n"/>
      <c r="J368" s="3944" t="n"/>
      <c r="K368" s="3942">
        <f>IF(A368="","",SUM(E368:J368))</f>
        <v/>
      </c>
      <c r="L368" s="3934" t="n"/>
      <c r="M368" s="3934" t="n"/>
      <c r="N368" s="3934" t="n"/>
      <c r="O368" s="3934" t="n"/>
      <c r="P368" s="3934" t="n"/>
      <c r="Q368" s="3934" t="n"/>
      <c r="R368" s="3934" t="n"/>
      <c r="S368" s="3934" t="n"/>
      <c r="T368" s="3934" t="n"/>
      <c r="U368" s="3934" t="n"/>
      <c r="V368" s="3934" t="n"/>
      <c r="W368" s="3934" t="n"/>
      <c r="X368" s="3934" t="n"/>
      <c r="Y368" s="3934" t="n"/>
      <c r="Z368" s="3934" t="n"/>
      <c r="AA368" s="3934" t="n"/>
      <c r="AB368" s="3934" t="n"/>
      <c r="AC368" s="3934" t="n"/>
      <c r="AD368" s="3934" t="n"/>
      <c r="AE368" s="3934" t="n"/>
      <c r="AF368" s="3934" t="n"/>
      <c r="AG368" s="3934" t="n"/>
      <c r="AH368" s="3934" t="n"/>
      <c r="AI368" s="3934" t="n"/>
      <c r="AJ368" s="3934" t="n"/>
      <c r="AK368" s="3934" t="n"/>
      <c r="AL368" s="3934" t="n"/>
      <c r="AM368" s="3934" t="n"/>
      <c r="AN368" s="3934" t="n"/>
      <c r="AO368" s="3934" t="n"/>
      <c r="AP368" s="3934" t="n"/>
      <c r="AQ368" s="3934" t="n"/>
      <c r="AR368" s="3934" t="n"/>
    </row>
    <row r="369">
      <c r="A369" s="3941" t="n"/>
      <c r="B369" s="3944" t="n"/>
      <c r="C369" s="3944" t="n"/>
      <c r="D369" s="3944" t="n"/>
      <c r="E369" s="3944" t="n"/>
      <c r="F369" s="3944" t="n"/>
      <c r="G369" s="3944" t="n"/>
      <c r="H369" s="3944" t="n"/>
      <c r="I369" s="3944" t="n"/>
      <c r="J369" s="3944" t="n"/>
      <c r="K369" s="3942">
        <f>IF(A369="","",SUM(E369:J369))</f>
        <v/>
      </c>
      <c r="L369" s="3934" t="n"/>
      <c r="M369" s="3934" t="n"/>
      <c r="N369" s="3934" t="n"/>
      <c r="O369" s="3934" t="n"/>
      <c r="P369" s="3934" t="n"/>
      <c r="Q369" s="3934" t="n"/>
      <c r="R369" s="3934" t="n"/>
      <c r="S369" s="3934" t="n"/>
      <c r="T369" s="3934" t="n"/>
      <c r="U369" s="3934" t="n"/>
      <c r="V369" s="3934" t="n"/>
      <c r="W369" s="3934" t="n"/>
      <c r="X369" s="3934" t="n"/>
      <c r="Y369" s="3934" t="n"/>
      <c r="Z369" s="3934" t="n"/>
      <c r="AA369" s="3934" t="n"/>
      <c r="AB369" s="3934" t="n"/>
      <c r="AC369" s="3934" t="n"/>
      <c r="AD369" s="3934" t="n"/>
      <c r="AE369" s="3934" t="n"/>
      <c r="AF369" s="3934" t="n"/>
      <c r="AG369" s="3934" t="n"/>
      <c r="AH369" s="3934" t="n"/>
      <c r="AI369" s="3934" t="n"/>
      <c r="AJ369" s="3934" t="n"/>
      <c r="AK369" s="3934" t="n"/>
      <c r="AL369" s="3934" t="n"/>
      <c r="AM369" s="3934" t="n"/>
      <c r="AN369" s="3934" t="n"/>
      <c r="AO369" s="3934" t="n"/>
      <c r="AP369" s="3934" t="n"/>
      <c r="AQ369" s="3934" t="n"/>
      <c r="AR369" s="3934" t="n"/>
    </row>
    <row r="370">
      <c r="A370" s="3941" t="n"/>
      <c r="B370" s="3944" t="n"/>
      <c r="C370" s="3944" t="n"/>
      <c r="D370" s="3944" t="n"/>
      <c r="E370" s="3944" t="n"/>
      <c r="F370" s="3944" t="n"/>
      <c r="G370" s="3944" t="n"/>
      <c r="H370" s="3944" t="n"/>
      <c r="I370" s="3944" t="n"/>
      <c r="J370" s="3944" t="n"/>
      <c r="K370" s="3942">
        <f>IF(A370="","",SUM(E370:J370))</f>
        <v/>
      </c>
      <c r="L370" s="3934" t="n"/>
      <c r="M370" s="3934" t="n"/>
      <c r="N370" s="3934" t="n"/>
      <c r="O370" s="3934" t="n"/>
      <c r="P370" s="3934" t="n"/>
      <c r="Q370" s="3934" t="n"/>
      <c r="R370" s="3934" t="n"/>
      <c r="S370" s="3934" t="n"/>
      <c r="T370" s="3934" t="n"/>
      <c r="U370" s="3934" t="n"/>
      <c r="V370" s="3934" t="n"/>
      <c r="W370" s="3934" t="n"/>
      <c r="X370" s="3934" t="n"/>
      <c r="Y370" s="3934" t="n"/>
      <c r="Z370" s="3934" t="n"/>
      <c r="AA370" s="3934" t="n"/>
      <c r="AB370" s="3934" t="n"/>
      <c r="AC370" s="3934" t="n"/>
      <c r="AD370" s="3934" t="n"/>
      <c r="AE370" s="3934" t="n"/>
      <c r="AF370" s="3934" t="n"/>
      <c r="AG370" s="3934" t="n"/>
      <c r="AH370" s="3934" t="n"/>
      <c r="AI370" s="3934" t="n"/>
      <c r="AJ370" s="3934" t="n"/>
      <c r="AK370" s="3934" t="n"/>
      <c r="AL370" s="3934" t="n"/>
      <c r="AM370" s="3934" t="n"/>
      <c r="AN370" s="3934" t="n"/>
      <c r="AO370" s="3934" t="n"/>
      <c r="AP370" s="3934" t="n"/>
      <c r="AQ370" s="3934" t="n"/>
      <c r="AR370" s="3934" t="n"/>
    </row>
    <row r="371">
      <c r="A371" s="3941" t="n"/>
      <c r="B371" s="3944" t="n"/>
      <c r="C371" s="3944" t="n"/>
      <c r="D371" s="3944" t="n"/>
      <c r="E371" s="3944" t="n"/>
      <c r="F371" s="3944" t="n"/>
      <c r="G371" s="3944" t="n"/>
      <c r="H371" s="3944" t="n"/>
      <c r="I371" s="3944" t="n"/>
      <c r="J371" s="3944" t="n"/>
      <c r="K371" s="3942">
        <f>IF(A371="","",SUM(E371:J371))</f>
        <v/>
      </c>
      <c r="L371" s="3934" t="n"/>
      <c r="M371" s="3934" t="n"/>
      <c r="N371" s="3934" t="n"/>
      <c r="O371" s="3934" t="n"/>
      <c r="P371" s="3934" t="n"/>
      <c r="Q371" s="3934" t="n"/>
      <c r="R371" s="3934" t="n"/>
      <c r="S371" s="3934" t="n"/>
      <c r="T371" s="3934" t="n"/>
      <c r="U371" s="3934" t="n"/>
      <c r="V371" s="3934" t="n"/>
      <c r="W371" s="3934" t="n"/>
      <c r="X371" s="3934" t="n"/>
      <c r="Y371" s="3934" t="n"/>
      <c r="Z371" s="3934" t="n"/>
      <c r="AA371" s="3934" t="n"/>
      <c r="AB371" s="3934" t="n"/>
      <c r="AC371" s="3934" t="n"/>
      <c r="AD371" s="3934" t="n"/>
      <c r="AE371" s="3934" t="n"/>
      <c r="AF371" s="3934" t="n"/>
      <c r="AG371" s="3934" t="n"/>
      <c r="AH371" s="3934" t="n"/>
      <c r="AI371" s="3934" t="n"/>
      <c r="AJ371" s="3934" t="n"/>
      <c r="AK371" s="3934" t="n"/>
      <c r="AL371" s="3934" t="n"/>
      <c r="AM371" s="3934" t="n"/>
      <c r="AN371" s="3934" t="n"/>
      <c r="AO371" s="3934" t="n"/>
      <c r="AP371" s="3934" t="n"/>
      <c r="AQ371" s="3934" t="n"/>
      <c r="AR371" s="3934" t="n"/>
    </row>
    <row r="372">
      <c r="A372" s="3941" t="n"/>
      <c r="B372" s="3944" t="n"/>
      <c r="C372" s="3944" t="n"/>
      <c r="D372" s="3944" t="n"/>
      <c r="E372" s="3944" t="n"/>
      <c r="F372" s="3944" t="n"/>
      <c r="G372" s="3944" t="n"/>
      <c r="H372" s="3944" t="n"/>
      <c r="I372" s="3944" t="n"/>
      <c r="J372" s="3944" t="n"/>
      <c r="K372" s="3942">
        <f>IF(A372="","",SUM(E372:J372))</f>
        <v/>
      </c>
      <c r="L372" s="3934" t="n"/>
      <c r="M372" s="3934" t="n"/>
      <c r="N372" s="3934" t="n"/>
      <c r="O372" s="3934" t="n"/>
      <c r="P372" s="3934" t="n"/>
      <c r="Q372" s="3934" t="n"/>
      <c r="R372" s="3934" t="n"/>
      <c r="S372" s="3934" t="n"/>
      <c r="T372" s="3934" t="n"/>
      <c r="U372" s="3934" t="n"/>
      <c r="V372" s="3934" t="n"/>
      <c r="W372" s="3934" t="n"/>
      <c r="X372" s="3934" t="n"/>
      <c r="Y372" s="3934" t="n"/>
      <c r="Z372" s="3934" t="n"/>
      <c r="AA372" s="3934" t="n"/>
      <c r="AB372" s="3934" t="n"/>
      <c r="AC372" s="3934" t="n"/>
      <c r="AD372" s="3934" t="n"/>
      <c r="AE372" s="3934" t="n"/>
      <c r="AF372" s="3934" t="n"/>
      <c r="AG372" s="3934" t="n"/>
      <c r="AH372" s="3934" t="n"/>
      <c r="AI372" s="3934" t="n"/>
      <c r="AJ372" s="3934" t="n"/>
      <c r="AK372" s="3934" t="n"/>
      <c r="AL372" s="3934" t="n"/>
      <c r="AM372" s="3934" t="n"/>
      <c r="AN372" s="3934" t="n"/>
      <c r="AO372" s="3934" t="n"/>
      <c r="AP372" s="3934" t="n"/>
      <c r="AQ372" s="3934" t="n"/>
      <c r="AR372" s="3934" t="n"/>
    </row>
    <row r="373">
      <c r="A373" s="3941" t="n"/>
      <c r="B373" s="3944" t="n"/>
      <c r="C373" s="3944" t="n"/>
      <c r="D373" s="3944" t="n"/>
      <c r="E373" s="3944" t="n"/>
      <c r="F373" s="3944" t="n"/>
      <c r="G373" s="3944" t="n"/>
      <c r="H373" s="3944" t="n"/>
      <c r="I373" s="3944" t="n"/>
      <c r="J373" s="3944" t="n"/>
      <c r="K373" s="3942">
        <f>IF(A373="","",SUM(E373:J373))</f>
        <v/>
      </c>
      <c r="L373" s="3934" t="n"/>
      <c r="M373" s="3934" t="n"/>
      <c r="N373" s="3934" t="n"/>
      <c r="O373" s="3934" t="n"/>
      <c r="P373" s="3934" t="n"/>
      <c r="Q373" s="3934" t="n"/>
      <c r="R373" s="3934" t="n"/>
      <c r="S373" s="3934" t="n"/>
      <c r="T373" s="3934" t="n"/>
      <c r="U373" s="3934" t="n"/>
      <c r="V373" s="3934" t="n"/>
      <c r="W373" s="3934" t="n"/>
      <c r="X373" s="3934" t="n"/>
      <c r="Y373" s="3934" t="n"/>
      <c r="Z373" s="3934" t="n"/>
      <c r="AA373" s="3934" t="n"/>
      <c r="AB373" s="3934" t="n"/>
      <c r="AC373" s="3934" t="n"/>
      <c r="AD373" s="3934" t="n"/>
      <c r="AE373" s="3934" t="n"/>
      <c r="AF373" s="3934" t="n"/>
      <c r="AG373" s="3934" t="n"/>
      <c r="AH373" s="3934" t="n"/>
      <c r="AI373" s="3934" t="n"/>
      <c r="AJ373" s="3934" t="n"/>
      <c r="AK373" s="3934" t="n"/>
      <c r="AL373" s="3934" t="n"/>
      <c r="AM373" s="3934" t="n"/>
      <c r="AN373" s="3934" t="n"/>
      <c r="AO373" s="3934" t="n"/>
      <c r="AP373" s="3934" t="n"/>
      <c r="AQ373" s="3934" t="n"/>
      <c r="AR373" s="3934" t="n"/>
    </row>
    <row r="374">
      <c r="A374" s="3941" t="n"/>
      <c r="B374" s="3944" t="n"/>
      <c r="C374" s="3944" t="n"/>
      <c r="D374" s="3944" t="n"/>
      <c r="E374" s="3944" t="n"/>
      <c r="F374" s="3944" t="n"/>
      <c r="G374" s="3944" t="n"/>
      <c r="H374" s="3944" t="n"/>
      <c r="I374" s="3944" t="n"/>
      <c r="J374" s="3944" t="n"/>
      <c r="K374" s="3942">
        <f>IF(A374="","",SUM(E374:J374))</f>
        <v/>
      </c>
      <c r="L374" s="3934" t="n"/>
      <c r="M374" s="3934" t="n"/>
      <c r="N374" s="3934" t="n"/>
      <c r="O374" s="3934" t="n"/>
      <c r="P374" s="3934" t="n"/>
      <c r="Q374" s="3934" t="n"/>
      <c r="R374" s="3934" t="n"/>
      <c r="S374" s="3934" t="n"/>
      <c r="T374" s="3934" t="n"/>
      <c r="U374" s="3934" t="n"/>
      <c r="V374" s="3934" t="n"/>
      <c r="W374" s="3934" t="n"/>
      <c r="X374" s="3934" t="n"/>
      <c r="Y374" s="3934" t="n"/>
      <c r="Z374" s="3934" t="n"/>
      <c r="AA374" s="3934" t="n"/>
      <c r="AB374" s="3934" t="n"/>
      <c r="AC374" s="3934" t="n"/>
      <c r="AD374" s="3934" t="n"/>
      <c r="AE374" s="3934" t="n"/>
      <c r="AF374" s="3934" t="n"/>
      <c r="AG374" s="3934" t="n"/>
      <c r="AH374" s="3934" t="n"/>
      <c r="AI374" s="3934" t="n"/>
      <c r="AJ374" s="3934" t="n"/>
      <c r="AK374" s="3934" t="n"/>
      <c r="AL374" s="3934" t="n"/>
      <c r="AM374" s="3934" t="n"/>
      <c r="AN374" s="3934" t="n"/>
      <c r="AO374" s="3934" t="n"/>
      <c r="AP374" s="3934" t="n"/>
      <c r="AQ374" s="3934" t="n"/>
      <c r="AR374" s="3934" t="n"/>
    </row>
    <row r="375">
      <c r="A375" s="3941" t="n"/>
      <c r="B375" s="3944" t="n"/>
      <c r="C375" s="3944" t="n"/>
      <c r="D375" s="3944" t="n"/>
      <c r="E375" s="3944" t="n"/>
      <c r="F375" s="3944" t="n"/>
      <c r="G375" s="3944" t="n"/>
      <c r="H375" s="3944" t="n"/>
      <c r="I375" s="3944" t="n"/>
      <c r="J375" s="3944" t="n"/>
      <c r="K375" s="3942">
        <f>IF(A375="","",SUM(E375:J375))</f>
        <v/>
      </c>
      <c r="L375" s="3934" t="n"/>
      <c r="M375" s="3934" t="n"/>
      <c r="N375" s="3934" t="n"/>
      <c r="O375" s="3934" t="n"/>
      <c r="P375" s="3934" t="n"/>
      <c r="Q375" s="3934" t="n"/>
      <c r="R375" s="3934" t="n"/>
      <c r="S375" s="3934" t="n"/>
      <c r="T375" s="3934" t="n"/>
      <c r="U375" s="3934" t="n"/>
      <c r="V375" s="3934" t="n"/>
      <c r="W375" s="3934" t="n"/>
      <c r="X375" s="3934" t="n"/>
      <c r="Y375" s="3934" t="n"/>
      <c r="Z375" s="3934" t="n"/>
      <c r="AA375" s="3934" t="n"/>
      <c r="AB375" s="3934" t="n"/>
      <c r="AC375" s="3934" t="n"/>
      <c r="AD375" s="3934" t="n"/>
      <c r="AE375" s="3934" t="n"/>
      <c r="AF375" s="3934" t="n"/>
      <c r="AG375" s="3934" t="n"/>
      <c r="AH375" s="3934" t="n"/>
      <c r="AI375" s="3934" t="n"/>
      <c r="AJ375" s="3934" t="n"/>
      <c r="AK375" s="3934" t="n"/>
      <c r="AL375" s="3934" t="n"/>
      <c r="AM375" s="3934" t="n"/>
      <c r="AN375" s="3934" t="n"/>
      <c r="AO375" s="3934" t="n"/>
      <c r="AP375" s="3934" t="n"/>
      <c r="AQ375" s="3934" t="n"/>
      <c r="AR375" s="3934" t="n"/>
    </row>
    <row r="376">
      <c r="A376" s="3941" t="n"/>
      <c r="B376" s="3944" t="n"/>
      <c r="C376" s="3944" t="n"/>
      <c r="D376" s="3944" t="n"/>
      <c r="E376" s="3944" t="n"/>
      <c r="F376" s="3944" t="n"/>
      <c r="G376" s="3944" t="n"/>
      <c r="H376" s="3944" t="n"/>
      <c r="I376" s="3944" t="n"/>
      <c r="J376" s="3944" t="n"/>
      <c r="K376" s="3942">
        <f>IF(A376="","",SUM(E376:J376))</f>
        <v/>
      </c>
      <c r="L376" s="3934" t="n"/>
      <c r="M376" s="3934" t="n"/>
      <c r="N376" s="3934" t="n"/>
      <c r="O376" s="3934" t="n"/>
      <c r="P376" s="3934" t="n"/>
      <c r="Q376" s="3934" t="n"/>
      <c r="R376" s="3934" t="n"/>
      <c r="S376" s="3934" t="n"/>
      <c r="T376" s="3934" t="n"/>
      <c r="U376" s="3934" t="n"/>
      <c r="V376" s="3934" t="n"/>
      <c r="W376" s="3934" t="n"/>
      <c r="X376" s="3934" t="n"/>
      <c r="Y376" s="3934" t="n"/>
      <c r="Z376" s="3934" t="n"/>
      <c r="AA376" s="3934" t="n"/>
      <c r="AB376" s="3934" t="n"/>
      <c r="AC376" s="3934" t="n"/>
      <c r="AD376" s="3934" t="n"/>
      <c r="AE376" s="3934" t="n"/>
      <c r="AF376" s="3934" t="n"/>
      <c r="AG376" s="3934" t="n"/>
      <c r="AH376" s="3934" t="n"/>
      <c r="AI376" s="3934" t="n"/>
      <c r="AJ376" s="3934" t="n"/>
      <c r="AK376" s="3934" t="n"/>
      <c r="AL376" s="3934" t="n"/>
      <c r="AM376" s="3934" t="n"/>
      <c r="AN376" s="3934" t="n"/>
      <c r="AO376" s="3934" t="n"/>
      <c r="AP376" s="3934" t="n"/>
      <c r="AQ376" s="3934" t="n"/>
      <c r="AR376" s="3934" t="n"/>
    </row>
    <row r="377">
      <c r="A377" s="3941" t="n"/>
      <c r="B377" s="3944" t="n"/>
      <c r="C377" s="3944" t="n"/>
      <c r="D377" s="3944" t="n"/>
      <c r="E377" s="3944" t="n"/>
      <c r="F377" s="3944" t="n"/>
      <c r="G377" s="3944" t="n"/>
      <c r="H377" s="3944" t="n"/>
      <c r="I377" s="3944" t="n"/>
      <c r="J377" s="3944" t="n"/>
      <c r="K377" s="3942">
        <f>IF(A377="","",SUM(E377:J377))</f>
        <v/>
      </c>
      <c r="L377" s="3934" t="n"/>
      <c r="M377" s="3934" t="n"/>
      <c r="N377" s="3934" t="n"/>
      <c r="O377" s="3934" t="n"/>
      <c r="P377" s="3934" t="n"/>
      <c r="Q377" s="3934" t="n"/>
      <c r="R377" s="3934" t="n"/>
      <c r="S377" s="3934" t="n"/>
      <c r="T377" s="3934" t="n"/>
      <c r="U377" s="3934" t="n"/>
      <c r="V377" s="3934" t="n"/>
      <c r="W377" s="3934" t="n"/>
      <c r="X377" s="3934" t="n"/>
      <c r="Y377" s="3934" t="n"/>
      <c r="Z377" s="3934" t="n"/>
      <c r="AA377" s="3934" t="n"/>
      <c r="AB377" s="3934" t="n"/>
      <c r="AC377" s="3934" t="n"/>
      <c r="AD377" s="3934" t="n"/>
      <c r="AE377" s="3934" t="n"/>
      <c r="AF377" s="3934" t="n"/>
      <c r="AG377" s="3934" t="n"/>
      <c r="AH377" s="3934" t="n"/>
      <c r="AI377" s="3934" t="n"/>
      <c r="AJ377" s="3934" t="n"/>
      <c r="AK377" s="3934" t="n"/>
      <c r="AL377" s="3934" t="n"/>
      <c r="AM377" s="3934" t="n"/>
      <c r="AN377" s="3934" t="n"/>
      <c r="AO377" s="3934" t="n"/>
      <c r="AP377" s="3934" t="n"/>
      <c r="AQ377" s="3934" t="n"/>
      <c r="AR377" s="3934" t="n"/>
    </row>
    <row r="378">
      <c r="A378" s="3941" t="n"/>
      <c r="B378" s="3944" t="n"/>
      <c r="C378" s="3944" t="n"/>
      <c r="D378" s="3944" t="n"/>
      <c r="E378" s="3944" t="n"/>
      <c r="F378" s="3944" t="n"/>
      <c r="G378" s="3944" t="n"/>
      <c r="H378" s="3944" t="n"/>
      <c r="I378" s="3944" t="n"/>
      <c r="J378" s="3944" t="n"/>
      <c r="K378" s="3942">
        <f>IF(A378="","",SUM(E378:J378))</f>
        <v/>
      </c>
      <c r="L378" s="3934" t="n"/>
      <c r="M378" s="3934" t="n"/>
      <c r="N378" s="3934" t="n"/>
      <c r="O378" s="3934" t="n"/>
      <c r="P378" s="3934" t="n"/>
      <c r="Q378" s="3934" t="n"/>
      <c r="R378" s="3934" t="n"/>
      <c r="S378" s="3934" t="n"/>
      <c r="T378" s="3934" t="n"/>
      <c r="U378" s="3934" t="n"/>
      <c r="V378" s="3934" t="n"/>
      <c r="W378" s="3934" t="n"/>
      <c r="X378" s="3934" t="n"/>
      <c r="Y378" s="3934" t="n"/>
      <c r="Z378" s="3934" t="n"/>
      <c r="AA378" s="3934" t="n"/>
      <c r="AB378" s="3934" t="n"/>
      <c r="AC378" s="3934" t="n"/>
      <c r="AD378" s="3934" t="n"/>
      <c r="AE378" s="3934" t="n"/>
      <c r="AF378" s="3934" t="n"/>
      <c r="AG378" s="3934" t="n"/>
      <c r="AH378" s="3934" t="n"/>
      <c r="AI378" s="3934" t="n"/>
      <c r="AJ378" s="3934" t="n"/>
      <c r="AK378" s="3934" t="n"/>
      <c r="AL378" s="3934" t="n"/>
      <c r="AM378" s="3934" t="n"/>
      <c r="AN378" s="3934" t="n"/>
      <c r="AO378" s="3934" t="n"/>
      <c r="AP378" s="3934" t="n"/>
      <c r="AQ378" s="3934" t="n"/>
      <c r="AR378" s="3934" t="n"/>
    </row>
    <row r="379">
      <c r="A379" s="3941" t="n"/>
      <c r="B379" s="3944" t="n"/>
      <c r="C379" s="3944" t="n"/>
      <c r="D379" s="3944" t="n"/>
      <c r="E379" s="3944" t="n"/>
      <c r="F379" s="3944" t="n"/>
      <c r="G379" s="3944" t="n"/>
      <c r="H379" s="3944" t="n"/>
      <c r="I379" s="3944" t="n"/>
      <c r="J379" s="3944" t="n"/>
      <c r="K379" s="3942">
        <f>IF(A379="","",SUM(E379:J379))</f>
        <v/>
      </c>
      <c r="L379" s="3934" t="n"/>
      <c r="M379" s="3934" t="n"/>
      <c r="N379" s="3934" t="n"/>
      <c r="O379" s="3934" t="n"/>
      <c r="P379" s="3934" t="n"/>
      <c r="Q379" s="3934" t="n"/>
      <c r="R379" s="3934" t="n"/>
      <c r="S379" s="3934" t="n"/>
      <c r="T379" s="3934" t="n"/>
      <c r="U379" s="3934" t="n"/>
      <c r="V379" s="3934" t="n"/>
      <c r="W379" s="3934" t="n"/>
      <c r="X379" s="3934" t="n"/>
      <c r="Y379" s="3934" t="n"/>
      <c r="Z379" s="3934" t="n"/>
      <c r="AA379" s="3934" t="n"/>
      <c r="AB379" s="3934" t="n"/>
      <c r="AC379" s="3934" t="n"/>
      <c r="AD379" s="3934" t="n"/>
      <c r="AE379" s="3934" t="n"/>
      <c r="AF379" s="3934" t="n"/>
      <c r="AG379" s="3934" t="n"/>
      <c r="AH379" s="3934" t="n"/>
      <c r="AI379" s="3934" t="n"/>
      <c r="AJ379" s="3934" t="n"/>
      <c r="AK379" s="3934" t="n"/>
      <c r="AL379" s="3934" t="n"/>
      <c r="AM379" s="3934" t="n"/>
      <c r="AN379" s="3934" t="n"/>
      <c r="AO379" s="3934" t="n"/>
      <c r="AP379" s="3934" t="n"/>
      <c r="AQ379" s="3934" t="n"/>
      <c r="AR379" s="3934" t="n"/>
    </row>
    <row r="380">
      <c r="A380" s="3941" t="n"/>
      <c r="B380" s="3944" t="n"/>
      <c r="C380" s="3944" t="n"/>
      <c r="D380" s="3944" t="n"/>
      <c r="E380" s="3944" t="n"/>
      <c r="F380" s="3944" t="n"/>
      <c r="G380" s="3944" t="n"/>
      <c r="H380" s="3944" t="n"/>
      <c r="I380" s="3944" t="n"/>
      <c r="J380" s="3944" t="n"/>
      <c r="K380" s="3942">
        <f>IF(A380="","",SUM(E380:J380))</f>
        <v/>
      </c>
      <c r="L380" s="3934" t="n"/>
      <c r="M380" s="3934" t="n"/>
      <c r="N380" s="3934" t="n"/>
      <c r="O380" s="3934" t="n"/>
      <c r="P380" s="3934" t="n"/>
      <c r="Q380" s="3934" t="n"/>
      <c r="R380" s="3934" t="n"/>
      <c r="S380" s="3934" t="n"/>
      <c r="T380" s="3934" t="n"/>
      <c r="U380" s="3934" t="n"/>
      <c r="V380" s="3934" t="n"/>
      <c r="W380" s="3934" t="n"/>
      <c r="X380" s="3934" t="n"/>
      <c r="Y380" s="3934" t="n"/>
      <c r="Z380" s="3934" t="n"/>
      <c r="AA380" s="3934" t="n"/>
      <c r="AB380" s="3934" t="n"/>
      <c r="AC380" s="3934" t="n"/>
      <c r="AD380" s="3934" t="n"/>
      <c r="AE380" s="3934" t="n"/>
      <c r="AF380" s="3934" t="n"/>
      <c r="AG380" s="3934" t="n"/>
      <c r="AH380" s="3934" t="n"/>
      <c r="AI380" s="3934" t="n"/>
      <c r="AJ380" s="3934" t="n"/>
      <c r="AK380" s="3934" t="n"/>
      <c r="AL380" s="3934" t="n"/>
      <c r="AM380" s="3934" t="n"/>
      <c r="AN380" s="3934" t="n"/>
      <c r="AO380" s="3934" t="n"/>
      <c r="AP380" s="3934" t="n"/>
      <c r="AQ380" s="3934" t="n"/>
      <c r="AR380" s="3934" t="n"/>
    </row>
    <row r="381">
      <c r="A381" s="3941" t="n"/>
      <c r="B381" s="3944" t="n"/>
      <c r="C381" s="3944" t="n"/>
      <c r="D381" s="3944" t="n"/>
      <c r="E381" s="3944" t="n"/>
      <c r="F381" s="3944" t="n"/>
      <c r="G381" s="3944" t="n"/>
      <c r="H381" s="3944" t="n"/>
      <c r="I381" s="3944" t="n"/>
      <c r="J381" s="3944" t="n"/>
      <c r="K381" s="3942">
        <f>IF(A381="","",SUM(E381:J381))</f>
        <v/>
      </c>
      <c r="L381" s="3934" t="n"/>
      <c r="M381" s="3934" t="n"/>
      <c r="N381" s="3934" t="n"/>
      <c r="O381" s="3934" t="n"/>
      <c r="P381" s="3934" t="n"/>
      <c r="Q381" s="3934" t="n"/>
      <c r="R381" s="3934" t="n"/>
      <c r="S381" s="3934" t="n"/>
      <c r="T381" s="3934" t="n"/>
      <c r="U381" s="3934" t="n"/>
      <c r="V381" s="3934" t="n"/>
      <c r="W381" s="3934" t="n"/>
      <c r="X381" s="3934" t="n"/>
      <c r="Y381" s="3934" t="n"/>
      <c r="Z381" s="3934" t="n"/>
      <c r="AA381" s="3934" t="n"/>
      <c r="AB381" s="3934" t="n"/>
      <c r="AC381" s="3934" t="n"/>
      <c r="AD381" s="3934" t="n"/>
      <c r="AE381" s="3934" t="n"/>
      <c r="AF381" s="3934" t="n"/>
      <c r="AG381" s="3934" t="n"/>
      <c r="AH381" s="3934" t="n"/>
      <c r="AI381" s="3934" t="n"/>
      <c r="AJ381" s="3934" t="n"/>
      <c r="AK381" s="3934" t="n"/>
      <c r="AL381" s="3934" t="n"/>
      <c r="AM381" s="3934" t="n"/>
      <c r="AN381" s="3934" t="n"/>
      <c r="AO381" s="3934" t="n"/>
      <c r="AP381" s="3934" t="n"/>
      <c r="AQ381" s="3934" t="n"/>
      <c r="AR381" s="3934" t="n"/>
    </row>
    <row r="382">
      <c r="A382" s="3941" t="n"/>
      <c r="B382" s="3944" t="n"/>
      <c r="C382" s="3944" t="n"/>
      <c r="D382" s="3944" t="n"/>
      <c r="E382" s="3944" t="n"/>
      <c r="F382" s="3944" t="n"/>
      <c r="G382" s="3944" t="n"/>
      <c r="H382" s="3944" t="n"/>
      <c r="I382" s="3944" t="n"/>
      <c r="J382" s="3944" t="n"/>
      <c r="K382" s="3942">
        <f>IF(A382="","",SUM(E382:J382))</f>
        <v/>
      </c>
      <c r="L382" s="3934" t="n"/>
      <c r="M382" s="3934" t="n"/>
      <c r="N382" s="3934" t="n"/>
      <c r="O382" s="3934" t="n"/>
      <c r="P382" s="3934" t="n"/>
      <c r="Q382" s="3934" t="n"/>
      <c r="R382" s="3934" t="n"/>
      <c r="S382" s="3934" t="n"/>
      <c r="T382" s="3934" t="n"/>
      <c r="U382" s="3934" t="n"/>
      <c r="V382" s="3934" t="n"/>
      <c r="W382" s="3934" t="n"/>
      <c r="X382" s="3934" t="n"/>
      <c r="Y382" s="3934" t="n"/>
      <c r="Z382" s="3934" t="n"/>
      <c r="AA382" s="3934" t="n"/>
      <c r="AB382" s="3934" t="n"/>
      <c r="AC382" s="3934" t="n"/>
      <c r="AD382" s="3934" t="n"/>
      <c r="AE382" s="3934" t="n"/>
      <c r="AF382" s="3934" t="n"/>
      <c r="AG382" s="3934" t="n"/>
      <c r="AH382" s="3934" t="n"/>
      <c r="AI382" s="3934" t="n"/>
      <c r="AJ382" s="3934" t="n"/>
      <c r="AK382" s="3934" t="n"/>
      <c r="AL382" s="3934" t="n"/>
      <c r="AM382" s="3934" t="n"/>
      <c r="AN382" s="3934" t="n"/>
      <c r="AO382" s="3934" t="n"/>
      <c r="AP382" s="3934" t="n"/>
      <c r="AQ382" s="3934" t="n"/>
      <c r="AR382" s="3934" t="n"/>
    </row>
    <row r="383">
      <c r="A383" s="3941" t="n"/>
      <c r="B383" s="3944" t="n"/>
      <c r="C383" s="3944" t="n"/>
      <c r="D383" s="3944" t="n"/>
      <c r="E383" s="3944" t="n"/>
      <c r="F383" s="3944" t="n"/>
      <c r="G383" s="3944" t="n"/>
      <c r="H383" s="3944" t="n"/>
      <c r="I383" s="3944" t="n"/>
      <c r="J383" s="3944" t="n"/>
      <c r="K383" s="3942">
        <f>IF(A383="","",SUM(E383:J383))</f>
        <v/>
      </c>
      <c r="L383" s="3934" t="n"/>
      <c r="M383" s="3934" t="n"/>
      <c r="N383" s="3934" t="n"/>
      <c r="O383" s="3934" t="n"/>
      <c r="P383" s="3934" t="n"/>
      <c r="Q383" s="3934" t="n"/>
      <c r="R383" s="3934" t="n"/>
      <c r="S383" s="3934" t="n"/>
      <c r="T383" s="3934" t="n"/>
      <c r="U383" s="3934" t="n"/>
      <c r="V383" s="3934" t="n"/>
      <c r="W383" s="3934" t="n"/>
      <c r="X383" s="3934" t="n"/>
      <c r="Y383" s="3934" t="n"/>
      <c r="Z383" s="3934" t="n"/>
      <c r="AA383" s="3934" t="n"/>
      <c r="AB383" s="3934" t="n"/>
      <c r="AC383" s="3934" t="n"/>
      <c r="AD383" s="3934" t="n"/>
      <c r="AE383" s="3934" t="n"/>
      <c r="AF383" s="3934" t="n"/>
      <c r="AG383" s="3934" t="n"/>
      <c r="AH383" s="3934" t="n"/>
      <c r="AI383" s="3934" t="n"/>
      <c r="AJ383" s="3934" t="n"/>
      <c r="AK383" s="3934" t="n"/>
      <c r="AL383" s="3934" t="n"/>
      <c r="AM383" s="3934" t="n"/>
      <c r="AN383" s="3934" t="n"/>
      <c r="AO383" s="3934" t="n"/>
      <c r="AP383" s="3934" t="n"/>
      <c r="AQ383" s="3934" t="n"/>
      <c r="AR383" s="3934" t="n"/>
    </row>
    <row r="384">
      <c r="A384" s="3941" t="n"/>
      <c r="B384" s="3944" t="n"/>
      <c r="C384" s="3944" t="n"/>
      <c r="D384" s="3944" t="n"/>
      <c r="E384" s="3944" t="n"/>
      <c r="F384" s="3944" t="n"/>
      <c r="G384" s="3944" t="n"/>
      <c r="H384" s="3944" t="n"/>
      <c r="I384" s="3944" t="n"/>
      <c r="J384" s="3944" t="n"/>
      <c r="K384" s="3942">
        <f>IF(A384="","",SUM(E384:J384))</f>
        <v/>
      </c>
      <c r="L384" s="3934" t="n"/>
      <c r="M384" s="3934" t="n"/>
      <c r="N384" s="3934" t="n"/>
      <c r="O384" s="3934" t="n"/>
      <c r="P384" s="3934" t="n"/>
      <c r="Q384" s="3934" t="n"/>
      <c r="R384" s="3934" t="n"/>
      <c r="S384" s="3934" t="n"/>
      <c r="T384" s="3934" t="n"/>
      <c r="U384" s="3934" t="n"/>
      <c r="V384" s="3934" t="n"/>
      <c r="W384" s="3934" t="n"/>
      <c r="X384" s="3934" t="n"/>
      <c r="Y384" s="3934" t="n"/>
      <c r="Z384" s="3934" t="n"/>
      <c r="AA384" s="3934" t="n"/>
      <c r="AB384" s="3934" t="n"/>
      <c r="AC384" s="3934" t="n"/>
      <c r="AD384" s="3934" t="n"/>
      <c r="AE384" s="3934" t="n"/>
      <c r="AF384" s="3934" t="n"/>
      <c r="AG384" s="3934" t="n"/>
      <c r="AH384" s="3934" t="n"/>
      <c r="AI384" s="3934" t="n"/>
      <c r="AJ384" s="3934" t="n"/>
      <c r="AK384" s="3934" t="n"/>
      <c r="AL384" s="3934" t="n"/>
      <c r="AM384" s="3934" t="n"/>
      <c r="AN384" s="3934" t="n"/>
      <c r="AO384" s="3934" t="n"/>
      <c r="AP384" s="3934" t="n"/>
      <c r="AQ384" s="3934" t="n"/>
      <c r="AR384" s="3934" t="n"/>
    </row>
    <row r="385">
      <c r="A385" s="3941" t="n"/>
      <c r="B385" s="3944" t="n"/>
      <c r="C385" s="3944" t="n"/>
      <c r="D385" s="3944" t="n"/>
      <c r="E385" s="3944" t="n"/>
      <c r="F385" s="3944" t="n"/>
      <c r="G385" s="3944" t="n"/>
      <c r="H385" s="3944" t="n"/>
      <c r="I385" s="3944" t="n"/>
      <c r="J385" s="3944" t="n"/>
      <c r="K385" s="3942">
        <f>IF(A385="","",SUM(E385:J385))</f>
        <v/>
      </c>
      <c r="L385" s="3934" t="n"/>
      <c r="M385" s="3934" t="n"/>
      <c r="N385" s="3934" t="n"/>
      <c r="O385" s="3934" t="n"/>
      <c r="P385" s="3934" t="n"/>
      <c r="Q385" s="3934" t="n"/>
      <c r="R385" s="3934" t="n"/>
      <c r="S385" s="3934" t="n"/>
      <c r="T385" s="3934" t="n"/>
      <c r="U385" s="3934" t="n"/>
      <c r="V385" s="3934" t="n"/>
      <c r="W385" s="3934" t="n"/>
      <c r="X385" s="3934" t="n"/>
      <c r="Y385" s="3934" t="n"/>
      <c r="Z385" s="3934" t="n"/>
      <c r="AA385" s="3934" t="n"/>
      <c r="AB385" s="3934" t="n"/>
      <c r="AC385" s="3934" t="n"/>
      <c r="AD385" s="3934" t="n"/>
      <c r="AE385" s="3934" t="n"/>
      <c r="AF385" s="3934" t="n"/>
      <c r="AG385" s="3934" t="n"/>
      <c r="AH385" s="3934" t="n"/>
      <c r="AI385" s="3934" t="n"/>
      <c r="AJ385" s="3934" t="n"/>
      <c r="AK385" s="3934" t="n"/>
      <c r="AL385" s="3934" t="n"/>
      <c r="AM385" s="3934" t="n"/>
      <c r="AN385" s="3934" t="n"/>
      <c r="AO385" s="3934" t="n"/>
      <c r="AP385" s="3934" t="n"/>
      <c r="AQ385" s="3934" t="n"/>
      <c r="AR385" s="3934" t="n"/>
    </row>
    <row r="386">
      <c r="A386" s="3941" t="n"/>
      <c r="B386" s="3944" t="n"/>
      <c r="C386" s="3944" t="n"/>
      <c r="D386" s="3944" t="n"/>
      <c r="E386" s="3944" t="n"/>
      <c r="F386" s="3944" t="n"/>
      <c r="G386" s="3944" t="n"/>
      <c r="H386" s="3944" t="n"/>
      <c r="I386" s="3944" t="n"/>
      <c r="J386" s="3944" t="n"/>
      <c r="K386" s="3942">
        <f>IF(A386="","",SUM(E386:J386))</f>
        <v/>
      </c>
      <c r="L386" s="3934" t="n"/>
      <c r="M386" s="3934" t="n"/>
      <c r="N386" s="3934" t="n"/>
      <c r="O386" s="3934" t="n"/>
      <c r="P386" s="3934" t="n"/>
      <c r="Q386" s="3934" t="n"/>
      <c r="R386" s="3934" t="n"/>
      <c r="S386" s="3934" t="n"/>
      <c r="T386" s="3934" t="n"/>
      <c r="U386" s="3934" t="n"/>
      <c r="V386" s="3934" t="n"/>
      <c r="W386" s="3934" t="n"/>
      <c r="X386" s="3934" t="n"/>
      <c r="Y386" s="3934" t="n"/>
      <c r="Z386" s="3934" t="n"/>
      <c r="AA386" s="3934" t="n"/>
      <c r="AB386" s="3934" t="n"/>
      <c r="AC386" s="3934" t="n"/>
      <c r="AD386" s="3934" t="n"/>
      <c r="AE386" s="3934" t="n"/>
      <c r="AF386" s="3934" t="n"/>
      <c r="AG386" s="3934" t="n"/>
      <c r="AH386" s="3934" t="n"/>
      <c r="AI386" s="3934" t="n"/>
      <c r="AJ386" s="3934" t="n"/>
      <c r="AK386" s="3934" t="n"/>
      <c r="AL386" s="3934" t="n"/>
      <c r="AM386" s="3934" t="n"/>
      <c r="AN386" s="3934" t="n"/>
      <c r="AO386" s="3934" t="n"/>
      <c r="AP386" s="3934" t="n"/>
      <c r="AQ386" s="3934" t="n"/>
      <c r="AR386" s="3934" t="n"/>
    </row>
    <row r="387">
      <c r="A387" s="3941" t="n"/>
      <c r="B387" s="3944" t="n"/>
      <c r="C387" s="3944" t="n"/>
      <c r="D387" s="3944" t="n"/>
      <c r="E387" s="3944" t="n"/>
      <c r="F387" s="3944" t="n"/>
      <c r="G387" s="3944" t="n"/>
      <c r="H387" s="3944" t="n"/>
      <c r="I387" s="3944" t="n"/>
      <c r="J387" s="3944" t="n"/>
      <c r="K387" s="3942">
        <f>IF(A387="","",SUM(E387:J387))</f>
        <v/>
      </c>
      <c r="L387" s="3934" t="n"/>
      <c r="M387" s="3934" t="n"/>
      <c r="N387" s="3934" t="n"/>
      <c r="O387" s="3934" t="n"/>
      <c r="P387" s="3934" t="n"/>
      <c r="Q387" s="3934" t="n"/>
      <c r="R387" s="3934" t="n"/>
      <c r="S387" s="3934" t="n"/>
      <c r="T387" s="3934" t="n"/>
      <c r="U387" s="3934" t="n"/>
      <c r="V387" s="3934" t="n"/>
      <c r="W387" s="3934" t="n"/>
      <c r="X387" s="3934" t="n"/>
      <c r="Y387" s="3934" t="n"/>
      <c r="Z387" s="3934" t="n"/>
      <c r="AA387" s="3934" t="n"/>
      <c r="AB387" s="3934" t="n"/>
      <c r="AC387" s="3934" t="n"/>
      <c r="AD387" s="3934" t="n"/>
      <c r="AE387" s="3934" t="n"/>
      <c r="AF387" s="3934" t="n"/>
      <c r="AG387" s="3934" t="n"/>
      <c r="AH387" s="3934" t="n"/>
      <c r="AI387" s="3934" t="n"/>
      <c r="AJ387" s="3934" t="n"/>
      <c r="AK387" s="3934" t="n"/>
      <c r="AL387" s="3934" t="n"/>
      <c r="AM387" s="3934" t="n"/>
      <c r="AN387" s="3934" t="n"/>
      <c r="AO387" s="3934" t="n"/>
      <c r="AP387" s="3934" t="n"/>
      <c r="AQ387" s="3934" t="n"/>
      <c r="AR387" s="3934" t="n"/>
    </row>
    <row r="388">
      <c r="A388" s="3941" t="n"/>
      <c r="B388" s="3944" t="n"/>
      <c r="C388" s="3944" t="n"/>
      <c r="D388" s="3944" t="n"/>
      <c r="E388" s="3944" t="n"/>
      <c r="F388" s="3944" t="n"/>
      <c r="G388" s="3944" t="n"/>
      <c r="H388" s="3944" t="n"/>
      <c r="I388" s="3944" t="n"/>
      <c r="J388" s="3944" t="n"/>
      <c r="K388" s="3942">
        <f>IF(A388="","",SUM(E388:J388))</f>
        <v/>
      </c>
      <c r="L388" s="3934" t="n"/>
      <c r="M388" s="3934" t="n"/>
      <c r="N388" s="3934" t="n"/>
      <c r="O388" s="3934" t="n"/>
      <c r="P388" s="3934" t="n"/>
      <c r="Q388" s="3934" t="n"/>
      <c r="R388" s="3934" t="n"/>
      <c r="S388" s="3934" t="n"/>
      <c r="T388" s="3934" t="n"/>
      <c r="U388" s="3934" t="n"/>
      <c r="V388" s="3934" t="n"/>
      <c r="W388" s="3934" t="n"/>
      <c r="X388" s="3934" t="n"/>
      <c r="Y388" s="3934" t="n"/>
      <c r="Z388" s="3934" t="n"/>
      <c r="AA388" s="3934" t="n"/>
      <c r="AB388" s="3934" t="n"/>
      <c r="AC388" s="3934" t="n"/>
      <c r="AD388" s="3934" t="n"/>
      <c r="AE388" s="3934" t="n"/>
      <c r="AF388" s="3934" t="n"/>
      <c r="AG388" s="3934" t="n"/>
      <c r="AH388" s="3934" t="n"/>
      <c r="AI388" s="3934" t="n"/>
      <c r="AJ388" s="3934" t="n"/>
      <c r="AK388" s="3934" t="n"/>
      <c r="AL388" s="3934" t="n"/>
      <c r="AM388" s="3934" t="n"/>
      <c r="AN388" s="3934" t="n"/>
      <c r="AO388" s="3934" t="n"/>
      <c r="AP388" s="3934" t="n"/>
      <c r="AQ388" s="3934" t="n"/>
      <c r="AR388" s="3934" t="n"/>
    </row>
    <row r="389">
      <c r="A389" s="3941" t="n"/>
      <c r="B389" s="3944" t="n"/>
      <c r="C389" s="3944" t="n"/>
      <c r="D389" s="3944" t="n"/>
      <c r="E389" s="3944" t="n"/>
      <c r="F389" s="3944" t="n"/>
      <c r="G389" s="3944" t="n"/>
      <c r="H389" s="3944" t="n"/>
      <c r="I389" s="3944" t="n"/>
      <c r="J389" s="3944" t="n"/>
      <c r="K389" s="3942">
        <f>IF(A389="","",SUM(E389:J389))</f>
        <v/>
      </c>
      <c r="L389" s="3934" t="n"/>
      <c r="M389" s="3934" t="n"/>
      <c r="N389" s="3934" t="n"/>
      <c r="O389" s="3934" t="n"/>
      <c r="P389" s="3934" t="n"/>
      <c r="Q389" s="3934" t="n"/>
      <c r="R389" s="3934" t="n"/>
      <c r="S389" s="3934" t="n"/>
      <c r="T389" s="3934" t="n"/>
      <c r="U389" s="3934" t="n"/>
      <c r="V389" s="3934" t="n"/>
      <c r="W389" s="3934" t="n"/>
      <c r="X389" s="3934" t="n"/>
      <c r="Y389" s="3934" t="n"/>
      <c r="Z389" s="3934" t="n"/>
      <c r="AA389" s="3934" t="n"/>
      <c r="AB389" s="3934" t="n"/>
      <c r="AC389" s="3934" t="n"/>
      <c r="AD389" s="3934" t="n"/>
      <c r="AE389" s="3934" t="n"/>
      <c r="AF389" s="3934" t="n"/>
      <c r="AG389" s="3934" t="n"/>
      <c r="AH389" s="3934" t="n"/>
      <c r="AI389" s="3934" t="n"/>
      <c r="AJ389" s="3934" t="n"/>
      <c r="AK389" s="3934" t="n"/>
      <c r="AL389" s="3934" t="n"/>
      <c r="AM389" s="3934" t="n"/>
      <c r="AN389" s="3934" t="n"/>
      <c r="AO389" s="3934" t="n"/>
      <c r="AP389" s="3934" t="n"/>
      <c r="AQ389" s="3934" t="n"/>
      <c r="AR389" s="3934" t="n"/>
    </row>
    <row r="390">
      <c r="A390" s="3941" t="n"/>
      <c r="B390" s="3944" t="n"/>
      <c r="C390" s="3944" t="n"/>
      <c r="D390" s="3944" t="n"/>
      <c r="E390" s="3944" t="n"/>
      <c r="F390" s="3944" t="n"/>
      <c r="G390" s="3944" t="n"/>
      <c r="H390" s="3944" t="n"/>
      <c r="I390" s="3944" t="n"/>
      <c r="J390" s="3944" t="n"/>
      <c r="K390" s="3942">
        <f>IF(A390="","",SUM(E390:J390))</f>
        <v/>
      </c>
      <c r="L390" s="3934" t="n"/>
      <c r="M390" s="3934" t="n"/>
      <c r="N390" s="3934" t="n"/>
      <c r="O390" s="3934" t="n"/>
      <c r="P390" s="3934" t="n"/>
      <c r="Q390" s="3934" t="n"/>
      <c r="R390" s="3934" t="n"/>
      <c r="S390" s="3934" t="n"/>
      <c r="T390" s="3934" t="n"/>
      <c r="U390" s="3934" t="n"/>
      <c r="V390" s="3934" t="n"/>
      <c r="W390" s="3934" t="n"/>
      <c r="X390" s="3934" t="n"/>
      <c r="Y390" s="3934" t="n"/>
      <c r="Z390" s="3934" t="n"/>
      <c r="AA390" s="3934" t="n"/>
      <c r="AB390" s="3934" t="n"/>
      <c r="AC390" s="3934" t="n"/>
      <c r="AD390" s="3934" t="n"/>
      <c r="AE390" s="3934" t="n"/>
      <c r="AF390" s="3934" t="n"/>
      <c r="AG390" s="3934" t="n"/>
      <c r="AH390" s="3934" t="n"/>
      <c r="AI390" s="3934" t="n"/>
      <c r="AJ390" s="3934" t="n"/>
      <c r="AK390" s="3934" t="n"/>
      <c r="AL390" s="3934" t="n"/>
      <c r="AM390" s="3934" t="n"/>
      <c r="AN390" s="3934" t="n"/>
      <c r="AO390" s="3934" t="n"/>
      <c r="AP390" s="3934" t="n"/>
      <c r="AQ390" s="3934" t="n"/>
      <c r="AR390" s="3934" t="n"/>
    </row>
    <row r="391">
      <c r="A391" s="3941" t="n"/>
      <c r="B391" s="3944" t="n"/>
      <c r="C391" s="3944" t="n"/>
      <c r="D391" s="3944" t="n"/>
      <c r="E391" s="3944" t="n"/>
      <c r="F391" s="3944" t="n"/>
      <c r="G391" s="3944" t="n"/>
      <c r="H391" s="3944" t="n"/>
      <c r="I391" s="3944" t="n"/>
      <c r="J391" s="3944" t="n"/>
      <c r="K391" s="3942">
        <f>IF(A391="","",SUM(E391:J391))</f>
        <v/>
      </c>
      <c r="L391" s="3934" t="n"/>
      <c r="M391" s="3934" t="n"/>
      <c r="N391" s="3934" t="n"/>
      <c r="O391" s="3934" t="n"/>
      <c r="P391" s="3934" t="n"/>
      <c r="Q391" s="3934" t="n"/>
      <c r="R391" s="3934" t="n"/>
      <c r="S391" s="3934" t="n"/>
      <c r="T391" s="3934" t="n"/>
      <c r="U391" s="3934" t="n"/>
      <c r="V391" s="3934" t="n"/>
      <c r="W391" s="3934" t="n"/>
      <c r="X391" s="3934" t="n"/>
      <c r="Y391" s="3934" t="n"/>
      <c r="Z391" s="3934" t="n"/>
      <c r="AA391" s="3934" t="n"/>
      <c r="AB391" s="3934" t="n"/>
      <c r="AC391" s="3934" t="n"/>
      <c r="AD391" s="3934" t="n"/>
      <c r="AE391" s="3934" t="n"/>
      <c r="AF391" s="3934" t="n"/>
      <c r="AG391" s="3934" t="n"/>
      <c r="AH391" s="3934" t="n"/>
      <c r="AI391" s="3934" t="n"/>
      <c r="AJ391" s="3934" t="n"/>
      <c r="AK391" s="3934" t="n"/>
      <c r="AL391" s="3934" t="n"/>
      <c r="AM391" s="3934" t="n"/>
      <c r="AN391" s="3934" t="n"/>
      <c r="AO391" s="3934" t="n"/>
      <c r="AP391" s="3934" t="n"/>
      <c r="AQ391" s="3934" t="n"/>
      <c r="AR391" s="3934" t="n"/>
    </row>
    <row r="392">
      <c r="A392" s="3941" t="n"/>
      <c r="B392" s="3944" t="n"/>
      <c r="C392" s="3944" t="n"/>
      <c r="D392" s="3944" t="n"/>
      <c r="E392" s="3944" t="n"/>
      <c r="F392" s="3944" t="n"/>
      <c r="G392" s="3944" t="n"/>
      <c r="H392" s="3944" t="n"/>
      <c r="I392" s="3944" t="n"/>
      <c r="J392" s="3944" t="n"/>
      <c r="K392" s="3942">
        <f>IF(A392="","",SUM(E392:J392))</f>
        <v/>
      </c>
      <c r="L392" s="3934" t="n"/>
      <c r="M392" s="3934" t="n"/>
      <c r="N392" s="3934" t="n"/>
      <c r="O392" s="3934" t="n"/>
      <c r="P392" s="3934" t="n"/>
      <c r="Q392" s="3934" t="n"/>
      <c r="R392" s="3934" t="n"/>
      <c r="S392" s="3934" t="n"/>
      <c r="T392" s="3934" t="n"/>
      <c r="U392" s="3934" t="n"/>
      <c r="V392" s="3934" t="n"/>
      <c r="W392" s="3934" t="n"/>
      <c r="X392" s="3934" t="n"/>
      <c r="Y392" s="3934" t="n"/>
      <c r="Z392" s="3934" t="n"/>
      <c r="AA392" s="3934" t="n"/>
      <c r="AB392" s="3934" t="n"/>
      <c r="AC392" s="3934" t="n"/>
      <c r="AD392" s="3934" t="n"/>
      <c r="AE392" s="3934" t="n"/>
      <c r="AF392" s="3934" t="n"/>
      <c r="AG392" s="3934" t="n"/>
      <c r="AH392" s="3934" t="n"/>
      <c r="AI392" s="3934" t="n"/>
      <c r="AJ392" s="3934" t="n"/>
      <c r="AK392" s="3934" t="n"/>
      <c r="AL392" s="3934" t="n"/>
      <c r="AM392" s="3934" t="n"/>
      <c r="AN392" s="3934" t="n"/>
      <c r="AO392" s="3934" t="n"/>
      <c r="AP392" s="3934" t="n"/>
      <c r="AQ392" s="3934" t="n"/>
      <c r="AR392" s="3934" t="n"/>
    </row>
    <row r="393">
      <c r="A393" s="3941" t="n"/>
      <c r="B393" s="3944" t="n"/>
      <c r="C393" s="3944" t="n"/>
      <c r="D393" s="3944" t="n"/>
      <c r="E393" s="3944" t="n"/>
      <c r="F393" s="3944" t="n"/>
      <c r="G393" s="3944" t="n"/>
      <c r="H393" s="3944" t="n"/>
      <c r="I393" s="3944" t="n"/>
      <c r="J393" s="3944" t="n"/>
      <c r="K393" s="3942">
        <f>IF(A393="","",SUM(E393:J393))</f>
        <v/>
      </c>
      <c r="L393" s="3934" t="n"/>
      <c r="M393" s="3934" t="n"/>
      <c r="N393" s="3934" t="n"/>
      <c r="O393" s="3934" t="n"/>
      <c r="P393" s="3934" t="n"/>
      <c r="Q393" s="3934" t="n"/>
      <c r="R393" s="3934" t="n"/>
      <c r="S393" s="3934" t="n"/>
      <c r="T393" s="3934" t="n"/>
      <c r="U393" s="3934" t="n"/>
      <c r="V393" s="3934" t="n"/>
      <c r="W393" s="3934" t="n"/>
      <c r="X393" s="3934" t="n"/>
      <c r="Y393" s="3934" t="n"/>
      <c r="Z393" s="3934" t="n"/>
      <c r="AA393" s="3934" t="n"/>
      <c r="AB393" s="3934" t="n"/>
      <c r="AC393" s="3934" t="n"/>
      <c r="AD393" s="3934" t="n"/>
      <c r="AE393" s="3934" t="n"/>
      <c r="AF393" s="3934" t="n"/>
      <c r="AG393" s="3934" t="n"/>
      <c r="AH393" s="3934" t="n"/>
      <c r="AI393" s="3934" t="n"/>
      <c r="AJ393" s="3934" t="n"/>
      <c r="AK393" s="3934" t="n"/>
      <c r="AL393" s="3934" t="n"/>
      <c r="AM393" s="3934" t="n"/>
      <c r="AN393" s="3934" t="n"/>
      <c r="AO393" s="3934" t="n"/>
      <c r="AP393" s="3934" t="n"/>
      <c r="AQ393" s="3934" t="n"/>
      <c r="AR393" s="3934" t="n"/>
    </row>
    <row r="394">
      <c r="A394" s="3941" t="n"/>
      <c r="B394" s="3944" t="n"/>
      <c r="C394" s="3944" t="n"/>
      <c r="D394" s="3944" t="n"/>
      <c r="E394" s="3944" t="n"/>
      <c r="F394" s="3944" t="n"/>
      <c r="G394" s="3944" t="n"/>
      <c r="H394" s="3944" t="n"/>
      <c r="I394" s="3944" t="n"/>
      <c r="J394" s="3944" t="n"/>
      <c r="K394" s="3942">
        <f>IF(A394="","",SUM(E394:J394))</f>
        <v/>
      </c>
      <c r="L394" s="3934" t="n"/>
      <c r="M394" s="3934" t="n"/>
      <c r="N394" s="3934" t="n"/>
      <c r="O394" s="3934" t="n"/>
      <c r="P394" s="3934" t="n"/>
      <c r="Q394" s="3934" t="n"/>
      <c r="R394" s="3934" t="n"/>
      <c r="S394" s="3934" t="n"/>
      <c r="T394" s="3934" t="n"/>
      <c r="U394" s="3934" t="n"/>
      <c r="V394" s="3934" t="n"/>
      <c r="W394" s="3934" t="n"/>
      <c r="X394" s="3934" t="n"/>
      <c r="Y394" s="3934" t="n"/>
      <c r="Z394" s="3934" t="n"/>
      <c r="AA394" s="3934" t="n"/>
      <c r="AB394" s="3934" t="n"/>
      <c r="AC394" s="3934" t="n"/>
      <c r="AD394" s="3934" t="n"/>
      <c r="AE394" s="3934" t="n"/>
      <c r="AF394" s="3934" t="n"/>
      <c r="AG394" s="3934" t="n"/>
      <c r="AH394" s="3934" t="n"/>
      <c r="AI394" s="3934" t="n"/>
      <c r="AJ394" s="3934" t="n"/>
      <c r="AK394" s="3934" t="n"/>
      <c r="AL394" s="3934" t="n"/>
      <c r="AM394" s="3934" t="n"/>
      <c r="AN394" s="3934" t="n"/>
      <c r="AO394" s="3934" t="n"/>
      <c r="AP394" s="3934" t="n"/>
      <c r="AQ394" s="3934" t="n"/>
      <c r="AR394" s="3934" t="n"/>
    </row>
    <row r="395">
      <c r="A395" s="3941" t="n"/>
      <c r="B395" s="3944" t="n"/>
      <c r="C395" s="3944" t="n"/>
      <c r="D395" s="3944" t="n"/>
      <c r="E395" s="3944" t="n"/>
      <c r="F395" s="3944" t="n"/>
      <c r="G395" s="3944" t="n"/>
      <c r="H395" s="3944" t="n"/>
      <c r="I395" s="3944" t="n"/>
      <c r="J395" s="3944" t="n"/>
      <c r="K395" s="3942">
        <f>IF(A395="","",SUM(E395:J395))</f>
        <v/>
      </c>
      <c r="L395" s="3934" t="n"/>
      <c r="M395" s="3934" t="n"/>
      <c r="N395" s="3934" t="n"/>
      <c r="O395" s="3934" t="n"/>
      <c r="P395" s="3934" t="n"/>
      <c r="Q395" s="3934" t="n"/>
      <c r="R395" s="3934" t="n"/>
      <c r="S395" s="3934" t="n"/>
      <c r="T395" s="3934" t="n"/>
      <c r="U395" s="3934" t="n"/>
      <c r="V395" s="3934" t="n"/>
      <c r="W395" s="3934" t="n"/>
      <c r="X395" s="3934" t="n"/>
      <c r="Y395" s="3934" t="n"/>
      <c r="Z395" s="3934" t="n"/>
      <c r="AA395" s="3934" t="n"/>
      <c r="AB395" s="3934" t="n"/>
      <c r="AC395" s="3934" t="n"/>
      <c r="AD395" s="3934" t="n"/>
      <c r="AE395" s="3934" t="n"/>
      <c r="AF395" s="3934" t="n"/>
      <c r="AG395" s="3934" t="n"/>
      <c r="AH395" s="3934" t="n"/>
      <c r="AI395" s="3934" t="n"/>
      <c r="AJ395" s="3934" t="n"/>
      <c r="AK395" s="3934" t="n"/>
      <c r="AL395" s="3934" t="n"/>
      <c r="AM395" s="3934" t="n"/>
      <c r="AN395" s="3934" t="n"/>
      <c r="AO395" s="3934" t="n"/>
      <c r="AP395" s="3934" t="n"/>
      <c r="AQ395" s="3934" t="n"/>
      <c r="AR395" s="3934" t="n"/>
    </row>
    <row r="396">
      <c r="A396" s="3941" t="n"/>
      <c r="B396" s="3944" t="n"/>
      <c r="C396" s="3944" t="n"/>
      <c r="D396" s="3944" t="n"/>
      <c r="E396" s="3944" t="n"/>
      <c r="F396" s="3944" t="n"/>
      <c r="G396" s="3944" t="n"/>
      <c r="H396" s="3944" t="n"/>
      <c r="I396" s="3944" t="n"/>
      <c r="J396" s="3944" t="n"/>
      <c r="K396" s="3942">
        <f>IF(A396="","",SUM(E396:J396))</f>
        <v/>
      </c>
      <c r="L396" s="3934" t="n"/>
      <c r="M396" s="3934" t="n"/>
      <c r="N396" s="3934" t="n"/>
      <c r="O396" s="3934" t="n"/>
      <c r="P396" s="3934" t="n"/>
      <c r="Q396" s="3934" t="n"/>
      <c r="R396" s="3934" t="n"/>
      <c r="S396" s="3934" t="n"/>
      <c r="T396" s="3934" t="n"/>
      <c r="U396" s="3934" t="n"/>
      <c r="V396" s="3934" t="n"/>
      <c r="W396" s="3934" t="n"/>
      <c r="X396" s="3934" t="n"/>
      <c r="Y396" s="3934" t="n"/>
      <c r="Z396" s="3934" t="n"/>
      <c r="AA396" s="3934" t="n"/>
      <c r="AB396" s="3934" t="n"/>
      <c r="AC396" s="3934" t="n"/>
      <c r="AD396" s="3934" t="n"/>
      <c r="AE396" s="3934" t="n"/>
      <c r="AF396" s="3934" t="n"/>
      <c r="AG396" s="3934" t="n"/>
      <c r="AH396" s="3934" t="n"/>
      <c r="AI396" s="3934" t="n"/>
      <c r="AJ396" s="3934" t="n"/>
      <c r="AK396" s="3934" t="n"/>
      <c r="AL396" s="3934" t="n"/>
      <c r="AM396" s="3934" t="n"/>
      <c r="AN396" s="3934" t="n"/>
      <c r="AO396" s="3934" t="n"/>
      <c r="AP396" s="3934" t="n"/>
      <c r="AQ396" s="3934" t="n"/>
      <c r="AR396" s="3934" t="n"/>
    </row>
    <row r="397">
      <c r="A397" s="3941" t="n"/>
      <c r="B397" s="3944" t="n"/>
      <c r="C397" s="3944" t="n"/>
      <c r="D397" s="3944" t="n"/>
      <c r="E397" s="3944" t="n"/>
      <c r="F397" s="3944" t="n"/>
      <c r="G397" s="3944" t="n"/>
      <c r="H397" s="3944" t="n"/>
      <c r="I397" s="3944" t="n"/>
      <c r="J397" s="3944" t="n"/>
      <c r="K397" s="3942">
        <f>IF(A397="","",SUM(E397:J397))</f>
        <v/>
      </c>
      <c r="L397" s="3934" t="n"/>
      <c r="M397" s="3934" t="n"/>
      <c r="N397" s="3934" t="n"/>
      <c r="O397" s="3934" t="n"/>
      <c r="P397" s="3934" t="n"/>
      <c r="Q397" s="3934" t="n"/>
      <c r="R397" s="3934" t="n"/>
      <c r="S397" s="3934" t="n"/>
      <c r="T397" s="3934" t="n"/>
      <c r="U397" s="3934" t="n"/>
      <c r="V397" s="3934" t="n"/>
      <c r="W397" s="3934" t="n"/>
      <c r="X397" s="3934" t="n"/>
      <c r="Y397" s="3934" t="n"/>
      <c r="Z397" s="3934" t="n"/>
      <c r="AA397" s="3934" t="n"/>
      <c r="AB397" s="3934" t="n"/>
      <c r="AC397" s="3934" t="n"/>
      <c r="AD397" s="3934" t="n"/>
      <c r="AE397" s="3934" t="n"/>
      <c r="AF397" s="3934" t="n"/>
      <c r="AG397" s="3934" t="n"/>
      <c r="AH397" s="3934" t="n"/>
      <c r="AI397" s="3934" t="n"/>
      <c r="AJ397" s="3934" t="n"/>
      <c r="AK397" s="3934" t="n"/>
      <c r="AL397" s="3934" t="n"/>
      <c r="AM397" s="3934" t="n"/>
      <c r="AN397" s="3934" t="n"/>
      <c r="AO397" s="3934" t="n"/>
      <c r="AP397" s="3934" t="n"/>
      <c r="AQ397" s="3934" t="n"/>
      <c r="AR397" s="3934" t="n"/>
    </row>
    <row r="398">
      <c r="A398" s="3941" t="n"/>
      <c r="B398" s="3944" t="n"/>
      <c r="C398" s="3944" t="n"/>
      <c r="D398" s="3944" t="n"/>
      <c r="E398" s="3944" t="n"/>
      <c r="F398" s="3944" t="n"/>
      <c r="G398" s="3944" t="n"/>
      <c r="H398" s="3944" t="n"/>
      <c r="I398" s="3944" t="n"/>
      <c r="J398" s="3944" t="n"/>
      <c r="K398" s="3942">
        <f>IF(A398="","",SUM(E398:J398))</f>
        <v/>
      </c>
      <c r="L398" s="3934" t="n"/>
      <c r="M398" s="3934" t="n"/>
      <c r="N398" s="3934" t="n"/>
      <c r="O398" s="3934" t="n"/>
      <c r="P398" s="3934" t="n"/>
      <c r="Q398" s="3934" t="n"/>
      <c r="R398" s="3934" t="n"/>
      <c r="S398" s="3934" t="n"/>
      <c r="T398" s="3934" t="n"/>
      <c r="U398" s="3934" t="n"/>
      <c r="V398" s="3934" t="n"/>
      <c r="W398" s="3934" t="n"/>
      <c r="X398" s="3934" t="n"/>
      <c r="Y398" s="3934" t="n"/>
      <c r="Z398" s="3934" t="n"/>
      <c r="AA398" s="3934" t="n"/>
      <c r="AB398" s="3934" t="n"/>
      <c r="AC398" s="3934" t="n"/>
      <c r="AD398" s="3934" t="n"/>
      <c r="AE398" s="3934" t="n"/>
      <c r="AF398" s="3934" t="n"/>
      <c r="AG398" s="3934" t="n"/>
      <c r="AH398" s="3934" t="n"/>
      <c r="AI398" s="3934" t="n"/>
      <c r="AJ398" s="3934" t="n"/>
      <c r="AK398" s="3934" t="n"/>
      <c r="AL398" s="3934" t="n"/>
      <c r="AM398" s="3934" t="n"/>
      <c r="AN398" s="3934" t="n"/>
      <c r="AO398" s="3934" t="n"/>
      <c r="AP398" s="3934" t="n"/>
      <c r="AQ398" s="3934" t="n"/>
      <c r="AR398" s="3934" t="n"/>
    </row>
    <row r="399">
      <c r="A399" s="3941" t="n"/>
      <c r="B399" s="3944" t="n"/>
      <c r="C399" s="3944" t="n"/>
      <c r="D399" s="3944" t="n"/>
      <c r="E399" s="3944" t="n"/>
      <c r="F399" s="3944" t="n"/>
      <c r="G399" s="3944" t="n"/>
      <c r="H399" s="3944" t="n"/>
      <c r="I399" s="3944" t="n"/>
      <c r="J399" s="3944" t="n"/>
      <c r="K399" s="3942">
        <f>IF(A399="","",SUM(E399:J399))</f>
        <v/>
      </c>
      <c r="L399" s="3934" t="n"/>
      <c r="M399" s="3934" t="n"/>
      <c r="N399" s="3934" t="n"/>
      <c r="O399" s="3934" t="n"/>
      <c r="P399" s="3934" t="n"/>
      <c r="Q399" s="3934" t="n"/>
      <c r="R399" s="3934" t="n"/>
      <c r="S399" s="3934" t="n"/>
      <c r="T399" s="3934" t="n"/>
      <c r="U399" s="3934" t="n"/>
      <c r="V399" s="3934" t="n"/>
      <c r="W399" s="3934" t="n"/>
      <c r="X399" s="3934" t="n"/>
      <c r="Y399" s="3934" t="n"/>
      <c r="Z399" s="3934" t="n"/>
      <c r="AA399" s="3934" t="n"/>
      <c r="AB399" s="3934" t="n"/>
      <c r="AC399" s="3934" t="n"/>
      <c r="AD399" s="3934" t="n"/>
      <c r="AE399" s="3934" t="n"/>
      <c r="AF399" s="3934" t="n"/>
      <c r="AG399" s="3934" t="n"/>
      <c r="AH399" s="3934" t="n"/>
      <c r="AI399" s="3934" t="n"/>
      <c r="AJ399" s="3934" t="n"/>
      <c r="AK399" s="3934" t="n"/>
      <c r="AL399" s="3934" t="n"/>
      <c r="AM399" s="3934" t="n"/>
      <c r="AN399" s="3934" t="n"/>
      <c r="AO399" s="3934" t="n"/>
      <c r="AP399" s="3934" t="n"/>
      <c r="AQ399" s="3934" t="n"/>
      <c r="AR399" s="3934" t="n"/>
    </row>
    <row r="400">
      <c r="A400" s="3941" t="n"/>
      <c r="B400" s="3944" t="n"/>
      <c r="C400" s="3944" t="n"/>
      <c r="D400" s="3944" t="n"/>
      <c r="E400" s="3944" t="n"/>
      <c r="F400" s="3944" t="n"/>
      <c r="G400" s="3944" t="n"/>
      <c r="H400" s="3944" t="n"/>
      <c r="I400" s="3944" t="n"/>
      <c r="J400" s="3944" t="n"/>
      <c r="K400" s="3942">
        <f>IF(A400="","",SUM(E400:J400))</f>
        <v/>
      </c>
      <c r="L400" s="3934" t="n"/>
      <c r="M400" s="3934" t="n"/>
      <c r="N400" s="3934" t="n"/>
      <c r="O400" s="3934" t="n"/>
      <c r="P400" s="3934" t="n"/>
      <c r="Q400" s="3934" t="n"/>
      <c r="R400" s="3934" t="n"/>
      <c r="S400" s="3934" t="n"/>
      <c r="T400" s="3934" t="n"/>
      <c r="U400" s="3934" t="n"/>
      <c r="V400" s="3934" t="n"/>
      <c r="W400" s="3934" t="n"/>
      <c r="X400" s="3934" t="n"/>
      <c r="Y400" s="3934" t="n"/>
      <c r="Z400" s="3934" t="n"/>
      <c r="AA400" s="3934" t="n"/>
      <c r="AB400" s="3934" t="n"/>
      <c r="AC400" s="3934" t="n"/>
      <c r="AD400" s="3934" t="n"/>
      <c r="AE400" s="3934" t="n"/>
      <c r="AF400" s="3934" t="n"/>
      <c r="AG400" s="3934" t="n"/>
      <c r="AH400" s="3934" t="n"/>
      <c r="AI400" s="3934" t="n"/>
      <c r="AJ400" s="3934" t="n"/>
      <c r="AK400" s="3934" t="n"/>
      <c r="AL400" s="3934" t="n"/>
      <c r="AM400" s="3934" t="n"/>
      <c r="AN400" s="3934" t="n"/>
      <c r="AO400" s="3934" t="n"/>
      <c r="AP400" s="3934" t="n"/>
      <c r="AQ400" s="3934" t="n"/>
      <c r="AR400" s="3934" t="n"/>
    </row>
    <row r="401">
      <c r="A401" s="3941" t="n"/>
      <c r="B401" s="3944" t="n"/>
      <c r="C401" s="3944" t="n"/>
      <c r="D401" s="3944" t="n"/>
      <c r="E401" s="3944" t="n"/>
      <c r="F401" s="3944" t="n"/>
      <c r="G401" s="3944" t="n"/>
      <c r="H401" s="3944" t="n"/>
      <c r="I401" s="3944" t="n"/>
      <c r="J401" s="3944" t="n"/>
      <c r="K401" s="3942">
        <f>IF(A401="","",SUM(E401:J401))</f>
        <v/>
      </c>
      <c r="L401" s="3934" t="n"/>
      <c r="M401" s="3934" t="n"/>
      <c r="N401" s="3934" t="n"/>
      <c r="O401" s="3934" t="n"/>
      <c r="P401" s="3934" t="n"/>
      <c r="Q401" s="3934" t="n"/>
      <c r="R401" s="3934" t="n"/>
      <c r="S401" s="3934" t="n"/>
      <c r="T401" s="3934" t="n"/>
      <c r="U401" s="3934" t="n"/>
      <c r="V401" s="3934" t="n"/>
      <c r="W401" s="3934" t="n"/>
      <c r="X401" s="3934" t="n"/>
      <c r="Y401" s="3934" t="n"/>
      <c r="Z401" s="3934" t="n"/>
      <c r="AA401" s="3934" t="n"/>
      <c r="AB401" s="3934" t="n"/>
      <c r="AC401" s="3934" t="n"/>
      <c r="AD401" s="3934" t="n"/>
      <c r="AE401" s="3934" t="n"/>
      <c r="AF401" s="3934" t="n"/>
      <c r="AG401" s="3934" t="n"/>
      <c r="AH401" s="3934" t="n"/>
      <c r="AI401" s="3934" t="n"/>
      <c r="AJ401" s="3934" t="n"/>
      <c r="AK401" s="3934" t="n"/>
      <c r="AL401" s="3934" t="n"/>
      <c r="AM401" s="3934" t="n"/>
      <c r="AN401" s="3934" t="n"/>
      <c r="AO401" s="3934" t="n"/>
      <c r="AP401" s="3934" t="n"/>
      <c r="AQ401" s="3934" t="n"/>
      <c r="AR401" s="3934" t="n"/>
    </row>
    <row r="402">
      <c r="A402" s="3941" t="n"/>
      <c r="B402" s="3944" t="n"/>
      <c r="C402" s="3944" t="n"/>
      <c r="D402" s="3944" t="n"/>
      <c r="E402" s="3944" t="n"/>
      <c r="F402" s="3944" t="n"/>
      <c r="G402" s="3944" t="n"/>
      <c r="H402" s="3944" t="n"/>
      <c r="I402" s="3944" t="n"/>
      <c r="J402" s="3944" t="n"/>
      <c r="K402" s="3942">
        <f>IF(A402="","",SUM(E402:J402))</f>
        <v/>
      </c>
      <c r="L402" s="3934" t="n"/>
      <c r="M402" s="3934" t="n"/>
      <c r="N402" s="3934" t="n"/>
      <c r="O402" s="3934" t="n"/>
      <c r="P402" s="3934" t="n"/>
      <c r="Q402" s="3934" t="n"/>
      <c r="R402" s="3934" t="n"/>
      <c r="S402" s="3934" t="n"/>
      <c r="T402" s="3934" t="n"/>
      <c r="U402" s="3934" t="n"/>
      <c r="V402" s="3934" t="n"/>
      <c r="W402" s="3934" t="n"/>
      <c r="X402" s="3934" t="n"/>
      <c r="Y402" s="3934" t="n"/>
      <c r="Z402" s="3934" t="n"/>
      <c r="AA402" s="3934" t="n"/>
      <c r="AB402" s="3934" t="n"/>
      <c r="AC402" s="3934" t="n"/>
      <c r="AD402" s="3934" t="n"/>
      <c r="AE402" s="3934" t="n"/>
      <c r="AF402" s="3934" t="n"/>
      <c r="AG402" s="3934" t="n"/>
      <c r="AH402" s="3934" t="n"/>
      <c r="AI402" s="3934" t="n"/>
      <c r="AJ402" s="3934" t="n"/>
      <c r="AK402" s="3934" t="n"/>
      <c r="AL402" s="3934" t="n"/>
      <c r="AM402" s="3934" t="n"/>
      <c r="AN402" s="3934" t="n"/>
      <c r="AO402" s="3934" t="n"/>
      <c r="AP402" s="3934" t="n"/>
      <c r="AQ402" s="3934" t="n"/>
      <c r="AR402" s="3934" t="n"/>
    </row>
    <row r="403">
      <c r="A403" s="3941" t="n"/>
      <c r="B403" s="3944" t="n"/>
      <c r="C403" s="3944" t="n"/>
      <c r="D403" s="3944" t="n"/>
      <c r="E403" s="3944" t="n"/>
      <c r="F403" s="3944" t="n"/>
      <c r="G403" s="3944" t="n"/>
      <c r="H403" s="3944" t="n"/>
      <c r="I403" s="3944" t="n"/>
      <c r="J403" s="3944" t="n"/>
      <c r="K403" s="3942">
        <f>IF(A403="","",SUM(E403:J403))</f>
        <v/>
      </c>
      <c r="L403" s="3934" t="n"/>
      <c r="M403" s="3934" t="n"/>
      <c r="N403" s="3934" t="n"/>
      <c r="O403" s="3934" t="n"/>
      <c r="P403" s="3934" t="n"/>
      <c r="Q403" s="3934" t="n"/>
      <c r="R403" s="3934" t="n"/>
      <c r="S403" s="3934" t="n"/>
      <c r="T403" s="3934" t="n"/>
      <c r="U403" s="3934" t="n"/>
      <c r="V403" s="3934" t="n"/>
      <c r="W403" s="3934" t="n"/>
      <c r="X403" s="3934" t="n"/>
      <c r="Y403" s="3934" t="n"/>
      <c r="Z403" s="3934" t="n"/>
      <c r="AA403" s="3934" t="n"/>
      <c r="AB403" s="3934" t="n"/>
      <c r="AC403" s="3934" t="n"/>
      <c r="AD403" s="3934" t="n"/>
      <c r="AE403" s="3934" t="n"/>
      <c r="AF403" s="3934" t="n"/>
      <c r="AG403" s="3934" t="n"/>
      <c r="AH403" s="3934" t="n"/>
      <c r="AI403" s="3934" t="n"/>
      <c r="AJ403" s="3934" t="n"/>
      <c r="AK403" s="3934" t="n"/>
      <c r="AL403" s="3934" t="n"/>
      <c r="AM403" s="3934" t="n"/>
      <c r="AN403" s="3934" t="n"/>
      <c r="AO403" s="3934" t="n"/>
      <c r="AP403" s="3934" t="n"/>
      <c r="AQ403" s="3934" t="n"/>
      <c r="AR403" s="3934" t="n"/>
    </row>
    <row r="404">
      <c r="A404" s="3941" t="n"/>
      <c r="B404" s="3944" t="n"/>
      <c r="C404" s="3944" t="n"/>
      <c r="D404" s="3944" t="n"/>
      <c r="E404" s="3944" t="n"/>
      <c r="F404" s="3944" t="n"/>
      <c r="G404" s="3944" t="n"/>
      <c r="H404" s="3944" t="n"/>
      <c r="I404" s="3944" t="n"/>
      <c r="J404" s="3944" t="n"/>
      <c r="K404" s="3942">
        <f>IF(A404="","",SUM(E404:J404))</f>
        <v/>
      </c>
      <c r="L404" s="3934" t="n"/>
      <c r="M404" s="3934" t="n"/>
      <c r="N404" s="3934" t="n"/>
      <c r="O404" s="3934" t="n"/>
      <c r="P404" s="3934" t="n"/>
      <c r="Q404" s="3934" t="n"/>
      <c r="R404" s="3934" t="n"/>
      <c r="S404" s="3934" t="n"/>
      <c r="T404" s="3934" t="n"/>
      <c r="U404" s="3934" t="n"/>
      <c r="V404" s="3934" t="n"/>
      <c r="W404" s="3934" t="n"/>
      <c r="X404" s="3934" t="n"/>
      <c r="Y404" s="3934" t="n"/>
      <c r="Z404" s="3934" t="n"/>
      <c r="AA404" s="3934" t="n"/>
      <c r="AB404" s="3934" t="n"/>
      <c r="AC404" s="3934" t="n"/>
      <c r="AD404" s="3934" t="n"/>
      <c r="AE404" s="3934" t="n"/>
      <c r="AF404" s="3934" t="n"/>
      <c r="AG404" s="3934" t="n"/>
      <c r="AH404" s="3934" t="n"/>
      <c r="AI404" s="3934" t="n"/>
      <c r="AJ404" s="3934" t="n"/>
      <c r="AK404" s="3934" t="n"/>
      <c r="AL404" s="3934" t="n"/>
      <c r="AM404" s="3934" t="n"/>
      <c r="AN404" s="3934" t="n"/>
      <c r="AO404" s="3934" t="n"/>
      <c r="AP404" s="3934" t="n"/>
      <c r="AQ404" s="3934" t="n"/>
      <c r="AR404" s="3934" t="n"/>
    </row>
    <row r="405">
      <c r="A405" s="3941" t="n"/>
      <c r="B405" s="3944" t="n"/>
      <c r="C405" s="3944" t="n"/>
      <c r="D405" s="3944" t="n"/>
      <c r="E405" s="3944" t="n"/>
      <c r="F405" s="3944" t="n"/>
      <c r="G405" s="3944" t="n"/>
      <c r="H405" s="3944" t="n"/>
      <c r="I405" s="3944" t="n"/>
      <c r="J405" s="3944" t="n"/>
      <c r="K405" s="3942">
        <f>IF(A405="","",SUM(E405:J405))</f>
        <v/>
      </c>
      <c r="L405" s="3934" t="n"/>
      <c r="M405" s="3934" t="n"/>
      <c r="N405" s="3934" t="n"/>
      <c r="O405" s="3934" t="n"/>
      <c r="P405" s="3934" t="n"/>
      <c r="Q405" s="3934" t="n"/>
      <c r="R405" s="3934" t="n"/>
      <c r="S405" s="3934" t="n"/>
      <c r="T405" s="3934" t="n"/>
      <c r="U405" s="3934" t="n"/>
      <c r="V405" s="3934" t="n"/>
      <c r="W405" s="3934" t="n"/>
      <c r="X405" s="3934" t="n"/>
      <c r="Y405" s="3934" t="n"/>
      <c r="Z405" s="3934" t="n"/>
      <c r="AA405" s="3934" t="n"/>
      <c r="AB405" s="3934" t="n"/>
      <c r="AC405" s="3934" t="n"/>
      <c r="AD405" s="3934" t="n"/>
      <c r="AE405" s="3934" t="n"/>
      <c r="AF405" s="3934" t="n"/>
      <c r="AG405" s="3934" t="n"/>
      <c r="AH405" s="3934" t="n"/>
      <c r="AI405" s="3934" t="n"/>
      <c r="AJ405" s="3934" t="n"/>
      <c r="AK405" s="3934" t="n"/>
      <c r="AL405" s="3934" t="n"/>
      <c r="AM405" s="3934" t="n"/>
      <c r="AN405" s="3934" t="n"/>
      <c r="AO405" s="3934" t="n"/>
      <c r="AP405" s="3934" t="n"/>
      <c r="AQ405" s="3934" t="n"/>
      <c r="AR405" s="3934" t="n"/>
    </row>
    <row r="406">
      <c r="A406" s="3941" t="n"/>
      <c r="B406" s="3944" t="n"/>
      <c r="C406" s="3944" t="n"/>
      <c r="D406" s="3944" t="n"/>
      <c r="E406" s="3944" t="n"/>
      <c r="F406" s="3944" t="n"/>
      <c r="G406" s="3944" t="n"/>
      <c r="H406" s="3944" t="n"/>
      <c r="I406" s="3944" t="n"/>
      <c r="J406" s="3944" t="n"/>
      <c r="K406" s="3942">
        <f>IF(A406="","",SUM(E406:J406))</f>
        <v/>
      </c>
      <c r="L406" s="3934" t="n"/>
      <c r="M406" s="3934" t="n"/>
      <c r="N406" s="3934" t="n"/>
      <c r="O406" s="3934" t="n"/>
      <c r="P406" s="3934" t="n"/>
      <c r="Q406" s="3934" t="n"/>
      <c r="R406" s="3934" t="n"/>
      <c r="S406" s="3934" t="n"/>
      <c r="T406" s="3934" t="n"/>
      <c r="U406" s="3934" t="n"/>
      <c r="V406" s="3934" t="n"/>
      <c r="W406" s="3934" t="n"/>
      <c r="X406" s="3934" t="n"/>
      <c r="Y406" s="3934" t="n"/>
      <c r="Z406" s="3934" t="n"/>
      <c r="AA406" s="3934" t="n"/>
      <c r="AB406" s="3934" t="n"/>
      <c r="AC406" s="3934" t="n"/>
      <c r="AD406" s="3934" t="n"/>
      <c r="AE406" s="3934" t="n"/>
      <c r="AF406" s="3934" t="n"/>
      <c r="AG406" s="3934" t="n"/>
      <c r="AH406" s="3934" t="n"/>
      <c r="AI406" s="3934" t="n"/>
      <c r="AJ406" s="3934" t="n"/>
      <c r="AK406" s="3934" t="n"/>
      <c r="AL406" s="3934" t="n"/>
      <c r="AM406" s="3934" t="n"/>
      <c r="AN406" s="3934" t="n"/>
      <c r="AO406" s="3934" t="n"/>
      <c r="AP406" s="3934" t="n"/>
      <c r="AQ406" s="3934" t="n"/>
      <c r="AR406" s="3934" t="n"/>
    </row>
    <row r="407">
      <c r="A407" s="3941" t="n"/>
      <c r="B407" s="3944" t="n"/>
      <c r="C407" s="3944" t="n"/>
      <c r="D407" s="3944" t="n"/>
      <c r="E407" s="3944" t="n"/>
      <c r="F407" s="3944" t="n"/>
      <c r="G407" s="3944" t="n"/>
      <c r="H407" s="3944" t="n"/>
      <c r="I407" s="3944" t="n"/>
      <c r="J407" s="3944" t="n"/>
      <c r="K407" s="3942">
        <f>IF(A407="","",SUM(E407:J407))</f>
        <v/>
      </c>
      <c r="L407" s="3934" t="n"/>
      <c r="M407" s="3934" t="n"/>
      <c r="N407" s="3934" t="n"/>
      <c r="O407" s="3934" t="n"/>
      <c r="P407" s="3934" t="n"/>
      <c r="Q407" s="3934" t="n"/>
      <c r="R407" s="3934" t="n"/>
      <c r="S407" s="3934" t="n"/>
      <c r="T407" s="3934" t="n"/>
      <c r="U407" s="3934" t="n"/>
      <c r="V407" s="3934" t="n"/>
      <c r="W407" s="3934" t="n"/>
      <c r="X407" s="3934" t="n"/>
      <c r="Y407" s="3934" t="n"/>
      <c r="Z407" s="3934" t="n"/>
      <c r="AA407" s="3934" t="n"/>
      <c r="AB407" s="3934" t="n"/>
      <c r="AC407" s="3934" t="n"/>
      <c r="AD407" s="3934" t="n"/>
      <c r="AE407" s="3934" t="n"/>
      <c r="AF407" s="3934" t="n"/>
      <c r="AG407" s="3934" t="n"/>
      <c r="AH407" s="3934" t="n"/>
      <c r="AI407" s="3934" t="n"/>
      <c r="AJ407" s="3934" t="n"/>
      <c r="AK407" s="3934" t="n"/>
      <c r="AL407" s="3934" t="n"/>
      <c r="AM407" s="3934" t="n"/>
      <c r="AN407" s="3934" t="n"/>
      <c r="AO407" s="3934" t="n"/>
      <c r="AP407" s="3934" t="n"/>
      <c r="AQ407" s="3934" t="n"/>
      <c r="AR407" s="3934" t="n"/>
    </row>
    <row r="408">
      <c r="A408" s="3941" t="n"/>
      <c r="B408" s="3944" t="n"/>
      <c r="C408" s="3944" t="n"/>
      <c r="D408" s="3944" t="n"/>
      <c r="E408" s="3944" t="n"/>
      <c r="F408" s="3944" t="n"/>
      <c r="G408" s="3944" t="n"/>
      <c r="H408" s="3944" t="n"/>
      <c r="I408" s="3944" t="n"/>
      <c r="J408" s="3944" t="n"/>
      <c r="K408" s="3942">
        <f>IF(A408="","",SUM(E408:J408))</f>
        <v/>
      </c>
      <c r="L408" s="3934" t="n"/>
      <c r="M408" s="3934" t="n"/>
      <c r="N408" s="3934" t="n"/>
      <c r="O408" s="3934" t="n"/>
      <c r="P408" s="3934" t="n"/>
      <c r="Q408" s="3934" t="n"/>
      <c r="R408" s="3934" t="n"/>
      <c r="S408" s="3934" t="n"/>
      <c r="T408" s="3934" t="n"/>
      <c r="U408" s="3934" t="n"/>
      <c r="V408" s="3934" t="n"/>
      <c r="W408" s="3934" t="n"/>
      <c r="X408" s="3934" t="n"/>
      <c r="Y408" s="3934" t="n"/>
      <c r="Z408" s="3934" t="n"/>
      <c r="AA408" s="3934" t="n"/>
      <c r="AB408" s="3934" t="n"/>
      <c r="AC408" s="3934" t="n"/>
      <c r="AD408" s="3934" t="n"/>
      <c r="AE408" s="3934" t="n"/>
      <c r="AF408" s="3934" t="n"/>
      <c r="AG408" s="3934" t="n"/>
      <c r="AH408" s="3934" t="n"/>
      <c r="AI408" s="3934" t="n"/>
      <c r="AJ408" s="3934" t="n"/>
      <c r="AK408" s="3934" t="n"/>
      <c r="AL408" s="3934" t="n"/>
      <c r="AM408" s="3934" t="n"/>
      <c r="AN408" s="3934" t="n"/>
      <c r="AO408" s="3934" t="n"/>
      <c r="AP408" s="3934" t="n"/>
      <c r="AQ408" s="3934" t="n"/>
      <c r="AR408" s="3934" t="n"/>
    </row>
    <row r="409">
      <c r="A409" s="3941" t="n"/>
      <c r="B409" s="3944" t="n"/>
      <c r="C409" s="3944" t="n"/>
      <c r="D409" s="3944" t="n"/>
      <c r="E409" s="3944" t="n"/>
      <c r="F409" s="3944" t="n"/>
      <c r="G409" s="3944" t="n"/>
      <c r="H409" s="3944" t="n"/>
      <c r="I409" s="3944" t="n"/>
      <c r="J409" s="3944" t="n"/>
      <c r="K409" s="3942">
        <f>IF(A409="","",SUM(E409:J409))</f>
        <v/>
      </c>
      <c r="L409" s="3934" t="n"/>
      <c r="M409" s="3934" t="n"/>
      <c r="N409" s="3934" t="n"/>
      <c r="O409" s="3934" t="n"/>
      <c r="P409" s="3934" t="n"/>
      <c r="Q409" s="3934" t="n"/>
      <c r="R409" s="3934" t="n"/>
      <c r="S409" s="3934" t="n"/>
      <c r="T409" s="3934" t="n"/>
      <c r="U409" s="3934" t="n"/>
      <c r="V409" s="3934" t="n"/>
      <c r="W409" s="3934" t="n"/>
      <c r="X409" s="3934" t="n"/>
      <c r="Y409" s="3934" t="n"/>
      <c r="Z409" s="3934" t="n"/>
      <c r="AA409" s="3934" t="n"/>
      <c r="AB409" s="3934" t="n"/>
      <c r="AC409" s="3934" t="n"/>
      <c r="AD409" s="3934" t="n"/>
      <c r="AE409" s="3934" t="n"/>
      <c r="AF409" s="3934" t="n"/>
      <c r="AG409" s="3934" t="n"/>
      <c r="AH409" s="3934" t="n"/>
      <c r="AI409" s="3934" t="n"/>
      <c r="AJ409" s="3934" t="n"/>
      <c r="AK409" s="3934" t="n"/>
      <c r="AL409" s="3934" t="n"/>
      <c r="AM409" s="3934" t="n"/>
      <c r="AN409" s="3934" t="n"/>
      <c r="AO409" s="3934" t="n"/>
      <c r="AP409" s="3934" t="n"/>
      <c r="AQ409" s="3934" t="n"/>
      <c r="AR409" s="3934" t="n"/>
    </row>
    <row r="410">
      <c r="A410" s="3941" t="n"/>
      <c r="B410" s="3944" t="n"/>
      <c r="C410" s="3944" t="n"/>
      <c r="D410" s="3944" t="n"/>
      <c r="E410" s="3944" t="n"/>
      <c r="F410" s="3944" t="n"/>
      <c r="G410" s="3944" t="n"/>
      <c r="H410" s="3944" t="n"/>
      <c r="I410" s="3944" t="n"/>
      <c r="J410" s="3944" t="n"/>
      <c r="K410" s="3942">
        <f>IF(A410="","",SUM(E410:J410))</f>
        <v/>
      </c>
      <c r="L410" s="3934" t="n"/>
      <c r="M410" s="3934" t="n"/>
      <c r="N410" s="3934" t="n"/>
      <c r="O410" s="3934" t="n"/>
      <c r="P410" s="3934" t="n"/>
      <c r="Q410" s="3934" t="n"/>
      <c r="R410" s="3934" t="n"/>
      <c r="S410" s="3934" t="n"/>
      <c r="T410" s="3934" t="n"/>
      <c r="U410" s="3934" t="n"/>
      <c r="V410" s="3934" t="n"/>
      <c r="W410" s="3934" t="n"/>
      <c r="X410" s="3934" t="n"/>
      <c r="Y410" s="3934" t="n"/>
      <c r="Z410" s="3934" t="n"/>
      <c r="AA410" s="3934" t="n"/>
      <c r="AB410" s="3934" t="n"/>
      <c r="AC410" s="3934" t="n"/>
      <c r="AD410" s="3934" t="n"/>
      <c r="AE410" s="3934" t="n"/>
      <c r="AF410" s="3934" t="n"/>
      <c r="AG410" s="3934" t="n"/>
      <c r="AH410" s="3934" t="n"/>
      <c r="AI410" s="3934" t="n"/>
      <c r="AJ410" s="3934" t="n"/>
      <c r="AK410" s="3934" t="n"/>
      <c r="AL410" s="3934" t="n"/>
      <c r="AM410" s="3934" t="n"/>
      <c r="AN410" s="3934" t="n"/>
      <c r="AO410" s="3934" t="n"/>
      <c r="AP410" s="3934" t="n"/>
      <c r="AQ410" s="3934" t="n"/>
      <c r="AR410" s="3934" t="n"/>
    </row>
    <row r="411">
      <c r="A411" s="3941" t="n"/>
      <c r="B411" s="3944" t="n"/>
      <c r="C411" s="3944" t="n"/>
      <c r="D411" s="3944" t="n"/>
      <c r="E411" s="3944" t="n"/>
      <c r="F411" s="3944" t="n"/>
      <c r="G411" s="3944" t="n"/>
      <c r="H411" s="3944" t="n"/>
      <c r="I411" s="3944" t="n"/>
      <c r="J411" s="3944" t="n"/>
      <c r="K411" s="3942">
        <f>IF(A411="","",SUM(E411:J411))</f>
        <v/>
      </c>
      <c r="L411" s="3934" t="n"/>
      <c r="M411" s="3934" t="n"/>
      <c r="N411" s="3934" t="n"/>
      <c r="O411" s="3934" t="n"/>
      <c r="P411" s="3934" t="n"/>
      <c r="Q411" s="3934" t="n"/>
      <c r="R411" s="3934" t="n"/>
      <c r="S411" s="3934" t="n"/>
      <c r="T411" s="3934" t="n"/>
      <c r="U411" s="3934" t="n"/>
      <c r="V411" s="3934" t="n"/>
      <c r="W411" s="3934" t="n"/>
      <c r="X411" s="3934" t="n"/>
      <c r="Y411" s="3934" t="n"/>
      <c r="Z411" s="3934" t="n"/>
      <c r="AA411" s="3934" t="n"/>
      <c r="AB411" s="3934" t="n"/>
      <c r="AC411" s="3934" t="n"/>
      <c r="AD411" s="3934" t="n"/>
      <c r="AE411" s="3934" t="n"/>
      <c r="AF411" s="3934" t="n"/>
      <c r="AG411" s="3934" t="n"/>
      <c r="AH411" s="3934" t="n"/>
      <c r="AI411" s="3934" t="n"/>
      <c r="AJ411" s="3934" t="n"/>
      <c r="AK411" s="3934" t="n"/>
      <c r="AL411" s="3934" t="n"/>
      <c r="AM411" s="3934" t="n"/>
      <c r="AN411" s="3934" t="n"/>
      <c r="AO411" s="3934" t="n"/>
      <c r="AP411" s="3934" t="n"/>
      <c r="AQ411" s="3934" t="n"/>
      <c r="AR411" s="3934" t="n"/>
    </row>
    <row r="412">
      <c r="A412" s="3941" t="n"/>
      <c r="B412" s="3944" t="n"/>
      <c r="C412" s="3944" t="n"/>
      <c r="D412" s="3944" t="n"/>
      <c r="E412" s="3944" t="n"/>
      <c r="F412" s="3944" t="n"/>
      <c r="G412" s="3944" t="n"/>
      <c r="H412" s="3944" t="n"/>
      <c r="I412" s="3944" t="n"/>
      <c r="J412" s="3944" t="n"/>
      <c r="K412" s="3942">
        <f>IF(A412="","",SUM(E412:J412))</f>
        <v/>
      </c>
      <c r="L412" s="3934" t="n"/>
      <c r="M412" s="3934" t="n"/>
      <c r="N412" s="3934" t="n"/>
      <c r="O412" s="3934" t="n"/>
      <c r="P412" s="3934" t="n"/>
      <c r="Q412" s="3934" t="n"/>
      <c r="R412" s="3934" t="n"/>
      <c r="S412" s="3934" t="n"/>
      <c r="T412" s="3934" t="n"/>
      <c r="U412" s="3934" t="n"/>
      <c r="V412" s="3934" t="n"/>
      <c r="W412" s="3934" t="n"/>
      <c r="X412" s="3934" t="n"/>
      <c r="Y412" s="3934" t="n"/>
      <c r="Z412" s="3934" t="n"/>
      <c r="AA412" s="3934" t="n"/>
      <c r="AB412" s="3934" t="n"/>
      <c r="AC412" s="3934" t="n"/>
      <c r="AD412" s="3934" t="n"/>
      <c r="AE412" s="3934" t="n"/>
      <c r="AF412" s="3934" t="n"/>
      <c r="AG412" s="3934" t="n"/>
      <c r="AH412" s="3934" t="n"/>
      <c r="AI412" s="3934" t="n"/>
      <c r="AJ412" s="3934" t="n"/>
      <c r="AK412" s="3934" t="n"/>
      <c r="AL412" s="3934" t="n"/>
      <c r="AM412" s="3934" t="n"/>
      <c r="AN412" s="3934" t="n"/>
      <c r="AO412" s="3934" t="n"/>
      <c r="AP412" s="3934" t="n"/>
      <c r="AQ412" s="3934" t="n"/>
      <c r="AR412" s="3934" t="n"/>
    </row>
    <row r="413">
      <c r="A413" s="3941" t="n"/>
      <c r="B413" s="3944" t="n"/>
      <c r="C413" s="3944" t="n"/>
      <c r="D413" s="3944" t="n"/>
      <c r="E413" s="3944" t="n"/>
      <c r="F413" s="3944" t="n"/>
      <c r="G413" s="3944" t="n"/>
      <c r="H413" s="3944" t="n"/>
      <c r="I413" s="3944" t="n"/>
      <c r="J413" s="3944" t="n"/>
      <c r="K413" s="3942">
        <f>IF(A413="","",SUM(E413:J413))</f>
        <v/>
      </c>
      <c r="L413" s="3934" t="n"/>
      <c r="M413" s="3934" t="n"/>
      <c r="N413" s="3934" t="n"/>
      <c r="O413" s="3934" t="n"/>
      <c r="P413" s="3934" t="n"/>
      <c r="Q413" s="3934" t="n"/>
      <c r="R413" s="3934" t="n"/>
      <c r="S413" s="3934" t="n"/>
      <c r="T413" s="3934" t="n"/>
      <c r="U413" s="3934" t="n"/>
      <c r="V413" s="3934" t="n"/>
      <c r="W413" s="3934" t="n"/>
      <c r="X413" s="3934" t="n"/>
      <c r="Y413" s="3934" t="n"/>
      <c r="Z413" s="3934" t="n"/>
      <c r="AA413" s="3934" t="n"/>
      <c r="AB413" s="3934" t="n"/>
      <c r="AC413" s="3934" t="n"/>
      <c r="AD413" s="3934" t="n"/>
      <c r="AE413" s="3934" t="n"/>
      <c r="AF413" s="3934" t="n"/>
      <c r="AG413" s="3934" t="n"/>
      <c r="AH413" s="3934" t="n"/>
      <c r="AI413" s="3934" t="n"/>
      <c r="AJ413" s="3934" t="n"/>
      <c r="AK413" s="3934" t="n"/>
      <c r="AL413" s="3934" t="n"/>
      <c r="AM413" s="3934" t="n"/>
      <c r="AN413" s="3934" t="n"/>
      <c r="AO413" s="3934" t="n"/>
      <c r="AP413" s="3934" t="n"/>
      <c r="AQ413" s="3934" t="n"/>
      <c r="AR413" s="3934" t="n"/>
    </row>
    <row r="414">
      <c r="A414" s="3941" t="n"/>
      <c r="B414" s="3944" t="n"/>
      <c r="C414" s="3944" t="n"/>
      <c r="D414" s="3944" t="n"/>
      <c r="E414" s="3944" t="n"/>
      <c r="F414" s="3944" t="n"/>
      <c r="G414" s="3944" t="n"/>
      <c r="H414" s="3944" t="n"/>
      <c r="I414" s="3944" t="n"/>
      <c r="J414" s="3944" t="n"/>
      <c r="K414" s="3942">
        <f>IF(A414="","",SUM(E414:J414))</f>
        <v/>
      </c>
      <c r="L414" s="3934" t="n"/>
      <c r="M414" s="3934" t="n"/>
      <c r="N414" s="3934" t="n"/>
      <c r="O414" s="3934" t="n"/>
      <c r="P414" s="3934" t="n"/>
      <c r="Q414" s="3934" t="n"/>
      <c r="R414" s="3934" t="n"/>
      <c r="S414" s="3934" t="n"/>
      <c r="T414" s="3934" t="n"/>
      <c r="U414" s="3934" t="n"/>
      <c r="V414" s="3934" t="n"/>
      <c r="W414" s="3934" t="n"/>
      <c r="X414" s="3934" t="n"/>
      <c r="Y414" s="3934" t="n"/>
      <c r="Z414" s="3934" t="n"/>
      <c r="AA414" s="3934" t="n"/>
      <c r="AB414" s="3934" t="n"/>
      <c r="AC414" s="3934" t="n"/>
      <c r="AD414" s="3934" t="n"/>
      <c r="AE414" s="3934" t="n"/>
      <c r="AF414" s="3934" t="n"/>
      <c r="AG414" s="3934" t="n"/>
      <c r="AH414" s="3934" t="n"/>
      <c r="AI414" s="3934" t="n"/>
      <c r="AJ414" s="3934" t="n"/>
      <c r="AK414" s="3934" t="n"/>
      <c r="AL414" s="3934" t="n"/>
      <c r="AM414" s="3934" t="n"/>
      <c r="AN414" s="3934" t="n"/>
      <c r="AO414" s="3934" t="n"/>
      <c r="AP414" s="3934" t="n"/>
      <c r="AQ414" s="3934" t="n"/>
      <c r="AR414" s="3934" t="n"/>
    </row>
    <row r="415">
      <c r="A415" s="3941" t="n"/>
      <c r="B415" s="3944" t="n"/>
      <c r="C415" s="3944" t="n"/>
      <c r="D415" s="3944" t="n"/>
      <c r="E415" s="3944" t="n"/>
      <c r="F415" s="3944" t="n"/>
      <c r="G415" s="3944" t="n"/>
      <c r="H415" s="3944" t="n"/>
      <c r="I415" s="3944" t="n"/>
      <c r="J415" s="3944" t="n"/>
      <c r="K415" s="3942">
        <f>IF(A415="","",SUM(E415:J415))</f>
        <v/>
      </c>
      <c r="L415" s="3934" t="n"/>
      <c r="M415" s="3934" t="n"/>
      <c r="N415" s="3934" t="n"/>
      <c r="O415" s="3934" t="n"/>
      <c r="P415" s="3934" t="n"/>
      <c r="Q415" s="3934" t="n"/>
      <c r="R415" s="3934" t="n"/>
      <c r="S415" s="3934" t="n"/>
      <c r="T415" s="3934" t="n"/>
      <c r="U415" s="3934" t="n"/>
      <c r="V415" s="3934" t="n"/>
      <c r="W415" s="3934" t="n"/>
      <c r="X415" s="3934" t="n"/>
      <c r="Y415" s="3934" t="n"/>
      <c r="Z415" s="3934" t="n"/>
      <c r="AA415" s="3934" t="n"/>
      <c r="AB415" s="3934" t="n"/>
      <c r="AC415" s="3934" t="n"/>
      <c r="AD415" s="3934" t="n"/>
      <c r="AE415" s="3934" t="n"/>
      <c r="AF415" s="3934" t="n"/>
      <c r="AG415" s="3934" t="n"/>
      <c r="AH415" s="3934" t="n"/>
      <c r="AI415" s="3934" t="n"/>
      <c r="AJ415" s="3934" t="n"/>
      <c r="AK415" s="3934" t="n"/>
      <c r="AL415" s="3934" t="n"/>
      <c r="AM415" s="3934" t="n"/>
      <c r="AN415" s="3934" t="n"/>
      <c r="AO415" s="3934" t="n"/>
      <c r="AP415" s="3934" t="n"/>
      <c r="AQ415" s="3934" t="n"/>
      <c r="AR415" s="3934" t="n"/>
    </row>
    <row r="416">
      <c r="A416" s="3941" t="n"/>
      <c r="B416" s="3944" t="n"/>
      <c r="C416" s="3944" t="n"/>
      <c r="D416" s="3944" t="n"/>
      <c r="E416" s="3944" t="n"/>
      <c r="F416" s="3944" t="n"/>
      <c r="G416" s="3944" t="n"/>
      <c r="H416" s="3944" t="n"/>
      <c r="I416" s="3944" t="n"/>
      <c r="J416" s="3944" t="n"/>
      <c r="K416" s="3942">
        <f>IF(A416="","",SUM(E416:J416))</f>
        <v/>
      </c>
      <c r="L416" s="3934" t="n"/>
      <c r="M416" s="3934" t="n"/>
      <c r="N416" s="3934" t="n"/>
      <c r="O416" s="3934" t="n"/>
      <c r="P416" s="3934" t="n"/>
      <c r="Q416" s="3934" t="n"/>
      <c r="R416" s="3934" t="n"/>
      <c r="S416" s="3934" t="n"/>
      <c r="T416" s="3934" t="n"/>
      <c r="U416" s="3934" t="n"/>
      <c r="V416" s="3934" t="n"/>
      <c r="W416" s="3934" t="n"/>
      <c r="X416" s="3934" t="n"/>
      <c r="Y416" s="3934" t="n"/>
      <c r="Z416" s="3934" t="n"/>
      <c r="AA416" s="3934" t="n"/>
      <c r="AB416" s="3934" t="n"/>
      <c r="AC416" s="3934" t="n"/>
      <c r="AD416" s="3934" t="n"/>
      <c r="AE416" s="3934" t="n"/>
      <c r="AF416" s="3934" t="n"/>
      <c r="AG416" s="3934" t="n"/>
      <c r="AH416" s="3934" t="n"/>
      <c r="AI416" s="3934" t="n"/>
      <c r="AJ416" s="3934" t="n"/>
      <c r="AK416" s="3934" t="n"/>
      <c r="AL416" s="3934" t="n"/>
      <c r="AM416" s="3934" t="n"/>
      <c r="AN416" s="3934" t="n"/>
      <c r="AO416" s="3934" t="n"/>
      <c r="AP416" s="3934" t="n"/>
      <c r="AQ416" s="3934" t="n"/>
      <c r="AR416" s="3934" t="n"/>
    </row>
    <row r="417">
      <c r="A417" s="3941" t="n"/>
      <c r="B417" s="3944" t="n"/>
      <c r="C417" s="3944" t="n"/>
      <c r="D417" s="3944" t="n"/>
      <c r="E417" s="3944" t="n"/>
      <c r="F417" s="3944" t="n"/>
      <c r="G417" s="3944" t="n"/>
      <c r="H417" s="3944" t="n"/>
      <c r="I417" s="3944" t="n"/>
      <c r="J417" s="3944" t="n"/>
      <c r="K417" s="3942">
        <f>IF(A417="","",SUM(E417:J417))</f>
        <v/>
      </c>
      <c r="L417" s="3934" t="n"/>
      <c r="M417" s="3934" t="n"/>
      <c r="N417" s="3934" t="n"/>
      <c r="O417" s="3934" t="n"/>
      <c r="P417" s="3934" t="n"/>
      <c r="Q417" s="3934" t="n"/>
      <c r="R417" s="3934" t="n"/>
      <c r="S417" s="3934" t="n"/>
      <c r="T417" s="3934" t="n"/>
      <c r="U417" s="3934" t="n"/>
      <c r="V417" s="3934" t="n"/>
      <c r="W417" s="3934" t="n"/>
      <c r="X417" s="3934" t="n"/>
      <c r="Y417" s="3934" t="n"/>
      <c r="Z417" s="3934" t="n"/>
      <c r="AA417" s="3934" t="n"/>
      <c r="AB417" s="3934" t="n"/>
      <c r="AC417" s="3934" t="n"/>
      <c r="AD417" s="3934" t="n"/>
      <c r="AE417" s="3934" t="n"/>
      <c r="AF417" s="3934" t="n"/>
      <c r="AG417" s="3934" t="n"/>
      <c r="AH417" s="3934" t="n"/>
      <c r="AI417" s="3934" t="n"/>
      <c r="AJ417" s="3934" t="n"/>
      <c r="AK417" s="3934" t="n"/>
      <c r="AL417" s="3934" t="n"/>
      <c r="AM417" s="3934" t="n"/>
      <c r="AN417" s="3934" t="n"/>
      <c r="AO417" s="3934" t="n"/>
      <c r="AP417" s="3934" t="n"/>
      <c r="AQ417" s="3934" t="n"/>
      <c r="AR417" s="3934" t="n"/>
    </row>
    <row r="418">
      <c r="A418" s="3941" t="n"/>
      <c r="B418" s="3944" t="n"/>
      <c r="C418" s="3944" t="n"/>
      <c r="D418" s="3944" t="n"/>
      <c r="E418" s="3944" t="n"/>
      <c r="F418" s="3944" t="n"/>
      <c r="G418" s="3944" t="n"/>
      <c r="H418" s="3944" t="n"/>
      <c r="I418" s="3944" t="n"/>
      <c r="J418" s="3944" t="n"/>
      <c r="K418" s="3942">
        <f>IF(A418="","",SUM(E418:J418))</f>
        <v/>
      </c>
      <c r="L418" s="3934" t="n"/>
      <c r="M418" s="3934" t="n"/>
      <c r="N418" s="3934" t="n"/>
      <c r="O418" s="3934" t="n"/>
      <c r="P418" s="3934" t="n"/>
      <c r="Q418" s="3934" t="n"/>
      <c r="R418" s="3934" t="n"/>
      <c r="S418" s="3934" t="n"/>
      <c r="T418" s="3934" t="n"/>
      <c r="U418" s="3934" t="n"/>
      <c r="V418" s="3934" t="n"/>
      <c r="W418" s="3934" t="n"/>
      <c r="X418" s="3934" t="n"/>
      <c r="Y418" s="3934" t="n"/>
      <c r="Z418" s="3934" t="n"/>
      <c r="AA418" s="3934" t="n"/>
      <c r="AB418" s="3934" t="n"/>
      <c r="AC418" s="3934" t="n"/>
      <c r="AD418" s="3934" t="n"/>
      <c r="AE418" s="3934" t="n"/>
      <c r="AF418" s="3934" t="n"/>
      <c r="AG418" s="3934" t="n"/>
      <c r="AH418" s="3934" t="n"/>
      <c r="AI418" s="3934" t="n"/>
      <c r="AJ418" s="3934" t="n"/>
      <c r="AK418" s="3934" t="n"/>
      <c r="AL418" s="3934" t="n"/>
      <c r="AM418" s="3934" t="n"/>
      <c r="AN418" s="3934" t="n"/>
      <c r="AO418" s="3934" t="n"/>
      <c r="AP418" s="3934" t="n"/>
      <c r="AQ418" s="3934" t="n"/>
      <c r="AR418" s="3934" t="n"/>
    </row>
    <row r="419">
      <c r="A419" s="3941" t="n"/>
      <c r="B419" s="3944" t="n"/>
      <c r="C419" s="3944" t="n"/>
      <c r="D419" s="3944" t="n"/>
      <c r="E419" s="3944" t="n"/>
      <c r="F419" s="3944" t="n"/>
      <c r="G419" s="3944" t="n"/>
      <c r="H419" s="3944" t="n"/>
      <c r="I419" s="3944" t="n"/>
      <c r="J419" s="3944" t="n"/>
      <c r="K419" s="3942">
        <f>IF(A419="","",SUM(E419:J419))</f>
        <v/>
      </c>
      <c r="L419" s="3934" t="n"/>
      <c r="M419" s="3934" t="n"/>
      <c r="N419" s="3934" t="n"/>
      <c r="O419" s="3934" t="n"/>
      <c r="P419" s="3934" t="n"/>
      <c r="Q419" s="3934" t="n"/>
      <c r="R419" s="3934" t="n"/>
      <c r="S419" s="3934" t="n"/>
      <c r="T419" s="3934" t="n"/>
      <c r="U419" s="3934" t="n"/>
      <c r="V419" s="3934" t="n"/>
      <c r="W419" s="3934" t="n"/>
      <c r="X419" s="3934" t="n"/>
      <c r="Y419" s="3934" t="n"/>
      <c r="Z419" s="3934" t="n"/>
      <c r="AA419" s="3934" t="n"/>
      <c r="AB419" s="3934" t="n"/>
      <c r="AC419" s="3934" t="n"/>
      <c r="AD419" s="3934" t="n"/>
      <c r="AE419" s="3934" t="n"/>
      <c r="AF419" s="3934" t="n"/>
      <c r="AG419" s="3934" t="n"/>
      <c r="AH419" s="3934" t="n"/>
      <c r="AI419" s="3934" t="n"/>
      <c r="AJ419" s="3934" t="n"/>
      <c r="AK419" s="3934" t="n"/>
      <c r="AL419" s="3934" t="n"/>
      <c r="AM419" s="3934" t="n"/>
      <c r="AN419" s="3934" t="n"/>
      <c r="AO419" s="3934" t="n"/>
      <c r="AP419" s="3934" t="n"/>
      <c r="AQ419" s="3934" t="n"/>
      <c r="AR419" s="3934" t="n"/>
    </row>
    <row r="420">
      <c r="A420" s="3941" t="n"/>
      <c r="B420" s="3944" t="n"/>
      <c r="C420" s="3944" t="n"/>
      <c r="D420" s="3944" t="n"/>
      <c r="E420" s="3944" t="n"/>
      <c r="F420" s="3944" t="n"/>
      <c r="G420" s="3944" t="n"/>
      <c r="H420" s="3944" t="n"/>
      <c r="I420" s="3944" t="n"/>
      <c r="J420" s="3944" t="n"/>
      <c r="K420" s="3942">
        <f>IF(A420="","",SUM(E420:J420))</f>
        <v/>
      </c>
      <c r="L420" s="3934" t="n"/>
      <c r="M420" s="3934" t="n"/>
      <c r="N420" s="3934" t="n"/>
      <c r="O420" s="3934" t="n"/>
      <c r="P420" s="3934" t="n"/>
      <c r="Q420" s="3934" t="n"/>
      <c r="R420" s="3934" t="n"/>
      <c r="S420" s="3934" t="n"/>
      <c r="T420" s="3934" t="n"/>
      <c r="U420" s="3934" t="n"/>
      <c r="V420" s="3934" t="n"/>
      <c r="W420" s="3934" t="n"/>
      <c r="X420" s="3934" t="n"/>
      <c r="Y420" s="3934" t="n"/>
      <c r="Z420" s="3934" t="n"/>
      <c r="AA420" s="3934" t="n"/>
      <c r="AB420" s="3934" t="n"/>
      <c r="AC420" s="3934" t="n"/>
      <c r="AD420" s="3934" t="n"/>
      <c r="AE420" s="3934" t="n"/>
      <c r="AF420" s="3934" t="n"/>
      <c r="AG420" s="3934" t="n"/>
      <c r="AH420" s="3934" t="n"/>
      <c r="AI420" s="3934" t="n"/>
      <c r="AJ420" s="3934" t="n"/>
      <c r="AK420" s="3934" t="n"/>
      <c r="AL420" s="3934" t="n"/>
      <c r="AM420" s="3934" t="n"/>
      <c r="AN420" s="3934" t="n"/>
      <c r="AO420" s="3934" t="n"/>
      <c r="AP420" s="3934" t="n"/>
      <c r="AQ420" s="3934" t="n"/>
      <c r="AR420" s="3934" t="n"/>
    </row>
    <row r="421">
      <c r="A421" s="3941" t="n"/>
      <c r="B421" s="3944" t="n"/>
      <c r="C421" s="3944" t="n"/>
      <c r="D421" s="3944" t="n"/>
      <c r="E421" s="3944" t="n"/>
      <c r="F421" s="3944" t="n"/>
      <c r="G421" s="3944" t="n"/>
      <c r="H421" s="3944" t="n"/>
      <c r="I421" s="3944" t="n"/>
      <c r="J421" s="3944" t="n"/>
      <c r="K421" s="3942">
        <f>IF(A421="","",SUM(E421:J421))</f>
        <v/>
      </c>
      <c r="L421" s="3934" t="n"/>
      <c r="M421" s="3934" t="n"/>
      <c r="N421" s="3934" t="n"/>
      <c r="O421" s="3934" t="n"/>
      <c r="P421" s="3934" t="n"/>
      <c r="Q421" s="3934" t="n"/>
      <c r="R421" s="3934" t="n"/>
      <c r="S421" s="3934" t="n"/>
      <c r="T421" s="3934" t="n"/>
      <c r="U421" s="3934" t="n"/>
      <c r="V421" s="3934" t="n"/>
      <c r="W421" s="3934" t="n"/>
      <c r="X421" s="3934" t="n"/>
      <c r="Y421" s="3934" t="n"/>
      <c r="Z421" s="3934" t="n"/>
      <c r="AA421" s="3934" t="n"/>
      <c r="AB421" s="3934" t="n"/>
      <c r="AC421" s="3934" t="n"/>
      <c r="AD421" s="3934" t="n"/>
      <c r="AE421" s="3934" t="n"/>
      <c r="AF421" s="3934" t="n"/>
      <c r="AG421" s="3934" t="n"/>
      <c r="AH421" s="3934" t="n"/>
      <c r="AI421" s="3934" t="n"/>
      <c r="AJ421" s="3934" t="n"/>
      <c r="AK421" s="3934" t="n"/>
      <c r="AL421" s="3934" t="n"/>
      <c r="AM421" s="3934" t="n"/>
      <c r="AN421" s="3934" t="n"/>
      <c r="AO421" s="3934" t="n"/>
      <c r="AP421" s="3934" t="n"/>
      <c r="AQ421" s="3934" t="n"/>
      <c r="AR421" s="3934" t="n"/>
    </row>
    <row r="422">
      <c r="A422" s="3941" t="n"/>
      <c r="B422" s="3944" t="n"/>
      <c r="C422" s="3944" t="n"/>
      <c r="D422" s="3944" t="n"/>
      <c r="E422" s="3944" t="n"/>
      <c r="F422" s="3944" t="n"/>
      <c r="G422" s="3944" t="n"/>
      <c r="H422" s="3944" t="n"/>
      <c r="I422" s="3944" t="n"/>
      <c r="J422" s="3944" t="n"/>
      <c r="K422" s="3942">
        <f>IF(A422="","",SUM(E422:J422))</f>
        <v/>
      </c>
      <c r="L422" s="3934" t="n"/>
      <c r="M422" s="3934" t="n"/>
      <c r="N422" s="3934" t="n"/>
      <c r="O422" s="3934" t="n"/>
      <c r="P422" s="3934" t="n"/>
      <c r="Q422" s="3934" t="n"/>
      <c r="R422" s="3934" t="n"/>
      <c r="S422" s="3934" t="n"/>
      <c r="T422" s="3934" t="n"/>
      <c r="U422" s="3934" t="n"/>
      <c r="V422" s="3934" t="n"/>
      <c r="W422" s="3934" t="n"/>
      <c r="X422" s="3934" t="n"/>
      <c r="Y422" s="3934" t="n"/>
      <c r="Z422" s="3934" t="n"/>
      <c r="AA422" s="3934" t="n"/>
      <c r="AB422" s="3934" t="n"/>
      <c r="AC422" s="3934" t="n"/>
      <c r="AD422" s="3934" t="n"/>
      <c r="AE422" s="3934" t="n"/>
      <c r="AF422" s="3934" t="n"/>
      <c r="AG422" s="3934" t="n"/>
      <c r="AH422" s="3934" t="n"/>
      <c r="AI422" s="3934" t="n"/>
      <c r="AJ422" s="3934" t="n"/>
      <c r="AK422" s="3934" t="n"/>
      <c r="AL422" s="3934" t="n"/>
      <c r="AM422" s="3934" t="n"/>
      <c r="AN422" s="3934" t="n"/>
      <c r="AO422" s="3934" t="n"/>
      <c r="AP422" s="3934" t="n"/>
      <c r="AQ422" s="3934" t="n"/>
      <c r="AR422" s="3934" t="n"/>
    </row>
    <row r="423">
      <c r="A423" s="3941" t="n"/>
      <c r="B423" s="3944" t="n"/>
      <c r="C423" s="3944" t="n"/>
      <c r="D423" s="3944" t="n"/>
      <c r="E423" s="3944" t="n"/>
      <c r="F423" s="3944" t="n"/>
      <c r="G423" s="3944" t="n"/>
      <c r="H423" s="3944" t="n"/>
      <c r="I423" s="3944" t="n"/>
      <c r="J423" s="3944" t="n"/>
      <c r="K423" s="3942">
        <f>IF(A423="","",SUM(E423:J423))</f>
        <v/>
      </c>
      <c r="L423" s="3934" t="n"/>
      <c r="M423" s="3934" t="n"/>
      <c r="N423" s="3934" t="n"/>
      <c r="O423" s="3934" t="n"/>
      <c r="P423" s="3934" t="n"/>
      <c r="Q423" s="3934" t="n"/>
      <c r="R423" s="3934" t="n"/>
      <c r="S423" s="3934" t="n"/>
      <c r="T423" s="3934" t="n"/>
      <c r="U423" s="3934" t="n"/>
      <c r="V423" s="3934" t="n"/>
      <c r="W423" s="3934" t="n"/>
      <c r="X423" s="3934" t="n"/>
      <c r="Y423" s="3934" t="n"/>
      <c r="Z423" s="3934" t="n"/>
      <c r="AA423" s="3934" t="n"/>
      <c r="AB423" s="3934" t="n"/>
      <c r="AC423" s="3934" t="n"/>
      <c r="AD423" s="3934" t="n"/>
      <c r="AE423" s="3934" t="n"/>
      <c r="AF423" s="3934" t="n"/>
      <c r="AG423" s="3934" t="n"/>
      <c r="AH423" s="3934" t="n"/>
      <c r="AI423" s="3934" t="n"/>
      <c r="AJ423" s="3934" t="n"/>
      <c r="AK423" s="3934" t="n"/>
      <c r="AL423" s="3934" t="n"/>
      <c r="AM423" s="3934" t="n"/>
      <c r="AN423" s="3934" t="n"/>
      <c r="AO423" s="3934" t="n"/>
      <c r="AP423" s="3934" t="n"/>
      <c r="AQ423" s="3934" t="n"/>
      <c r="AR423" s="3934" t="n"/>
    </row>
    <row r="424">
      <c r="A424" s="3941" t="n"/>
      <c r="B424" s="3944" t="n"/>
      <c r="C424" s="3944" t="n"/>
      <c r="D424" s="3944" t="n"/>
      <c r="E424" s="3944" t="n"/>
      <c r="F424" s="3944" t="n"/>
      <c r="G424" s="3944" t="n"/>
      <c r="H424" s="3944" t="n"/>
      <c r="I424" s="3944" t="n"/>
      <c r="J424" s="3944" t="n"/>
      <c r="K424" s="3942">
        <f>IF(A424="","",SUM(E424:J424))</f>
        <v/>
      </c>
      <c r="L424" s="3934" t="n"/>
      <c r="M424" s="3934" t="n"/>
      <c r="N424" s="3934" t="n"/>
      <c r="O424" s="3934" t="n"/>
      <c r="P424" s="3934" t="n"/>
      <c r="Q424" s="3934" t="n"/>
      <c r="R424" s="3934" t="n"/>
      <c r="S424" s="3934" t="n"/>
      <c r="T424" s="3934" t="n"/>
      <c r="U424" s="3934" t="n"/>
      <c r="V424" s="3934" t="n"/>
      <c r="W424" s="3934" t="n"/>
      <c r="X424" s="3934" t="n"/>
      <c r="Y424" s="3934" t="n"/>
      <c r="Z424" s="3934" t="n"/>
      <c r="AA424" s="3934" t="n"/>
      <c r="AB424" s="3934" t="n"/>
      <c r="AC424" s="3934" t="n"/>
      <c r="AD424" s="3934" t="n"/>
      <c r="AE424" s="3934" t="n"/>
      <c r="AF424" s="3934" t="n"/>
      <c r="AG424" s="3934" t="n"/>
      <c r="AH424" s="3934" t="n"/>
      <c r="AI424" s="3934" t="n"/>
      <c r="AJ424" s="3934" t="n"/>
      <c r="AK424" s="3934" t="n"/>
      <c r="AL424" s="3934" t="n"/>
      <c r="AM424" s="3934" t="n"/>
      <c r="AN424" s="3934" t="n"/>
      <c r="AO424" s="3934" t="n"/>
      <c r="AP424" s="3934" t="n"/>
      <c r="AQ424" s="3934" t="n"/>
      <c r="AR424" s="3934" t="n"/>
    </row>
    <row r="425">
      <c r="A425" s="3941" t="n"/>
      <c r="B425" s="3944" t="n"/>
      <c r="C425" s="3944" t="n"/>
      <c r="D425" s="3944" t="n"/>
      <c r="E425" s="3944" t="n"/>
      <c r="F425" s="3944" t="n"/>
      <c r="G425" s="3944" t="n"/>
      <c r="H425" s="3944" t="n"/>
      <c r="I425" s="3944" t="n"/>
      <c r="J425" s="3944" t="n"/>
      <c r="K425" s="3942">
        <f>IF(A425="","",SUM(E425:J425))</f>
        <v/>
      </c>
      <c r="L425" s="3934" t="n"/>
      <c r="M425" s="3934" t="n"/>
      <c r="N425" s="3934" t="n"/>
      <c r="O425" s="3934" t="n"/>
      <c r="P425" s="3934" t="n"/>
      <c r="Q425" s="3934" t="n"/>
      <c r="R425" s="3934" t="n"/>
      <c r="S425" s="3934" t="n"/>
      <c r="T425" s="3934" t="n"/>
      <c r="U425" s="3934" t="n"/>
      <c r="V425" s="3934" t="n"/>
      <c r="W425" s="3934" t="n"/>
      <c r="X425" s="3934" t="n"/>
      <c r="Y425" s="3934" t="n"/>
      <c r="Z425" s="3934" t="n"/>
      <c r="AA425" s="3934" t="n"/>
      <c r="AB425" s="3934" t="n"/>
      <c r="AC425" s="3934" t="n"/>
      <c r="AD425" s="3934" t="n"/>
      <c r="AE425" s="3934" t="n"/>
      <c r="AF425" s="3934" t="n"/>
      <c r="AG425" s="3934" t="n"/>
      <c r="AH425" s="3934" t="n"/>
      <c r="AI425" s="3934" t="n"/>
      <c r="AJ425" s="3934" t="n"/>
      <c r="AK425" s="3934" t="n"/>
      <c r="AL425" s="3934" t="n"/>
      <c r="AM425" s="3934" t="n"/>
      <c r="AN425" s="3934" t="n"/>
      <c r="AO425" s="3934" t="n"/>
      <c r="AP425" s="3934" t="n"/>
      <c r="AQ425" s="3934" t="n"/>
      <c r="AR425" s="3934" t="n"/>
    </row>
    <row r="426">
      <c r="A426" s="3941" t="n"/>
      <c r="B426" s="3944" t="n"/>
      <c r="C426" s="3944" t="n"/>
      <c r="D426" s="3944" t="n"/>
      <c r="E426" s="3944" t="n"/>
      <c r="F426" s="3944" t="n"/>
      <c r="G426" s="3944" t="n"/>
      <c r="H426" s="3944" t="n"/>
      <c r="I426" s="3944" t="n"/>
      <c r="J426" s="3944" t="n"/>
      <c r="K426" s="3942">
        <f>IF(A426="","",SUM(E426:J426))</f>
        <v/>
      </c>
      <c r="L426" s="3934" t="n"/>
      <c r="M426" s="3934" t="n"/>
      <c r="N426" s="3934" t="n"/>
      <c r="O426" s="3934" t="n"/>
      <c r="P426" s="3934" t="n"/>
      <c r="Q426" s="3934" t="n"/>
      <c r="R426" s="3934" t="n"/>
      <c r="S426" s="3934" t="n"/>
      <c r="T426" s="3934" t="n"/>
      <c r="U426" s="3934" t="n"/>
      <c r="V426" s="3934" t="n"/>
      <c r="W426" s="3934" t="n"/>
      <c r="X426" s="3934" t="n"/>
      <c r="Y426" s="3934" t="n"/>
      <c r="Z426" s="3934" t="n"/>
      <c r="AA426" s="3934" t="n"/>
      <c r="AB426" s="3934" t="n"/>
      <c r="AC426" s="3934" t="n"/>
      <c r="AD426" s="3934" t="n"/>
      <c r="AE426" s="3934" t="n"/>
      <c r="AF426" s="3934" t="n"/>
      <c r="AG426" s="3934" t="n"/>
      <c r="AH426" s="3934" t="n"/>
      <c r="AI426" s="3934" t="n"/>
      <c r="AJ426" s="3934" t="n"/>
      <c r="AK426" s="3934" t="n"/>
      <c r="AL426" s="3934" t="n"/>
      <c r="AM426" s="3934" t="n"/>
      <c r="AN426" s="3934" t="n"/>
      <c r="AO426" s="3934" t="n"/>
      <c r="AP426" s="3934" t="n"/>
      <c r="AQ426" s="3934" t="n"/>
      <c r="AR426" s="3934" t="n"/>
    </row>
    <row r="427">
      <c r="A427" s="3941" t="n"/>
      <c r="B427" s="3944" t="n"/>
      <c r="C427" s="3944" t="n"/>
      <c r="D427" s="3944" t="n"/>
      <c r="E427" s="3944" t="n"/>
      <c r="F427" s="3944" t="n"/>
      <c r="G427" s="3944" t="n"/>
      <c r="H427" s="3944" t="n"/>
      <c r="I427" s="3944" t="n"/>
      <c r="J427" s="3944" t="n"/>
      <c r="K427" s="3942">
        <f>IF(A427="","",SUM(E427:J427))</f>
        <v/>
      </c>
      <c r="L427" s="3934" t="n"/>
      <c r="M427" s="3934" t="n"/>
      <c r="N427" s="3934" t="n"/>
      <c r="O427" s="3934" t="n"/>
      <c r="P427" s="3934" t="n"/>
      <c r="Q427" s="3934" t="n"/>
      <c r="R427" s="3934" t="n"/>
      <c r="S427" s="3934" t="n"/>
      <c r="T427" s="3934" t="n"/>
      <c r="U427" s="3934" t="n"/>
      <c r="V427" s="3934" t="n"/>
      <c r="W427" s="3934" t="n"/>
      <c r="X427" s="3934" t="n"/>
      <c r="Y427" s="3934" t="n"/>
      <c r="Z427" s="3934" t="n"/>
      <c r="AA427" s="3934" t="n"/>
      <c r="AB427" s="3934" t="n"/>
      <c r="AC427" s="3934" t="n"/>
      <c r="AD427" s="3934" t="n"/>
      <c r="AE427" s="3934" t="n"/>
      <c r="AF427" s="3934" t="n"/>
      <c r="AG427" s="3934" t="n"/>
      <c r="AH427" s="3934" t="n"/>
      <c r="AI427" s="3934" t="n"/>
      <c r="AJ427" s="3934" t="n"/>
      <c r="AK427" s="3934" t="n"/>
      <c r="AL427" s="3934" t="n"/>
      <c r="AM427" s="3934" t="n"/>
      <c r="AN427" s="3934" t="n"/>
      <c r="AO427" s="3934" t="n"/>
      <c r="AP427" s="3934" t="n"/>
      <c r="AQ427" s="3934" t="n"/>
      <c r="AR427" s="3934" t="n"/>
    </row>
    <row r="428">
      <c r="A428" s="3941" t="n"/>
      <c r="B428" s="3944" t="n"/>
      <c r="C428" s="3944" t="n"/>
      <c r="D428" s="3944" t="n"/>
      <c r="E428" s="3944" t="n"/>
      <c r="F428" s="3944" t="n"/>
      <c r="G428" s="3944" t="n"/>
      <c r="H428" s="3944" t="n"/>
      <c r="I428" s="3944" t="n"/>
      <c r="J428" s="3944" t="n"/>
      <c r="K428" s="3942">
        <f>IF(A428="","",SUM(E428:J428))</f>
        <v/>
      </c>
      <c r="L428" s="3934" t="n"/>
      <c r="M428" s="3934" t="n"/>
      <c r="N428" s="3934" t="n"/>
      <c r="O428" s="3934" t="n"/>
      <c r="P428" s="3934" t="n"/>
      <c r="Q428" s="3934" t="n"/>
      <c r="R428" s="3934" t="n"/>
      <c r="S428" s="3934" t="n"/>
      <c r="T428" s="3934" t="n"/>
      <c r="U428" s="3934" t="n"/>
      <c r="V428" s="3934" t="n"/>
      <c r="W428" s="3934" t="n"/>
      <c r="X428" s="3934" t="n"/>
      <c r="Y428" s="3934" t="n"/>
      <c r="Z428" s="3934" t="n"/>
      <c r="AA428" s="3934" t="n"/>
      <c r="AB428" s="3934" t="n"/>
      <c r="AC428" s="3934" t="n"/>
      <c r="AD428" s="3934" t="n"/>
      <c r="AE428" s="3934" t="n"/>
      <c r="AF428" s="3934" t="n"/>
      <c r="AG428" s="3934" t="n"/>
      <c r="AH428" s="3934" t="n"/>
      <c r="AI428" s="3934" t="n"/>
      <c r="AJ428" s="3934" t="n"/>
      <c r="AK428" s="3934" t="n"/>
      <c r="AL428" s="3934" t="n"/>
      <c r="AM428" s="3934" t="n"/>
      <c r="AN428" s="3934" t="n"/>
      <c r="AO428" s="3934" t="n"/>
      <c r="AP428" s="3934" t="n"/>
      <c r="AQ428" s="3934" t="n"/>
      <c r="AR428" s="3934" t="n"/>
    </row>
    <row r="429">
      <c r="A429" s="3941" t="n"/>
      <c r="B429" s="3944" t="n"/>
      <c r="C429" s="3944" t="n"/>
      <c r="D429" s="3944" t="n"/>
      <c r="E429" s="3944" t="n"/>
      <c r="F429" s="3944" t="n"/>
      <c r="G429" s="3944" t="n"/>
      <c r="H429" s="3944" t="n"/>
      <c r="I429" s="3944" t="n"/>
      <c r="J429" s="3944" t="n"/>
      <c r="K429" s="3942">
        <f>IF(A429="","",SUM(E429:J429))</f>
        <v/>
      </c>
      <c r="L429" s="3934" t="n"/>
      <c r="M429" s="3934" t="n"/>
      <c r="N429" s="3934" t="n"/>
      <c r="O429" s="3934" t="n"/>
      <c r="P429" s="3934" t="n"/>
      <c r="Q429" s="3934" t="n"/>
      <c r="R429" s="3934" t="n"/>
      <c r="S429" s="3934" t="n"/>
      <c r="T429" s="3934" t="n"/>
      <c r="U429" s="3934" t="n"/>
      <c r="V429" s="3934" t="n"/>
      <c r="W429" s="3934" t="n"/>
      <c r="X429" s="3934" t="n"/>
      <c r="Y429" s="3934" t="n"/>
      <c r="Z429" s="3934" t="n"/>
      <c r="AA429" s="3934" t="n"/>
      <c r="AB429" s="3934" t="n"/>
      <c r="AC429" s="3934" t="n"/>
      <c r="AD429" s="3934" t="n"/>
      <c r="AE429" s="3934" t="n"/>
      <c r="AF429" s="3934" t="n"/>
      <c r="AG429" s="3934" t="n"/>
      <c r="AH429" s="3934" t="n"/>
      <c r="AI429" s="3934" t="n"/>
      <c r="AJ429" s="3934" t="n"/>
      <c r="AK429" s="3934" t="n"/>
      <c r="AL429" s="3934" t="n"/>
      <c r="AM429" s="3934" t="n"/>
      <c r="AN429" s="3934" t="n"/>
      <c r="AO429" s="3934" t="n"/>
      <c r="AP429" s="3934" t="n"/>
      <c r="AQ429" s="3934" t="n"/>
      <c r="AR429" s="3934" t="n"/>
    </row>
    <row r="430">
      <c r="A430" s="3941" t="n"/>
      <c r="B430" s="3944" t="n"/>
      <c r="C430" s="3944" t="n"/>
      <c r="D430" s="3944" t="n"/>
      <c r="E430" s="3944" t="n"/>
      <c r="F430" s="3944" t="n"/>
      <c r="G430" s="3944" t="n"/>
      <c r="H430" s="3944" t="n"/>
      <c r="I430" s="3944" t="n"/>
      <c r="J430" s="3944" t="n"/>
      <c r="K430" s="3942">
        <f>IF(A430="","",SUM(E430:J430))</f>
        <v/>
      </c>
      <c r="L430" s="3934" t="n"/>
      <c r="M430" s="3934" t="n"/>
      <c r="N430" s="3934" t="n"/>
      <c r="O430" s="3934" t="n"/>
      <c r="P430" s="3934" t="n"/>
      <c r="Q430" s="3934" t="n"/>
      <c r="R430" s="3934" t="n"/>
      <c r="S430" s="3934" t="n"/>
      <c r="T430" s="3934" t="n"/>
      <c r="U430" s="3934" t="n"/>
      <c r="V430" s="3934" t="n"/>
      <c r="W430" s="3934" t="n"/>
      <c r="X430" s="3934" t="n"/>
      <c r="Y430" s="3934" t="n"/>
      <c r="Z430" s="3934" t="n"/>
      <c r="AA430" s="3934" t="n"/>
      <c r="AB430" s="3934" t="n"/>
      <c r="AC430" s="3934" t="n"/>
      <c r="AD430" s="3934" t="n"/>
      <c r="AE430" s="3934" t="n"/>
      <c r="AF430" s="3934" t="n"/>
      <c r="AG430" s="3934" t="n"/>
      <c r="AH430" s="3934" t="n"/>
      <c r="AI430" s="3934" t="n"/>
      <c r="AJ430" s="3934" t="n"/>
      <c r="AK430" s="3934" t="n"/>
      <c r="AL430" s="3934" t="n"/>
      <c r="AM430" s="3934" t="n"/>
      <c r="AN430" s="3934" t="n"/>
      <c r="AO430" s="3934" t="n"/>
      <c r="AP430" s="3934" t="n"/>
      <c r="AQ430" s="3934" t="n"/>
      <c r="AR430" s="3934" t="n"/>
    </row>
    <row r="431">
      <c r="A431" s="3941" t="n"/>
      <c r="B431" s="3944" t="n"/>
      <c r="C431" s="3944" t="n"/>
      <c r="D431" s="3944" t="n"/>
      <c r="E431" s="3944" t="n"/>
      <c r="F431" s="3944" t="n"/>
      <c r="G431" s="3944" t="n"/>
      <c r="H431" s="3944" t="n"/>
      <c r="I431" s="3944" t="n"/>
      <c r="J431" s="3944" t="n"/>
      <c r="K431" s="3942">
        <f>IF(A431="","",SUM(E431:J431))</f>
        <v/>
      </c>
      <c r="L431" s="3934" t="n"/>
      <c r="M431" s="3934" t="n"/>
      <c r="N431" s="3934" t="n"/>
      <c r="O431" s="3934" t="n"/>
      <c r="P431" s="3934" t="n"/>
      <c r="Q431" s="3934" t="n"/>
      <c r="R431" s="3934" t="n"/>
      <c r="S431" s="3934" t="n"/>
      <c r="T431" s="3934" t="n"/>
      <c r="U431" s="3934" t="n"/>
      <c r="V431" s="3934" t="n"/>
      <c r="W431" s="3934" t="n"/>
      <c r="X431" s="3934" t="n"/>
      <c r="Y431" s="3934" t="n"/>
      <c r="Z431" s="3934" t="n"/>
      <c r="AA431" s="3934" t="n"/>
      <c r="AB431" s="3934" t="n"/>
      <c r="AC431" s="3934" t="n"/>
      <c r="AD431" s="3934" t="n"/>
      <c r="AE431" s="3934" t="n"/>
      <c r="AF431" s="3934" t="n"/>
      <c r="AG431" s="3934" t="n"/>
      <c r="AH431" s="3934" t="n"/>
      <c r="AI431" s="3934" t="n"/>
      <c r="AJ431" s="3934" t="n"/>
      <c r="AK431" s="3934" t="n"/>
      <c r="AL431" s="3934" t="n"/>
      <c r="AM431" s="3934" t="n"/>
      <c r="AN431" s="3934" t="n"/>
      <c r="AO431" s="3934" t="n"/>
      <c r="AP431" s="3934" t="n"/>
      <c r="AQ431" s="3934" t="n"/>
      <c r="AR431" s="3934" t="n"/>
    </row>
    <row r="432">
      <c r="A432" s="3941" t="n"/>
      <c r="B432" s="3944" t="n"/>
      <c r="C432" s="3944" t="n"/>
      <c r="D432" s="3944" t="n"/>
      <c r="E432" s="3944" t="n"/>
      <c r="F432" s="3944" t="n"/>
      <c r="G432" s="3944" t="n"/>
      <c r="H432" s="3944" t="n"/>
      <c r="I432" s="3944" t="n"/>
      <c r="J432" s="3944" t="n"/>
      <c r="K432" s="3942">
        <f>IF(A432="","",SUM(E432:J432))</f>
        <v/>
      </c>
      <c r="L432" s="3934" t="n"/>
      <c r="M432" s="3934" t="n"/>
      <c r="N432" s="3934" t="n"/>
      <c r="O432" s="3934" t="n"/>
      <c r="P432" s="3934" t="n"/>
      <c r="Q432" s="3934" t="n"/>
      <c r="R432" s="3934" t="n"/>
      <c r="S432" s="3934" t="n"/>
      <c r="T432" s="3934" t="n"/>
      <c r="U432" s="3934" t="n"/>
      <c r="V432" s="3934" t="n"/>
      <c r="W432" s="3934" t="n"/>
      <c r="X432" s="3934" t="n"/>
      <c r="Y432" s="3934" t="n"/>
      <c r="Z432" s="3934" t="n"/>
      <c r="AA432" s="3934" t="n"/>
      <c r="AB432" s="3934" t="n"/>
      <c r="AC432" s="3934" t="n"/>
      <c r="AD432" s="3934" t="n"/>
      <c r="AE432" s="3934" t="n"/>
      <c r="AF432" s="3934" t="n"/>
      <c r="AG432" s="3934" t="n"/>
      <c r="AH432" s="3934" t="n"/>
      <c r="AI432" s="3934" t="n"/>
      <c r="AJ432" s="3934" t="n"/>
      <c r="AK432" s="3934" t="n"/>
      <c r="AL432" s="3934" t="n"/>
      <c r="AM432" s="3934" t="n"/>
      <c r="AN432" s="3934" t="n"/>
      <c r="AO432" s="3934" t="n"/>
      <c r="AP432" s="3934" t="n"/>
      <c r="AQ432" s="3934" t="n"/>
      <c r="AR432" s="3934" t="n"/>
    </row>
    <row r="433">
      <c r="A433" s="3941" t="n"/>
      <c r="B433" s="3944" t="n"/>
      <c r="C433" s="3944" t="n"/>
      <c r="D433" s="3944" t="n"/>
      <c r="E433" s="3944" t="n"/>
      <c r="F433" s="3944" t="n"/>
      <c r="G433" s="3944" t="n"/>
      <c r="H433" s="3944" t="n"/>
      <c r="I433" s="3944" t="n"/>
      <c r="J433" s="3944" t="n"/>
      <c r="K433" s="3942">
        <f>IF(A433="","",SUM(E433:J433))</f>
        <v/>
      </c>
      <c r="L433" s="3934" t="n"/>
      <c r="M433" s="3934" t="n"/>
      <c r="N433" s="3934" t="n"/>
      <c r="O433" s="3934" t="n"/>
      <c r="P433" s="3934" t="n"/>
      <c r="Q433" s="3934" t="n"/>
      <c r="R433" s="3934" t="n"/>
      <c r="S433" s="3934" t="n"/>
      <c r="T433" s="3934" t="n"/>
      <c r="U433" s="3934" t="n"/>
      <c r="V433" s="3934" t="n"/>
      <c r="W433" s="3934" t="n"/>
      <c r="X433" s="3934" t="n"/>
      <c r="Y433" s="3934" t="n"/>
      <c r="Z433" s="3934" t="n"/>
      <c r="AA433" s="3934" t="n"/>
      <c r="AB433" s="3934" t="n"/>
      <c r="AC433" s="3934" t="n"/>
      <c r="AD433" s="3934" t="n"/>
      <c r="AE433" s="3934" t="n"/>
      <c r="AF433" s="3934" t="n"/>
      <c r="AG433" s="3934" t="n"/>
      <c r="AH433" s="3934" t="n"/>
      <c r="AI433" s="3934" t="n"/>
      <c r="AJ433" s="3934" t="n"/>
      <c r="AK433" s="3934" t="n"/>
      <c r="AL433" s="3934" t="n"/>
      <c r="AM433" s="3934" t="n"/>
      <c r="AN433" s="3934" t="n"/>
      <c r="AO433" s="3934" t="n"/>
      <c r="AP433" s="3934" t="n"/>
      <c r="AQ433" s="3934" t="n"/>
      <c r="AR433" s="3934" t="n"/>
    </row>
    <row r="434">
      <c r="A434" s="3941" t="n"/>
      <c r="B434" s="3944" t="n"/>
      <c r="C434" s="3944" t="n"/>
      <c r="D434" s="3944" t="n"/>
      <c r="E434" s="3944" t="n"/>
      <c r="F434" s="3944" t="n"/>
      <c r="G434" s="3944" t="n"/>
      <c r="H434" s="3944" t="n"/>
      <c r="I434" s="3944" t="n"/>
      <c r="J434" s="3944" t="n"/>
      <c r="K434" s="3942">
        <f>IF(A434="","",SUM(E434:J434))</f>
        <v/>
      </c>
      <c r="L434" s="3934" t="n"/>
      <c r="M434" s="3934" t="n"/>
      <c r="N434" s="3934" t="n"/>
      <c r="O434" s="3934" t="n"/>
      <c r="P434" s="3934" t="n"/>
      <c r="Q434" s="3934" t="n"/>
      <c r="R434" s="3934" t="n"/>
      <c r="S434" s="3934" t="n"/>
      <c r="T434" s="3934" t="n"/>
      <c r="U434" s="3934" t="n"/>
      <c r="V434" s="3934" t="n"/>
      <c r="W434" s="3934" t="n"/>
      <c r="X434" s="3934" t="n"/>
      <c r="Y434" s="3934" t="n"/>
      <c r="Z434" s="3934" t="n"/>
      <c r="AA434" s="3934" t="n"/>
      <c r="AB434" s="3934" t="n"/>
      <c r="AC434" s="3934" t="n"/>
      <c r="AD434" s="3934" t="n"/>
      <c r="AE434" s="3934" t="n"/>
      <c r="AF434" s="3934" t="n"/>
      <c r="AG434" s="3934" t="n"/>
      <c r="AH434" s="3934" t="n"/>
      <c r="AI434" s="3934" t="n"/>
      <c r="AJ434" s="3934" t="n"/>
      <c r="AK434" s="3934" t="n"/>
      <c r="AL434" s="3934" t="n"/>
      <c r="AM434" s="3934" t="n"/>
      <c r="AN434" s="3934" t="n"/>
      <c r="AO434" s="3934" t="n"/>
      <c r="AP434" s="3934" t="n"/>
      <c r="AQ434" s="3934" t="n"/>
      <c r="AR434" s="3934" t="n"/>
    </row>
    <row r="435">
      <c r="A435" s="3941" t="n"/>
      <c r="B435" s="3944" t="n"/>
      <c r="C435" s="3944" t="n"/>
      <c r="D435" s="3944" t="n"/>
      <c r="E435" s="3944" t="n"/>
      <c r="F435" s="3944" t="n"/>
      <c r="G435" s="3944" t="n"/>
      <c r="H435" s="3944" t="n"/>
      <c r="I435" s="3944" t="n"/>
      <c r="J435" s="3944" t="n"/>
      <c r="K435" s="3942">
        <f>IF(A435="","",SUM(E435:J435))</f>
        <v/>
      </c>
      <c r="L435" s="3934" t="n"/>
      <c r="M435" s="3934" t="n"/>
      <c r="N435" s="3934" t="n"/>
      <c r="O435" s="3934" t="n"/>
      <c r="P435" s="3934" t="n"/>
      <c r="Q435" s="3934" t="n"/>
      <c r="R435" s="3934" t="n"/>
      <c r="S435" s="3934" t="n"/>
      <c r="T435" s="3934" t="n"/>
      <c r="U435" s="3934" t="n"/>
      <c r="V435" s="3934" t="n"/>
      <c r="W435" s="3934" t="n"/>
      <c r="X435" s="3934" t="n"/>
      <c r="Y435" s="3934" t="n"/>
      <c r="Z435" s="3934" t="n"/>
      <c r="AA435" s="3934" t="n"/>
      <c r="AB435" s="3934" t="n"/>
      <c r="AC435" s="3934" t="n"/>
      <c r="AD435" s="3934" t="n"/>
      <c r="AE435" s="3934" t="n"/>
      <c r="AF435" s="3934" t="n"/>
      <c r="AG435" s="3934" t="n"/>
      <c r="AH435" s="3934" t="n"/>
      <c r="AI435" s="3934" t="n"/>
      <c r="AJ435" s="3934" t="n"/>
      <c r="AK435" s="3934" t="n"/>
      <c r="AL435" s="3934" t="n"/>
      <c r="AM435" s="3934" t="n"/>
      <c r="AN435" s="3934" t="n"/>
      <c r="AO435" s="3934" t="n"/>
      <c r="AP435" s="3934" t="n"/>
      <c r="AQ435" s="3934" t="n"/>
      <c r="AR435" s="3934" t="n"/>
    </row>
    <row r="436">
      <c r="A436" s="3941" t="n"/>
      <c r="B436" s="3944" t="n"/>
      <c r="C436" s="3944" t="n"/>
      <c r="D436" s="3944" t="n"/>
      <c r="E436" s="3944" t="n"/>
      <c r="F436" s="3944" t="n"/>
      <c r="G436" s="3944" t="n"/>
      <c r="H436" s="3944" t="n"/>
      <c r="I436" s="3944" t="n"/>
      <c r="J436" s="3944" t="n"/>
      <c r="K436" s="3942">
        <f>IF(A436="","",SUM(E436:J436))</f>
        <v/>
      </c>
      <c r="L436" s="3934" t="n"/>
      <c r="M436" s="3934" t="n"/>
      <c r="N436" s="3934" t="n"/>
      <c r="O436" s="3934" t="n"/>
      <c r="P436" s="3934" t="n"/>
      <c r="Q436" s="3934" t="n"/>
      <c r="R436" s="3934" t="n"/>
      <c r="S436" s="3934" t="n"/>
      <c r="T436" s="3934" t="n"/>
      <c r="U436" s="3934" t="n"/>
      <c r="V436" s="3934" t="n"/>
      <c r="W436" s="3934" t="n"/>
      <c r="X436" s="3934" t="n"/>
      <c r="Y436" s="3934" t="n"/>
      <c r="Z436" s="3934" t="n"/>
      <c r="AA436" s="3934" t="n"/>
      <c r="AB436" s="3934" t="n"/>
      <c r="AC436" s="3934" t="n"/>
      <c r="AD436" s="3934" t="n"/>
      <c r="AE436" s="3934" t="n"/>
      <c r="AF436" s="3934" t="n"/>
      <c r="AG436" s="3934" t="n"/>
      <c r="AH436" s="3934" t="n"/>
      <c r="AI436" s="3934" t="n"/>
      <c r="AJ436" s="3934" t="n"/>
      <c r="AK436" s="3934" t="n"/>
      <c r="AL436" s="3934" t="n"/>
      <c r="AM436" s="3934" t="n"/>
      <c r="AN436" s="3934" t="n"/>
      <c r="AO436" s="3934" t="n"/>
      <c r="AP436" s="3934" t="n"/>
      <c r="AQ436" s="3934" t="n"/>
      <c r="AR436" s="3934" t="n"/>
    </row>
    <row r="437">
      <c r="A437" s="3941" t="n"/>
      <c r="B437" s="3944" t="n"/>
      <c r="C437" s="3944" t="n"/>
      <c r="D437" s="3944" t="n"/>
      <c r="E437" s="3944" t="n"/>
      <c r="F437" s="3944" t="n"/>
      <c r="G437" s="3944" t="n"/>
      <c r="H437" s="3944" t="n"/>
      <c r="I437" s="3944" t="n"/>
      <c r="J437" s="3944" t="n"/>
      <c r="K437" s="3942">
        <f>IF(A437="","",SUM(E437:J437))</f>
        <v/>
      </c>
      <c r="L437" s="3934" t="n"/>
      <c r="M437" s="3934" t="n"/>
      <c r="N437" s="3934" t="n"/>
      <c r="O437" s="3934" t="n"/>
      <c r="P437" s="3934" t="n"/>
      <c r="Q437" s="3934" t="n"/>
      <c r="R437" s="3934" t="n"/>
      <c r="S437" s="3934" t="n"/>
      <c r="T437" s="3934" t="n"/>
      <c r="U437" s="3934" t="n"/>
      <c r="V437" s="3934" t="n"/>
      <c r="W437" s="3934" t="n"/>
      <c r="X437" s="3934" t="n"/>
      <c r="Y437" s="3934" t="n"/>
      <c r="Z437" s="3934" t="n"/>
      <c r="AA437" s="3934" t="n"/>
      <c r="AB437" s="3934" t="n"/>
      <c r="AC437" s="3934" t="n"/>
      <c r="AD437" s="3934" t="n"/>
      <c r="AE437" s="3934" t="n"/>
      <c r="AF437" s="3934" t="n"/>
      <c r="AG437" s="3934" t="n"/>
      <c r="AH437" s="3934" t="n"/>
      <c r="AI437" s="3934" t="n"/>
      <c r="AJ437" s="3934" t="n"/>
      <c r="AK437" s="3934" t="n"/>
      <c r="AL437" s="3934" t="n"/>
      <c r="AM437" s="3934" t="n"/>
      <c r="AN437" s="3934" t="n"/>
      <c r="AO437" s="3934" t="n"/>
      <c r="AP437" s="3934" t="n"/>
      <c r="AQ437" s="3934" t="n"/>
      <c r="AR437" s="3934" t="n"/>
    </row>
    <row r="438">
      <c r="A438" s="3941" t="n"/>
      <c r="B438" s="3944" t="n"/>
      <c r="C438" s="3944" t="n"/>
      <c r="D438" s="3944" t="n"/>
      <c r="E438" s="3944" t="n"/>
      <c r="F438" s="3944" t="n"/>
      <c r="G438" s="3944" t="n"/>
      <c r="H438" s="3944" t="n"/>
      <c r="I438" s="3944" t="n"/>
      <c r="J438" s="3944" t="n"/>
      <c r="K438" s="3942">
        <f>IF(A438="","",SUM(E438:J438))</f>
        <v/>
      </c>
      <c r="L438" s="3934" t="n"/>
      <c r="M438" s="3934" t="n"/>
      <c r="N438" s="3934" t="n"/>
      <c r="O438" s="3934" t="n"/>
      <c r="P438" s="3934" t="n"/>
      <c r="Q438" s="3934" t="n"/>
      <c r="R438" s="3934" t="n"/>
      <c r="S438" s="3934" t="n"/>
      <c r="T438" s="3934" t="n"/>
      <c r="U438" s="3934" t="n"/>
      <c r="V438" s="3934" t="n"/>
      <c r="W438" s="3934" t="n"/>
      <c r="X438" s="3934" t="n"/>
      <c r="Y438" s="3934" t="n"/>
      <c r="Z438" s="3934" t="n"/>
      <c r="AA438" s="3934" t="n"/>
      <c r="AB438" s="3934" t="n"/>
      <c r="AC438" s="3934" t="n"/>
      <c r="AD438" s="3934" t="n"/>
      <c r="AE438" s="3934" t="n"/>
      <c r="AF438" s="3934" t="n"/>
      <c r="AG438" s="3934" t="n"/>
      <c r="AH438" s="3934" t="n"/>
      <c r="AI438" s="3934" t="n"/>
      <c r="AJ438" s="3934" t="n"/>
      <c r="AK438" s="3934" t="n"/>
      <c r="AL438" s="3934" t="n"/>
      <c r="AM438" s="3934" t="n"/>
      <c r="AN438" s="3934" t="n"/>
      <c r="AO438" s="3934" t="n"/>
      <c r="AP438" s="3934" t="n"/>
      <c r="AQ438" s="3934" t="n"/>
      <c r="AR438" s="3934" t="n"/>
    </row>
    <row r="439">
      <c r="A439" s="3941" t="n"/>
      <c r="B439" s="3944" t="n"/>
      <c r="C439" s="3944" t="n"/>
      <c r="D439" s="3944" t="n"/>
      <c r="E439" s="3944" t="n"/>
      <c r="F439" s="3944" t="n"/>
      <c r="G439" s="3944" t="n"/>
      <c r="H439" s="3944" t="n"/>
      <c r="I439" s="3944" t="n"/>
      <c r="J439" s="3944" t="n"/>
      <c r="K439" s="3942">
        <f>IF(A439="","",SUM(E439:J439))</f>
        <v/>
      </c>
      <c r="L439" s="3934" t="n"/>
      <c r="M439" s="3934" t="n"/>
      <c r="N439" s="3934" t="n"/>
      <c r="O439" s="3934" t="n"/>
      <c r="P439" s="3934" t="n"/>
      <c r="Q439" s="3934" t="n"/>
      <c r="R439" s="3934" t="n"/>
      <c r="S439" s="3934" t="n"/>
      <c r="T439" s="3934" t="n"/>
      <c r="U439" s="3934" t="n"/>
      <c r="V439" s="3934" t="n"/>
      <c r="W439" s="3934" t="n"/>
      <c r="X439" s="3934" t="n"/>
      <c r="Y439" s="3934" t="n"/>
      <c r="Z439" s="3934" t="n"/>
      <c r="AA439" s="3934" t="n"/>
      <c r="AB439" s="3934" t="n"/>
      <c r="AC439" s="3934" t="n"/>
      <c r="AD439" s="3934" t="n"/>
      <c r="AE439" s="3934" t="n"/>
      <c r="AF439" s="3934" t="n"/>
      <c r="AG439" s="3934" t="n"/>
      <c r="AH439" s="3934" t="n"/>
      <c r="AI439" s="3934" t="n"/>
      <c r="AJ439" s="3934" t="n"/>
      <c r="AK439" s="3934" t="n"/>
      <c r="AL439" s="3934" t="n"/>
      <c r="AM439" s="3934" t="n"/>
      <c r="AN439" s="3934" t="n"/>
      <c r="AO439" s="3934" t="n"/>
      <c r="AP439" s="3934" t="n"/>
      <c r="AQ439" s="3934" t="n"/>
      <c r="AR439" s="3934" t="n"/>
    </row>
    <row r="440">
      <c r="A440" s="3941" t="n"/>
      <c r="B440" s="3944" t="n"/>
      <c r="C440" s="3944" t="n"/>
      <c r="D440" s="3944" t="n"/>
      <c r="E440" s="3944" t="n"/>
      <c r="F440" s="3944" t="n"/>
      <c r="G440" s="3944" t="n"/>
      <c r="H440" s="3944" t="n"/>
      <c r="I440" s="3944" t="n"/>
      <c r="J440" s="3944" t="n"/>
      <c r="K440" s="3942">
        <f>IF(A440="","",SUM(E440:J440))</f>
        <v/>
      </c>
      <c r="L440" s="3934" t="n"/>
      <c r="M440" s="3934" t="n"/>
      <c r="N440" s="3934" t="n"/>
      <c r="O440" s="3934" t="n"/>
      <c r="P440" s="3934" t="n"/>
      <c r="Q440" s="3934" t="n"/>
      <c r="R440" s="3934" t="n"/>
      <c r="S440" s="3934" t="n"/>
      <c r="T440" s="3934" t="n"/>
      <c r="U440" s="3934" t="n"/>
      <c r="V440" s="3934" t="n"/>
      <c r="W440" s="3934" t="n"/>
      <c r="X440" s="3934" t="n"/>
      <c r="Y440" s="3934" t="n"/>
      <c r="Z440" s="3934" t="n"/>
      <c r="AA440" s="3934" t="n"/>
      <c r="AB440" s="3934" t="n"/>
      <c r="AC440" s="3934" t="n"/>
      <c r="AD440" s="3934" t="n"/>
      <c r="AE440" s="3934" t="n"/>
      <c r="AF440" s="3934" t="n"/>
      <c r="AG440" s="3934" t="n"/>
      <c r="AH440" s="3934" t="n"/>
      <c r="AI440" s="3934" t="n"/>
      <c r="AJ440" s="3934" t="n"/>
      <c r="AK440" s="3934" t="n"/>
      <c r="AL440" s="3934" t="n"/>
      <c r="AM440" s="3934" t="n"/>
      <c r="AN440" s="3934" t="n"/>
      <c r="AO440" s="3934" t="n"/>
      <c r="AP440" s="3934" t="n"/>
      <c r="AQ440" s="3934" t="n"/>
      <c r="AR440" s="3934" t="n"/>
    </row>
    <row r="441">
      <c r="A441" s="3941" t="n"/>
      <c r="B441" s="3944" t="n"/>
      <c r="C441" s="3944" t="n"/>
      <c r="D441" s="3944" t="n"/>
      <c r="E441" s="3944" t="n"/>
      <c r="F441" s="3944" t="n"/>
      <c r="G441" s="3944" t="n"/>
      <c r="H441" s="3944" t="n"/>
      <c r="I441" s="3944" t="n"/>
      <c r="J441" s="3944" t="n"/>
      <c r="K441" s="3942">
        <f>IF(A441="","",SUM(E441:J441))</f>
        <v/>
      </c>
      <c r="L441" s="3934" t="n"/>
      <c r="M441" s="3934" t="n"/>
      <c r="N441" s="3934" t="n"/>
      <c r="O441" s="3934" t="n"/>
      <c r="P441" s="3934" t="n"/>
      <c r="Q441" s="3934" t="n"/>
      <c r="R441" s="3934" t="n"/>
      <c r="S441" s="3934" t="n"/>
      <c r="T441" s="3934" t="n"/>
      <c r="U441" s="3934" t="n"/>
      <c r="V441" s="3934" t="n"/>
      <c r="W441" s="3934" t="n"/>
      <c r="X441" s="3934" t="n"/>
      <c r="Y441" s="3934" t="n"/>
      <c r="Z441" s="3934" t="n"/>
      <c r="AA441" s="3934" t="n"/>
      <c r="AB441" s="3934" t="n"/>
      <c r="AC441" s="3934" t="n"/>
      <c r="AD441" s="3934" t="n"/>
      <c r="AE441" s="3934" t="n"/>
      <c r="AF441" s="3934" t="n"/>
      <c r="AG441" s="3934" t="n"/>
      <c r="AH441" s="3934" t="n"/>
      <c r="AI441" s="3934" t="n"/>
      <c r="AJ441" s="3934" t="n"/>
      <c r="AK441" s="3934" t="n"/>
      <c r="AL441" s="3934" t="n"/>
      <c r="AM441" s="3934" t="n"/>
      <c r="AN441" s="3934" t="n"/>
      <c r="AO441" s="3934" t="n"/>
      <c r="AP441" s="3934" t="n"/>
      <c r="AQ441" s="3934" t="n"/>
      <c r="AR441" s="3934" t="n"/>
    </row>
    <row r="442">
      <c r="A442" s="3941" t="n"/>
      <c r="B442" s="3944" t="n"/>
      <c r="C442" s="3944" t="n"/>
      <c r="D442" s="3944" t="n"/>
      <c r="E442" s="3944" t="n"/>
      <c r="F442" s="3944" t="n"/>
      <c r="G442" s="3944" t="n"/>
      <c r="H442" s="3944" t="n"/>
      <c r="I442" s="3944" t="n"/>
      <c r="J442" s="3944" t="n"/>
      <c r="K442" s="3942">
        <f>IF(A442="","",SUM(E442:J442))</f>
        <v/>
      </c>
      <c r="L442" s="3934" t="n"/>
      <c r="M442" s="3934" t="n"/>
      <c r="N442" s="3934" t="n"/>
      <c r="O442" s="3934" t="n"/>
      <c r="P442" s="3934" t="n"/>
      <c r="Q442" s="3934" t="n"/>
      <c r="R442" s="3934" t="n"/>
      <c r="S442" s="3934" t="n"/>
      <c r="T442" s="3934" t="n"/>
      <c r="U442" s="3934" t="n"/>
      <c r="V442" s="3934" t="n"/>
      <c r="W442" s="3934" t="n"/>
      <c r="X442" s="3934" t="n"/>
      <c r="Y442" s="3934" t="n"/>
      <c r="Z442" s="3934" t="n"/>
      <c r="AA442" s="3934" t="n"/>
      <c r="AB442" s="3934" t="n"/>
      <c r="AC442" s="3934" t="n"/>
      <c r="AD442" s="3934" t="n"/>
      <c r="AE442" s="3934" t="n"/>
      <c r="AF442" s="3934" t="n"/>
      <c r="AG442" s="3934" t="n"/>
      <c r="AH442" s="3934" t="n"/>
      <c r="AI442" s="3934" t="n"/>
      <c r="AJ442" s="3934" t="n"/>
      <c r="AK442" s="3934" t="n"/>
      <c r="AL442" s="3934" t="n"/>
      <c r="AM442" s="3934" t="n"/>
      <c r="AN442" s="3934" t="n"/>
      <c r="AO442" s="3934" t="n"/>
      <c r="AP442" s="3934" t="n"/>
      <c r="AQ442" s="3934" t="n"/>
      <c r="AR442" s="3934" t="n"/>
    </row>
    <row r="443">
      <c r="A443" s="3941" t="n"/>
      <c r="B443" s="3944" t="n"/>
      <c r="C443" s="3944" t="n"/>
      <c r="D443" s="3944" t="n"/>
      <c r="E443" s="3944" t="n"/>
      <c r="F443" s="3944" t="n"/>
      <c r="G443" s="3944" t="n"/>
      <c r="H443" s="3944" t="n"/>
      <c r="I443" s="3944" t="n"/>
      <c r="J443" s="3944" t="n"/>
      <c r="K443" s="3942">
        <f>IF(A443="","",SUM(E443:J443))</f>
        <v/>
      </c>
      <c r="L443" s="3934" t="n"/>
      <c r="M443" s="3934" t="n"/>
      <c r="N443" s="3934" t="n"/>
      <c r="O443" s="3934" t="n"/>
      <c r="P443" s="3934" t="n"/>
      <c r="Q443" s="3934" t="n"/>
      <c r="R443" s="3934" t="n"/>
      <c r="S443" s="3934" t="n"/>
      <c r="T443" s="3934" t="n"/>
      <c r="U443" s="3934" t="n"/>
      <c r="V443" s="3934" t="n"/>
      <c r="W443" s="3934" t="n"/>
      <c r="X443" s="3934" t="n"/>
      <c r="Y443" s="3934" t="n"/>
      <c r="Z443" s="3934" t="n"/>
      <c r="AA443" s="3934" t="n"/>
      <c r="AB443" s="3934" t="n"/>
      <c r="AC443" s="3934" t="n"/>
      <c r="AD443" s="3934" t="n"/>
      <c r="AE443" s="3934" t="n"/>
      <c r="AF443" s="3934" t="n"/>
      <c r="AG443" s="3934" t="n"/>
      <c r="AH443" s="3934" t="n"/>
      <c r="AI443" s="3934" t="n"/>
      <c r="AJ443" s="3934" t="n"/>
      <c r="AK443" s="3934" t="n"/>
      <c r="AL443" s="3934" t="n"/>
      <c r="AM443" s="3934" t="n"/>
      <c r="AN443" s="3934" t="n"/>
      <c r="AO443" s="3934" t="n"/>
      <c r="AP443" s="3934" t="n"/>
      <c r="AQ443" s="3934" t="n"/>
      <c r="AR443" s="3934" t="n"/>
    </row>
    <row r="444">
      <c r="A444" s="3941" t="n"/>
      <c r="B444" s="3944" t="n"/>
      <c r="C444" s="3944" t="n"/>
      <c r="D444" s="3944" t="n"/>
      <c r="E444" s="3944" t="n"/>
      <c r="F444" s="3944" t="n"/>
      <c r="G444" s="3944" t="n"/>
      <c r="H444" s="3944" t="n"/>
      <c r="I444" s="3944" t="n"/>
      <c r="J444" s="3944" t="n"/>
      <c r="K444" s="3942">
        <f>IF(A444="","",SUM(E444:J444))</f>
        <v/>
      </c>
      <c r="L444" s="3934" t="n"/>
      <c r="M444" s="3934" t="n"/>
      <c r="N444" s="3934" t="n"/>
      <c r="O444" s="3934" t="n"/>
      <c r="P444" s="3934" t="n"/>
      <c r="Q444" s="3934" t="n"/>
      <c r="R444" s="3934" t="n"/>
      <c r="S444" s="3934" t="n"/>
      <c r="T444" s="3934" t="n"/>
      <c r="U444" s="3934" t="n"/>
      <c r="V444" s="3934" t="n"/>
      <c r="W444" s="3934" t="n"/>
      <c r="X444" s="3934" t="n"/>
      <c r="Y444" s="3934" t="n"/>
      <c r="Z444" s="3934" t="n"/>
      <c r="AA444" s="3934" t="n"/>
      <c r="AB444" s="3934" t="n"/>
      <c r="AC444" s="3934" t="n"/>
      <c r="AD444" s="3934" t="n"/>
      <c r="AE444" s="3934" t="n"/>
      <c r="AF444" s="3934" t="n"/>
      <c r="AG444" s="3934" t="n"/>
      <c r="AH444" s="3934" t="n"/>
      <c r="AI444" s="3934" t="n"/>
      <c r="AJ444" s="3934" t="n"/>
      <c r="AK444" s="3934" t="n"/>
      <c r="AL444" s="3934" t="n"/>
      <c r="AM444" s="3934" t="n"/>
      <c r="AN444" s="3934" t="n"/>
      <c r="AO444" s="3934" t="n"/>
      <c r="AP444" s="3934" t="n"/>
      <c r="AQ444" s="3934" t="n"/>
      <c r="AR444" s="3934" t="n"/>
    </row>
    <row r="445">
      <c r="A445" s="3941" t="n"/>
      <c r="B445" s="3944" t="n"/>
      <c r="C445" s="3944" t="n"/>
      <c r="D445" s="3944" t="n"/>
      <c r="E445" s="3944" t="n"/>
      <c r="F445" s="3944" t="n"/>
      <c r="G445" s="3944" t="n"/>
      <c r="H445" s="3944" t="n"/>
      <c r="I445" s="3944" t="n"/>
      <c r="J445" s="3944" t="n"/>
      <c r="K445" s="3942">
        <f>IF(A445="","",SUM(E445:J445))</f>
        <v/>
      </c>
      <c r="L445" s="3934" t="n"/>
      <c r="M445" s="3934" t="n"/>
      <c r="N445" s="3934" t="n"/>
      <c r="O445" s="3934" t="n"/>
      <c r="P445" s="3934" t="n"/>
      <c r="Q445" s="3934" t="n"/>
      <c r="R445" s="3934" t="n"/>
      <c r="S445" s="3934" t="n"/>
      <c r="T445" s="3934" t="n"/>
      <c r="U445" s="3934" t="n"/>
      <c r="V445" s="3934" t="n"/>
      <c r="W445" s="3934" t="n"/>
      <c r="X445" s="3934" t="n"/>
      <c r="Y445" s="3934" t="n"/>
      <c r="Z445" s="3934" t="n"/>
      <c r="AA445" s="3934" t="n"/>
      <c r="AB445" s="3934" t="n"/>
      <c r="AC445" s="3934" t="n"/>
      <c r="AD445" s="3934" t="n"/>
      <c r="AE445" s="3934" t="n"/>
      <c r="AF445" s="3934" t="n"/>
      <c r="AG445" s="3934" t="n"/>
      <c r="AH445" s="3934" t="n"/>
      <c r="AI445" s="3934" t="n"/>
      <c r="AJ445" s="3934" t="n"/>
      <c r="AK445" s="3934" t="n"/>
      <c r="AL445" s="3934" t="n"/>
      <c r="AM445" s="3934" t="n"/>
      <c r="AN445" s="3934" t="n"/>
      <c r="AO445" s="3934" t="n"/>
      <c r="AP445" s="3934" t="n"/>
      <c r="AQ445" s="3934" t="n"/>
      <c r="AR445" s="3934" t="n"/>
    </row>
    <row r="446">
      <c r="A446" s="3941" t="n"/>
      <c r="B446" s="3944" t="n"/>
      <c r="C446" s="3944" t="n"/>
      <c r="D446" s="3944" t="n"/>
      <c r="E446" s="3944" t="n"/>
      <c r="F446" s="3944" t="n"/>
      <c r="G446" s="3944" t="n"/>
      <c r="H446" s="3944" t="n"/>
      <c r="I446" s="3944" t="n"/>
      <c r="J446" s="3944" t="n"/>
      <c r="K446" s="3942">
        <f>IF(A446="","",SUM(E446:J446))</f>
        <v/>
      </c>
      <c r="L446" s="3934" t="n"/>
      <c r="M446" s="3934" t="n"/>
      <c r="N446" s="3934" t="n"/>
      <c r="O446" s="3934" t="n"/>
      <c r="P446" s="3934" t="n"/>
      <c r="Q446" s="3934" t="n"/>
      <c r="R446" s="3934" t="n"/>
      <c r="S446" s="3934" t="n"/>
      <c r="T446" s="3934" t="n"/>
      <c r="U446" s="3934" t="n"/>
      <c r="V446" s="3934" t="n"/>
      <c r="W446" s="3934" t="n"/>
      <c r="X446" s="3934" t="n"/>
      <c r="Y446" s="3934" t="n"/>
      <c r="Z446" s="3934" t="n"/>
      <c r="AA446" s="3934" t="n"/>
      <c r="AB446" s="3934" t="n"/>
      <c r="AC446" s="3934" t="n"/>
      <c r="AD446" s="3934" t="n"/>
      <c r="AE446" s="3934" t="n"/>
      <c r="AF446" s="3934" t="n"/>
      <c r="AG446" s="3934" t="n"/>
      <c r="AH446" s="3934" t="n"/>
      <c r="AI446" s="3934" t="n"/>
      <c r="AJ446" s="3934" t="n"/>
      <c r="AK446" s="3934" t="n"/>
      <c r="AL446" s="3934" t="n"/>
      <c r="AM446" s="3934" t="n"/>
      <c r="AN446" s="3934" t="n"/>
      <c r="AO446" s="3934" t="n"/>
      <c r="AP446" s="3934" t="n"/>
      <c r="AQ446" s="3934" t="n"/>
      <c r="AR446" s="3934" t="n"/>
    </row>
    <row r="447">
      <c r="A447" s="3941" t="n"/>
      <c r="B447" s="3944" t="n"/>
      <c r="C447" s="3944" t="n"/>
      <c r="D447" s="3944" t="n"/>
      <c r="E447" s="3944" t="n"/>
      <c r="F447" s="3944" t="n"/>
      <c r="G447" s="3944" t="n"/>
      <c r="H447" s="3944" t="n"/>
      <c r="I447" s="3944" t="n"/>
      <c r="J447" s="3944" t="n"/>
      <c r="K447" s="3942">
        <f>IF(A447="","",SUM(E447:J447))</f>
        <v/>
      </c>
      <c r="L447" s="3934" t="n"/>
      <c r="M447" s="3934" t="n"/>
      <c r="N447" s="3934" t="n"/>
      <c r="O447" s="3934" t="n"/>
      <c r="P447" s="3934" t="n"/>
      <c r="Q447" s="3934" t="n"/>
      <c r="R447" s="3934" t="n"/>
      <c r="S447" s="3934" t="n"/>
      <c r="T447" s="3934" t="n"/>
      <c r="U447" s="3934" t="n"/>
      <c r="V447" s="3934" t="n"/>
      <c r="W447" s="3934" t="n"/>
      <c r="X447" s="3934" t="n"/>
      <c r="Y447" s="3934" t="n"/>
      <c r="Z447" s="3934" t="n"/>
      <c r="AA447" s="3934" t="n"/>
      <c r="AB447" s="3934" t="n"/>
      <c r="AC447" s="3934" t="n"/>
      <c r="AD447" s="3934" t="n"/>
      <c r="AE447" s="3934" t="n"/>
      <c r="AF447" s="3934" t="n"/>
      <c r="AG447" s="3934" t="n"/>
      <c r="AH447" s="3934" t="n"/>
      <c r="AI447" s="3934" t="n"/>
      <c r="AJ447" s="3934" t="n"/>
      <c r="AK447" s="3934" t="n"/>
      <c r="AL447" s="3934" t="n"/>
      <c r="AM447" s="3934" t="n"/>
      <c r="AN447" s="3934" t="n"/>
      <c r="AO447" s="3934" t="n"/>
      <c r="AP447" s="3934" t="n"/>
      <c r="AQ447" s="3934" t="n"/>
      <c r="AR447" s="3934" t="n"/>
    </row>
    <row r="448">
      <c r="A448" s="3941" t="n"/>
      <c r="B448" s="3944" t="n"/>
      <c r="C448" s="3944" t="n"/>
      <c r="D448" s="3944" t="n"/>
      <c r="E448" s="3944" t="n"/>
      <c r="F448" s="3944" t="n"/>
      <c r="G448" s="3944" t="n"/>
      <c r="H448" s="3944" t="n"/>
      <c r="I448" s="3944" t="n"/>
      <c r="J448" s="3944" t="n"/>
      <c r="K448" s="3942">
        <f>IF(A448="","",SUM(E448:J448))</f>
        <v/>
      </c>
      <c r="L448" s="3934" t="n"/>
      <c r="M448" s="3934" t="n"/>
      <c r="N448" s="3934" t="n"/>
      <c r="O448" s="3934" t="n"/>
      <c r="P448" s="3934" t="n"/>
      <c r="Q448" s="3934" t="n"/>
      <c r="R448" s="3934" t="n"/>
      <c r="S448" s="3934" t="n"/>
      <c r="T448" s="3934" t="n"/>
      <c r="U448" s="3934" t="n"/>
      <c r="V448" s="3934" t="n"/>
      <c r="W448" s="3934" t="n"/>
      <c r="X448" s="3934" t="n"/>
      <c r="Y448" s="3934" t="n"/>
      <c r="Z448" s="3934" t="n"/>
      <c r="AA448" s="3934" t="n"/>
      <c r="AB448" s="3934" t="n"/>
      <c r="AC448" s="3934" t="n"/>
      <c r="AD448" s="3934" t="n"/>
      <c r="AE448" s="3934" t="n"/>
      <c r="AF448" s="3934" t="n"/>
      <c r="AG448" s="3934" t="n"/>
      <c r="AH448" s="3934" t="n"/>
      <c r="AI448" s="3934" t="n"/>
      <c r="AJ448" s="3934" t="n"/>
      <c r="AK448" s="3934" t="n"/>
      <c r="AL448" s="3934" t="n"/>
      <c r="AM448" s="3934" t="n"/>
      <c r="AN448" s="3934" t="n"/>
      <c r="AO448" s="3934" t="n"/>
      <c r="AP448" s="3934" t="n"/>
      <c r="AQ448" s="3934" t="n"/>
      <c r="AR448" s="3934" t="n"/>
    </row>
    <row r="449">
      <c r="A449" s="3941" t="n"/>
      <c r="B449" s="3944" t="n"/>
      <c r="C449" s="3944" t="n"/>
      <c r="D449" s="3944" t="n"/>
      <c r="E449" s="3944" t="n"/>
      <c r="F449" s="3944" t="n"/>
      <c r="G449" s="3944" t="n"/>
      <c r="H449" s="3944" t="n"/>
      <c r="I449" s="3944" t="n"/>
      <c r="J449" s="3944" t="n"/>
      <c r="K449" s="3942">
        <f>IF(A449="","",SUM(E449:J449))</f>
        <v/>
      </c>
      <c r="L449" s="3934" t="n"/>
      <c r="M449" s="3934" t="n"/>
      <c r="N449" s="3934" t="n"/>
      <c r="O449" s="3934" t="n"/>
      <c r="P449" s="3934" t="n"/>
      <c r="Q449" s="3934" t="n"/>
      <c r="R449" s="3934" t="n"/>
      <c r="S449" s="3934" t="n"/>
      <c r="T449" s="3934" t="n"/>
      <c r="U449" s="3934" t="n"/>
      <c r="V449" s="3934" t="n"/>
      <c r="W449" s="3934" t="n"/>
      <c r="X449" s="3934" t="n"/>
      <c r="Y449" s="3934" t="n"/>
      <c r="Z449" s="3934" t="n"/>
      <c r="AA449" s="3934" t="n"/>
      <c r="AB449" s="3934" t="n"/>
      <c r="AC449" s="3934" t="n"/>
      <c r="AD449" s="3934" t="n"/>
      <c r="AE449" s="3934" t="n"/>
      <c r="AF449" s="3934" t="n"/>
      <c r="AG449" s="3934" t="n"/>
      <c r="AH449" s="3934" t="n"/>
      <c r="AI449" s="3934" t="n"/>
      <c r="AJ449" s="3934" t="n"/>
      <c r="AK449" s="3934" t="n"/>
      <c r="AL449" s="3934" t="n"/>
      <c r="AM449" s="3934" t="n"/>
      <c r="AN449" s="3934" t="n"/>
      <c r="AO449" s="3934" t="n"/>
      <c r="AP449" s="3934" t="n"/>
      <c r="AQ449" s="3934" t="n"/>
      <c r="AR449" s="3934" t="n"/>
    </row>
    <row r="450">
      <c r="A450" s="3941" t="n"/>
      <c r="B450" s="3944" t="n"/>
      <c r="C450" s="3944" t="n"/>
      <c r="D450" s="3944" t="n"/>
      <c r="E450" s="3944" t="n"/>
      <c r="F450" s="3944" t="n"/>
      <c r="G450" s="3944" t="n"/>
      <c r="H450" s="3944" t="n"/>
      <c r="I450" s="3944" t="n"/>
      <c r="J450" s="3944" t="n"/>
      <c r="K450" s="3942">
        <f>IF(A450="","",SUM(E450:J450))</f>
        <v/>
      </c>
      <c r="L450" s="3934" t="n"/>
      <c r="M450" s="3934" t="n"/>
      <c r="N450" s="3934" t="n"/>
      <c r="O450" s="3934" t="n"/>
      <c r="P450" s="3934" t="n"/>
      <c r="Q450" s="3934" t="n"/>
      <c r="R450" s="3934" t="n"/>
      <c r="S450" s="3934" t="n"/>
      <c r="T450" s="3934" t="n"/>
      <c r="U450" s="3934" t="n"/>
      <c r="V450" s="3934" t="n"/>
      <c r="W450" s="3934" t="n"/>
      <c r="X450" s="3934" t="n"/>
      <c r="Y450" s="3934" t="n"/>
      <c r="Z450" s="3934" t="n"/>
      <c r="AA450" s="3934" t="n"/>
      <c r="AB450" s="3934" t="n"/>
      <c r="AC450" s="3934" t="n"/>
      <c r="AD450" s="3934" t="n"/>
      <c r="AE450" s="3934" t="n"/>
      <c r="AF450" s="3934" t="n"/>
      <c r="AG450" s="3934" t="n"/>
      <c r="AH450" s="3934" t="n"/>
      <c r="AI450" s="3934" t="n"/>
      <c r="AJ450" s="3934" t="n"/>
      <c r="AK450" s="3934" t="n"/>
      <c r="AL450" s="3934" t="n"/>
      <c r="AM450" s="3934" t="n"/>
      <c r="AN450" s="3934" t="n"/>
      <c r="AO450" s="3934" t="n"/>
      <c r="AP450" s="3934" t="n"/>
      <c r="AQ450" s="3934" t="n"/>
      <c r="AR450" s="3934" t="n"/>
    </row>
    <row r="451">
      <c r="A451" s="3941" t="n"/>
      <c r="B451" s="3944" t="n"/>
      <c r="C451" s="3944" t="n"/>
      <c r="D451" s="3944" t="n"/>
      <c r="E451" s="3944" t="n"/>
      <c r="F451" s="3944" t="n"/>
      <c r="G451" s="3944" t="n"/>
      <c r="H451" s="3944" t="n"/>
      <c r="I451" s="3944" t="n"/>
      <c r="J451" s="3944" t="n"/>
      <c r="K451" s="3942">
        <f>IF(A451="","",SUM(E451:J451))</f>
        <v/>
      </c>
      <c r="L451" s="3934" t="n"/>
      <c r="M451" s="3934" t="n"/>
      <c r="N451" s="3934" t="n"/>
      <c r="O451" s="3934" t="n"/>
      <c r="P451" s="3934" t="n"/>
      <c r="Q451" s="3934" t="n"/>
      <c r="R451" s="3934" t="n"/>
      <c r="S451" s="3934" t="n"/>
      <c r="T451" s="3934" t="n"/>
      <c r="U451" s="3934" t="n"/>
      <c r="V451" s="3934" t="n"/>
      <c r="W451" s="3934" t="n"/>
      <c r="X451" s="3934" t="n"/>
      <c r="Y451" s="3934" t="n"/>
      <c r="Z451" s="3934" t="n"/>
      <c r="AA451" s="3934" t="n"/>
      <c r="AB451" s="3934" t="n"/>
      <c r="AC451" s="3934" t="n"/>
      <c r="AD451" s="3934" t="n"/>
      <c r="AE451" s="3934" t="n"/>
      <c r="AF451" s="3934" t="n"/>
      <c r="AG451" s="3934" t="n"/>
      <c r="AH451" s="3934" t="n"/>
      <c r="AI451" s="3934" t="n"/>
      <c r="AJ451" s="3934" t="n"/>
      <c r="AK451" s="3934" t="n"/>
      <c r="AL451" s="3934" t="n"/>
      <c r="AM451" s="3934" t="n"/>
      <c r="AN451" s="3934" t="n"/>
      <c r="AO451" s="3934" t="n"/>
      <c r="AP451" s="3934" t="n"/>
      <c r="AQ451" s="3934" t="n"/>
      <c r="AR451" s="3934" t="n"/>
    </row>
    <row r="452">
      <c r="A452" s="3941" t="n"/>
      <c r="B452" s="3944" t="n"/>
      <c r="C452" s="3944" t="n"/>
      <c r="D452" s="3944" t="n"/>
      <c r="E452" s="3944" t="n"/>
      <c r="F452" s="3944" t="n"/>
      <c r="G452" s="3944" t="n"/>
      <c r="H452" s="3944" t="n"/>
      <c r="I452" s="3944" t="n"/>
      <c r="J452" s="3944" t="n"/>
      <c r="K452" s="3942">
        <f>IF(A452="","",SUM(E452:J452))</f>
        <v/>
      </c>
      <c r="L452" s="3934" t="n"/>
      <c r="M452" s="3934" t="n"/>
      <c r="N452" s="3934" t="n"/>
      <c r="O452" s="3934" t="n"/>
      <c r="P452" s="3934" t="n"/>
      <c r="Q452" s="3934" t="n"/>
      <c r="R452" s="3934" t="n"/>
      <c r="S452" s="3934" t="n"/>
      <c r="T452" s="3934" t="n"/>
      <c r="U452" s="3934" t="n"/>
      <c r="V452" s="3934" t="n"/>
      <c r="W452" s="3934" t="n"/>
      <c r="X452" s="3934" t="n"/>
      <c r="Y452" s="3934" t="n"/>
      <c r="Z452" s="3934" t="n"/>
      <c r="AA452" s="3934" t="n"/>
      <c r="AB452" s="3934" t="n"/>
      <c r="AC452" s="3934" t="n"/>
      <c r="AD452" s="3934" t="n"/>
      <c r="AE452" s="3934" t="n"/>
      <c r="AF452" s="3934" t="n"/>
      <c r="AG452" s="3934" t="n"/>
      <c r="AH452" s="3934" t="n"/>
      <c r="AI452" s="3934" t="n"/>
      <c r="AJ452" s="3934" t="n"/>
      <c r="AK452" s="3934" t="n"/>
      <c r="AL452" s="3934" t="n"/>
      <c r="AM452" s="3934" t="n"/>
      <c r="AN452" s="3934" t="n"/>
      <c r="AO452" s="3934" t="n"/>
      <c r="AP452" s="3934" t="n"/>
      <c r="AQ452" s="3934" t="n"/>
      <c r="AR452" s="3934" t="n"/>
    </row>
    <row r="453">
      <c r="A453" s="3941" t="n"/>
      <c r="B453" s="3944" t="n"/>
      <c r="C453" s="3944" t="n"/>
      <c r="D453" s="3944" t="n"/>
      <c r="E453" s="3944" t="n"/>
      <c r="F453" s="3944" t="n"/>
      <c r="G453" s="3944" t="n"/>
      <c r="H453" s="3944" t="n"/>
      <c r="I453" s="3944" t="n"/>
      <c r="J453" s="3944" t="n"/>
      <c r="K453" s="3942">
        <f>IF(A453="","",SUM(E453:J453))</f>
        <v/>
      </c>
      <c r="L453" s="3934" t="n"/>
      <c r="M453" s="3934" t="n"/>
      <c r="N453" s="3934" t="n"/>
      <c r="O453" s="3934" t="n"/>
      <c r="P453" s="3934" t="n"/>
      <c r="Q453" s="3934" t="n"/>
      <c r="R453" s="3934" t="n"/>
      <c r="S453" s="3934" t="n"/>
      <c r="T453" s="3934" t="n"/>
      <c r="U453" s="3934" t="n"/>
      <c r="V453" s="3934" t="n"/>
      <c r="W453" s="3934" t="n"/>
      <c r="X453" s="3934" t="n"/>
      <c r="Y453" s="3934" t="n"/>
      <c r="Z453" s="3934" t="n"/>
      <c r="AA453" s="3934" t="n"/>
      <c r="AB453" s="3934" t="n"/>
      <c r="AC453" s="3934" t="n"/>
      <c r="AD453" s="3934" t="n"/>
      <c r="AE453" s="3934" t="n"/>
      <c r="AF453" s="3934" t="n"/>
      <c r="AG453" s="3934" t="n"/>
      <c r="AH453" s="3934" t="n"/>
      <c r="AI453" s="3934" t="n"/>
      <c r="AJ453" s="3934" t="n"/>
      <c r="AK453" s="3934" t="n"/>
      <c r="AL453" s="3934" t="n"/>
      <c r="AM453" s="3934" t="n"/>
      <c r="AN453" s="3934" t="n"/>
      <c r="AO453" s="3934" t="n"/>
      <c r="AP453" s="3934" t="n"/>
      <c r="AQ453" s="3934" t="n"/>
      <c r="AR453" s="3934" t="n"/>
    </row>
    <row r="454">
      <c r="A454" s="3941" t="n"/>
      <c r="B454" s="3944" t="n"/>
      <c r="C454" s="3944" t="n"/>
      <c r="D454" s="3944" t="n"/>
      <c r="E454" s="3944" t="n"/>
      <c r="F454" s="3944" t="n"/>
      <c r="G454" s="3944" t="n"/>
      <c r="H454" s="3944" t="n"/>
      <c r="I454" s="3944" t="n"/>
      <c r="J454" s="3944" t="n"/>
      <c r="K454" s="3942">
        <f>IF(A454="","",SUM(E454:J454))</f>
        <v/>
      </c>
      <c r="L454" s="3934" t="n"/>
      <c r="M454" s="3934" t="n"/>
      <c r="N454" s="3934" t="n"/>
      <c r="O454" s="3934" t="n"/>
      <c r="P454" s="3934" t="n"/>
      <c r="Q454" s="3934" t="n"/>
      <c r="R454" s="3934" t="n"/>
      <c r="S454" s="3934" t="n"/>
      <c r="T454" s="3934" t="n"/>
      <c r="U454" s="3934" t="n"/>
      <c r="V454" s="3934" t="n"/>
      <c r="W454" s="3934" t="n"/>
      <c r="X454" s="3934" t="n"/>
      <c r="Y454" s="3934" t="n"/>
      <c r="Z454" s="3934" t="n"/>
      <c r="AA454" s="3934" t="n"/>
      <c r="AB454" s="3934" t="n"/>
      <c r="AC454" s="3934" t="n"/>
      <c r="AD454" s="3934" t="n"/>
      <c r="AE454" s="3934" t="n"/>
      <c r="AF454" s="3934" t="n"/>
      <c r="AG454" s="3934" t="n"/>
      <c r="AH454" s="3934" t="n"/>
      <c r="AI454" s="3934" t="n"/>
      <c r="AJ454" s="3934" t="n"/>
      <c r="AK454" s="3934" t="n"/>
      <c r="AL454" s="3934" t="n"/>
      <c r="AM454" s="3934" t="n"/>
      <c r="AN454" s="3934" t="n"/>
      <c r="AO454" s="3934" t="n"/>
      <c r="AP454" s="3934" t="n"/>
      <c r="AQ454" s="3934" t="n"/>
      <c r="AR454" s="3934" t="n"/>
    </row>
    <row r="455">
      <c r="A455" s="3941" t="n"/>
      <c r="B455" s="3944" t="n"/>
      <c r="C455" s="3944" t="n"/>
      <c r="D455" s="3944" t="n"/>
      <c r="E455" s="3944" t="n"/>
      <c r="F455" s="3944" t="n"/>
      <c r="G455" s="3944" t="n"/>
      <c r="H455" s="3944" t="n"/>
      <c r="I455" s="3944" t="n"/>
      <c r="J455" s="3944" t="n"/>
      <c r="K455" s="3942">
        <f>IF(A455="","",SUM(E455:J455))</f>
        <v/>
      </c>
      <c r="L455" s="3934" t="n"/>
      <c r="M455" s="3934" t="n"/>
      <c r="N455" s="3934" t="n"/>
      <c r="O455" s="3934" t="n"/>
      <c r="P455" s="3934" t="n"/>
      <c r="Q455" s="3934" t="n"/>
      <c r="R455" s="3934" t="n"/>
      <c r="S455" s="3934" t="n"/>
      <c r="T455" s="3934" t="n"/>
      <c r="U455" s="3934" t="n"/>
      <c r="V455" s="3934" t="n"/>
      <c r="W455" s="3934" t="n"/>
      <c r="X455" s="3934" t="n"/>
      <c r="Y455" s="3934" t="n"/>
      <c r="Z455" s="3934" t="n"/>
      <c r="AA455" s="3934" t="n"/>
      <c r="AB455" s="3934" t="n"/>
      <c r="AC455" s="3934" t="n"/>
      <c r="AD455" s="3934" t="n"/>
      <c r="AE455" s="3934" t="n"/>
      <c r="AF455" s="3934" t="n"/>
      <c r="AG455" s="3934" t="n"/>
      <c r="AH455" s="3934" t="n"/>
      <c r="AI455" s="3934" t="n"/>
      <c r="AJ455" s="3934" t="n"/>
      <c r="AK455" s="3934" t="n"/>
      <c r="AL455" s="3934" t="n"/>
      <c r="AM455" s="3934" t="n"/>
      <c r="AN455" s="3934" t="n"/>
      <c r="AO455" s="3934" t="n"/>
      <c r="AP455" s="3934" t="n"/>
      <c r="AQ455" s="3934" t="n"/>
      <c r="AR455" s="3934" t="n"/>
    </row>
    <row r="456">
      <c r="A456" s="3941" t="n"/>
      <c r="B456" s="3944" t="n"/>
      <c r="C456" s="3944" t="n"/>
      <c r="D456" s="3944" t="n"/>
      <c r="E456" s="3944" t="n"/>
      <c r="F456" s="3944" t="n"/>
      <c r="G456" s="3944" t="n"/>
      <c r="H456" s="3944" t="n"/>
      <c r="I456" s="3944" t="n"/>
      <c r="J456" s="3944" t="n"/>
      <c r="K456" s="3942">
        <f>IF(A456="","",SUM(E456:J456))</f>
        <v/>
      </c>
      <c r="L456" s="3934" t="n"/>
      <c r="M456" s="3934" t="n"/>
      <c r="N456" s="3934" t="n"/>
      <c r="O456" s="3934" t="n"/>
      <c r="P456" s="3934" t="n"/>
      <c r="Q456" s="3934" t="n"/>
      <c r="R456" s="3934" t="n"/>
      <c r="S456" s="3934" t="n"/>
      <c r="T456" s="3934" t="n"/>
      <c r="U456" s="3934" t="n"/>
      <c r="V456" s="3934" t="n"/>
      <c r="W456" s="3934" t="n"/>
      <c r="X456" s="3934" t="n"/>
      <c r="Y456" s="3934" t="n"/>
      <c r="Z456" s="3934" t="n"/>
      <c r="AA456" s="3934" t="n"/>
      <c r="AB456" s="3934" t="n"/>
      <c r="AC456" s="3934" t="n"/>
      <c r="AD456" s="3934" t="n"/>
      <c r="AE456" s="3934" t="n"/>
      <c r="AF456" s="3934" t="n"/>
      <c r="AG456" s="3934" t="n"/>
      <c r="AH456" s="3934" t="n"/>
      <c r="AI456" s="3934" t="n"/>
      <c r="AJ456" s="3934" t="n"/>
      <c r="AK456" s="3934" t="n"/>
      <c r="AL456" s="3934" t="n"/>
      <c r="AM456" s="3934" t="n"/>
      <c r="AN456" s="3934" t="n"/>
      <c r="AO456" s="3934" t="n"/>
      <c r="AP456" s="3934" t="n"/>
      <c r="AQ456" s="3934" t="n"/>
      <c r="AR456" s="3934" t="n"/>
    </row>
    <row r="457">
      <c r="A457" s="3941" t="n"/>
      <c r="B457" s="3944" t="n"/>
      <c r="C457" s="3944" t="n"/>
      <c r="D457" s="3944" t="n"/>
      <c r="E457" s="3944" t="n"/>
      <c r="F457" s="3944" t="n"/>
      <c r="G457" s="3944" t="n"/>
      <c r="H457" s="3944" t="n"/>
      <c r="I457" s="3944" t="n"/>
      <c r="J457" s="3944" t="n"/>
      <c r="K457" s="3942">
        <f>IF(A457="","",SUM(E457:J457))</f>
        <v/>
      </c>
      <c r="L457" s="3934" t="n"/>
      <c r="M457" s="3934" t="n"/>
      <c r="N457" s="3934" t="n"/>
      <c r="O457" s="3934" t="n"/>
      <c r="P457" s="3934" t="n"/>
      <c r="Q457" s="3934" t="n"/>
      <c r="R457" s="3934" t="n"/>
      <c r="S457" s="3934" t="n"/>
      <c r="T457" s="3934" t="n"/>
      <c r="U457" s="3934" t="n"/>
      <c r="V457" s="3934" t="n"/>
      <c r="W457" s="3934" t="n"/>
      <c r="X457" s="3934" t="n"/>
      <c r="Y457" s="3934" t="n"/>
      <c r="Z457" s="3934" t="n"/>
      <c r="AA457" s="3934" t="n"/>
      <c r="AB457" s="3934" t="n"/>
      <c r="AC457" s="3934" t="n"/>
      <c r="AD457" s="3934" t="n"/>
      <c r="AE457" s="3934" t="n"/>
      <c r="AF457" s="3934" t="n"/>
      <c r="AG457" s="3934" t="n"/>
      <c r="AH457" s="3934" t="n"/>
      <c r="AI457" s="3934" t="n"/>
      <c r="AJ457" s="3934" t="n"/>
      <c r="AK457" s="3934" t="n"/>
      <c r="AL457" s="3934" t="n"/>
      <c r="AM457" s="3934" t="n"/>
      <c r="AN457" s="3934" t="n"/>
      <c r="AO457" s="3934" t="n"/>
      <c r="AP457" s="3934" t="n"/>
      <c r="AQ457" s="3934" t="n"/>
      <c r="AR457" s="3934" t="n"/>
    </row>
    <row r="458">
      <c r="A458" s="3941" t="n"/>
      <c r="B458" s="3944" t="n"/>
      <c r="C458" s="3944" t="n"/>
      <c r="D458" s="3944" t="n"/>
      <c r="E458" s="3944" t="n"/>
      <c r="F458" s="3944" t="n"/>
      <c r="G458" s="3944" t="n"/>
      <c r="H458" s="3944" t="n"/>
      <c r="I458" s="3944" t="n"/>
      <c r="J458" s="3944" t="n"/>
      <c r="K458" s="3942">
        <f>IF(A458="","",SUM(E458:J458))</f>
        <v/>
      </c>
      <c r="L458" s="3934" t="n"/>
      <c r="M458" s="3934" t="n"/>
      <c r="N458" s="3934" t="n"/>
      <c r="O458" s="3934" t="n"/>
      <c r="P458" s="3934" t="n"/>
      <c r="Q458" s="3934" t="n"/>
      <c r="R458" s="3934" t="n"/>
      <c r="S458" s="3934" t="n"/>
      <c r="T458" s="3934" t="n"/>
      <c r="U458" s="3934" t="n"/>
      <c r="V458" s="3934" t="n"/>
      <c r="W458" s="3934" t="n"/>
      <c r="X458" s="3934" t="n"/>
      <c r="Y458" s="3934" t="n"/>
      <c r="Z458" s="3934" t="n"/>
      <c r="AA458" s="3934" t="n"/>
      <c r="AB458" s="3934" t="n"/>
      <c r="AC458" s="3934" t="n"/>
      <c r="AD458" s="3934" t="n"/>
      <c r="AE458" s="3934" t="n"/>
      <c r="AF458" s="3934" t="n"/>
      <c r="AG458" s="3934" t="n"/>
      <c r="AH458" s="3934" t="n"/>
      <c r="AI458" s="3934" t="n"/>
      <c r="AJ458" s="3934" t="n"/>
      <c r="AK458" s="3934" t="n"/>
      <c r="AL458" s="3934" t="n"/>
      <c r="AM458" s="3934" t="n"/>
      <c r="AN458" s="3934" t="n"/>
      <c r="AO458" s="3934" t="n"/>
      <c r="AP458" s="3934" t="n"/>
      <c r="AQ458" s="3934" t="n"/>
      <c r="AR458" s="3934" t="n"/>
    </row>
    <row r="459">
      <c r="A459" s="3941" t="n"/>
      <c r="B459" s="3944" t="n"/>
      <c r="C459" s="3944" t="n"/>
      <c r="D459" s="3944" t="n"/>
      <c r="E459" s="3944" t="n"/>
      <c r="F459" s="3944" t="n"/>
      <c r="G459" s="3944" t="n"/>
      <c r="H459" s="3944" t="n"/>
      <c r="I459" s="3944" t="n"/>
      <c r="J459" s="3944" t="n"/>
      <c r="K459" s="3942">
        <f>IF(A459="","",SUM(E459:J459))</f>
        <v/>
      </c>
      <c r="L459" s="3934" t="n"/>
      <c r="M459" s="3934" t="n"/>
      <c r="N459" s="3934" t="n"/>
      <c r="O459" s="3934" t="n"/>
      <c r="P459" s="3934" t="n"/>
      <c r="Q459" s="3934" t="n"/>
      <c r="R459" s="3934" t="n"/>
      <c r="S459" s="3934" t="n"/>
      <c r="T459" s="3934" t="n"/>
      <c r="U459" s="3934" t="n"/>
      <c r="V459" s="3934" t="n"/>
      <c r="W459" s="3934" t="n"/>
      <c r="X459" s="3934" t="n"/>
      <c r="Y459" s="3934" t="n"/>
      <c r="Z459" s="3934" t="n"/>
      <c r="AA459" s="3934" t="n"/>
      <c r="AB459" s="3934" t="n"/>
      <c r="AC459" s="3934" t="n"/>
      <c r="AD459" s="3934" t="n"/>
      <c r="AE459" s="3934" t="n"/>
      <c r="AF459" s="3934" t="n"/>
      <c r="AG459" s="3934" t="n"/>
      <c r="AH459" s="3934" t="n"/>
      <c r="AI459" s="3934" t="n"/>
      <c r="AJ459" s="3934" t="n"/>
      <c r="AK459" s="3934" t="n"/>
      <c r="AL459" s="3934" t="n"/>
      <c r="AM459" s="3934" t="n"/>
      <c r="AN459" s="3934" t="n"/>
      <c r="AO459" s="3934" t="n"/>
      <c r="AP459" s="3934" t="n"/>
      <c r="AQ459" s="3934" t="n"/>
      <c r="AR459" s="3934" t="n"/>
    </row>
    <row r="460">
      <c r="A460" s="3941" t="n"/>
      <c r="B460" s="3944" t="n"/>
      <c r="C460" s="3944" t="n"/>
      <c r="D460" s="3944" t="n"/>
      <c r="E460" s="3944" t="n"/>
      <c r="F460" s="3944" t="n"/>
      <c r="G460" s="3944" t="n"/>
      <c r="H460" s="3944" t="n"/>
      <c r="I460" s="3944" t="n"/>
      <c r="J460" s="3944" t="n"/>
      <c r="K460" s="3942">
        <f>IF(A460="","",SUM(E460:J460))</f>
        <v/>
      </c>
      <c r="L460" s="3934" t="n"/>
      <c r="M460" s="3934" t="n"/>
      <c r="N460" s="3934" t="n"/>
      <c r="O460" s="3934" t="n"/>
      <c r="P460" s="3934" t="n"/>
      <c r="Q460" s="3934" t="n"/>
      <c r="R460" s="3934" t="n"/>
      <c r="S460" s="3934" t="n"/>
      <c r="T460" s="3934" t="n"/>
      <c r="U460" s="3934" t="n"/>
      <c r="V460" s="3934" t="n"/>
      <c r="W460" s="3934" t="n"/>
      <c r="X460" s="3934" t="n"/>
      <c r="Y460" s="3934" t="n"/>
      <c r="Z460" s="3934" t="n"/>
      <c r="AA460" s="3934" t="n"/>
      <c r="AB460" s="3934" t="n"/>
      <c r="AC460" s="3934" t="n"/>
      <c r="AD460" s="3934" t="n"/>
      <c r="AE460" s="3934" t="n"/>
      <c r="AF460" s="3934" t="n"/>
      <c r="AG460" s="3934" t="n"/>
      <c r="AH460" s="3934" t="n"/>
      <c r="AI460" s="3934" t="n"/>
      <c r="AJ460" s="3934" t="n"/>
      <c r="AK460" s="3934" t="n"/>
      <c r="AL460" s="3934" t="n"/>
      <c r="AM460" s="3934" t="n"/>
      <c r="AN460" s="3934" t="n"/>
      <c r="AO460" s="3934" t="n"/>
      <c r="AP460" s="3934" t="n"/>
      <c r="AQ460" s="3934" t="n"/>
      <c r="AR460" s="3934" t="n"/>
    </row>
    <row r="461">
      <c r="A461" s="3941" t="n"/>
      <c r="B461" s="3944" t="n"/>
      <c r="C461" s="3944" t="n"/>
      <c r="D461" s="3944" t="n"/>
      <c r="E461" s="3944" t="n"/>
      <c r="F461" s="3944" t="n"/>
      <c r="G461" s="3944" t="n"/>
      <c r="H461" s="3944" t="n"/>
      <c r="I461" s="3944" t="n"/>
      <c r="J461" s="3944" t="n"/>
      <c r="K461" s="3942">
        <f>IF(A461="","",SUM(E461:J461))</f>
        <v/>
      </c>
      <c r="L461" s="3934" t="n"/>
      <c r="M461" s="3934" t="n"/>
      <c r="N461" s="3934" t="n"/>
      <c r="O461" s="3934" t="n"/>
      <c r="P461" s="3934" t="n"/>
      <c r="Q461" s="3934" t="n"/>
      <c r="R461" s="3934" t="n"/>
      <c r="S461" s="3934" t="n"/>
      <c r="T461" s="3934" t="n"/>
      <c r="U461" s="3934" t="n"/>
      <c r="V461" s="3934" t="n"/>
      <c r="W461" s="3934" t="n"/>
      <c r="X461" s="3934" t="n"/>
      <c r="Y461" s="3934" t="n"/>
      <c r="Z461" s="3934" t="n"/>
      <c r="AA461" s="3934" t="n"/>
      <c r="AB461" s="3934" t="n"/>
      <c r="AC461" s="3934" t="n"/>
      <c r="AD461" s="3934" t="n"/>
      <c r="AE461" s="3934" t="n"/>
      <c r="AF461" s="3934" t="n"/>
      <c r="AG461" s="3934" t="n"/>
      <c r="AH461" s="3934" t="n"/>
      <c r="AI461" s="3934" t="n"/>
      <c r="AJ461" s="3934" t="n"/>
      <c r="AK461" s="3934" t="n"/>
      <c r="AL461" s="3934" t="n"/>
      <c r="AM461" s="3934" t="n"/>
      <c r="AN461" s="3934" t="n"/>
      <c r="AO461" s="3934" t="n"/>
      <c r="AP461" s="3934" t="n"/>
      <c r="AQ461" s="3934" t="n"/>
      <c r="AR461" s="3934" t="n"/>
    </row>
    <row r="462">
      <c r="A462" s="3941" t="n"/>
      <c r="B462" s="3944" t="n"/>
      <c r="C462" s="3944" t="n"/>
      <c r="D462" s="3944" t="n"/>
      <c r="E462" s="3944" t="n"/>
      <c r="F462" s="3944" t="n"/>
      <c r="G462" s="3944" t="n"/>
      <c r="H462" s="3944" t="n"/>
      <c r="I462" s="3944" t="n"/>
      <c r="J462" s="3944" t="n"/>
      <c r="K462" s="3942">
        <f>IF(A462="","",SUM(E462:J462))</f>
        <v/>
      </c>
      <c r="L462" s="3934" t="n"/>
      <c r="M462" s="3934" t="n"/>
      <c r="N462" s="3934" t="n"/>
      <c r="O462" s="3934" t="n"/>
      <c r="P462" s="3934" t="n"/>
      <c r="Q462" s="3934" t="n"/>
      <c r="R462" s="3934" t="n"/>
      <c r="S462" s="3934" t="n"/>
      <c r="T462" s="3934" t="n"/>
      <c r="U462" s="3934" t="n"/>
      <c r="V462" s="3934" t="n"/>
      <c r="W462" s="3934" t="n"/>
      <c r="X462" s="3934" t="n"/>
      <c r="Y462" s="3934" t="n"/>
      <c r="Z462" s="3934" t="n"/>
      <c r="AA462" s="3934" t="n"/>
      <c r="AB462" s="3934" t="n"/>
      <c r="AC462" s="3934" t="n"/>
      <c r="AD462" s="3934" t="n"/>
      <c r="AE462" s="3934" t="n"/>
      <c r="AF462" s="3934" t="n"/>
      <c r="AG462" s="3934" t="n"/>
      <c r="AH462" s="3934" t="n"/>
      <c r="AI462" s="3934" t="n"/>
      <c r="AJ462" s="3934" t="n"/>
      <c r="AK462" s="3934" t="n"/>
      <c r="AL462" s="3934" t="n"/>
      <c r="AM462" s="3934" t="n"/>
      <c r="AN462" s="3934" t="n"/>
      <c r="AO462" s="3934" t="n"/>
      <c r="AP462" s="3934" t="n"/>
      <c r="AQ462" s="3934" t="n"/>
      <c r="AR462" s="3934" t="n"/>
    </row>
    <row r="463">
      <c r="A463" s="3941" t="n"/>
      <c r="B463" s="3944" t="n"/>
      <c r="C463" s="3944" t="n"/>
      <c r="D463" s="3944" t="n"/>
      <c r="E463" s="3944" t="n"/>
      <c r="F463" s="3944" t="n"/>
      <c r="G463" s="3944" t="n"/>
      <c r="H463" s="3944" t="n"/>
      <c r="I463" s="3944" t="n"/>
      <c r="J463" s="3944" t="n"/>
      <c r="K463" s="3942">
        <f>IF(A463="","",SUM(E463:J463))</f>
        <v/>
      </c>
      <c r="L463" s="3934" t="n"/>
      <c r="M463" s="3934" t="n"/>
      <c r="N463" s="3934" t="n"/>
      <c r="O463" s="3934" t="n"/>
      <c r="P463" s="3934" t="n"/>
      <c r="Q463" s="3934" t="n"/>
      <c r="R463" s="3934" t="n"/>
      <c r="S463" s="3934" t="n"/>
      <c r="T463" s="3934" t="n"/>
      <c r="U463" s="3934" t="n"/>
      <c r="V463" s="3934" t="n"/>
      <c r="W463" s="3934" t="n"/>
      <c r="X463" s="3934" t="n"/>
      <c r="Y463" s="3934" t="n"/>
      <c r="Z463" s="3934" t="n"/>
      <c r="AA463" s="3934" t="n"/>
      <c r="AB463" s="3934" t="n"/>
      <c r="AC463" s="3934" t="n"/>
      <c r="AD463" s="3934" t="n"/>
      <c r="AE463" s="3934" t="n"/>
      <c r="AF463" s="3934" t="n"/>
      <c r="AG463" s="3934" t="n"/>
      <c r="AH463" s="3934" t="n"/>
      <c r="AI463" s="3934" t="n"/>
      <c r="AJ463" s="3934" t="n"/>
      <c r="AK463" s="3934" t="n"/>
      <c r="AL463" s="3934" t="n"/>
      <c r="AM463" s="3934" t="n"/>
      <c r="AN463" s="3934" t="n"/>
      <c r="AO463" s="3934" t="n"/>
      <c r="AP463" s="3934" t="n"/>
      <c r="AQ463" s="3934" t="n"/>
      <c r="AR463" s="3934" t="n"/>
    </row>
    <row r="464">
      <c r="A464" s="3941" t="n"/>
      <c r="B464" s="3944" t="n"/>
      <c r="C464" s="3944" t="n"/>
      <c r="D464" s="3944" t="n"/>
      <c r="E464" s="3944" t="n"/>
      <c r="F464" s="3944" t="n"/>
      <c r="G464" s="3944" t="n"/>
      <c r="H464" s="3944" t="n"/>
      <c r="I464" s="3944" t="n"/>
      <c r="J464" s="3944" t="n"/>
      <c r="K464" s="3942">
        <f>IF(A464="","",SUM(E464:J464))</f>
        <v/>
      </c>
      <c r="L464" s="3934" t="n"/>
      <c r="M464" s="3934" t="n"/>
      <c r="N464" s="3934" t="n"/>
      <c r="O464" s="3934" t="n"/>
      <c r="P464" s="3934" t="n"/>
      <c r="Q464" s="3934" t="n"/>
      <c r="R464" s="3934" t="n"/>
      <c r="S464" s="3934" t="n"/>
      <c r="T464" s="3934" t="n"/>
      <c r="U464" s="3934" t="n"/>
      <c r="V464" s="3934" t="n"/>
      <c r="W464" s="3934" t="n"/>
      <c r="X464" s="3934" t="n"/>
      <c r="Y464" s="3934" t="n"/>
      <c r="Z464" s="3934" t="n"/>
      <c r="AA464" s="3934" t="n"/>
      <c r="AB464" s="3934" t="n"/>
      <c r="AC464" s="3934" t="n"/>
      <c r="AD464" s="3934" t="n"/>
      <c r="AE464" s="3934" t="n"/>
      <c r="AF464" s="3934" t="n"/>
      <c r="AG464" s="3934" t="n"/>
      <c r="AH464" s="3934" t="n"/>
      <c r="AI464" s="3934" t="n"/>
      <c r="AJ464" s="3934" t="n"/>
      <c r="AK464" s="3934" t="n"/>
      <c r="AL464" s="3934" t="n"/>
      <c r="AM464" s="3934" t="n"/>
      <c r="AN464" s="3934" t="n"/>
      <c r="AO464" s="3934" t="n"/>
      <c r="AP464" s="3934" t="n"/>
      <c r="AQ464" s="3934" t="n"/>
      <c r="AR464" s="3934" t="n"/>
    </row>
    <row r="465">
      <c r="A465" s="3941" t="n"/>
      <c r="B465" s="3944" t="n"/>
      <c r="C465" s="3944" t="n"/>
      <c r="D465" s="3944" t="n"/>
      <c r="E465" s="3944" t="n"/>
      <c r="F465" s="3944" t="n"/>
      <c r="G465" s="3944" t="n"/>
      <c r="H465" s="3944" t="n"/>
      <c r="I465" s="3944" t="n"/>
      <c r="J465" s="3944" t="n"/>
      <c r="K465" s="3942">
        <f>IF(A465="","",SUM(E465:J465))</f>
        <v/>
      </c>
      <c r="L465" s="3934" t="n"/>
      <c r="M465" s="3934" t="n"/>
      <c r="N465" s="3934" t="n"/>
      <c r="O465" s="3934" t="n"/>
      <c r="P465" s="3934" t="n"/>
      <c r="Q465" s="3934" t="n"/>
      <c r="R465" s="3934" t="n"/>
      <c r="S465" s="3934" t="n"/>
      <c r="T465" s="3934" t="n"/>
      <c r="U465" s="3934" t="n"/>
      <c r="V465" s="3934" t="n"/>
      <c r="W465" s="3934" t="n"/>
      <c r="X465" s="3934" t="n"/>
      <c r="Y465" s="3934" t="n"/>
      <c r="Z465" s="3934" t="n"/>
      <c r="AA465" s="3934" t="n"/>
      <c r="AB465" s="3934" t="n"/>
      <c r="AC465" s="3934" t="n"/>
      <c r="AD465" s="3934" t="n"/>
      <c r="AE465" s="3934" t="n"/>
      <c r="AF465" s="3934" t="n"/>
      <c r="AG465" s="3934" t="n"/>
      <c r="AH465" s="3934" t="n"/>
      <c r="AI465" s="3934" t="n"/>
      <c r="AJ465" s="3934" t="n"/>
      <c r="AK465" s="3934" t="n"/>
      <c r="AL465" s="3934" t="n"/>
      <c r="AM465" s="3934" t="n"/>
      <c r="AN465" s="3934" t="n"/>
      <c r="AO465" s="3934" t="n"/>
      <c r="AP465" s="3934" t="n"/>
      <c r="AQ465" s="3934" t="n"/>
      <c r="AR465" s="3934" t="n"/>
    </row>
    <row r="466">
      <c r="A466" s="3941" t="n"/>
      <c r="B466" s="3944" t="n"/>
      <c r="C466" s="3944" t="n"/>
      <c r="D466" s="3944" t="n"/>
      <c r="E466" s="3944" t="n"/>
      <c r="F466" s="3944" t="n"/>
      <c r="G466" s="3944" t="n"/>
      <c r="H466" s="3944" t="n"/>
      <c r="I466" s="3944" t="n"/>
      <c r="J466" s="3944" t="n"/>
      <c r="K466" s="3942">
        <f>IF(A466="","",SUM(E466:J466))</f>
        <v/>
      </c>
      <c r="L466" s="3934" t="n"/>
      <c r="M466" s="3934" t="n"/>
      <c r="N466" s="3934" t="n"/>
      <c r="O466" s="3934" t="n"/>
      <c r="P466" s="3934" t="n"/>
      <c r="Q466" s="3934" t="n"/>
      <c r="R466" s="3934" t="n"/>
      <c r="S466" s="3934" t="n"/>
      <c r="T466" s="3934" t="n"/>
      <c r="U466" s="3934" t="n"/>
      <c r="V466" s="3934" t="n"/>
      <c r="W466" s="3934" t="n"/>
      <c r="X466" s="3934" t="n"/>
      <c r="Y466" s="3934" t="n"/>
      <c r="Z466" s="3934" t="n"/>
      <c r="AA466" s="3934" t="n"/>
      <c r="AB466" s="3934" t="n"/>
      <c r="AC466" s="3934" t="n"/>
      <c r="AD466" s="3934" t="n"/>
      <c r="AE466" s="3934" t="n"/>
      <c r="AF466" s="3934" t="n"/>
      <c r="AG466" s="3934" t="n"/>
      <c r="AH466" s="3934" t="n"/>
      <c r="AI466" s="3934" t="n"/>
      <c r="AJ466" s="3934" t="n"/>
      <c r="AK466" s="3934" t="n"/>
      <c r="AL466" s="3934" t="n"/>
      <c r="AM466" s="3934" t="n"/>
      <c r="AN466" s="3934" t="n"/>
      <c r="AO466" s="3934" t="n"/>
      <c r="AP466" s="3934" t="n"/>
      <c r="AQ466" s="3934" t="n"/>
      <c r="AR466" s="3934" t="n"/>
    </row>
    <row r="467">
      <c r="A467" s="3941" t="n"/>
      <c r="B467" s="3944" t="n"/>
      <c r="C467" s="3944" t="n"/>
      <c r="D467" s="3944" t="n"/>
      <c r="E467" s="3944" t="n"/>
      <c r="F467" s="3944" t="n"/>
      <c r="G467" s="3944" t="n"/>
      <c r="H467" s="3944" t="n"/>
      <c r="I467" s="3944" t="n"/>
      <c r="J467" s="3944" t="n"/>
      <c r="K467" s="3942">
        <f>IF(A467="","",SUM(E467:J467))</f>
        <v/>
      </c>
      <c r="L467" s="3934" t="n"/>
      <c r="M467" s="3934" t="n"/>
      <c r="N467" s="3934" t="n"/>
      <c r="O467" s="3934" t="n"/>
      <c r="P467" s="3934" t="n"/>
      <c r="Q467" s="3934" t="n"/>
      <c r="R467" s="3934" t="n"/>
      <c r="S467" s="3934" t="n"/>
      <c r="T467" s="3934" t="n"/>
      <c r="U467" s="3934" t="n"/>
      <c r="V467" s="3934" t="n"/>
      <c r="W467" s="3934" t="n"/>
      <c r="X467" s="3934" t="n"/>
      <c r="Y467" s="3934" t="n"/>
      <c r="Z467" s="3934" t="n"/>
      <c r="AA467" s="3934" t="n"/>
      <c r="AB467" s="3934" t="n"/>
      <c r="AC467" s="3934" t="n"/>
      <c r="AD467" s="3934" t="n"/>
      <c r="AE467" s="3934" t="n"/>
      <c r="AF467" s="3934" t="n"/>
      <c r="AG467" s="3934" t="n"/>
      <c r="AH467" s="3934" t="n"/>
      <c r="AI467" s="3934" t="n"/>
      <c r="AJ467" s="3934" t="n"/>
      <c r="AK467" s="3934" t="n"/>
      <c r="AL467" s="3934" t="n"/>
      <c r="AM467" s="3934" t="n"/>
      <c r="AN467" s="3934" t="n"/>
      <c r="AO467" s="3934" t="n"/>
      <c r="AP467" s="3934" t="n"/>
      <c r="AQ467" s="3934" t="n"/>
      <c r="AR467" s="3934" t="n"/>
    </row>
    <row r="468">
      <c r="A468" s="3941" t="n"/>
      <c r="B468" s="3944" t="n"/>
      <c r="C468" s="3944" t="n"/>
      <c r="D468" s="3944" t="n"/>
      <c r="E468" s="3944" t="n"/>
      <c r="F468" s="3944" t="n"/>
      <c r="G468" s="3944" t="n"/>
      <c r="H468" s="3944" t="n"/>
      <c r="I468" s="3944" t="n"/>
      <c r="J468" s="3944" t="n"/>
      <c r="K468" s="3942">
        <f>IF(A468="","",SUM(E468:J468))</f>
        <v/>
      </c>
      <c r="L468" s="3934" t="n"/>
      <c r="M468" s="3934" t="n"/>
      <c r="N468" s="3934" t="n"/>
      <c r="O468" s="3934" t="n"/>
      <c r="P468" s="3934" t="n"/>
      <c r="Q468" s="3934" t="n"/>
      <c r="R468" s="3934" t="n"/>
      <c r="S468" s="3934" t="n"/>
      <c r="T468" s="3934" t="n"/>
      <c r="U468" s="3934" t="n"/>
      <c r="V468" s="3934" t="n"/>
      <c r="W468" s="3934" t="n"/>
      <c r="X468" s="3934" t="n"/>
      <c r="Y468" s="3934" t="n"/>
      <c r="Z468" s="3934" t="n"/>
      <c r="AA468" s="3934" t="n"/>
      <c r="AB468" s="3934" t="n"/>
      <c r="AC468" s="3934" t="n"/>
      <c r="AD468" s="3934" t="n"/>
      <c r="AE468" s="3934" t="n"/>
      <c r="AF468" s="3934" t="n"/>
      <c r="AG468" s="3934" t="n"/>
      <c r="AH468" s="3934" t="n"/>
      <c r="AI468" s="3934" t="n"/>
      <c r="AJ468" s="3934" t="n"/>
      <c r="AK468" s="3934" t="n"/>
      <c r="AL468" s="3934" t="n"/>
      <c r="AM468" s="3934" t="n"/>
      <c r="AN468" s="3934" t="n"/>
      <c r="AO468" s="3934" t="n"/>
      <c r="AP468" s="3934" t="n"/>
      <c r="AQ468" s="3934" t="n"/>
      <c r="AR468" s="3934" t="n"/>
    </row>
    <row r="469">
      <c r="A469" s="3941" t="n"/>
      <c r="B469" s="3944" t="n"/>
      <c r="C469" s="3944" t="n"/>
      <c r="D469" s="3944" t="n"/>
      <c r="E469" s="3944" t="n"/>
      <c r="F469" s="3944" t="n"/>
      <c r="G469" s="3944" t="n"/>
      <c r="H469" s="3944" t="n"/>
      <c r="I469" s="3944" t="n"/>
      <c r="J469" s="3944" t="n"/>
      <c r="K469" s="3942">
        <f>IF(A469="","",SUM(E469:J469))</f>
        <v/>
      </c>
      <c r="L469" s="3934" t="n"/>
      <c r="M469" s="3934" t="n"/>
      <c r="N469" s="3934" t="n"/>
      <c r="O469" s="3934" t="n"/>
      <c r="P469" s="3934" t="n"/>
      <c r="Q469" s="3934" t="n"/>
      <c r="R469" s="3934" t="n"/>
      <c r="S469" s="3934" t="n"/>
      <c r="T469" s="3934" t="n"/>
      <c r="U469" s="3934" t="n"/>
      <c r="V469" s="3934" t="n"/>
      <c r="W469" s="3934" t="n"/>
      <c r="X469" s="3934" t="n"/>
      <c r="Y469" s="3934" t="n"/>
      <c r="Z469" s="3934" t="n"/>
      <c r="AA469" s="3934" t="n"/>
      <c r="AB469" s="3934" t="n"/>
      <c r="AC469" s="3934" t="n"/>
      <c r="AD469" s="3934" t="n"/>
      <c r="AE469" s="3934" t="n"/>
      <c r="AF469" s="3934" t="n"/>
      <c r="AG469" s="3934" t="n"/>
      <c r="AH469" s="3934" t="n"/>
      <c r="AI469" s="3934" t="n"/>
      <c r="AJ469" s="3934" t="n"/>
      <c r="AK469" s="3934" t="n"/>
      <c r="AL469" s="3934" t="n"/>
      <c r="AM469" s="3934" t="n"/>
      <c r="AN469" s="3934" t="n"/>
      <c r="AO469" s="3934" t="n"/>
      <c r="AP469" s="3934" t="n"/>
      <c r="AQ469" s="3934" t="n"/>
      <c r="AR469" s="3934" t="n"/>
    </row>
    <row r="470">
      <c r="A470" s="3941" t="n"/>
      <c r="B470" s="3944" t="n"/>
      <c r="C470" s="3944" t="n"/>
      <c r="D470" s="3944" t="n"/>
      <c r="E470" s="3944" t="n"/>
      <c r="F470" s="3944" t="n"/>
      <c r="G470" s="3944" t="n"/>
      <c r="H470" s="3944" t="n"/>
      <c r="I470" s="3944" t="n"/>
      <c r="J470" s="3944" t="n"/>
      <c r="K470" s="3942">
        <f>IF(A470="","",SUM(E470:J470))</f>
        <v/>
      </c>
      <c r="L470" s="3934" t="n"/>
      <c r="M470" s="3934" t="n"/>
      <c r="N470" s="3934" t="n"/>
      <c r="O470" s="3934" t="n"/>
      <c r="P470" s="3934" t="n"/>
      <c r="Q470" s="3934" t="n"/>
      <c r="R470" s="3934" t="n"/>
      <c r="S470" s="3934" t="n"/>
      <c r="T470" s="3934" t="n"/>
      <c r="U470" s="3934" t="n"/>
      <c r="V470" s="3934" t="n"/>
      <c r="W470" s="3934" t="n"/>
      <c r="X470" s="3934" t="n"/>
      <c r="Y470" s="3934" t="n"/>
      <c r="Z470" s="3934" t="n"/>
      <c r="AA470" s="3934" t="n"/>
      <c r="AB470" s="3934" t="n"/>
      <c r="AC470" s="3934" t="n"/>
      <c r="AD470" s="3934" t="n"/>
      <c r="AE470" s="3934" t="n"/>
      <c r="AF470" s="3934" t="n"/>
      <c r="AG470" s="3934" t="n"/>
      <c r="AH470" s="3934" t="n"/>
      <c r="AI470" s="3934" t="n"/>
      <c r="AJ470" s="3934" t="n"/>
      <c r="AK470" s="3934" t="n"/>
      <c r="AL470" s="3934" t="n"/>
      <c r="AM470" s="3934" t="n"/>
      <c r="AN470" s="3934" t="n"/>
      <c r="AO470" s="3934" t="n"/>
      <c r="AP470" s="3934" t="n"/>
      <c r="AQ470" s="3934" t="n"/>
      <c r="AR470" s="3934" t="n"/>
    </row>
    <row r="471">
      <c r="A471" s="3941" t="n"/>
      <c r="B471" s="3944" t="n"/>
      <c r="C471" s="3944" t="n"/>
      <c r="D471" s="3944" t="n"/>
      <c r="E471" s="3944" t="n"/>
      <c r="F471" s="3944" t="n"/>
      <c r="G471" s="3944" t="n"/>
      <c r="H471" s="3944" t="n"/>
      <c r="I471" s="3944" t="n"/>
      <c r="J471" s="3944" t="n"/>
      <c r="K471" s="3942">
        <f>IF(A471="","",SUM(E471:J471))</f>
        <v/>
      </c>
      <c r="L471" s="3934" t="n"/>
      <c r="M471" s="3934" t="n"/>
      <c r="N471" s="3934" t="n"/>
      <c r="O471" s="3934" t="n"/>
      <c r="P471" s="3934" t="n"/>
      <c r="Q471" s="3934" t="n"/>
      <c r="R471" s="3934" t="n"/>
      <c r="S471" s="3934" t="n"/>
      <c r="T471" s="3934" t="n"/>
      <c r="U471" s="3934" t="n"/>
      <c r="V471" s="3934" t="n"/>
      <c r="W471" s="3934" t="n"/>
      <c r="X471" s="3934" t="n"/>
      <c r="Y471" s="3934" t="n"/>
      <c r="Z471" s="3934" t="n"/>
      <c r="AA471" s="3934" t="n"/>
      <c r="AB471" s="3934" t="n"/>
      <c r="AC471" s="3934" t="n"/>
      <c r="AD471" s="3934" t="n"/>
      <c r="AE471" s="3934" t="n"/>
      <c r="AF471" s="3934" t="n"/>
      <c r="AG471" s="3934" t="n"/>
      <c r="AH471" s="3934" t="n"/>
      <c r="AI471" s="3934" t="n"/>
      <c r="AJ471" s="3934" t="n"/>
      <c r="AK471" s="3934" t="n"/>
      <c r="AL471" s="3934" t="n"/>
      <c r="AM471" s="3934" t="n"/>
      <c r="AN471" s="3934" t="n"/>
      <c r="AO471" s="3934" t="n"/>
      <c r="AP471" s="3934" t="n"/>
      <c r="AQ471" s="3934" t="n"/>
      <c r="AR471" s="3934" t="n"/>
    </row>
    <row r="472">
      <c r="A472" s="3941" t="n"/>
      <c r="B472" s="3944" t="n"/>
      <c r="C472" s="3944" t="n"/>
      <c r="D472" s="3944" t="n"/>
      <c r="E472" s="3944" t="n"/>
      <c r="F472" s="3944" t="n"/>
      <c r="G472" s="3944" t="n"/>
      <c r="H472" s="3944" t="n"/>
      <c r="I472" s="3944" t="n"/>
      <c r="J472" s="3944" t="n"/>
      <c r="K472" s="3942">
        <f>IF(A472="","",SUM(E472:J472))</f>
        <v/>
      </c>
      <c r="L472" s="3934" t="n"/>
      <c r="M472" s="3934" t="n"/>
      <c r="N472" s="3934" t="n"/>
      <c r="O472" s="3934" t="n"/>
      <c r="P472" s="3934" t="n"/>
      <c r="Q472" s="3934" t="n"/>
      <c r="R472" s="3934" t="n"/>
      <c r="S472" s="3934" t="n"/>
      <c r="T472" s="3934" t="n"/>
      <c r="U472" s="3934" t="n"/>
      <c r="V472" s="3934" t="n"/>
      <c r="W472" s="3934" t="n"/>
      <c r="X472" s="3934" t="n"/>
      <c r="Y472" s="3934" t="n"/>
      <c r="Z472" s="3934" t="n"/>
      <c r="AA472" s="3934" t="n"/>
      <c r="AB472" s="3934" t="n"/>
      <c r="AC472" s="3934" t="n"/>
      <c r="AD472" s="3934" t="n"/>
      <c r="AE472" s="3934" t="n"/>
      <c r="AF472" s="3934" t="n"/>
      <c r="AG472" s="3934" t="n"/>
      <c r="AH472" s="3934" t="n"/>
      <c r="AI472" s="3934" t="n"/>
      <c r="AJ472" s="3934" t="n"/>
      <c r="AK472" s="3934" t="n"/>
      <c r="AL472" s="3934" t="n"/>
      <c r="AM472" s="3934" t="n"/>
      <c r="AN472" s="3934" t="n"/>
      <c r="AO472" s="3934" t="n"/>
      <c r="AP472" s="3934" t="n"/>
      <c r="AQ472" s="3934" t="n"/>
      <c r="AR472" s="3934" t="n"/>
    </row>
    <row r="473">
      <c r="A473" s="3941" t="n"/>
      <c r="B473" s="3944" t="n"/>
      <c r="C473" s="3944" t="n"/>
      <c r="D473" s="3944" t="n"/>
      <c r="E473" s="3944" t="n"/>
      <c r="F473" s="3944" t="n"/>
      <c r="G473" s="3944" t="n"/>
      <c r="H473" s="3944" t="n"/>
      <c r="I473" s="3944" t="n"/>
      <c r="J473" s="3944" t="n"/>
      <c r="K473" s="3942">
        <f>IF(A473="","",SUM(E473:J473))</f>
        <v/>
      </c>
      <c r="L473" s="3934" t="n"/>
      <c r="M473" s="3934" t="n"/>
      <c r="N473" s="3934" t="n"/>
      <c r="O473" s="3934" t="n"/>
      <c r="P473" s="3934" t="n"/>
      <c r="Q473" s="3934" t="n"/>
      <c r="R473" s="3934" t="n"/>
      <c r="S473" s="3934" t="n"/>
      <c r="T473" s="3934" t="n"/>
      <c r="U473" s="3934" t="n"/>
      <c r="V473" s="3934" t="n"/>
      <c r="W473" s="3934" t="n"/>
      <c r="X473" s="3934" t="n"/>
      <c r="Y473" s="3934" t="n"/>
      <c r="Z473" s="3934" t="n"/>
      <c r="AA473" s="3934" t="n"/>
      <c r="AB473" s="3934" t="n"/>
      <c r="AC473" s="3934" t="n"/>
      <c r="AD473" s="3934" t="n"/>
      <c r="AE473" s="3934" t="n"/>
      <c r="AF473" s="3934" t="n"/>
      <c r="AG473" s="3934" t="n"/>
      <c r="AH473" s="3934" t="n"/>
      <c r="AI473" s="3934" t="n"/>
      <c r="AJ473" s="3934" t="n"/>
      <c r="AK473" s="3934" t="n"/>
      <c r="AL473" s="3934" t="n"/>
      <c r="AM473" s="3934" t="n"/>
      <c r="AN473" s="3934" t="n"/>
      <c r="AO473" s="3934" t="n"/>
      <c r="AP473" s="3934" t="n"/>
      <c r="AQ473" s="3934" t="n"/>
      <c r="AR473" s="3934" t="n"/>
    </row>
    <row r="474">
      <c r="A474" s="3941" t="n"/>
      <c r="B474" s="3944" t="n"/>
      <c r="C474" s="3944" t="n"/>
      <c r="D474" s="3944" t="n"/>
      <c r="E474" s="3944" t="n"/>
      <c r="F474" s="3944" t="n"/>
      <c r="G474" s="3944" t="n"/>
      <c r="H474" s="3944" t="n"/>
      <c r="I474" s="3944" t="n"/>
      <c r="J474" s="3944" t="n"/>
      <c r="K474" s="3942">
        <f>IF(A474="","",SUM(E474:J474))</f>
        <v/>
      </c>
      <c r="L474" s="3934" t="n"/>
      <c r="M474" s="3934" t="n"/>
      <c r="N474" s="3934" t="n"/>
      <c r="O474" s="3934" t="n"/>
      <c r="P474" s="3934" t="n"/>
      <c r="Q474" s="3934" t="n"/>
      <c r="R474" s="3934" t="n"/>
      <c r="S474" s="3934" t="n"/>
      <c r="T474" s="3934" t="n"/>
      <c r="U474" s="3934" t="n"/>
      <c r="V474" s="3934" t="n"/>
      <c r="W474" s="3934" t="n"/>
      <c r="X474" s="3934" t="n"/>
      <c r="Y474" s="3934" t="n"/>
      <c r="Z474" s="3934" t="n"/>
      <c r="AA474" s="3934" t="n"/>
      <c r="AB474" s="3934" t="n"/>
      <c r="AC474" s="3934" t="n"/>
      <c r="AD474" s="3934" t="n"/>
      <c r="AE474" s="3934" t="n"/>
      <c r="AF474" s="3934" t="n"/>
      <c r="AG474" s="3934" t="n"/>
      <c r="AH474" s="3934" t="n"/>
      <c r="AI474" s="3934" t="n"/>
      <c r="AJ474" s="3934" t="n"/>
      <c r="AK474" s="3934" t="n"/>
      <c r="AL474" s="3934" t="n"/>
      <c r="AM474" s="3934" t="n"/>
      <c r="AN474" s="3934" t="n"/>
      <c r="AO474" s="3934" t="n"/>
      <c r="AP474" s="3934" t="n"/>
      <c r="AQ474" s="3934" t="n"/>
      <c r="AR474" s="3934" t="n"/>
    </row>
    <row r="475">
      <c r="A475" s="3941" t="n"/>
      <c r="B475" s="3944" t="n"/>
      <c r="C475" s="3944" t="n"/>
      <c r="D475" s="3944" t="n"/>
      <c r="E475" s="3944" t="n"/>
      <c r="F475" s="3944" t="n"/>
      <c r="G475" s="3944" t="n"/>
      <c r="H475" s="3944" t="n"/>
      <c r="I475" s="3944" t="n"/>
      <c r="J475" s="3944" t="n"/>
      <c r="K475" s="3942">
        <f>IF(A475="","",SUM(E475:J475))</f>
        <v/>
      </c>
      <c r="L475" s="3934" t="n"/>
      <c r="M475" s="3934" t="n"/>
      <c r="N475" s="3934" t="n"/>
      <c r="O475" s="3934" t="n"/>
      <c r="P475" s="3934" t="n"/>
      <c r="Q475" s="3934" t="n"/>
      <c r="R475" s="3934" t="n"/>
      <c r="S475" s="3934" t="n"/>
      <c r="T475" s="3934" t="n"/>
      <c r="U475" s="3934" t="n"/>
      <c r="V475" s="3934" t="n"/>
      <c r="W475" s="3934" t="n"/>
      <c r="X475" s="3934" t="n"/>
      <c r="Y475" s="3934" t="n"/>
      <c r="Z475" s="3934" t="n"/>
      <c r="AA475" s="3934" t="n"/>
      <c r="AB475" s="3934" t="n"/>
      <c r="AC475" s="3934" t="n"/>
      <c r="AD475" s="3934" t="n"/>
      <c r="AE475" s="3934" t="n"/>
      <c r="AF475" s="3934" t="n"/>
      <c r="AG475" s="3934" t="n"/>
      <c r="AH475" s="3934" t="n"/>
      <c r="AI475" s="3934" t="n"/>
      <c r="AJ475" s="3934" t="n"/>
      <c r="AK475" s="3934" t="n"/>
      <c r="AL475" s="3934" t="n"/>
      <c r="AM475" s="3934" t="n"/>
      <c r="AN475" s="3934" t="n"/>
      <c r="AO475" s="3934" t="n"/>
      <c r="AP475" s="3934" t="n"/>
      <c r="AQ475" s="3934" t="n"/>
      <c r="AR475" s="3934" t="n"/>
    </row>
    <row r="476">
      <c r="A476" s="3941" t="n"/>
      <c r="B476" s="3944" t="n"/>
      <c r="C476" s="3944" t="n"/>
      <c r="D476" s="3944" t="n"/>
      <c r="E476" s="3944" t="n"/>
      <c r="F476" s="3944" t="n"/>
      <c r="G476" s="3944" t="n"/>
      <c r="H476" s="3944" t="n"/>
      <c r="I476" s="3944" t="n"/>
      <c r="J476" s="3944" t="n"/>
      <c r="K476" s="3942">
        <f>IF(A476="","",SUM(E476:J476))</f>
        <v/>
      </c>
      <c r="L476" s="3934" t="n"/>
      <c r="M476" s="3934" t="n"/>
      <c r="N476" s="3934" t="n"/>
      <c r="O476" s="3934" t="n"/>
      <c r="P476" s="3934" t="n"/>
      <c r="Q476" s="3934" t="n"/>
      <c r="R476" s="3934" t="n"/>
      <c r="S476" s="3934" t="n"/>
      <c r="T476" s="3934" t="n"/>
      <c r="U476" s="3934" t="n"/>
      <c r="V476" s="3934" t="n"/>
      <c r="W476" s="3934" t="n"/>
      <c r="X476" s="3934" t="n"/>
      <c r="Y476" s="3934" t="n"/>
      <c r="Z476" s="3934" t="n"/>
      <c r="AA476" s="3934" t="n"/>
      <c r="AB476" s="3934" t="n"/>
      <c r="AC476" s="3934" t="n"/>
      <c r="AD476" s="3934" t="n"/>
      <c r="AE476" s="3934" t="n"/>
      <c r="AF476" s="3934" t="n"/>
      <c r="AG476" s="3934" t="n"/>
      <c r="AH476" s="3934" t="n"/>
      <c r="AI476" s="3934" t="n"/>
      <c r="AJ476" s="3934" t="n"/>
      <c r="AK476" s="3934" t="n"/>
      <c r="AL476" s="3934" t="n"/>
      <c r="AM476" s="3934" t="n"/>
      <c r="AN476" s="3934" t="n"/>
      <c r="AO476" s="3934" t="n"/>
      <c r="AP476" s="3934" t="n"/>
      <c r="AQ476" s="3934" t="n"/>
      <c r="AR476" s="3934" t="n"/>
    </row>
    <row r="477">
      <c r="A477" s="3941" t="n"/>
      <c r="B477" s="3944" t="n"/>
      <c r="C477" s="3944" t="n"/>
      <c r="D477" s="3944" t="n"/>
      <c r="E477" s="3944" t="n"/>
      <c r="F477" s="3944" t="n"/>
      <c r="G477" s="3944" t="n"/>
      <c r="H477" s="3944" t="n"/>
      <c r="I477" s="3944" t="n"/>
      <c r="J477" s="3944" t="n"/>
      <c r="K477" s="3942">
        <f>IF(A477="","",SUM(E477:J477))</f>
        <v/>
      </c>
      <c r="L477" s="3934" t="n"/>
      <c r="M477" s="3934" t="n"/>
      <c r="N477" s="3934" t="n"/>
      <c r="O477" s="3934" t="n"/>
      <c r="P477" s="3934" t="n"/>
      <c r="Q477" s="3934" t="n"/>
      <c r="R477" s="3934" t="n"/>
      <c r="S477" s="3934" t="n"/>
      <c r="T477" s="3934" t="n"/>
      <c r="U477" s="3934" t="n"/>
      <c r="V477" s="3934" t="n"/>
      <c r="W477" s="3934" t="n"/>
      <c r="X477" s="3934" t="n"/>
      <c r="Y477" s="3934" t="n"/>
      <c r="Z477" s="3934" t="n"/>
      <c r="AA477" s="3934" t="n"/>
      <c r="AB477" s="3934" t="n"/>
      <c r="AC477" s="3934" t="n"/>
      <c r="AD477" s="3934" t="n"/>
      <c r="AE477" s="3934" t="n"/>
      <c r="AF477" s="3934" t="n"/>
      <c r="AG477" s="3934" t="n"/>
      <c r="AH477" s="3934" t="n"/>
      <c r="AI477" s="3934" t="n"/>
      <c r="AJ477" s="3934" t="n"/>
      <c r="AK477" s="3934" t="n"/>
      <c r="AL477" s="3934" t="n"/>
      <c r="AM477" s="3934" t="n"/>
      <c r="AN477" s="3934" t="n"/>
      <c r="AO477" s="3934" t="n"/>
      <c r="AP477" s="3934" t="n"/>
      <c r="AQ477" s="3934" t="n"/>
      <c r="AR477" s="3934" t="n"/>
    </row>
    <row r="478">
      <c r="A478" s="3941" t="n"/>
      <c r="B478" s="3944" t="n"/>
      <c r="C478" s="3944" t="n"/>
      <c r="D478" s="3944" t="n"/>
      <c r="E478" s="3944" t="n"/>
      <c r="F478" s="3944" t="n"/>
      <c r="G478" s="3944" t="n"/>
      <c r="H478" s="3944" t="n"/>
      <c r="I478" s="3944" t="n"/>
      <c r="J478" s="3944" t="n"/>
      <c r="K478" s="3942">
        <f>IF(A478="","",SUM(E478:J478))</f>
        <v/>
      </c>
      <c r="L478" s="3934" t="n"/>
      <c r="M478" s="3934" t="n"/>
      <c r="N478" s="3934" t="n"/>
      <c r="O478" s="3934" t="n"/>
      <c r="P478" s="3934" t="n"/>
      <c r="Q478" s="3934" t="n"/>
      <c r="R478" s="3934" t="n"/>
      <c r="S478" s="3934" t="n"/>
      <c r="T478" s="3934" t="n"/>
      <c r="U478" s="3934" t="n"/>
      <c r="V478" s="3934" t="n"/>
      <c r="W478" s="3934" t="n"/>
      <c r="X478" s="3934" t="n"/>
      <c r="Y478" s="3934" t="n"/>
      <c r="Z478" s="3934" t="n"/>
      <c r="AA478" s="3934" t="n"/>
      <c r="AB478" s="3934" t="n"/>
      <c r="AC478" s="3934" t="n"/>
      <c r="AD478" s="3934" t="n"/>
      <c r="AE478" s="3934" t="n"/>
      <c r="AF478" s="3934" t="n"/>
      <c r="AG478" s="3934" t="n"/>
      <c r="AH478" s="3934" t="n"/>
      <c r="AI478" s="3934" t="n"/>
      <c r="AJ478" s="3934" t="n"/>
      <c r="AK478" s="3934" t="n"/>
      <c r="AL478" s="3934" t="n"/>
      <c r="AM478" s="3934" t="n"/>
      <c r="AN478" s="3934" t="n"/>
      <c r="AO478" s="3934" t="n"/>
      <c r="AP478" s="3934" t="n"/>
      <c r="AQ478" s="3934" t="n"/>
      <c r="AR478" s="3934" t="n"/>
    </row>
    <row r="479">
      <c r="A479" s="3941" t="n"/>
      <c r="B479" s="3944" t="n"/>
      <c r="C479" s="3944" t="n"/>
      <c r="D479" s="3944" t="n"/>
      <c r="E479" s="3944" t="n"/>
      <c r="F479" s="3944" t="n"/>
      <c r="G479" s="3944" t="n"/>
      <c r="H479" s="3944" t="n"/>
      <c r="I479" s="3944" t="n"/>
      <c r="J479" s="3944" t="n"/>
      <c r="K479" s="3942">
        <f>IF(A479="","",SUM(E479:J479))</f>
        <v/>
      </c>
      <c r="L479" s="3934" t="n"/>
      <c r="M479" s="3934" t="n"/>
      <c r="N479" s="3934" t="n"/>
      <c r="O479" s="3934" t="n"/>
      <c r="P479" s="3934" t="n"/>
      <c r="Q479" s="3934" t="n"/>
      <c r="R479" s="3934" t="n"/>
      <c r="S479" s="3934" t="n"/>
      <c r="T479" s="3934" t="n"/>
      <c r="U479" s="3934" t="n"/>
      <c r="V479" s="3934" t="n"/>
      <c r="W479" s="3934" t="n"/>
      <c r="X479" s="3934" t="n"/>
      <c r="Y479" s="3934" t="n"/>
      <c r="Z479" s="3934" t="n"/>
      <c r="AA479" s="3934" t="n"/>
      <c r="AB479" s="3934" t="n"/>
      <c r="AC479" s="3934" t="n"/>
      <c r="AD479" s="3934" t="n"/>
      <c r="AE479" s="3934" t="n"/>
      <c r="AF479" s="3934" t="n"/>
      <c r="AG479" s="3934" t="n"/>
      <c r="AH479" s="3934" t="n"/>
      <c r="AI479" s="3934" t="n"/>
      <c r="AJ479" s="3934" t="n"/>
      <c r="AK479" s="3934" t="n"/>
      <c r="AL479" s="3934" t="n"/>
      <c r="AM479" s="3934" t="n"/>
      <c r="AN479" s="3934" t="n"/>
      <c r="AO479" s="3934" t="n"/>
      <c r="AP479" s="3934" t="n"/>
      <c r="AQ479" s="3934" t="n"/>
      <c r="AR479" s="3934" t="n"/>
    </row>
    <row r="480">
      <c r="A480" s="3941" t="n"/>
      <c r="B480" s="3944" t="n"/>
      <c r="C480" s="3944" t="n"/>
      <c r="D480" s="3944" t="n"/>
      <c r="E480" s="3944" t="n"/>
      <c r="F480" s="3944" t="n"/>
      <c r="G480" s="3944" t="n"/>
      <c r="H480" s="3944" t="n"/>
      <c r="I480" s="3944" t="n"/>
      <c r="J480" s="3944" t="n"/>
      <c r="K480" s="3942">
        <f>IF(A480="","",SUM(E480:J480))</f>
        <v/>
      </c>
      <c r="L480" s="3934" t="n"/>
      <c r="M480" s="3934" t="n"/>
      <c r="N480" s="3934" t="n"/>
      <c r="O480" s="3934" t="n"/>
      <c r="P480" s="3934" t="n"/>
      <c r="Q480" s="3934" t="n"/>
      <c r="R480" s="3934" t="n"/>
      <c r="S480" s="3934" t="n"/>
      <c r="T480" s="3934" t="n"/>
      <c r="U480" s="3934" t="n"/>
      <c r="V480" s="3934" t="n"/>
      <c r="W480" s="3934" t="n"/>
      <c r="X480" s="3934" t="n"/>
      <c r="Y480" s="3934" t="n"/>
      <c r="Z480" s="3934" t="n"/>
      <c r="AA480" s="3934" t="n"/>
      <c r="AB480" s="3934" t="n"/>
      <c r="AC480" s="3934" t="n"/>
      <c r="AD480" s="3934" t="n"/>
      <c r="AE480" s="3934" t="n"/>
      <c r="AF480" s="3934" t="n"/>
      <c r="AG480" s="3934" t="n"/>
      <c r="AH480" s="3934" t="n"/>
      <c r="AI480" s="3934" t="n"/>
      <c r="AJ480" s="3934" t="n"/>
      <c r="AK480" s="3934" t="n"/>
      <c r="AL480" s="3934" t="n"/>
      <c r="AM480" s="3934" t="n"/>
      <c r="AN480" s="3934" t="n"/>
      <c r="AO480" s="3934" t="n"/>
      <c r="AP480" s="3934" t="n"/>
      <c r="AQ480" s="3934" t="n"/>
      <c r="AR480" s="3934" t="n"/>
    </row>
    <row r="481">
      <c r="A481" s="3941" t="n"/>
      <c r="B481" s="3944" t="n"/>
      <c r="C481" s="3944" t="n"/>
      <c r="D481" s="3944" t="n"/>
      <c r="E481" s="3944" t="n"/>
      <c r="F481" s="3944" t="n"/>
      <c r="G481" s="3944" t="n"/>
      <c r="H481" s="3944" t="n"/>
      <c r="I481" s="3944" t="n"/>
      <c r="J481" s="3944" t="n"/>
      <c r="K481" s="3942">
        <f>IF(A481="","",SUM(E481:J481))</f>
        <v/>
      </c>
      <c r="L481" s="3934" t="n"/>
      <c r="M481" s="3934" t="n"/>
      <c r="N481" s="3934" t="n"/>
      <c r="O481" s="3934" t="n"/>
      <c r="P481" s="3934" t="n"/>
      <c r="Q481" s="3934" t="n"/>
      <c r="R481" s="3934" t="n"/>
      <c r="S481" s="3934" t="n"/>
      <c r="T481" s="3934" t="n"/>
      <c r="U481" s="3934" t="n"/>
      <c r="V481" s="3934" t="n"/>
      <c r="W481" s="3934" t="n"/>
      <c r="X481" s="3934" t="n"/>
      <c r="Y481" s="3934" t="n"/>
      <c r="Z481" s="3934" t="n"/>
      <c r="AA481" s="3934" t="n"/>
      <c r="AB481" s="3934" t="n"/>
      <c r="AC481" s="3934" t="n"/>
      <c r="AD481" s="3934" t="n"/>
      <c r="AE481" s="3934" t="n"/>
      <c r="AF481" s="3934" t="n"/>
      <c r="AG481" s="3934" t="n"/>
      <c r="AH481" s="3934" t="n"/>
      <c r="AI481" s="3934" t="n"/>
      <c r="AJ481" s="3934" t="n"/>
      <c r="AK481" s="3934" t="n"/>
      <c r="AL481" s="3934" t="n"/>
      <c r="AM481" s="3934" t="n"/>
      <c r="AN481" s="3934" t="n"/>
      <c r="AO481" s="3934" t="n"/>
      <c r="AP481" s="3934" t="n"/>
      <c r="AQ481" s="3934" t="n"/>
      <c r="AR481" s="3934" t="n"/>
    </row>
    <row r="482">
      <c r="A482" s="3941" t="n"/>
      <c r="B482" s="3944" t="n"/>
      <c r="C482" s="3944" t="n"/>
      <c r="D482" s="3944" t="n"/>
      <c r="E482" s="3944" t="n"/>
      <c r="F482" s="3944" t="n"/>
      <c r="G482" s="3944" t="n"/>
      <c r="H482" s="3944" t="n"/>
      <c r="I482" s="3944" t="n"/>
      <c r="J482" s="3944" t="n"/>
      <c r="K482" s="3942">
        <f>IF(A482="","",SUM(E482:J482))</f>
        <v/>
      </c>
      <c r="L482" s="3934" t="n"/>
      <c r="M482" s="3934" t="n"/>
      <c r="N482" s="3934" t="n"/>
      <c r="O482" s="3934" t="n"/>
      <c r="P482" s="3934" t="n"/>
      <c r="Q482" s="3934" t="n"/>
      <c r="R482" s="3934" t="n"/>
      <c r="S482" s="3934" t="n"/>
      <c r="T482" s="3934" t="n"/>
      <c r="U482" s="3934" t="n"/>
      <c r="V482" s="3934" t="n"/>
      <c r="W482" s="3934" t="n"/>
      <c r="X482" s="3934" t="n"/>
      <c r="Y482" s="3934" t="n"/>
      <c r="Z482" s="3934" t="n"/>
      <c r="AA482" s="3934" t="n"/>
      <c r="AB482" s="3934" t="n"/>
      <c r="AC482" s="3934" t="n"/>
      <c r="AD482" s="3934" t="n"/>
      <c r="AE482" s="3934" t="n"/>
      <c r="AF482" s="3934" t="n"/>
      <c r="AG482" s="3934" t="n"/>
      <c r="AH482" s="3934" t="n"/>
      <c r="AI482" s="3934" t="n"/>
      <c r="AJ482" s="3934" t="n"/>
      <c r="AK482" s="3934" t="n"/>
      <c r="AL482" s="3934" t="n"/>
      <c r="AM482" s="3934" t="n"/>
      <c r="AN482" s="3934" t="n"/>
      <c r="AO482" s="3934" t="n"/>
      <c r="AP482" s="3934" t="n"/>
      <c r="AQ482" s="3934" t="n"/>
      <c r="AR482" s="3934" t="n"/>
    </row>
    <row r="483">
      <c r="A483" s="3941" t="n"/>
      <c r="B483" s="3944" t="n"/>
      <c r="C483" s="3944" t="n"/>
      <c r="D483" s="3944" t="n"/>
      <c r="E483" s="3944" t="n"/>
      <c r="F483" s="3944" t="n"/>
      <c r="G483" s="3944" t="n"/>
      <c r="H483" s="3944" t="n"/>
      <c r="I483" s="3944" t="n"/>
      <c r="J483" s="3944" t="n"/>
      <c r="K483" s="3942">
        <f>IF(A483="","",SUM(E483:J483))</f>
        <v/>
      </c>
      <c r="L483" s="3934" t="n"/>
      <c r="M483" s="3934" t="n"/>
      <c r="N483" s="3934" t="n"/>
      <c r="O483" s="3934" t="n"/>
      <c r="P483" s="3934" t="n"/>
      <c r="Q483" s="3934" t="n"/>
      <c r="R483" s="3934" t="n"/>
      <c r="S483" s="3934" t="n"/>
      <c r="T483" s="3934" t="n"/>
      <c r="U483" s="3934" t="n"/>
      <c r="V483" s="3934" t="n"/>
      <c r="W483" s="3934" t="n"/>
      <c r="X483" s="3934" t="n"/>
      <c r="Y483" s="3934" t="n"/>
      <c r="Z483" s="3934" t="n"/>
      <c r="AA483" s="3934" t="n"/>
      <c r="AB483" s="3934" t="n"/>
      <c r="AC483" s="3934" t="n"/>
      <c r="AD483" s="3934" t="n"/>
      <c r="AE483" s="3934" t="n"/>
      <c r="AF483" s="3934" t="n"/>
      <c r="AG483" s="3934" t="n"/>
      <c r="AH483" s="3934" t="n"/>
      <c r="AI483" s="3934" t="n"/>
      <c r="AJ483" s="3934" t="n"/>
      <c r="AK483" s="3934" t="n"/>
      <c r="AL483" s="3934" t="n"/>
      <c r="AM483" s="3934" t="n"/>
      <c r="AN483" s="3934" t="n"/>
      <c r="AO483" s="3934" t="n"/>
      <c r="AP483" s="3934" t="n"/>
      <c r="AQ483" s="3934" t="n"/>
      <c r="AR483" s="3934" t="n"/>
    </row>
    <row r="484">
      <c r="A484" s="3941" t="n"/>
      <c r="B484" s="3944" t="n"/>
      <c r="C484" s="3944" t="n"/>
      <c r="D484" s="3944" t="n"/>
      <c r="E484" s="3944" t="n"/>
      <c r="F484" s="3944" t="n"/>
      <c r="G484" s="3944" t="n"/>
      <c r="H484" s="3944" t="n"/>
      <c r="I484" s="3944" t="n"/>
      <c r="J484" s="3944" t="n"/>
      <c r="K484" s="3942">
        <f>IF(A484="","",SUM(E484:J484))</f>
        <v/>
      </c>
      <c r="L484" s="3934" t="n"/>
      <c r="M484" s="3934" t="n"/>
      <c r="N484" s="3934" t="n"/>
      <c r="O484" s="3934" t="n"/>
      <c r="P484" s="3934" t="n"/>
      <c r="Q484" s="3934" t="n"/>
      <c r="R484" s="3934" t="n"/>
      <c r="S484" s="3934" t="n"/>
      <c r="T484" s="3934" t="n"/>
      <c r="U484" s="3934" t="n"/>
      <c r="V484" s="3934" t="n"/>
      <c r="W484" s="3934" t="n"/>
      <c r="X484" s="3934" t="n"/>
      <c r="Y484" s="3934" t="n"/>
      <c r="Z484" s="3934" t="n"/>
      <c r="AA484" s="3934" t="n"/>
      <c r="AB484" s="3934" t="n"/>
      <c r="AC484" s="3934" t="n"/>
      <c r="AD484" s="3934" t="n"/>
      <c r="AE484" s="3934" t="n"/>
      <c r="AF484" s="3934" t="n"/>
      <c r="AG484" s="3934" t="n"/>
      <c r="AH484" s="3934" t="n"/>
      <c r="AI484" s="3934" t="n"/>
      <c r="AJ484" s="3934" t="n"/>
      <c r="AK484" s="3934" t="n"/>
      <c r="AL484" s="3934" t="n"/>
      <c r="AM484" s="3934" t="n"/>
      <c r="AN484" s="3934" t="n"/>
      <c r="AO484" s="3934" t="n"/>
      <c r="AP484" s="3934" t="n"/>
      <c r="AQ484" s="3934" t="n"/>
      <c r="AR484" s="3934" t="n"/>
    </row>
    <row r="485">
      <c r="A485" s="3941" t="n"/>
      <c r="B485" s="3944" t="n"/>
      <c r="C485" s="3944" t="n"/>
      <c r="D485" s="3944" t="n"/>
      <c r="E485" s="3944" t="n"/>
      <c r="F485" s="3944" t="n"/>
      <c r="G485" s="3944" t="n"/>
      <c r="H485" s="3944" t="n"/>
      <c r="I485" s="3944" t="n"/>
      <c r="J485" s="3944" t="n"/>
      <c r="K485" s="3942">
        <f>IF(A485="","",SUM(E485:J485))</f>
        <v/>
      </c>
      <c r="L485" s="3934" t="n"/>
      <c r="M485" s="3934" t="n"/>
      <c r="N485" s="3934" t="n"/>
      <c r="O485" s="3934" t="n"/>
      <c r="P485" s="3934" t="n"/>
      <c r="Q485" s="3934" t="n"/>
      <c r="R485" s="3934" t="n"/>
      <c r="S485" s="3934" t="n"/>
      <c r="T485" s="3934" t="n"/>
      <c r="U485" s="3934" t="n"/>
      <c r="V485" s="3934" t="n"/>
      <c r="W485" s="3934" t="n"/>
      <c r="X485" s="3934" t="n"/>
      <c r="Y485" s="3934" t="n"/>
      <c r="Z485" s="3934" t="n"/>
      <c r="AA485" s="3934" t="n"/>
      <c r="AB485" s="3934" t="n"/>
      <c r="AC485" s="3934" t="n"/>
      <c r="AD485" s="3934" t="n"/>
      <c r="AE485" s="3934" t="n"/>
      <c r="AF485" s="3934" t="n"/>
      <c r="AG485" s="3934" t="n"/>
      <c r="AH485" s="3934" t="n"/>
      <c r="AI485" s="3934" t="n"/>
      <c r="AJ485" s="3934" t="n"/>
      <c r="AK485" s="3934" t="n"/>
      <c r="AL485" s="3934" t="n"/>
      <c r="AM485" s="3934" t="n"/>
      <c r="AN485" s="3934" t="n"/>
      <c r="AO485" s="3934" t="n"/>
      <c r="AP485" s="3934" t="n"/>
      <c r="AQ485" s="3934" t="n"/>
      <c r="AR485" s="3934" t="n"/>
    </row>
    <row r="486">
      <c r="A486" s="3941" t="n"/>
      <c r="B486" s="3944" t="n"/>
      <c r="C486" s="3944" t="n"/>
      <c r="D486" s="3944" t="n"/>
      <c r="E486" s="3944" t="n"/>
      <c r="F486" s="3944" t="n"/>
      <c r="G486" s="3944" t="n"/>
      <c r="H486" s="3944" t="n"/>
      <c r="I486" s="3944" t="n"/>
      <c r="J486" s="3944" t="n"/>
      <c r="K486" s="3942">
        <f>IF(A486="","",SUM(E486:J486))</f>
        <v/>
      </c>
      <c r="L486" s="3934" t="n"/>
      <c r="M486" s="3934" t="n"/>
      <c r="N486" s="3934" t="n"/>
      <c r="O486" s="3934" t="n"/>
      <c r="P486" s="3934" t="n"/>
      <c r="Q486" s="3934" t="n"/>
      <c r="R486" s="3934" t="n"/>
      <c r="S486" s="3934" t="n"/>
      <c r="T486" s="3934" t="n"/>
      <c r="U486" s="3934" t="n"/>
      <c r="V486" s="3934" t="n"/>
      <c r="W486" s="3934" t="n"/>
      <c r="X486" s="3934" t="n"/>
      <c r="Y486" s="3934" t="n"/>
      <c r="Z486" s="3934" t="n"/>
      <c r="AA486" s="3934" t="n"/>
      <c r="AB486" s="3934" t="n"/>
      <c r="AC486" s="3934" t="n"/>
      <c r="AD486" s="3934" t="n"/>
      <c r="AE486" s="3934" t="n"/>
      <c r="AF486" s="3934" t="n"/>
      <c r="AG486" s="3934" t="n"/>
      <c r="AH486" s="3934" t="n"/>
      <c r="AI486" s="3934" t="n"/>
      <c r="AJ486" s="3934" t="n"/>
      <c r="AK486" s="3934" t="n"/>
      <c r="AL486" s="3934" t="n"/>
      <c r="AM486" s="3934" t="n"/>
      <c r="AN486" s="3934" t="n"/>
      <c r="AO486" s="3934" t="n"/>
      <c r="AP486" s="3934" t="n"/>
      <c r="AQ486" s="3934" t="n"/>
      <c r="AR486" s="3934" t="n"/>
    </row>
    <row r="487">
      <c r="A487" s="3941" t="n"/>
      <c r="B487" s="3944" t="n"/>
      <c r="C487" s="3944" t="n"/>
      <c r="D487" s="3944" t="n"/>
      <c r="E487" s="3944" t="n"/>
      <c r="F487" s="3944" t="n"/>
      <c r="G487" s="3944" t="n"/>
      <c r="H487" s="3944" t="n"/>
      <c r="I487" s="3944" t="n"/>
      <c r="J487" s="3944" t="n"/>
      <c r="K487" s="3942">
        <f>IF(A487="","",SUM(E487:J487))</f>
        <v/>
      </c>
      <c r="L487" s="3934" t="n"/>
      <c r="M487" s="3934" t="n"/>
      <c r="N487" s="3934" t="n"/>
      <c r="O487" s="3934" t="n"/>
      <c r="P487" s="3934" t="n"/>
      <c r="Q487" s="3934" t="n"/>
      <c r="R487" s="3934" t="n"/>
      <c r="S487" s="3934" t="n"/>
      <c r="T487" s="3934" t="n"/>
      <c r="U487" s="3934" t="n"/>
      <c r="V487" s="3934" t="n"/>
      <c r="W487" s="3934" t="n"/>
      <c r="X487" s="3934" t="n"/>
      <c r="Y487" s="3934" t="n"/>
      <c r="Z487" s="3934" t="n"/>
      <c r="AA487" s="3934" t="n"/>
      <c r="AB487" s="3934" t="n"/>
      <c r="AC487" s="3934" t="n"/>
      <c r="AD487" s="3934" t="n"/>
      <c r="AE487" s="3934" t="n"/>
      <c r="AF487" s="3934" t="n"/>
      <c r="AG487" s="3934" t="n"/>
      <c r="AH487" s="3934" t="n"/>
      <c r="AI487" s="3934" t="n"/>
      <c r="AJ487" s="3934" t="n"/>
      <c r="AK487" s="3934" t="n"/>
      <c r="AL487" s="3934" t="n"/>
      <c r="AM487" s="3934" t="n"/>
      <c r="AN487" s="3934" t="n"/>
      <c r="AO487" s="3934" t="n"/>
      <c r="AP487" s="3934" t="n"/>
      <c r="AQ487" s="3934" t="n"/>
      <c r="AR487" s="3934" t="n"/>
    </row>
    <row r="488">
      <c r="A488" s="3941" t="n"/>
      <c r="B488" s="3944" t="n"/>
      <c r="C488" s="3944" t="n"/>
      <c r="D488" s="3944" t="n"/>
      <c r="E488" s="3944" t="n"/>
      <c r="F488" s="3944" t="n"/>
      <c r="G488" s="3944" t="n"/>
      <c r="H488" s="3944" t="n"/>
      <c r="I488" s="3944" t="n"/>
      <c r="J488" s="3944" t="n"/>
      <c r="K488" s="3942">
        <f>IF(A488="","",SUM(E488:J488))</f>
        <v/>
      </c>
      <c r="L488" s="3934" t="n"/>
      <c r="M488" s="3934" t="n"/>
      <c r="N488" s="3934" t="n"/>
      <c r="O488" s="3934" t="n"/>
      <c r="P488" s="3934" t="n"/>
      <c r="Q488" s="3934" t="n"/>
      <c r="R488" s="3934" t="n"/>
      <c r="S488" s="3934" t="n"/>
      <c r="T488" s="3934" t="n"/>
      <c r="U488" s="3934" t="n"/>
      <c r="V488" s="3934" t="n"/>
      <c r="W488" s="3934" t="n"/>
      <c r="X488" s="3934" t="n"/>
      <c r="Y488" s="3934" t="n"/>
      <c r="Z488" s="3934" t="n"/>
      <c r="AA488" s="3934" t="n"/>
      <c r="AB488" s="3934" t="n"/>
      <c r="AC488" s="3934" t="n"/>
      <c r="AD488" s="3934" t="n"/>
      <c r="AE488" s="3934" t="n"/>
      <c r="AF488" s="3934" t="n"/>
      <c r="AG488" s="3934" t="n"/>
      <c r="AH488" s="3934" t="n"/>
      <c r="AI488" s="3934" t="n"/>
      <c r="AJ488" s="3934" t="n"/>
      <c r="AK488" s="3934" t="n"/>
      <c r="AL488" s="3934" t="n"/>
      <c r="AM488" s="3934" t="n"/>
      <c r="AN488" s="3934" t="n"/>
      <c r="AO488" s="3934" t="n"/>
      <c r="AP488" s="3934" t="n"/>
      <c r="AQ488" s="3934" t="n"/>
      <c r="AR488" s="3934" t="n"/>
    </row>
    <row r="489">
      <c r="A489" s="3941" t="n"/>
      <c r="B489" s="3944" t="n"/>
      <c r="C489" s="3944" t="n"/>
      <c r="D489" s="3944" t="n"/>
      <c r="E489" s="3944" t="n"/>
      <c r="F489" s="3944" t="n"/>
      <c r="G489" s="3944" t="n"/>
      <c r="H489" s="3944" t="n"/>
      <c r="I489" s="3944" t="n"/>
      <c r="J489" s="3944" t="n"/>
      <c r="K489" s="3942">
        <f>IF(A489="","",SUM(E489:J489))</f>
        <v/>
      </c>
      <c r="L489" s="3934" t="n"/>
      <c r="M489" s="3934" t="n"/>
      <c r="N489" s="3934" t="n"/>
      <c r="O489" s="3934" t="n"/>
      <c r="P489" s="3934" t="n"/>
      <c r="Q489" s="3934" t="n"/>
      <c r="R489" s="3934" t="n"/>
      <c r="S489" s="3934" t="n"/>
      <c r="T489" s="3934" t="n"/>
      <c r="U489" s="3934" t="n"/>
      <c r="V489" s="3934" t="n"/>
      <c r="W489" s="3934" t="n"/>
      <c r="X489" s="3934" t="n"/>
      <c r="Y489" s="3934" t="n"/>
      <c r="Z489" s="3934" t="n"/>
      <c r="AA489" s="3934" t="n"/>
      <c r="AB489" s="3934" t="n"/>
      <c r="AC489" s="3934" t="n"/>
      <c r="AD489" s="3934" t="n"/>
      <c r="AE489" s="3934" t="n"/>
      <c r="AF489" s="3934" t="n"/>
      <c r="AG489" s="3934" t="n"/>
      <c r="AH489" s="3934" t="n"/>
      <c r="AI489" s="3934" t="n"/>
      <c r="AJ489" s="3934" t="n"/>
      <c r="AK489" s="3934" t="n"/>
      <c r="AL489" s="3934" t="n"/>
      <c r="AM489" s="3934" t="n"/>
      <c r="AN489" s="3934" t="n"/>
      <c r="AO489" s="3934" t="n"/>
      <c r="AP489" s="3934" t="n"/>
      <c r="AQ489" s="3934" t="n"/>
      <c r="AR489" s="3934" t="n"/>
    </row>
    <row r="490">
      <c r="A490" s="3941" t="n"/>
      <c r="B490" s="3944" t="n"/>
      <c r="C490" s="3944" t="n"/>
      <c r="D490" s="3944" t="n"/>
      <c r="E490" s="3944" t="n"/>
      <c r="F490" s="3944" t="n"/>
      <c r="G490" s="3944" t="n"/>
      <c r="H490" s="3944" t="n"/>
      <c r="I490" s="3944" t="n"/>
      <c r="J490" s="3944" t="n"/>
      <c r="K490" s="3942">
        <f>IF(A490="","",SUM(E490:J490))</f>
        <v/>
      </c>
      <c r="L490" s="3934" t="n"/>
      <c r="M490" s="3934" t="n"/>
      <c r="N490" s="3934" t="n"/>
      <c r="O490" s="3934" t="n"/>
      <c r="P490" s="3934" t="n"/>
      <c r="Q490" s="3934" t="n"/>
      <c r="R490" s="3934" t="n"/>
      <c r="S490" s="3934" t="n"/>
      <c r="T490" s="3934" t="n"/>
      <c r="U490" s="3934" t="n"/>
      <c r="V490" s="3934" t="n"/>
      <c r="W490" s="3934" t="n"/>
      <c r="X490" s="3934" t="n"/>
      <c r="Y490" s="3934" t="n"/>
      <c r="Z490" s="3934" t="n"/>
      <c r="AA490" s="3934" t="n"/>
      <c r="AB490" s="3934" t="n"/>
      <c r="AC490" s="3934" t="n"/>
      <c r="AD490" s="3934" t="n"/>
      <c r="AE490" s="3934" t="n"/>
      <c r="AF490" s="3934" t="n"/>
      <c r="AG490" s="3934" t="n"/>
      <c r="AH490" s="3934" t="n"/>
      <c r="AI490" s="3934" t="n"/>
      <c r="AJ490" s="3934" t="n"/>
      <c r="AK490" s="3934" t="n"/>
      <c r="AL490" s="3934" t="n"/>
      <c r="AM490" s="3934" t="n"/>
      <c r="AN490" s="3934" t="n"/>
      <c r="AO490" s="3934" t="n"/>
      <c r="AP490" s="3934" t="n"/>
      <c r="AQ490" s="3934" t="n"/>
      <c r="AR490" s="3934" t="n"/>
    </row>
    <row r="491">
      <c r="A491" s="3941" t="n"/>
      <c r="B491" s="3944" t="n"/>
      <c r="C491" s="3944" t="n"/>
      <c r="D491" s="3944" t="n"/>
      <c r="E491" s="3944" t="n"/>
      <c r="F491" s="3944" t="n"/>
      <c r="G491" s="3944" t="n"/>
      <c r="H491" s="3944" t="n"/>
      <c r="I491" s="3944" t="n"/>
      <c r="J491" s="3944" t="n"/>
      <c r="K491" s="3942">
        <f>IF(A491="","",SUM(E491:J491))</f>
        <v/>
      </c>
      <c r="L491" s="3934" t="n"/>
      <c r="M491" s="3934" t="n"/>
      <c r="N491" s="3934" t="n"/>
      <c r="O491" s="3934" t="n"/>
      <c r="P491" s="3934" t="n"/>
      <c r="Q491" s="3934" t="n"/>
      <c r="R491" s="3934" t="n"/>
      <c r="S491" s="3934" t="n"/>
      <c r="T491" s="3934" t="n"/>
      <c r="U491" s="3934" t="n"/>
      <c r="V491" s="3934" t="n"/>
      <c r="W491" s="3934" t="n"/>
      <c r="X491" s="3934" t="n"/>
      <c r="Y491" s="3934" t="n"/>
      <c r="Z491" s="3934" t="n"/>
      <c r="AA491" s="3934" t="n"/>
      <c r="AB491" s="3934" t="n"/>
      <c r="AC491" s="3934" t="n"/>
      <c r="AD491" s="3934" t="n"/>
      <c r="AE491" s="3934" t="n"/>
      <c r="AF491" s="3934" t="n"/>
      <c r="AG491" s="3934" t="n"/>
      <c r="AH491" s="3934" t="n"/>
      <c r="AI491" s="3934" t="n"/>
      <c r="AJ491" s="3934" t="n"/>
      <c r="AK491" s="3934" t="n"/>
      <c r="AL491" s="3934" t="n"/>
      <c r="AM491" s="3934" t="n"/>
      <c r="AN491" s="3934" t="n"/>
      <c r="AO491" s="3934" t="n"/>
      <c r="AP491" s="3934" t="n"/>
      <c r="AQ491" s="3934" t="n"/>
      <c r="AR491" s="3934" t="n"/>
    </row>
    <row r="492">
      <c r="A492" s="3941" t="n"/>
      <c r="B492" s="3944" t="n"/>
      <c r="C492" s="3944" t="n"/>
      <c r="D492" s="3944" t="n"/>
      <c r="E492" s="3944" t="n"/>
      <c r="F492" s="3944" t="n"/>
      <c r="G492" s="3944" t="n"/>
      <c r="H492" s="3944" t="n"/>
      <c r="I492" s="3944" t="n"/>
      <c r="J492" s="3944" t="n"/>
      <c r="K492" s="3942">
        <f>IF(A492="","",SUM(E492:J492))</f>
        <v/>
      </c>
      <c r="L492" s="3934" t="n"/>
      <c r="M492" s="3934" t="n"/>
      <c r="N492" s="3934" t="n"/>
      <c r="O492" s="3934" t="n"/>
      <c r="P492" s="3934" t="n"/>
      <c r="Q492" s="3934" t="n"/>
      <c r="R492" s="3934" t="n"/>
      <c r="S492" s="3934" t="n"/>
      <c r="T492" s="3934" t="n"/>
      <c r="U492" s="3934" t="n"/>
      <c r="V492" s="3934" t="n"/>
      <c r="W492" s="3934" t="n"/>
      <c r="X492" s="3934" t="n"/>
      <c r="Y492" s="3934" t="n"/>
      <c r="Z492" s="3934" t="n"/>
      <c r="AA492" s="3934" t="n"/>
      <c r="AB492" s="3934" t="n"/>
      <c r="AC492" s="3934" t="n"/>
      <c r="AD492" s="3934" t="n"/>
      <c r="AE492" s="3934" t="n"/>
      <c r="AF492" s="3934" t="n"/>
      <c r="AG492" s="3934" t="n"/>
      <c r="AH492" s="3934" t="n"/>
      <c r="AI492" s="3934" t="n"/>
      <c r="AJ492" s="3934" t="n"/>
      <c r="AK492" s="3934" t="n"/>
      <c r="AL492" s="3934" t="n"/>
      <c r="AM492" s="3934" t="n"/>
      <c r="AN492" s="3934" t="n"/>
      <c r="AO492" s="3934" t="n"/>
      <c r="AP492" s="3934" t="n"/>
      <c r="AQ492" s="3934" t="n"/>
      <c r="AR492" s="3934" t="n"/>
    </row>
    <row r="493">
      <c r="A493" s="3941" t="n"/>
      <c r="B493" s="3944" t="n"/>
      <c r="C493" s="3944" t="n"/>
      <c r="D493" s="3944" t="n"/>
      <c r="E493" s="3944" t="n"/>
      <c r="F493" s="3944" t="n"/>
      <c r="G493" s="3944" t="n"/>
      <c r="H493" s="3944" t="n"/>
      <c r="I493" s="3944" t="n"/>
      <c r="J493" s="3944" t="n"/>
      <c r="K493" s="3942">
        <f>IF(A493="","",SUM(E493:J493))</f>
        <v/>
      </c>
      <c r="L493" s="3934" t="n"/>
      <c r="M493" s="3934" t="n"/>
      <c r="N493" s="3934" t="n"/>
      <c r="O493" s="3934" t="n"/>
      <c r="P493" s="3934" t="n"/>
      <c r="Q493" s="3934" t="n"/>
      <c r="R493" s="3934" t="n"/>
      <c r="S493" s="3934" t="n"/>
      <c r="T493" s="3934" t="n"/>
      <c r="U493" s="3934" t="n"/>
      <c r="V493" s="3934" t="n"/>
      <c r="W493" s="3934" t="n"/>
      <c r="X493" s="3934" t="n"/>
      <c r="Y493" s="3934" t="n"/>
      <c r="Z493" s="3934" t="n"/>
      <c r="AA493" s="3934" t="n"/>
      <c r="AB493" s="3934" t="n"/>
      <c r="AC493" s="3934" t="n"/>
      <c r="AD493" s="3934" t="n"/>
      <c r="AE493" s="3934" t="n"/>
      <c r="AF493" s="3934" t="n"/>
      <c r="AG493" s="3934" t="n"/>
      <c r="AH493" s="3934" t="n"/>
      <c r="AI493" s="3934" t="n"/>
      <c r="AJ493" s="3934" t="n"/>
      <c r="AK493" s="3934" t="n"/>
      <c r="AL493" s="3934" t="n"/>
      <c r="AM493" s="3934" t="n"/>
      <c r="AN493" s="3934" t="n"/>
      <c r="AO493" s="3934" t="n"/>
      <c r="AP493" s="3934" t="n"/>
      <c r="AQ493" s="3934" t="n"/>
      <c r="AR493" s="3934" t="n"/>
    </row>
    <row r="494">
      <c r="A494" s="3941" t="n"/>
      <c r="B494" s="3944" t="n"/>
      <c r="C494" s="3944" t="n"/>
      <c r="D494" s="3944" t="n"/>
      <c r="E494" s="3944" t="n"/>
      <c r="F494" s="3944" t="n"/>
      <c r="G494" s="3944" t="n"/>
      <c r="H494" s="3944" t="n"/>
      <c r="I494" s="3944" t="n"/>
      <c r="J494" s="3944" t="n"/>
      <c r="K494" s="3942">
        <f>IF(A494="","",SUM(E494:J494))</f>
        <v/>
      </c>
      <c r="L494" s="3934" t="n"/>
      <c r="M494" s="3934" t="n"/>
      <c r="N494" s="3934" t="n"/>
      <c r="O494" s="3934" t="n"/>
      <c r="P494" s="3934" t="n"/>
      <c r="Q494" s="3934" t="n"/>
      <c r="R494" s="3934" t="n"/>
      <c r="S494" s="3934" t="n"/>
      <c r="T494" s="3934" t="n"/>
      <c r="U494" s="3934" t="n"/>
      <c r="V494" s="3934" t="n"/>
      <c r="W494" s="3934" t="n"/>
      <c r="X494" s="3934" t="n"/>
      <c r="Y494" s="3934" t="n"/>
      <c r="Z494" s="3934" t="n"/>
      <c r="AA494" s="3934" t="n"/>
      <c r="AB494" s="3934" t="n"/>
      <c r="AC494" s="3934" t="n"/>
      <c r="AD494" s="3934" t="n"/>
      <c r="AE494" s="3934" t="n"/>
      <c r="AF494" s="3934" t="n"/>
      <c r="AG494" s="3934" t="n"/>
      <c r="AH494" s="3934" t="n"/>
      <c r="AI494" s="3934" t="n"/>
      <c r="AJ494" s="3934" t="n"/>
      <c r="AK494" s="3934" t="n"/>
      <c r="AL494" s="3934" t="n"/>
      <c r="AM494" s="3934" t="n"/>
      <c r="AN494" s="3934" t="n"/>
      <c r="AO494" s="3934" t="n"/>
      <c r="AP494" s="3934" t="n"/>
      <c r="AQ494" s="3934" t="n"/>
      <c r="AR494" s="3934" t="n"/>
    </row>
    <row r="495">
      <c r="A495" s="3941" t="n"/>
      <c r="B495" s="3944" t="n"/>
      <c r="C495" s="3944" t="n"/>
      <c r="D495" s="3944" t="n"/>
      <c r="E495" s="3944" t="n"/>
      <c r="F495" s="3944" t="n"/>
      <c r="G495" s="3944" t="n"/>
      <c r="H495" s="3944" t="n"/>
      <c r="I495" s="3944" t="n"/>
      <c r="J495" s="3944" t="n"/>
      <c r="K495" s="3942">
        <f>IF(A495="","",SUM(E495:J495))</f>
        <v/>
      </c>
      <c r="L495" s="3934" t="n"/>
      <c r="M495" s="3934" t="n"/>
      <c r="N495" s="3934" t="n"/>
      <c r="O495" s="3934" t="n"/>
      <c r="P495" s="3934" t="n"/>
      <c r="Q495" s="3934" t="n"/>
      <c r="R495" s="3934" t="n"/>
      <c r="S495" s="3934" t="n"/>
      <c r="T495" s="3934" t="n"/>
      <c r="U495" s="3934" t="n"/>
      <c r="V495" s="3934" t="n"/>
      <c r="W495" s="3934" t="n"/>
      <c r="X495" s="3934" t="n"/>
      <c r="Y495" s="3934" t="n"/>
      <c r="Z495" s="3934" t="n"/>
      <c r="AA495" s="3934" t="n"/>
      <c r="AB495" s="3934" t="n"/>
      <c r="AC495" s="3934" t="n"/>
      <c r="AD495" s="3934" t="n"/>
      <c r="AE495" s="3934" t="n"/>
      <c r="AF495" s="3934" t="n"/>
      <c r="AG495" s="3934" t="n"/>
      <c r="AH495" s="3934" t="n"/>
      <c r="AI495" s="3934" t="n"/>
      <c r="AJ495" s="3934" t="n"/>
      <c r="AK495" s="3934" t="n"/>
      <c r="AL495" s="3934" t="n"/>
      <c r="AM495" s="3934" t="n"/>
      <c r="AN495" s="3934" t="n"/>
      <c r="AO495" s="3934" t="n"/>
      <c r="AP495" s="3934" t="n"/>
      <c r="AQ495" s="3934" t="n"/>
      <c r="AR495" s="3934" t="n"/>
    </row>
    <row r="496">
      <c r="A496" s="3941" t="n"/>
      <c r="B496" s="3944" t="n"/>
      <c r="C496" s="3944" t="n"/>
      <c r="D496" s="3944" t="n"/>
      <c r="E496" s="3944" t="n"/>
      <c r="F496" s="3944" t="n"/>
      <c r="G496" s="3944" t="n"/>
      <c r="H496" s="3944" t="n"/>
      <c r="I496" s="3944" t="n"/>
      <c r="J496" s="3944" t="n"/>
      <c r="K496" s="3942">
        <f>IF(A496="","",SUM(E496:J496))</f>
        <v/>
      </c>
      <c r="L496" s="3934" t="n"/>
      <c r="M496" s="3934" t="n"/>
      <c r="N496" s="3934" t="n"/>
      <c r="O496" s="3934" t="n"/>
      <c r="P496" s="3934" t="n"/>
      <c r="Q496" s="3934" t="n"/>
      <c r="R496" s="3934" t="n"/>
      <c r="S496" s="3934" t="n"/>
      <c r="T496" s="3934" t="n"/>
      <c r="U496" s="3934" t="n"/>
      <c r="V496" s="3934" t="n"/>
      <c r="W496" s="3934" t="n"/>
      <c r="X496" s="3934" t="n"/>
      <c r="Y496" s="3934" t="n"/>
      <c r="Z496" s="3934" t="n"/>
      <c r="AA496" s="3934" t="n"/>
      <c r="AB496" s="3934" t="n"/>
      <c r="AC496" s="3934" t="n"/>
      <c r="AD496" s="3934" t="n"/>
      <c r="AE496" s="3934" t="n"/>
      <c r="AF496" s="3934" t="n"/>
      <c r="AG496" s="3934" t="n"/>
      <c r="AH496" s="3934" t="n"/>
      <c r="AI496" s="3934" t="n"/>
      <c r="AJ496" s="3934" t="n"/>
      <c r="AK496" s="3934" t="n"/>
      <c r="AL496" s="3934" t="n"/>
      <c r="AM496" s="3934" t="n"/>
      <c r="AN496" s="3934" t="n"/>
      <c r="AO496" s="3934" t="n"/>
      <c r="AP496" s="3934" t="n"/>
      <c r="AQ496" s="3934" t="n"/>
      <c r="AR496" s="3934" t="n"/>
    </row>
    <row r="497">
      <c r="A497" s="3941" t="n"/>
      <c r="B497" s="3944" t="n"/>
      <c r="C497" s="3944" t="n"/>
      <c r="D497" s="3944" t="n"/>
      <c r="E497" s="3944" t="n"/>
      <c r="F497" s="3944" t="n"/>
      <c r="G497" s="3944" t="n"/>
      <c r="H497" s="3944" t="n"/>
      <c r="I497" s="3944" t="n"/>
      <c r="J497" s="3944" t="n"/>
      <c r="K497" s="3942">
        <f>IF(A497="","",SUM(E497:J497))</f>
        <v/>
      </c>
      <c r="L497" s="3934" t="n"/>
      <c r="M497" s="3934" t="n"/>
      <c r="N497" s="3934" t="n"/>
      <c r="O497" s="3934" t="n"/>
      <c r="P497" s="3934" t="n"/>
      <c r="Q497" s="3934" t="n"/>
      <c r="R497" s="3934" t="n"/>
      <c r="S497" s="3934" t="n"/>
      <c r="T497" s="3934" t="n"/>
      <c r="U497" s="3934" t="n"/>
      <c r="V497" s="3934" t="n"/>
      <c r="W497" s="3934" t="n"/>
      <c r="X497" s="3934" t="n"/>
      <c r="Y497" s="3934" t="n"/>
      <c r="Z497" s="3934" t="n"/>
      <c r="AA497" s="3934" t="n"/>
      <c r="AB497" s="3934" t="n"/>
      <c r="AC497" s="3934" t="n"/>
      <c r="AD497" s="3934" t="n"/>
      <c r="AE497" s="3934" t="n"/>
      <c r="AF497" s="3934" t="n"/>
      <c r="AG497" s="3934" t="n"/>
      <c r="AH497" s="3934" t="n"/>
      <c r="AI497" s="3934" t="n"/>
      <c r="AJ497" s="3934" t="n"/>
      <c r="AK497" s="3934" t="n"/>
      <c r="AL497" s="3934" t="n"/>
      <c r="AM497" s="3934" t="n"/>
      <c r="AN497" s="3934" t="n"/>
      <c r="AO497" s="3934" t="n"/>
      <c r="AP497" s="3934" t="n"/>
      <c r="AQ497" s="3934" t="n"/>
      <c r="AR497" s="3934" t="n"/>
    </row>
    <row r="498">
      <c r="A498" s="3941" t="n"/>
      <c r="B498" s="3944" t="n"/>
      <c r="C498" s="3944" t="n"/>
      <c r="D498" s="3944" t="n"/>
      <c r="E498" s="3944" t="n"/>
      <c r="F498" s="3944" t="n"/>
      <c r="G498" s="3944" t="n"/>
      <c r="H498" s="3944" t="n"/>
      <c r="I498" s="3944" t="n"/>
      <c r="J498" s="3944" t="n"/>
      <c r="K498" s="3942">
        <f>IF(A498="","",SUM(E498:J498))</f>
        <v/>
      </c>
      <c r="L498" s="3934" t="n"/>
      <c r="M498" s="3934" t="n"/>
      <c r="N498" s="3934" t="n"/>
      <c r="O498" s="3934" t="n"/>
      <c r="P498" s="3934" t="n"/>
      <c r="Q498" s="3934" t="n"/>
      <c r="R498" s="3934" t="n"/>
      <c r="S498" s="3934" t="n"/>
      <c r="T498" s="3934" t="n"/>
      <c r="U498" s="3934" t="n"/>
      <c r="V498" s="3934" t="n"/>
      <c r="W498" s="3934" t="n"/>
      <c r="X498" s="3934" t="n"/>
      <c r="Y498" s="3934" t="n"/>
      <c r="Z498" s="3934" t="n"/>
      <c r="AA498" s="3934" t="n"/>
      <c r="AB498" s="3934" t="n"/>
      <c r="AC498" s="3934" t="n"/>
      <c r="AD498" s="3934" t="n"/>
      <c r="AE498" s="3934" t="n"/>
      <c r="AF498" s="3934" t="n"/>
      <c r="AG498" s="3934" t="n"/>
      <c r="AH498" s="3934" t="n"/>
      <c r="AI498" s="3934" t="n"/>
      <c r="AJ498" s="3934" t="n"/>
      <c r="AK498" s="3934" t="n"/>
      <c r="AL498" s="3934" t="n"/>
      <c r="AM498" s="3934" t="n"/>
      <c r="AN498" s="3934" t="n"/>
      <c r="AO498" s="3934" t="n"/>
      <c r="AP498" s="3934" t="n"/>
      <c r="AQ498" s="3934" t="n"/>
      <c r="AR498" s="3934" t="n"/>
    </row>
    <row r="499">
      <c r="A499" s="3941" t="n"/>
      <c r="B499" s="3944" t="n"/>
      <c r="C499" s="3944" t="n"/>
      <c r="D499" s="3944" t="n"/>
      <c r="E499" s="3944" t="n"/>
      <c r="F499" s="3944" t="n"/>
      <c r="G499" s="3944" t="n"/>
      <c r="H499" s="3944" t="n"/>
      <c r="I499" s="3944" t="n"/>
      <c r="J499" s="3944" t="n"/>
      <c r="K499" s="3942">
        <f>IF(A499="","",SUM(E499:J499))</f>
        <v/>
      </c>
      <c r="L499" s="3934" t="n"/>
      <c r="M499" s="3934" t="n"/>
      <c r="N499" s="3934" t="n"/>
      <c r="O499" s="3934" t="n"/>
      <c r="P499" s="3934" t="n"/>
      <c r="Q499" s="3934" t="n"/>
      <c r="R499" s="3934" t="n"/>
      <c r="S499" s="3934" t="n"/>
      <c r="T499" s="3934" t="n"/>
      <c r="U499" s="3934" t="n"/>
      <c r="V499" s="3934" t="n"/>
      <c r="W499" s="3934" t="n"/>
      <c r="X499" s="3934" t="n"/>
      <c r="Y499" s="3934" t="n"/>
      <c r="Z499" s="3934" t="n"/>
      <c r="AA499" s="3934" t="n"/>
      <c r="AB499" s="3934" t="n"/>
      <c r="AC499" s="3934" t="n"/>
      <c r="AD499" s="3934" t="n"/>
      <c r="AE499" s="3934" t="n"/>
      <c r="AF499" s="3934" t="n"/>
      <c r="AG499" s="3934" t="n"/>
      <c r="AH499" s="3934" t="n"/>
      <c r="AI499" s="3934" t="n"/>
      <c r="AJ499" s="3934" t="n"/>
      <c r="AK499" s="3934" t="n"/>
      <c r="AL499" s="3934" t="n"/>
      <c r="AM499" s="3934" t="n"/>
      <c r="AN499" s="3934" t="n"/>
      <c r="AO499" s="3934" t="n"/>
      <c r="AP499" s="3934" t="n"/>
      <c r="AQ499" s="3934" t="n"/>
      <c r="AR499" s="3934" t="n"/>
    </row>
    <row r="500">
      <c r="A500" s="3941" t="n"/>
      <c r="B500" s="3944" t="n"/>
      <c r="C500" s="3944" t="n"/>
      <c r="D500" s="3944" t="n"/>
      <c r="E500" s="3944" t="n"/>
      <c r="F500" s="3944" t="n"/>
      <c r="G500" s="3944" t="n"/>
      <c r="H500" s="3944" t="n"/>
      <c r="I500" s="3944" t="n"/>
      <c r="J500" s="3944" t="n"/>
      <c r="K500" s="3942">
        <f>IF(A500="","",SUM(E500:J500))</f>
        <v/>
      </c>
      <c r="L500" s="3934" t="n"/>
      <c r="M500" s="3934" t="n"/>
      <c r="N500" s="3934" t="n"/>
      <c r="O500" s="3934" t="n"/>
      <c r="P500" s="3934" t="n"/>
      <c r="Q500" s="3934" t="n"/>
      <c r="R500" s="3934" t="n"/>
      <c r="S500" s="3934" t="n"/>
      <c r="T500" s="3934" t="n"/>
      <c r="U500" s="3934" t="n"/>
      <c r="V500" s="3934" t="n"/>
      <c r="W500" s="3934" t="n"/>
      <c r="X500" s="3934" t="n"/>
      <c r="Y500" s="3934" t="n"/>
      <c r="Z500" s="3934" t="n"/>
      <c r="AA500" s="3934" t="n"/>
      <c r="AB500" s="3934" t="n"/>
      <c r="AC500" s="3934" t="n"/>
      <c r="AD500" s="3934" t="n"/>
      <c r="AE500" s="3934" t="n"/>
      <c r="AF500" s="3934" t="n"/>
      <c r="AG500" s="3934" t="n"/>
      <c r="AH500" s="3934" t="n"/>
      <c r="AI500" s="3934" t="n"/>
      <c r="AJ500" s="3934" t="n"/>
      <c r="AK500" s="3934" t="n"/>
      <c r="AL500" s="3934" t="n"/>
      <c r="AM500" s="3934" t="n"/>
      <c r="AN500" s="3934" t="n"/>
      <c r="AO500" s="3934" t="n"/>
      <c r="AP500" s="3934" t="n"/>
      <c r="AQ500" s="3934" t="n"/>
      <c r="AR500" s="3934" t="n"/>
    </row>
    <row r="501">
      <c r="A501" s="3941" t="n"/>
      <c r="B501" s="3944" t="n"/>
      <c r="C501" s="3944" t="n"/>
      <c r="D501" s="3944" t="n"/>
      <c r="E501" s="3944" t="n"/>
      <c r="F501" s="3944" t="n"/>
      <c r="G501" s="3944" t="n"/>
      <c r="H501" s="3944" t="n"/>
      <c r="I501" s="3944" t="n"/>
      <c r="J501" s="3944" t="n"/>
      <c r="K501" s="3942">
        <f>IF(A501="","",SUM(E501:J501))</f>
        <v/>
      </c>
      <c r="L501" s="3934" t="n"/>
      <c r="M501" s="3934" t="n"/>
      <c r="N501" s="3934" t="n"/>
      <c r="O501" s="3934" t="n"/>
      <c r="P501" s="3934" t="n"/>
      <c r="Q501" s="3934" t="n"/>
      <c r="R501" s="3934" t="n"/>
      <c r="S501" s="3934" t="n"/>
      <c r="T501" s="3934" t="n"/>
      <c r="U501" s="3934" t="n"/>
      <c r="V501" s="3934" t="n"/>
      <c r="W501" s="3934" t="n"/>
      <c r="X501" s="3934" t="n"/>
      <c r="Y501" s="3934" t="n"/>
      <c r="Z501" s="3934" t="n"/>
      <c r="AA501" s="3934" t="n"/>
      <c r="AB501" s="3934" t="n"/>
      <c r="AC501" s="3934" t="n"/>
      <c r="AD501" s="3934" t="n"/>
      <c r="AE501" s="3934" t="n"/>
      <c r="AF501" s="3934" t="n"/>
      <c r="AG501" s="3934" t="n"/>
      <c r="AH501" s="3934" t="n"/>
      <c r="AI501" s="3934" t="n"/>
      <c r="AJ501" s="3934" t="n"/>
      <c r="AK501" s="3934" t="n"/>
      <c r="AL501" s="3934" t="n"/>
      <c r="AM501" s="3934" t="n"/>
      <c r="AN501" s="3934" t="n"/>
      <c r="AO501" s="3934" t="n"/>
      <c r="AP501" s="3934" t="n"/>
      <c r="AQ501" s="3934" t="n"/>
      <c r="AR501" s="3934" t="n"/>
    </row>
    <row r="502">
      <c r="A502" s="3941" t="n"/>
      <c r="B502" s="3944" t="n"/>
      <c r="C502" s="3944" t="n"/>
      <c r="D502" s="3944" t="n"/>
      <c r="E502" s="3944" t="n"/>
      <c r="F502" s="3944" t="n"/>
      <c r="G502" s="3944" t="n"/>
      <c r="H502" s="3944" t="n"/>
      <c r="I502" s="3944" t="n"/>
      <c r="J502" s="3944" t="n"/>
      <c r="K502" s="3942">
        <f>IF(A502="","",SUM(E502:J502))</f>
        <v/>
      </c>
      <c r="L502" s="3934" t="n"/>
      <c r="M502" s="3934" t="n"/>
      <c r="N502" s="3934" t="n"/>
      <c r="O502" s="3934" t="n"/>
      <c r="P502" s="3934" t="n"/>
      <c r="Q502" s="3934" t="n"/>
      <c r="R502" s="3934" t="n"/>
      <c r="S502" s="3934" t="n"/>
      <c r="T502" s="3934" t="n"/>
      <c r="U502" s="3934" t="n"/>
      <c r="V502" s="3934" t="n"/>
      <c r="W502" s="3934" t="n"/>
      <c r="X502" s="3934" t="n"/>
      <c r="Y502" s="3934" t="n"/>
      <c r="Z502" s="3934" t="n"/>
      <c r="AA502" s="3934" t="n"/>
      <c r="AB502" s="3934" t="n"/>
      <c r="AC502" s="3934" t="n"/>
      <c r="AD502" s="3934" t="n"/>
      <c r="AE502" s="3934" t="n"/>
      <c r="AF502" s="3934" t="n"/>
      <c r="AG502" s="3934" t="n"/>
      <c r="AH502" s="3934" t="n"/>
      <c r="AI502" s="3934" t="n"/>
      <c r="AJ502" s="3934" t="n"/>
      <c r="AK502" s="3934" t="n"/>
      <c r="AL502" s="3934" t="n"/>
      <c r="AM502" s="3934" t="n"/>
      <c r="AN502" s="3934" t="n"/>
      <c r="AO502" s="3934" t="n"/>
      <c r="AP502" s="3934" t="n"/>
      <c r="AQ502" s="3934" t="n"/>
      <c r="AR502" s="3934" t="n"/>
    </row>
    <row r="503">
      <c r="A503" s="3941" t="n"/>
      <c r="B503" s="3944" t="n"/>
      <c r="C503" s="3944" t="n"/>
      <c r="D503" s="3944" t="n"/>
      <c r="E503" s="3944" t="n"/>
      <c r="F503" s="3944" t="n"/>
      <c r="G503" s="3944" t="n"/>
      <c r="H503" s="3944" t="n"/>
      <c r="I503" s="3944" t="n"/>
      <c r="J503" s="3944" t="n"/>
      <c r="K503" s="3942">
        <f>IF(A503="","",SUM(E503:J503))</f>
        <v/>
      </c>
      <c r="L503" s="3934" t="n"/>
      <c r="M503" s="3934" t="n"/>
      <c r="N503" s="3934" t="n"/>
      <c r="O503" s="3934" t="n"/>
      <c r="P503" s="3934" t="n"/>
      <c r="Q503" s="3934" t="n"/>
      <c r="R503" s="3934" t="n"/>
      <c r="S503" s="3934" t="n"/>
      <c r="T503" s="3934" t="n"/>
      <c r="U503" s="3934" t="n"/>
      <c r="V503" s="3934" t="n"/>
      <c r="W503" s="3934" t="n"/>
      <c r="X503" s="3934" t="n"/>
      <c r="Y503" s="3934" t="n"/>
      <c r="Z503" s="3934" t="n"/>
      <c r="AA503" s="3934" t="n"/>
      <c r="AB503" s="3934" t="n"/>
      <c r="AC503" s="3934" t="n"/>
      <c r="AD503" s="3934" t="n"/>
      <c r="AE503" s="3934" t="n"/>
      <c r="AF503" s="3934" t="n"/>
      <c r="AG503" s="3934" t="n"/>
      <c r="AH503" s="3934" t="n"/>
      <c r="AI503" s="3934" t="n"/>
      <c r="AJ503" s="3934" t="n"/>
      <c r="AK503" s="3934" t="n"/>
      <c r="AL503" s="3934" t="n"/>
      <c r="AM503" s="3934" t="n"/>
      <c r="AN503" s="3934" t="n"/>
      <c r="AO503" s="3934" t="n"/>
      <c r="AP503" s="3934" t="n"/>
      <c r="AQ503" s="3934" t="n"/>
      <c r="AR503" s="3934" t="n"/>
    </row>
    <row r="504">
      <c r="A504" s="3941" t="n"/>
      <c r="B504" s="3944" t="n"/>
      <c r="C504" s="3944" t="n"/>
      <c r="D504" s="3944" t="n"/>
      <c r="E504" s="3944" t="n"/>
      <c r="F504" s="3944" t="n"/>
      <c r="G504" s="3944" t="n"/>
      <c r="H504" s="3944" t="n"/>
      <c r="I504" s="3944" t="n"/>
      <c r="J504" s="3944" t="n"/>
      <c r="K504" s="3942">
        <f>IF(A504="","",SUM(E504:J504))</f>
        <v/>
      </c>
      <c r="L504" s="3934" t="n"/>
      <c r="M504" s="3934" t="n"/>
      <c r="N504" s="3934" t="n"/>
      <c r="O504" s="3934" t="n"/>
      <c r="P504" s="3934" t="n"/>
      <c r="Q504" s="3934" t="n"/>
      <c r="R504" s="3934" t="n"/>
      <c r="S504" s="3934" t="n"/>
      <c r="T504" s="3934" t="n"/>
      <c r="U504" s="3934" t="n"/>
      <c r="V504" s="3934" t="n"/>
      <c r="W504" s="3934" t="n"/>
      <c r="X504" s="3934" t="n"/>
      <c r="Y504" s="3934" t="n"/>
      <c r="Z504" s="3934" t="n"/>
      <c r="AA504" s="3934" t="n"/>
      <c r="AB504" s="3934" t="n"/>
      <c r="AC504" s="3934" t="n"/>
      <c r="AD504" s="3934" t="n"/>
      <c r="AE504" s="3934" t="n"/>
      <c r="AF504" s="3934" t="n"/>
      <c r="AG504" s="3934" t="n"/>
      <c r="AH504" s="3934" t="n"/>
      <c r="AI504" s="3934" t="n"/>
      <c r="AJ504" s="3934" t="n"/>
      <c r="AK504" s="3934" t="n"/>
      <c r="AL504" s="3934" t="n"/>
      <c r="AM504" s="3934" t="n"/>
      <c r="AN504" s="3934" t="n"/>
      <c r="AO504" s="3934" t="n"/>
      <c r="AP504" s="3934" t="n"/>
      <c r="AQ504" s="3934" t="n"/>
      <c r="AR504" s="3934" t="n"/>
    </row>
    <row r="505">
      <c r="A505" s="3941" t="n"/>
      <c r="B505" s="3944" t="n"/>
      <c r="C505" s="3944" t="n"/>
      <c r="D505" s="3944" t="n"/>
      <c r="E505" s="3944" t="n"/>
      <c r="F505" s="3944" t="n"/>
      <c r="G505" s="3944" t="n"/>
      <c r="H505" s="3944" t="n"/>
      <c r="I505" s="3944" t="n"/>
      <c r="J505" s="3944" t="n"/>
      <c r="K505" s="3942">
        <f>IF(A505="","",SUM(E505:J505))</f>
        <v/>
      </c>
      <c r="L505" s="3934" t="n"/>
      <c r="M505" s="3934" t="n"/>
      <c r="N505" s="3934" t="n"/>
      <c r="O505" s="3934" t="n"/>
      <c r="P505" s="3934" t="n"/>
      <c r="Q505" s="3934" t="n"/>
      <c r="R505" s="3934" t="n"/>
      <c r="S505" s="3934" t="n"/>
      <c r="T505" s="3934" t="n"/>
      <c r="U505" s="3934" t="n"/>
      <c r="V505" s="3934" t="n"/>
      <c r="W505" s="3934" t="n"/>
      <c r="X505" s="3934" t="n"/>
      <c r="Y505" s="3934" t="n"/>
      <c r="Z505" s="3934" t="n"/>
      <c r="AA505" s="3934" t="n"/>
      <c r="AB505" s="3934" t="n"/>
      <c r="AC505" s="3934" t="n"/>
      <c r="AD505" s="3934" t="n"/>
      <c r="AE505" s="3934" t="n"/>
      <c r="AF505" s="3934" t="n"/>
      <c r="AG505" s="3934" t="n"/>
      <c r="AH505" s="3934" t="n"/>
      <c r="AI505" s="3934" t="n"/>
      <c r="AJ505" s="3934" t="n"/>
      <c r="AK505" s="3934" t="n"/>
      <c r="AL505" s="3934" t="n"/>
      <c r="AM505" s="3934" t="n"/>
      <c r="AN505" s="3934" t="n"/>
      <c r="AO505" s="3934" t="n"/>
      <c r="AP505" s="3934" t="n"/>
      <c r="AQ505" s="3934" t="n"/>
      <c r="AR505" s="3934" t="n"/>
    </row>
    <row r="506">
      <c r="A506" s="3941" t="n"/>
      <c r="B506" s="3944" t="n"/>
      <c r="C506" s="3944" t="n"/>
      <c r="D506" s="3944" t="n"/>
      <c r="E506" s="3944" t="n"/>
      <c r="F506" s="3944" t="n"/>
      <c r="G506" s="3944" t="n"/>
      <c r="H506" s="3944" t="n"/>
      <c r="I506" s="3944" t="n"/>
      <c r="J506" s="3944" t="n"/>
      <c r="K506" s="3942">
        <f>IF(A506="","",SUM(E506:J506))</f>
        <v/>
      </c>
      <c r="L506" s="3934" t="n"/>
      <c r="M506" s="3934" t="n"/>
      <c r="N506" s="3934" t="n"/>
      <c r="O506" s="3934" t="n"/>
      <c r="P506" s="3934" t="n"/>
      <c r="Q506" s="3934" t="n"/>
      <c r="R506" s="3934" t="n"/>
      <c r="S506" s="3934" t="n"/>
      <c r="T506" s="3934" t="n"/>
      <c r="U506" s="3934" t="n"/>
      <c r="V506" s="3934" t="n"/>
      <c r="W506" s="3934" t="n"/>
      <c r="X506" s="3934" t="n"/>
      <c r="Y506" s="3934" t="n"/>
      <c r="Z506" s="3934" t="n"/>
      <c r="AA506" s="3934" t="n"/>
      <c r="AB506" s="3934" t="n"/>
      <c r="AC506" s="3934" t="n"/>
      <c r="AD506" s="3934" t="n"/>
      <c r="AE506" s="3934" t="n"/>
      <c r="AF506" s="3934" t="n"/>
      <c r="AG506" s="3934" t="n"/>
      <c r="AH506" s="3934" t="n"/>
      <c r="AI506" s="3934" t="n"/>
      <c r="AJ506" s="3934" t="n"/>
      <c r="AK506" s="3934" t="n"/>
      <c r="AL506" s="3934" t="n"/>
      <c r="AM506" s="3934" t="n"/>
      <c r="AN506" s="3934" t="n"/>
      <c r="AO506" s="3934" t="n"/>
      <c r="AP506" s="3934" t="n"/>
      <c r="AQ506" s="3934" t="n"/>
      <c r="AR506" s="3934" t="n"/>
    </row>
    <row r="507">
      <c r="A507" s="3941" t="n"/>
      <c r="B507" s="3944" t="n"/>
      <c r="C507" s="3944" t="n"/>
      <c r="D507" s="3944" t="n"/>
      <c r="E507" s="3944" t="n"/>
      <c r="F507" s="3944" t="n"/>
      <c r="G507" s="3944" t="n"/>
      <c r="H507" s="3944" t="n"/>
      <c r="I507" s="3944" t="n"/>
      <c r="J507" s="3944" t="n"/>
      <c r="K507" s="3942">
        <f>IF(A507="","",SUM(E507:J507))</f>
        <v/>
      </c>
      <c r="L507" s="3934" t="n"/>
      <c r="M507" s="3934" t="n"/>
      <c r="N507" s="3934" t="n"/>
      <c r="O507" s="3934" t="n"/>
      <c r="P507" s="3934" t="n"/>
      <c r="Q507" s="3934" t="n"/>
      <c r="R507" s="3934" t="n"/>
      <c r="S507" s="3934" t="n"/>
      <c r="T507" s="3934" t="n"/>
      <c r="U507" s="3934" t="n"/>
      <c r="V507" s="3934" t="n"/>
      <c r="W507" s="3934" t="n"/>
      <c r="X507" s="3934" t="n"/>
      <c r="Y507" s="3934" t="n"/>
      <c r="Z507" s="3934" t="n"/>
      <c r="AA507" s="3934" t="n"/>
      <c r="AB507" s="3934" t="n"/>
      <c r="AC507" s="3934" t="n"/>
      <c r="AD507" s="3934" t="n"/>
      <c r="AE507" s="3934" t="n"/>
      <c r="AF507" s="3934" t="n"/>
      <c r="AG507" s="3934" t="n"/>
      <c r="AH507" s="3934" t="n"/>
      <c r="AI507" s="3934" t="n"/>
      <c r="AJ507" s="3934" t="n"/>
      <c r="AK507" s="3934" t="n"/>
      <c r="AL507" s="3934" t="n"/>
      <c r="AM507" s="3934" t="n"/>
      <c r="AN507" s="3934" t="n"/>
      <c r="AO507" s="3934" t="n"/>
      <c r="AP507" s="3934" t="n"/>
      <c r="AQ507" s="3934" t="n"/>
      <c r="AR507" s="3934" t="n"/>
    </row>
    <row r="508">
      <c r="A508" s="3941" t="n"/>
      <c r="B508" s="3944" t="n"/>
      <c r="C508" s="3944" t="n"/>
      <c r="D508" s="3944" t="n"/>
      <c r="E508" s="3944" t="n"/>
      <c r="F508" s="3944" t="n"/>
      <c r="G508" s="3944" t="n"/>
      <c r="H508" s="3944" t="n"/>
      <c r="I508" s="3944" t="n"/>
      <c r="J508" s="3944" t="n"/>
      <c r="K508" s="3942">
        <f>IF(A508="","",SUM(E508:J508))</f>
        <v/>
      </c>
      <c r="L508" s="3934" t="n"/>
      <c r="M508" s="3934" t="n"/>
      <c r="N508" s="3934" t="n"/>
      <c r="O508" s="3934" t="n"/>
      <c r="P508" s="3934" t="n"/>
      <c r="Q508" s="3934" t="n"/>
      <c r="R508" s="3934" t="n"/>
      <c r="S508" s="3934" t="n"/>
      <c r="T508" s="3934" t="n"/>
      <c r="U508" s="3934" t="n"/>
      <c r="V508" s="3934" t="n"/>
      <c r="W508" s="3934" t="n"/>
      <c r="X508" s="3934" t="n"/>
      <c r="Y508" s="3934" t="n"/>
      <c r="Z508" s="3934" t="n"/>
      <c r="AA508" s="3934" t="n"/>
      <c r="AB508" s="3934" t="n"/>
      <c r="AC508" s="3934" t="n"/>
      <c r="AD508" s="3934" t="n"/>
      <c r="AE508" s="3934" t="n"/>
      <c r="AF508" s="3934" t="n"/>
      <c r="AG508" s="3934" t="n"/>
      <c r="AH508" s="3934" t="n"/>
      <c r="AI508" s="3934" t="n"/>
      <c r="AJ508" s="3934" t="n"/>
      <c r="AK508" s="3934" t="n"/>
      <c r="AL508" s="3934" t="n"/>
      <c r="AM508" s="3934" t="n"/>
      <c r="AN508" s="3934" t="n"/>
      <c r="AO508" s="3934" t="n"/>
      <c r="AP508" s="3934" t="n"/>
      <c r="AQ508" s="3934" t="n"/>
      <c r="AR508" s="3934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R508"/>
  <sheetViews>
    <sheetView showGridLines="0" zoomScale="100" zoomScaleNormal="10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0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3921" t="inlineStr">
        <is>
          <t>Data | AP Aging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</row>
    <row r="2">
      <c r="A2" s="3978" t="inlineStr">
        <is>
          <t>Source: &lt;document_source&gt;</t>
        </is>
      </c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</row>
    <row r="4">
      <c r="A4" s="3936" t="inlineStr">
        <is>
          <t>Template Note</t>
        </is>
      </c>
      <c r="B4" s="3937" t="inlineStr">
        <is>
          <t>Pack A scaffold only: direct formulas/values, no Excel Tables, no required named ranges.</t>
        </is>
      </c>
      <c r="C4" s="3934" t="n"/>
      <c r="D4" s="3934" t="n"/>
      <c r="E4" s="3934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</row>
    <row r="5">
      <c r="A5" s="3934" t="n"/>
      <c r="B5" s="3934" t="n"/>
      <c r="C5" s="3934" t="n"/>
      <c r="D5" s="3934" t="n"/>
      <c r="E5" s="3934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</row>
    <row r="7">
      <c r="A7" s="3979" t="inlineStr">
        <is>
          <t>Data | AP Aging</t>
        </is>
      </c>
      <c r="B7" s="3980" t="n"/>
      <c r="C7" s="3980" t="n"/>
      <c r="D7" s="3980" t="n"/>
      <c r="E7" s="3980" t="n"/>
      <c r="F7" s="3980" t="n"/>
      <c r="G7" s="3980" t="n"/>
      <c r="H7" s="3980" t="n"/>
      <c r="I7" s="3980" t="n"/>
      <c r="J7" s="3980" t="n"/>
      <c r="K7" s="3980" t="n"/>
      <c r="L7" s="3934" t="n"/>
      <c r="M7" s="3934" t="n"/>
      <c r="N7" s="3934" t="n"/>
      <c r="O7" s="3934" t="n"/>
      <c r="P7" s="3934" t="n"/>
      <c r="Q7" s="3934" t="n"/>
      <c r="R7" s="3934" t="n"/>
      <c r="S7" s="3934" t="n"/>
      <c r="T7" s="3934" t="n"/>
      <c r="U7" s="3934" t="n"/>
      <c r="V7" s="3934" t="n"/>
      <c r="W7" s="3934" t="n"/>
      <c r="X7" s="3934" t="n"/>
      <c r="Y7" s="3934" t="n"/>
      <c r="Z7" s="3934" t="n"/>
      <c r="AA7" s="3934" t="n"/>
      <c r="AB7" s="3934" t="n"/>
      <c r="AC7" s="3934" t="n"/>
      <c r="AD7" s="3934" t="n"/>
      <c r="AE7" s="3934" t="n"/>
      <c r="AF7" s="3934" t="n"/>
      <c r="AG7" s="3934" t="n"/>
      <c r="AH7" s="3934" t="n"/>
      <c r="AI7" s="3934" t="n"/>
      <c r="AJ7" s="3934" t="n"/>
      <c r="AK7" s="3934" t="n"/>
      <c r="AL7" s="3934" t="n"/>
      <c r="AM7" s="3934" t="n"/>
      <c r="AN7" s="3934" t="n"/>
      <c r="AO7" s="3934" t="n"/>
      <c r="AP7" s="3934" t="n"/>
      <c r="AQ7" s="3934" t="n"/>
      <c r="AR7" s="3934" t="n"/>
    </row>
    <row r="8">
      <c r="A8" s="3923" t="inlineStr">
        <is>
          <t>AsAtDate</t>
        </is>
      </c>
      <c r="B8" s="3923" t="inlineStr">
        <is>
          <t>Entity</t>
        </is>
      </c>
      <c r="C8" s="3923" t="inlineStr">
        <is>
          <t>CounterpartyName</t>
        </is>
      </c>
      <c r="D8" s="3923" t="inlineStr">
        <is>
          <t>CounterpartyID</t>
        </is>
      </c>
      <c r="E8" s="3923" t="inlineStr">
        <is>
          <t>Current</t>
        </is>
      </c>
      <c r="F8" s="3923" t="inlineStr">
        <is>
          <t>1-30</t>
        </is>
      </c>
      <c r="G8" s="3923" t="inlineStr">
        <is>
          <t>31-60</t>
        </is>
      </c>
      <c r="H8" s="3923" t="inlineStr">
        <is>
          <t>61-90</t>
        </is>
      </c>
      <c r="I8" s="3923" t="inlineStr">
        <is>
          <t>91-120</t>
        </is>
      </c>
      <c r="J8" s="3923" t="inlineStr">
        <is>
          <t>&gt;120</t>
        </is>
      </c>
      <c r="K8" s="3923" t="inlineStr">
        <is>
          <t>Total</t>
        </is>
      </c>
      <c r="L8" s="3934" t="n"/>
      <c r="M8" s="3934" t="n"/>
      <c r="N8" s="3934" t="n"/>
      <c r="O8" s="3934" t="n"/>
      <c r="P8" s="3934" t="n"/>
      <c r="Q8" s="3934" t="n"/>
      <c r="R8" s="3934" t="n"/>
      <c r="S8" s="3934" t="n"/>
      <c r="T8" s="3934" t="n"/>
      <c r="U8" s="3934" t="n"/>
      <c r="V8" s="3934" t="n"/>
      <c r="W8" s="3934" t="n"/>
      <c r="X8" s="3934" t="n"/>
      <c r="Y8" s="3934" t="n"/>
      <c r="Z8" s="3934" t="n"/>
      <c r="AA8" s="3934" t="n"/>
      <c r="AB8" s="3934" t="n"/>
      <c r="AC8" s="3934" t="n"/>
      <c r="AD8" s="3934" t="n"/>
      <c r="AE8" s="3934" t="n"/>
      <c r="AF8" s="3934" t="n"/>
      <c r="AG8" s="3934" t="n"/>
      <c r="AH8" s="3934" t="n"/>
      <c r="AI8" s="3934" t="n"/>
      <c r="AJ8" s="3934" t="n"/>
      <c r="AK8" s="3934" t="n"/>
      <c r="AL8" s="3934" t="n"/>
      <c r="AM8" s="3934" t="n"/>
      <c r="AN8" s="3934" t="n"/>
      <c r="AO8" s="3934" t="n"/>
      <c r="AP8" s="3934" t="n"/>
      <c r="AQ8" s="3934" t="n"/>
      <c r="AR8" s="3934" t="n"/>
    </row>
    <row r="9">
      <c r="A9" s="3941" t="n"/>
      <c r="B9" s="3944" t="n"/>
      <c r="C9" s="3944" t="n"/>
      <c r="D9" s="3944" t="n"/>
      <c r="E9" s="3944" t="n"/>
      <c r="F9" s="3944" t="n"/>
      <c r="G9" s="3944" t="n"/>
      <c r="H9" s="3944" t="n"/>
      <c r="I9" s="3944" t="n"/>
      <c r="J9" s="3944" t="n"/>
      <c r="K9" s="3942">
        <f>IF(A9="","",SUM(E9:J9))</f>
        <v/>
      </c>
      <c r="L9" s="3934" t="n"/>
      <c r="M9" s="3934" t="n"/>
      <c r="N9" s="3934" t="n"/>
      <c r="O9" s="3934" t="n"/>
      <c r="P9" s="3934" t="n"/>
      <c r="Q9" s="3934" t="n"/>
      <c r="R9" s="3934" t="n"/>
      <c r="S9" s="3934" t="n"/>
      <c r="T9" s="3934" t="n"/>
      <c r="U9" s="3934" t="n"/>
      <c r="V9" s="3934" t="n"/>
      <c r="W9" s="3934" t="n"/>
      <c r="X9" s="3934" t="n"/>
      <c r="Y9" s="3934" t="n"/>
      <c r="Z9" s="3934" t="n"/>
      <c r="AA9" s="3934" t="n"/>
      <c r="AB9" s="3934" t="n"/>
      <c r="AC9" s="3934" t="n"/>
      <c r="AD9" s="3934" t="n"/>
      <c r="AE9" s="3934" t="n"/>
      <c r="AF9" s="3934" t="n"/>
      <c r="AG9" s="3934" t="n"/>
      <c r="AH9" s="3934" t="n"/>
      <c r="AI9" s="3934" t="n"/>
      <c r="AJ9" s="3934" t="n"/>
      <c r="AK9" s="3934" t="n"/>
      <c r="AL9" s="3934" t="n"/>
      <c r="AM9" s="3934" t="n"/>
      <c r="AN9" s="3934" t="n"/>
      <c r="AO9" s="3934" t="n"/>
      <c r="AP9" s="3934" t="n"/>
      <c r="AQ9" s="3934" t="n"/>
      <c r="AR9" s="3934" t="n"/>
    </row>
    <row r="10">
      <c r="A10" s="3941" t="n"/>
      <c r="B10" s="3944" t="n"/>
      <c r="C10" s="3944" t="n"/>
      <c r="D10" s="3944" t="n"/>
      <c r="E10" s="3944" t="n"/>
      <c r="F10" s="3944" t="n"/>
      <c r="G10" s="3944" t="n"/>
      <c r="H10" s="3944" t="n"/>
      <c r="I10" s="3944" t="n"/>
      <c r="J10" s="3944" t="n"/>
      <c r="K10" s="3942">
        <f>IF(A10="","",SUM(E10:J10))</f>
        <v/>
      </c>
      <c r="L10" s="3934" t="n"/>
      <c r="M10" s="3934" t="n"/>
      <c r="N10" s="3934" t="n"/>
      <c r="O10" s="3934" t="n"/>
      <c r="P10" s="3934" t="n"/>
      <c r="Q10" s="3934" t="n"/>
      <c r="R10" s="3934" t="n"/>
      <c r="S10" s="3934" t="n"/>
      <c r="T10" s="3934" t="n"/>
      <c r="U10" s="3934" t="n"/>
      <c r="V10" s="3934" t="n"/>
      <c r="W10" s="3934" t="n"/>
      <c r="X10" s="3934" t="n"/>
      <c r="Y10" s="3934" t="n"/>
      <c r="Z10" s="3934" t="n"/>
      <c r="AA10" s="3934" t="n"/>
      <c r="AB10" s="3934" t="n"/>
      <c r="AC10" s="3934" t="n"/>
      <c r="AD10" s="3934" t="n"/>
      <c r="AE10" s="3934" t="n"/>
      <c r="AF10" s="3934" t="n"/>
      <c r="AG10" s="3934" t="n"/>
      <c r="AH10" s="3934" t="n"/>
      <c r="AI10" s="3934" t="n"/>
      <c r="AJ10" s="3934" t="n"/>
      <c r="AK10" s="3934" t="n"/>
      <c r="AL10" s="3934" t="n"/>
      <c r="AM10" s="3934" t="n"/>
      <c r="AN10" s="3934" t="n"/>
      <c r="AO10" s="3934" t="n"/>
      <c r="AP10" s="3934" t="n"/>
      <c r="AQ10" s="3934" t="n"/>
      <c r="AR10" s="3934" t="n"/>
    </row>
    <row r="11">
      <c r="A11" s="3941" t="n"/>
      <c r="B11" s="3944" t="n"/>
      <c r="C11" s="3944" t="n"/>
      <c r="D11" s="3944" t="n"/>
      <c r="E11" s="3944" t="n"/>
      <c r="F11" s="3944" t="n"/>
      <c r="G11" s="3944" t="n"/>
      <c r="H11" s="3944" t="n"/>
      <c r="I11" s="3944" t="n"/>
      <c r="J11" s="3944" t="n"/>
      <c r="K11" s="3942">
        <f>IF(A11="","",SUM(E11:J11))</f>
        <v/>
      </c>
      <c r="L11" s="3934" t="n"/>
      <c r="M11" s="3934" t="n"/>
      <c r="N11" s="3934" t="n"/>
      <c r="O11" s="3934" t="n"/>
      <c r="P11" s="3934" t="n"/>
      <c r="Q11" s="3934" t="n"/>
      <c r="R11" s="3934" t="n"/>
      <c r="S11" s="3934" t="n"/>
      <c r="T11" s="3934" t="n"/>
      <c r="U11" s="3934" t="n"/>
      <c r="V11" s="3934" t="n"/>
      <c r="W11" s="3934" t="n"/>
      <c r="X11" s="3934" t="n"/>
      <c r="Y11" s="3934" t="n"/>
      <c r="Z11" s="3934" t="n"/>
      <c r="AA11" s="3934" t="n"/>
      <c r="AB11" s="3934" t="n"/>
      <c r="AC11" s="3934" t="n"/>
      <c r="AD11" s="3934" t="n"/>
      <c r="AE11" s="3934" t="n"/>
      <c r="AF11" s="3934" t="n"/>
      <c r="AG11" s="3934" t="n"/>
      <c r="AH11" s="3934" t="n"/>
      <c r="AI11" s="3934" t="n"/>
      <c r="AJ11" s="3934" t="n"/>
      <c r="AK11" s="3934" t="n"/>
      <c r="AL11" s="3934" t="n"/>
      <c r="AM11" s="3934" t="n"/>
      <c r="AN11" s="3934" t="n"/>
      <c r="AO11" s="3934" t="n"/>
      <c r="AP11" s="3934" t="n"/>
      <c r="AQ11" s="3934" t="n"/>
      <c r="AR11" s="3934" t="n"/>
    </row>
    <row r="12">
      <c r="A12" s="3941" t="n"/>
      <c r="B12" s="3944" t="n"/>
      <c r="C12" s="3944" t="n"/>
      <c r="D12" s="3944" t="n"/>
      <c r="E12" s="3944" t="n"/>
      <c r="F12" s="3944" t="n"/>
      <c r="G12" s="3944" t="n"/>
      <c r="H12" s="3944" t="n"/>
      <c r="I12" s="3944" t="n"/>
      <c r="J12" s="3944" t="n"/>
      <c r="K12" s="3942">
        <f>IF(A12="","",SUM(E12:J12))</f>
        <v/>
      </c>
      <c r="L12" s="3934" t="n"/>
      <c r="M12" s="3934" t="n"/>
      <c r="N12" s="3934" t="n"/>
      <c r="O12" s="3934" t="n"/>
      <c r="P12" s="3934" t="n"/>
      <c r="Q12" s="3934" t="n"/>
      <c r="R12" s="3934" t="n"/>
      <c r="S12" s="3934" t="n"/>
      <c r="T12" s="3934" t="n"/>
      <c r="U12" s="3934" t="n"/>
      <c r="V12" s="3934" t="n"/>
      <c r="W12" s="3934" t="n"/>
      <c r="X12" s="3934" t="n"/>
      <c r="Y12" s="3934" t="n"/>
      <c r="Z12" s="3934" t="n"/>
      <c r="AA12" s="3934" t="n"/>
      <c r="AB12" s="3934" t="n"/>
      <c r="AC12" s="3934" t="n"/>
      <c r="AD12" s="3934" t="n"/>
      <c r="AE12" s="3934" t="n"/>
      <c r="AF12" s="3934" t="n"/>
      <c r="AG12" s="3934" t="n"/>
      <c r="AH12" s="3934" t="n"/>
      <c r="AI12" s="3934" t="n"/>
      <c r="AJ12" s="3934" t="n"/>
      <c r="AK12" s="3934" t="n"/>
      <c r="AL12" s="3934" t="n"/>
      <c r="AM12" s="3934" t="n"/>
      <c r="AN12" s="3934" t="n"/>
      <c r="AO12" s="3934" t="n"/>
      <c r="AP12" s="3934" t="n"/>
      <c r="AQ12" s="3934" t="n"/>
      <c r="AR12" s="3934" t="n"/>
    </row>
    <row r="13">
      <c r="A13" s="3941" t="n"/>
      <c r="B13" s="3944" t="n"/>
      <c r="C13" s="3944" t="n"/>
      <c r="D13" s="3944" t="n"/>
      <c r="E13" s="3944" t="n"/>
      <c r="F13" s="3944" t="n"/>
      <c r="G13" s="3944" t="n"/>
      <c r="H13" s="3944" t="n"/>
      <c r="I13" s="3944" t="n"/>
      <c r="J13" s="3944" t="n"/>
      <c r="K13" s="3942">
        <f>IF(A13="","",SUM(E13:J13))</f>
        <v/>
      </c>
      <c r="L13" s="3934" t="n"/>
      <c r="M13" s="3934" t="n"/>
      <c r="N13" s="3934" t="n"/>
      <c r="O13" s="3934" t="n"/>
      <c r="P13" s="3934" t="n"/>
      <c r="Q13" s="3934" t="n"/>
      <c r="R13" s="3934" t="n"/>
      <c r="S13" s="3934" t="n"/>
      <c r="T13" s="3934" t="n"/>
      <c r="U13" s="3934" t="n"/>
      <c r="V13" s="3934" t="n"/>
      <c r="W13" s="3934" t="n"/>
      <c r="X13" s="3934" t="n"/>
      <c r="Y13" s="3934" t="n"/>
      <c r="Z13" s="3934" t="n"/>
      <c r="AA13" s="3934" t="n"/>
      <c r="AB13" s="3934" t="n"/>
      <c r="AC13" s="3934" t="n"/>
      <c r="AD13" s="3934" t="n"/>
      <c r="AE13" s="3934" t="n"/>
      <c r="AF13" s="3934" t="n"/>
      <c r="AG13" s="3934" t="n"/>
      <c r="AH13" s="3934" t="n"/>
      <c r="AI13" s="3934" t="n"/>
      <c r="AJ13" s="3934" t="n"/>
      <c r="AK13" s="3934" t="n"/>
      <c r="AL13" s="3934" t="n"/>
      <c r="AM13" s="3934" t="n"/>
      <c r="AN13" s="3934" t="n"/>
      <c r="AO13" s="3934" t="n"/>
      <c r="AP13" s="3934" t="n"/>
      <c r="AQ13" s="3934" t="n"/>
      <c r="AR13" s="3934" t="n"/>
    </row>
    <row r="14">
      <c r="A14" s="3941" t="n"/>
      <c r="B14" s="3944" t="n"/>
      <c r="C14" s="3944" t="n"/>
      <c r="D14" s="3944" t="n"/>
      <c r="E14" s="3944" t="n"/>
      <c r="F14" s="3944" t="n"/>
      <c r="G14" s="3944" t="n"/>
      <c r="H14" s="3944" t="n"/>
      <c r="I14" s="3944" t="n"/>
      <c r="J14" s="3944" t="n"/>
      <c r="K14" s="3942">
        <f>IF(A14="","",SUM(E14:J14))</f>
        <v/>
      </c>
      <c r="L14" s="3934" t="n"/>
      <c r="M14" s="3934" t="n"/>
      <c r="N14" s="3934" t="n"/>
      <c r="O14" s="3934" t="n"/>
      <c r="P14" s="3934" t="n"/>
      <c r="Q14" s="3934" t="n"/>
      <c r="R14" s="3934" t="n"/>
      <c r="S14" s="3934" t="n"/>
      <c r="T14" s="3934" t="n"/>
      <c r="U14" s="3934" t="n"/>
      <c r="V14" s="3934" t="n"/>
      <c r="W14" s="3934" t="n"/>
      <c r="X14" s="3934" t="n"/>
      <c r="Y14" s="3934" t="n"/>
      <c r="Z14" s="3934" t="n"/>
      <c r="AA14" s="3934" t="n"/>
      <c r="AB14" s="3934" t="n"/>
      <c r="AC14" s="3934" t="n"/>
      <c r="AD14" s="3934" t="n"/>
      <c r="AE14" s="3934" t="n"/>
      <c r="AF14" s="3934" t="n"/>
      <c r="AG14" s="3934" t="n"/>
      <c r="AH14" s="3934" t="n"/>
      <c r="AI14" s="3934" t="n"/>
      <c r="AJ14" s="3934" t="n"/>
      <c r="AK14" s="3934" t="n"/>
      <c r="AL14" s="3934" t="n"/>
      <c r="AM14" s="3934" t="n"/>
      <c r="AN14" s="3934" t="n"/>
      <c r="AO14" s="3934" t="n"/>
      <c r="AP14" s="3934" t="n"/>
      <c r="AQ14" s="3934" t="n"/>
      <c r="AR14" s="3934" t="n"/>
    </row>
    <row r="15">
      <c r="A15" s="3941" t="n"/>
      <c r="B15" s="3944" t="n"/>
      <c r="C15" s="3944" t="n"/>
      <c r="D15" s="3944" t="n"/>
      <c r="E15" s="3944" t="n"/>
      <c r="F15" s="3944" t="n"/>
      <c r="G15" s="3944" t="n"/>
      <c r="H15" s="3944" t="n"/>
      <c r="I15" s="3944" t="n"/>
      <c r="J15" s="3944" t="n"/>
      <c r="K15" s="3942">
        <f>IF(A15="","",SUM(E15:J15))</f>
        <v/>
      </c>
      <c r="L15" s="3934" t="n"/>
      <c r="M15" s="3934" t="n"/>
      <c r="N15" s="3934" t="n"/>
      <c r="O15" s="3934" t="n"/>
      <c r="P15" s="3934" t="n"/>
      <c r="Q15" s="3934" t="n"/>
      <c r="R15" s="3934" t="n"/>
      <c r="S15" s="3934" t="n"/>
      <c r="T15" s="3934" t="n"/>
      <c r="U15" s="3934" t="n"/>
      <c r="V15" s="3934" t="n"/>
      <c r="W15" s="3934" t="n"/>
      <c r="X15" s="3934" t="n"/>
      <c r="Y15" s="3934" t="n"/>
      <c r="Z15" s="3934" t="n"/>
      <c r="AA15" s="3934" t="n"/>
      <c r="AB15" s="3934" t="n"/>
      <c r="AC15" s="3934" t="n"/>
      <c r="AD15" s="3934" t="n"/>
      <c r="AE15" s="3934" t="n"/>
      <c r="AF15" s="3934" t="n"/>
      <c r="AG15" s="3934" t="n"/>
      <c r="AH15" s="3934" t="n"/>
      <c r="AI15" s="3934" t="n"/>
      <c r="AJ15" s="3934" t="n"/>
      <c r="AK15" s="3934" t="n"/>
      <c r="AL15" s="3934" t="n"/>
      <c r="AM15" s="3934" t="n"/>
      <c r="AN15" s="3934" t="n"/>
      <c r="AO15" s="3934" t="n"/>
      <c r="AP15" s="3934" t="n"/>
      <c r="AQ15" s="3934" t="n"/>
      <c r="AR15" s="3934" t="n"/>
    </row>
    <row r="16">
      <c r="A16" s="3941" t="n"/>
      <c r="B16" s="3944" t="n"/>
      <c r="C16" s="3944" t="n"/>
      <c r="D16" s="3944" t="n"/>
      <c r="E16" s="3944" t="n"/>
      <c r="F16" s="3944" t="n"/>
      <c r="G16" s="3944" t="n"/>
      <c r="H16" s="3944" t="n"/>
      <c r="I16" s="3944" t="n"/>
      <c r="J16" s="3944" t="n"/>
      <c r="K16" s="3942">
        <f>IF(A16="","",SUM(E16:J16))</f>
        <v/>
      </c>
      <c r="L16" s="3934" t="n"/>
      <c r="M16" s="3934" t="n"/>
      <c r="N16" s="3934" t="n"/>
      <c r="O16" s="3934" t="n"/>
      <c r="P16" s="3934" t="n"/>
      <c r="Q16" s="3934" t="n"/>
      <c r="R16" s="3934" t="n"/>
      <c r="S16" s="3934" t="n"/>
      <c r="T16" s="3934" t="n"/>
      <c r="U16" s="3934" t="n"/>
      <c r="V16" s="3934" t="n"/>
      <c r="W16" s="3934" t="n"/>
      <c r="X16" s="3934" t="n"/>
      <c r="Y16" s="3934" t="n"/>
      <c r="Z16" s="3934" t="n"/>
      <c r="AA16" s="3934" t="n"/>
      <c r="AB16" s="3934" t="n"/>
      <c r="AC16" s="3934" t="n"/>
      <c r="AD16" s="3934" t="n"/>
      <c r="AE16" s="3934" t="n"/>
      <c r="AF16" s="3934" t="n"/>
      <c r="AG16" s="3934" t="n"/>
      <c r="AH16" s="3934" t="n"/>
      <c r="AI16" s="3934" t="n"/>
      <c r="AJ16" s="3934" t="n"/>
      <c r="AK16" s="3934" t="n"/>
      <c r="AL16" s="3934" t="n"/>
      <c r="AM16" s="3934" t="n"/>
      <c r="AN16" s="3934" t="n"/>
      <c r="AO16" s="3934" t="n"/>
      <c r="AP16" s="3934" t="n"/>
      <c r="AQ16" s="3934" t="n"/>
      <c r="AR16" s="3934" t="n"/>
    </row>
    <row r="17">
      <c r="A17" s="3941" t="n"/>
      <c r="B17" s="3944" t="n"/>
      <c r="C17" s="3944" t="n"/>
      <c r="D17" s="3944" t="n"/>
      <c r="E17" s="3944" t="n"/>
      <c r="F17" s="3944" t="n"/>
      <c r="G17" s="3944" t="n"/>
      <c r="H17" s="3944" t="n"/>
      <c r="I17" s="3944" t="n"/>
      <c r="J17" s="3944" t="n"/>
      <c r="K17" s="3942">
        <f>IF(A17="","",SUM(E17:J17))</f>
        <v/>
      </c>
      <c r="L17" s="3934" t="n"/>
      <c r="M17" s="3934" t="n"/>
      <c r="N17" s="3934" t="n"/>
      <c r="O17" s="3934" t="n"/>
      <c r="P17" s="3934" t="n"/>
      <c r="Q17" s="3934" t="n"/>
      <c r="R17" s="3934" t="n"/>
      <c r="S17" s="3934" t="n"/>
      <c r="T17" s="3934" t="n"/>
      <c r="U17" s="3934" t="n"/>
      <c r="V17" s="3934" t="n"/>
      <c r="W17" s="3934" t="n"/>
      <c r="X17" s="3934" t="n"/>
      <c r="Y17" s="3934" t="n"/>
      <c r="Z17" s="3934" t="n"/>
      <c r="AA17" s="3934" t="n"/>
      <c r="AB17" s="3934" t="n"/>
      <c r="AC17" s="3934" t="n"/>
      <c r="AD17" s="3934" t="n"/>
      <c r="AE17" s="3934" t="n"/>
      <c r="AF17" s="3934" t="n"/>
      <c r="AG17" s="3934" t="n"/>
      <c r="AH17" s="3934" t="n"/>
      <c r="AI17" s="3934" t="n"/>
      <c r="AJ17" s="3934" t="n"/>
      <c r="AK17" s="3934" t="n"/>
      <c r="AL17" s="3934" t="n"/>
      <c r="AM17" s="3934" t="n"/>
      <c r="AN17" s="3934" t="n"/>
      <c r="AO17" s="3934" t="n"/>
      <c r="AP17" s="3934" t="n"/>
      <c r="AQ17" s="3934" t="n"/>
      <c r="AR17" s="3934" t="n"/>
    </row>
    <row r="18">
      <c r="A18" s="3941" t="n"/>
      <c r="B18" s="3944" t="n"/>
      <c r="C18" s="3944" t="n"/>
      <c r="D18" s="3944" t="n"/>
      <c r="E18" s="3944" t="n"/>
      <c r="F18" s="3944" t="n"/>
      <c r="G18" s="3944" t="n"/>
      <c r="H18" s="3944" t="n"/>
      <c r="I18" s="3944" t="n"/>
      <c r="J18" s="3944" t="n"/>
      <c r="K18" s="3942">
        <f>IF(A18="","",SUM(E18:J18))</f>
        <v/>
      </c>
      <c r="L18" s="3934" t="n"/>
      <c r="M18" s="3934" t="n"/>
      <c r="N18" s="3934" t="n"/>
      <c r="O18" s="3934" t="n"/>
      <c r="P18" s="3934" t="n"/>
      <c r="Q18" s="3934" t="n"/>
      <c r="R18" s="3934" t="n"/>
      <c r="S18" s="3934" t="n"/>
      <c r="T18" s="3934" t="n"/>
      <c r="U18" s="3934" t="n"/>
      <c r="V18" s="3934" t="n"/>
      <c r="W18" s="3934" t="n"/>
      <c r="X18" s="3934" t="n"/>
      <c r="Y18" s="3934" t="n"/>
      <c r="Z18" s="3934" t="n"/>
      <c r="AA18" s="3934" t="n"/>
      <c r="AB18" s="3934" t="n"/>
      <c r="AC18" s="3934" t="n"/>
      <c r="AD18" s="3934" t="n"/>
      <c r="AE18" s="3934" t="n"/>
      <c r="AF18" s="3934" t="n"/>
      <c r="AG18" s="3934" t="n"/>
      <c r="AH18" s="3934" t="n"/>
      <c r="AI18" s="3934" t="n"/>
      <c r="AJ18" s="3934" t="n"/>
      <c r="AK18" s="3934" t="n"/>
      <c r="AL18" s="3934" t="n"/>
      <c r="AM18" s="3934" t="n"/>
      <c r="AN18" s="3934" t="n"/>
      <c r="AO18" s="3934" t="n"/>
      <c r="AP18" s="3934" t="n"/>
      <c r="AQ18" s="3934" t="n"/>
      <c r="AR18" s="3934" t="n"/>
    </row>
    <row r="19">
      <c r="A19" s="3941" t="n"/>
      <c r="B19" s="3944" t="n"/>
      <c r="C19" s="3944" t="n"/>
      <c r="D19" s="3944" t="n"/>
      <c r="E19" s="3944" t="n"/>
      <c r="F19" s="3944" t="n"/>
      <c r="G19" s="3944" t="n"/>
      <c r="H19" s="3944" t="n"/>
      <c r="I19" s="3944" t="n"/>
      <c r="J19" s="3944" t="n"/>
      <c r="K19" s="3942">
        <f>IF(A19="","",SUM(E19:J19))</f>
        <v/>
      </c>
      <c r="L19" s="3934" t="n"/>
      <c r="M19" s="3934" t="n"/>
      <c r="N19" s="3934" t="n"/>
      <c r="O19" s="3934" t="n"/>
      <c r="P19" s="3934" t="n"/>
      <c r="Q19" s="3934" t="n"/>
      <c r="R19" s="3934" t="n"/>
      <c r="S19" s="3934" t="n"/>
      <c r="T19" s="3934" t="n"/>
      <c r="U19" s="3934" t="n"/>
      <c r="V19" s="3934" t="n"/>
      <c r="W19" s="3934" t="n"/>
      <c r="X19" s="3934" t="n"/>
      <c r="Y19" s="3934" t="n"/>
      <c r="Z19" s="3934" t="n"/>
      <c r="AA19" s="3934" t="n"/>
      <c r="AB19" s="3934" t="n"/>
      <c r="AC19" s="3934" t="n"/>
      <c r="AD19" s="3934" t="n"/>
      <c r="AE19" s="3934" t="n"/>
      <c r="AF19" s="3934" t="n"/>
      <c r="AG19" s="3934" t="n"/>
      <c r="AH19" s="3934" t="n"/>
      <c r="AI19" s="3934" t="n"/>
      <c r="AJ19" s="3934" t="n"/>
      <c r="AK19" s="3934" t="n"/>
      <c r="AL19" s="3934" t="n"/>
      <c r="AM19" s="3934" t="n"/>
      <c r="AN19" s="3934" t="n"/>
      <c r="AO19" s="3934" t="n"/>
      <c r="AP19" s="3934" t="n"/>
      <c r="AQ19" s="3934" t="n"/>
      <c r="AR19" s="3934" t="n"/>
    </row>
    <row r="20">
      <c r="A20" s="3941" t="n"/>
      <c r="B20" s="3944" t="n"/>
      <c r="C20" s="3944" t="n"/>
      <c r="D20" s="3944" t="n"/>
      <c r="E20" s="3944" t="n"/>
      <c r="F20" s="3944" t="n"/>
      <c r="G20" s="3944" t="n"/>
      <c r="H20" s="3944" t="n"/>
      <c r="I20" s="3944" t="n"/>
      <c r="J20" s="3944" t="n"/>
      <c r="K20" s="3942">
        <f>IF(A20="","",SUM(E20:J20))</f>
        <v/>
      </c>
      <c r="L20" s="3934" t="n"/>
      <c r="M20" s="3934" t="n"/>
      <c r="N20" s="3934" t="n"/>
      <c r="O20" s="3934" t="n"/>
      <c r="P20" s="3934" t="n"/>
      <c r="Q20" s="3934" t="n"/>
      <c r="R20" s="3934" t="n"/>
      <c r="S20" s="3934" t="n"/>
      <c r="T20" s="3934" t="n"/>
      <c r="U20" s="3934" t="n"/>
      <c r="V20" s="3934" t="n"/>
      <c r="W20" s="3934" t="n"/>
      <c r="X20" s="3934" t="n"/>
      <c r="Y20" s="3934" t="n"/>
      <c r="Z20" s="3934" t="n"/>
      <c r="AA20" s="3934" t="n"/>
      <c r="AB20" s="3934" t="n"/>
      <c r="AC20" s="3934" t="n"/>
      <c r="AD20" s="3934" t="n"/>
      <c r="AE20" s="3934" t="n"/>
      <c r="AF20" s="3934" t="n"/>
      <c r="AG20" s="3934" t="n"/>
      <c r="AH20" s="3934" t="n"/>
      <c r="AI20" s="3934" t="n"/>
      <c r="AJ20" s="3934" t="n"/>
      <c r="AK20" s="3934" t="n"/>
      <c r="AL20" s="3934" t="n"/>
      <c r="AM20" s="3934" t="n"/>
      <c r="AN20" s="3934" t="n"/>
      <c r="AO20" s="3934" t="n"/>
      <c r="AP20" s="3934" t="n"/>
      <c r="AQ20" s="3934" t="n"/>
      <c r="AR20" s="3934" t="n"/>
    </row>
    <row r="21">
      <c r="A21" s="3941" t="n"/>
      <c r="B21" s="3944" t="n"/>
      <c r="C21" s="3944" t="n"/>
      <c r="D21" s="3944" t="n"/>
      <c r="E21" s="3944" t="n"/>
      <c r="F21" s="3944" t="n"/>
      <c r="G21" s="3944" t="n"/>
      <c r="H21" s="3944" t="n"/>
      <c r="I21" s="3944" t="n"/>
      <c r="J21" s="3944" t="n"/>
      <c r="K21" s="3942">
        <f>IF(A21="","",SUM(E21:J21))</f>
        <v/>
      </c>
      <c r="L21" s="3934" t="n"/>
      <c r="M21" s="3934" t="n"/>
      <c r="N21" s="3934" t="n"/>
      <c r="O21" s="3934" t="n"/>
      <c r="P21" s="3934" t="n"/>
      <c r="Q21" s="3934" t="n"/>
      <c r="R21" s="3934" t="n"/>
      <c r="S21" s="3934" t="n"/>
      <c r="T21" s="3934" t="n"/>
      <c r="U21" s="3934" t="n"/>
      <c r="V21" s="3934" t="n"/>
      <c r="W21" s="3934" t="n"/>
      <c r="X21" s="3934" t="n"/>
      <c r="Y21" s="3934" t="n"/>
      <c r="Z21" s="3934" t="n"/>
      <c r="AA21" s="3934" t="n"/>
      <c r="AB21" s="3934" t="n"/>
      <c r="AC21" s="3934" t="n"/>
      <c r="AD21" s="3934" t="n"/>
      <c r="AE21" s="3934" t="n"/>
      <c r="AF21" s="3934" t="n"/>
      <c r="AG21" s="3934" t="n"/>
      <c r="AH21" s="3934" t="n"/>
      <c r="AI21" s="3934" t="n"/>
      <c r="AJ21" s="3934" t="n"/>
      <c r="AK21" s="3934" t="n"/>
      <c r="AL21" s="3934" t="n"/>
      <c r="AM21" s="3934" t="n"/>
      <c r="AN21" s="3934" t="n"/>
      <c r="AO21" s="3934" t="n"/>
      <c r="AP21" s="3934" t="n"/>
      <c r="AQ21" s="3934" t="n"/>
      <c r="AR21" s="3934" t="n"/>
    </row>
    <row r="22">
      <c r="A22" s="3941" t="n"/>
      <c r="B22" s="3944" t="n"/>
      <c r="C22" s="3944" t="n"/>
      <c r="D22" s="3944" t="n"/>
      <c r="E22" s="3944" t="n"/>
      <c r="F22" s="3944" t="n"/>
      <c r="G22" s="3944" t="n"/>
      <c r="H22" s="3944" t="n"/>
      <c r="I22" s="3944" t="n"/>
      <c r="J22" s="3944" t="n"/>
      <c r="K22" s="3942">
        <f>IF(A22="","",SUM(E22:J22))</f>
        <v/>
      </c>
      <c r="L22" s="3934" t="n"/>
      <c r="M22" s="3934" t="n"/>
      <c r="N22" s="3934" t="n"/>
      <c r="O22" s="3934" t="n"/>
      <c r="P22" s="3934" t="n"/>
      <c r="Q22" s="3934" t="n"/>
      <c r="R22" s="3934" t="n"/>
      <c r="S22" s="3934" t="n"/>
      <c r="T22" s="3934" t="n"/>
      <c r="U22" s="3934" t="n"/>
      <c r="V22" s="3934" t="n"/>
      <c r="W22" s="3934" t="n"/>
      <c r="X22" s="3934" t="n"/>
      <c r="Y22" s="3934" t="n"/>
      <c r="Z22" s="3934" t="n"/>
      <c r="AA22" s="3934" t="n"/>
      <c r="AB22" s="3934" t="n"/>
      <c r="AC22" s="3934" t="n"/>
      <c r="AD22" s="3934" t="n"/>
      <c r="AE22" s="3934" t="n"/>
      <c r="AF22" s="3934" t="n"/>
      <c r="AG22" s="3934" t="n"/>
      <c r="AH22" s="3934" t="n"/>
      <c r="AI22" s="3934" t="n"/>
      <c r="AJ22" s="3934" t="n"/>
      <c r="AK22" s="3934" t="n"/>
      <c r="AL22" s="3934" t="n"/>
      <c r="AM22" s="3934" t="n"/>
      <c r="AN22" s="3934" t="n"/>
      <c r="AO22" s="3934" t="n"/>
      <c r="AP22" s="3934" t="n"/>
      <c r="AQ22" s="3934" t="n"/>
      <c r="AR22" s="3934" t="n"/>
    </row>
    <row r="23">
      <c r="A23" s="3941" t="n"/>
      <c r="B23" s="3944" t="n"/>
      <c r="C23" s="3944" t="n"/>
      <c r="D23" s="3944" t="n"/>
      <c r="E23" s="3944" t="n"/>
      <c r="F23" s="3944" t="n"/>
      <c r="G23" s="3944" t="n"/>
      <c r="H23" s="3944" t="n"/>
      <c r="I23" s="3944" t="n"/>
      <c r="J23" s="3944" t="n"/>
      <c r="K23" s="3942">
        <f>IF(A23="","",SUM(E23:J23))</f>
        <v/>
      </c>
      <c r="L23" s="3934" t="n"/>
      <c r="M23" s="3934" t="n"/>
      <c r="N23" s="3934" t="n"/>
      <c r="O23" s="3934" t="n"/>
      <c r="P23" s="3934" t="n"/>
      <c r="Q23" s="3934" t="n"/>
      <c r="R23" s="3934" t="n"/>
      <c r="S23" s="3934" t="n"/>
      <c r="T23" s="3934" t="n"/>
      <c r="U23" s="3934" t="n"/>
      <c r="V23" s="3934" t="n"/>
      <c r="W23" s="3934" t="n"/>
      <c r="X23" s="3934" t="n"/>
      <c r="Y23" s="3934" t="n"/>
      <c r="Z23" s="3934" t="n"/>
      <c r="AA23" s="3934" t="n"/>
      <c r="AB23" s="3934" t="n"/>
      <c r="AC23" s="3934" t="n"/>
      <c r="AD23" s="3934" t="n"/>
      <c r="AE23" s="3934" t="n"/>
      <c r="AF23" s="3934" t="n"/>
      <c r="AG23" s="3934" t="n"/>
      <c r="AH23" s="3934" t="n"/>
      <c r="AI23" s="3934" t="n"/>
      <c r="AJ23" s="3934" t="n"/>
      <c r="AK23" s="3934" t="n"/>
      <c r="AL23" s="3934" t="n"/>
      <c r="AM23" s="3934" t="n"/>
      <c r="AN23" s="3934" t="n"/>
      <c r="AO23" s="3934" t="n"/>
      <c r="AP23" s="3934" t="n"/>
      <c r="AQ23" s="3934" t="n"/>
      <c r="AR23" s="3934" t="n"/>
    </row>
    <row r="24">
      <c r="A24" s="3941" t="n"/>
      <c r="B24" s="3944" t="n"/>
      <c r="C24" s="3944" t="n"/>
      <c r="D24" s="3944" t="n"/>
      <c r="E24" s="3944" t="n"/>
      <c r="F24" s="3944" t="n"/>
      <c r="G24" s="3944" t="n"/>
      <c r="H24" s="3944" t="n"/>
      <c r="I24" s="3944" t="n"/>
      <c r="J24" s="3944" t="n"/>
      <c r="K24" s="3942">
        <f>IF(A24="","",SUM(E24:J24))</f>
        <v/>
      </c>
      <c r="L24" s="3934" t="n"/>
      <c r="M24" s="3934" t="n"/>
      <c r="N24" s="3934" t="n"/>
      <c r="O24" s="3934" t="n"/>
      <c r="P24" s="3934" t="n"/>
      <c r="Q24" s="3934" t="n"/>
      <c r="R24" s="3934" t="n"/>
      <c r="S24" s="3934" t="n"/>
      <c r="T24" s="3934" t="n"/>
      <c r="U24" s="3934" t="n"/>
      <c r="V24" s="3934" t="n"/>
      <c r="W24" s="3934" t="n"/>
      <c r="X24" s="3934" t="n"/>
      <c r="Y24" s="3934" t="n"/>
      <c r="Z24" s="3934" t="n"/>
      <c r="AA24" s="3934" t="n"/>
      <c r="AB24" s="3934" t="n"/>
      <c r="AC24" s="3934" t="n"/>
      <c r="AD24" s="3934" t="n"/>
      <c r="AE24" s="3934" t="n"/>
      <c r="AF24" s="3934" t="n"/>
      <c r="AG24" s="3934" t="n"/>
      <c r="AH24" s="3934" t="n"/>
      <c r="AI24" s="3934" t="n"/>
      <c r="AJ24" s="3934" t="n"/>
      <c r="AK24" s="3934" t="n"/>
      <c r="AL24" s="3934" t="n"/>
      <c r="AM24" s="3934" t="n"/>
      <c r="AN24" s="3934" t="n"/>
      <c r="AO24" s="3934" t="n"/>
      <c r="AP24" s="3934" t="n"/>
      <c r="AQ24" s="3934" t="n"/>
      <c r="AR24" s="3934" t="n"/>
    </row>
    <row r="25">
      <c r="A25" s="3941" t="n"/>
      <c r="B25" s="3944" t="n"/>
      <c r="C25" s="3944" t="n"/>
      <c r="D25" s="3944" t="n"/>
      <c r="E25" s="3944" t="n"/>
      <c r="F25" s="3944" t="n"/>
      <c r="G25" s="3944" t="n"/>
      <c r="H25" s="3944" t="n"/>
      <c r="I25" s="3944" t="n"/>
      <c r="J25" s="3944" t="n"/>
      <c r="K25" s="3942">
        <f>IF(A25="","",SUM(E25:J25))</f>
        <v/>
      </c>
      <c r="L25" s="3934" t="n"/>
      <c r="M25" s="3934" t="n"/>
      <c r="N25" s="3934" t="n"/>
      <c r="O25" s="3934" t="n"/>
      <c r="P25" s="3934" t="n"/>
      <c r="Q25" s="3934" t="n"/>
      <c r="R25" s="3934" t="n"/>
      <c r="S25" s="3934" t="n"/>
      <c r="T25" s="3934" t="n"/>
      <c r="U25" s="3934" t="n"/>
      <c r="V25" s="3934" t="n"/>
      <c r="W25" s="3934" t="n"/>
      <c r="X25" s="3934" t="n"/>
      <c r="Y25" s="3934" t="n"/>
      <c r="Z25" s="3934" t="n"/>
      <c r="AA25" s="3934" t="n"/>
      <c r="AB25" s="3934" t="n"/>
      <c r="AC25" s="3934" t="n"/>
      <c r="AD25" s="3934" t="n"/>
      <c r="AE25" s="3934" t="n"/>
      <c r="AF25" s="3934" t="n"/>
      <c r="AG25" s="3934" t="n"/>
      <c r="AH25" s="3934" t="n"/>
      <c r="AI25" s="3934" t="n"/>
      <c r="AJ25" s="3934" t="n"/>
      <c r="AK25" s="3934" t="n"/>
      <c r="AL25" s="3934" t="n"/>
      <c r="AM25" s="3934" t="n"/>
      <c r="AN25" s="3934" t="n"/>
      <c r="AO25" s="3934" t="n"/>
      <c r="AP25" s="3934" t="n"/>
      <c r="AQ25" s="3934" t="n"/>
      <c r="AR25" s="3934" t="n"/>
    </row>
    <row r="26">
      <c r="A26" s="3941" t="n"/>
      <c r="B26" s="3944" t="n"/>
      <c r="C26" s="3944" t="n"/>
      <c r="D26" s="3944" t="n"/>
      <c r="E26" s="3944" t="n"/>
      <c r="F26" s="3944" t="n"/>
      <c r="G26" s="3944" t="n"/>
      <c r="H26" s="3944" t="n"/>
      <c r="I26" s="3944" t="n"/>
      <c r="J26" s="3944" t="n"/>
      <c r="K26" s="3942">
        <f>IF(A26="","",SUM(E26:J26))</f>
        <v/>
      </c>
      <c r="L26" s="3934" t="n"/>
      <c r="M26" s="3934" t="n"/>
      <c r="N26" s="3934" t="n"/>
      <c r="O26" s="3934" t="n"/>
      <c r="P26" s="3934" t="n"/>
      <c r="Q26" s="3934" t="n"/>
      <c r="R26" s="3934" t="n"/>
      <c r="S26" s="3934" t="n"/>
      <c r="T26" s="3934" t="n"/>
      <c r="U26" s="3934" t="n"/>
      <c r="V26" s="3934" t="n"/>
      <c r="W26" s="3934" t="n"/>
      <c r="X26" s="3934" t="n"/>
      <c r="Y26" s="3934" t="n"/>
      <c r="Z26" s="3934" t="n"/>
      <c r="AA26" s="3934" t="n"/>
      <c r="AB26" s="3934" t="n"/>
      <c r="AC26" s="3934" t="n"/>
      <c r="AD26" s="3934" t="n"/>
      <c r="AE26" s="3934" t="n"/>
      <c r="AF26" s="3934" t="n"/>
      <c r="AG26" s="3934" t="n"/>
      <c r="AH26" s="3934" t="n"/>
      <c r="AI26" s="3934" t="n"/>
      <c r="AJ26" s="3934" t="n"/>
      <c r="AK26" s="3934" t="n"/>
      <c r="AL26" s="3934" t="n"/>
      <c r="AM26" s="3934" t="n"/>
      <c r="AN26" s="3934" t="n"/>
      <c r="AO26" s="3934" t="n"/>
      <c r="AP26" s="3934" t="n"/>
      <c r="AQ26" s="3934" t="n"/>
      <c r="AR26" s="3934" t="n"/>
    </row>
    <row r="27">
      <c r="A27" s="3941" t="n"/>
      <c r="B27" s="3944" t="n"/>
      <c r="C27" s="3944" t="n"/>
      <c r="D27" s="3944" t="n"/>
      <c r="E27" s="3944" t="n"/>
      <c r="F27" s="3944" t="n"/>
      <c r="G27" s="3944" t="n"/>
      <c r="H27" s="3944" t="n"/>
      <c r="I27" s="3944" t="n"/>
      <c r="J27" s="3944" t="n"/>
      <c r="K27" s="3942">
        <f>IF(A27="","",SUM(E27:J27))</f>
        <v/>
      </c>
      <c r="L27" s="3934" t="n"/>
      <c r="M27" s="3934" t="n"/>
      <c r="N27" s="3934" t="n"/>
      <c r="O27" s="3934" t="n"/>
      <c r="P27" s="3934" t="n"/>
      <c r="Q27" s="3934" t="n"/>
      <c r="R27" s="3934" t="n"/>
      <c r="S27" s="3934" t="n"/>
      <c r="T27" s="3934" t="n"/>
      <c r="U27" s="3934" t="n"/>
      <c r="V27" s="3934" t="n"/>
      <c r="W27" s="3934" t="n"/>
      <c r="X27" s="3934" t="n"/>
      <c r="Y27" s="3934" t="n"/>
      <c r="Z27" s="3934" t="n"/>
      <c r="AA27" s="3934" t="n"/>
      <c r="AB27" s="3934" t="n"/>
      <c r="AC27" s="3934" t="n"/>
      <c r="AD27" s="3934" t="n"/>
      <c r="AE27" s="3934" t="n"/>
      <c r="AF27" s="3934" t="n"/>
      <c r="AG27" s="3934" t="n"/>
      <c r="AH27" s="3934" t="n"/>
      <c r="AI27" s="3934" t="n"/>
      <c r="AJ27" s="3934" t="n"/>
      <c r="AK27" s="3934" t="n"/>
      <c r="AL27" s="3934" t="n"/>
      <c r="AM27" s="3934" t="n"/>
      <c r="AN27" s="3934" t="n"/>
      <c r="AO27" s="3934" t="n"/>
      <c r="AP27" s="3934" t="n"/>
      <c r="AQ27" s="3934" t="n"/>
      <c r="AR27" s="3934" t="n"/>
    </row>
    <row r="28">
      <c r="A28" s="3941" t="n"/>
      <c r="B28" s="3944" t="n"/>
      <c r="C28" s="3944" t="n"/>
      <c r="D28" s="3944" t="n"/>
      <c r="E28" s="3944" t="n"/>
      <c r="F28" s="3944" t="n"/>
      <c r="G28" s="3944" t="n"/>
      <c r="H28" s="3944" t="n"/>
      <c r="I28" s="3944" t="n"/>
      <c r="J28" s="3944" t="n"/>
      <c r="K28" s="3942">
        <f>IF(A28="","",SUM(E28:J28))</f>
        <v/>
      </c>
      <c r="L28" s="3934" t="n"/>
      <c r="M28" s="3934" t="n"/>
      <c r="N28" s="3934" t="n"/>
      <c r="O28" s="3934" t="n"/>
      <c r="P28" s="3934" t="n"/>
      <c r="Q28" s="3934" t="n"/>
      <c r="R28" s="3934" t="n"/>
      <c r="S28" s="3934" t="n"/>
      <c r="T28" s="3934" t="n"/>
      <c r="U28" s="3934" t="n"/>
      <c r="V28" s="3934" t="n"/>
      <c r="W28" s="3934" t="n"/>
      <c r="X28" s="3934" t="n"/>
      <c r="Y28" s="3934" t="n"/>
      <c r="Z28" s="3934" t="n"/>
      <c r="AA28" s="3934" t="n"/>
      <c r="AB28" s="3934" t="n"/>
      <c r="AC28" s="3934" t="n"/>
      <c r="AD28" s="3934" t="n"/>
      <c r="AE28" s="3934" t="n"/>
      <c r="AF28" s="3934" t="n"/>
      <c r="AG28" s="3934" t="n"/>
      <c r="AH28" s="3934" t="n"/>
      <c r="AI28" s="3934" t="n"/>
      <c r="AJ28" s="3934" t="n"/>
      <c r="AK28" s="3934" t="n"/>
      <c r="AL28" s="3934" t="n"/>
      <c r="AM28" s="3934" t="n"/>
      <c r="AN28" s="3934" t="n"/>
      <c r="AO28" s="3934" t="n"/>
      <c r="AP28" s="3934" t="n"/>
      <c r="AQ28" s="3934" t="n"/>
      <c r="AR28" s="3934" t="n"/>
    </row>
    <row r="29">
      <c r="A29" s="3941" t="n"/>
      <c r="B29" s="3944" t="n"/>
      <c r="C29" s="3944" t="n"/>
      <c r="D29" s="3944" t="n"/>
      <c r="E29" s="3944" t="n"/>
      <c r="F29" s="3944" t="n"/>
      <c r="G29" s="3944" t="n"/>
      <c r="H29" s="3944" t="n"/>
      <c r="I29" s="3944" t="n"/>
      <c r="J29" s="3944" t="n"/>
      <c r="K29" s="3942">
        <f>IF(A29="","",SUM(E29:J29))</f>
        <v/>
      </c>
      <c r="L29" s="3934" t="n"/>
      <c r="M29" s="3934" t="n"/>
      <c r="N29" s="3934" t="n"/>
      <c r="O29" s="3934" t="n"/>
      <c r="P29" s="3934" t="n"/>
      <c r="Q29" s="3934" t="n"/>
      <c r="R29" s="3934" t="n"/>
      <c r="S29" s="3934" t="n"/>
      <c r="T29" s="3934" t="n"/>
      <c r="U29" s="3934" t="n"/>
      <c r="V29" s="3934" t="n"/>
      <c r="W29" s="3934" t="n"/>
      <c r="X29" s="3934" t="n"/>
      <c r="Y29" s="3934" t="n"/>
      <c r="Z29" s="3934" t="n"/>
      <c r="AA29" s="3934" t="n"/>
      <c r="AB29" s="3934" t="n"/>
      <c r="AC29" s="3934" t="n"/>
      <c r="AD29" s="3934" t="n"/>
      <c r="AE29" s="3934" t="n"/>
      <c r="AF29" s="3934" t="n"/>
      <c r="AG29" s="3934" t="n"/>
      <c r="AH29" s="3934" t="n"/>
      <c r="AI29" s="3934" t="n"/>
      <c r="AJ29" s="3934" t="n"/>
      <c r="AK29" s="3934" t="n"/>
      <c r="AL29" s="3934" t="n"/>
      <c r="AM29" s="3934" t="n"/>
      <c r="AN29" s="3934" t="n"/>
      <c r="AO29" s="3934" t="n"/>
      <c r="AP29" s="3934" t="n"/>
      <c r="AQ29" s="3934" t="n"/>
      <c r="AR29" s="3934" t="n"/>
    </row>
    <row r="30">
      <c r="A30" s="3941" t="n"/>
      <c r="B30" s="3944" t="n"/>
      <c r="C30" s="3944" t="n"/>
      <c r="D30" s="3944" t="n"/>
      <c r="E30" s="3944" t="n"/>
      <c r="F30" s="3944" t="n"/>
      <c r="G30" s="3944" t="n"/>
      <c r="H30" s="3944" t="n"/>
      <c r="I30" s="3944" t="n"/>
      <c r="J30" s="3944" t="n"/>
      <c r="K30" s="3942">
        <f>IF(A30="","",SUM(E30:J30))</f>
        <v/>
      </c>
      <c r="L30" s="3934" t="n"/>
      <c r="M30" s="3934" t="n"/>
      <c r="N30" s="3934" t="n"/>
      <c r="O30" s="3934" t="n"/>
      <c r="P30" s="3934" t="n"/>
      <c r="Q30" s="3934" t="n"/>
      <c r="R30" s="3934" t="n"/>
      <c r="S30" s="3934" t="n"/>
      <c r="T30" s="3934" t="n"/>
      <c r="U30" s="3934" t="n"/>
      <c r="V30" s="3934" t="n"/>
      <c r="W30" s="3934" t="n"/>
      <c r="X30" s="3934" t="n"/>
      <c r="Y30" s="3934" t="n"/>
      <c r="Z30" s="3934" t="n"/>
      <c r="AA30" s="3934" t="n"/>
      <c r="AB30" s="3934" t="n"/>
      <c r="AC30" s="3934" t="n"/>
      <c r="AD30" s="3934" t="n"/>
      <c r="AE30" s="3934" t="n"/>
      <c r="AF30" s="3934" t="n"/>
      <c r="AG30" s="3934" t="n"/>
      <c r="AH30" s="3934" t="n"/>
      <c r="AI30" s="3934" t="n"/>
      <c r="AJ30" s="3934" t="n"/>
      <c r="AK30" s="3934" t="n"/>
      <c r="AL30" s="3934" t="n"/>
      <c r="AM30" s="3934" t="n"/>
      <c r="AN30" s="3934" t="n"/>
      <c r="AO30" s="3934" t="n"/>
      <c r="AP30" s="3934" t="n"/>
      <c r="AQ30" s="3934" t="n"/>
      <c r="AR30" s="3934" t="n"/>
    </row>
    <row r="31">
      <c r="A31" s="3941" t="n"/>
      <c r="B31" s="3944" t="n"/>
      <c r="C31" s="3944" t="n"/>
      <c r="D31" s="3944" t="n"/>
      <c r="E31" s="3944" t="n"/>
      <c r="F31" s="3944" t="n"/>
      <c r="G31" s="3944" t="n"/>
      <c r="H31" s="3944" t="n"/>
      <c r="I31" s="3944" t="n"/>
      <c r="J31" s="3944" t="n"/>
      <c r="K31" s="3942">
        <f>IF(A31="","",SUM(E31:J31))</f>
        <v/>
      </c>
      <c r="L31" s="3934" t="n"/>
      <c r="M31" s="3934" t="n"/>
      <c r="N31" s="3934" t="n"/>
      <c r="O31" s="3934" t="n"/>
      <c r="P31" s="3934" t="n"/>
      <c r="Q31" s="3934" t="n"/>
      <c r="R31" s="3934" t="n"/>
      <c r="S31" s="3934" t="n"/>
      <c r="T31" s="3934" t="n"/>
      <c r="U31" s="3934" t="n"/>
      <c r="V31" s="3934" t="n"/>
      <c r="W31" s="3934" t="n"/>
      <c r="X31" s="3934" t="n"/>
      <c r="Y31" s="3934" t="n"/>
      <c r="Z31" s="3934" t="n"/>
      <c r="AA31" s="3934" t="n"/>
      <c r="AB31" s="3934" t="n"/>
      <c r="AC31" s="3934" t="n"/>
      <c r="AD31" s="3934" t="n"/>
      <c r="AE31" s="3934" t="n"/>
      <c r="AF31" s="3934" t="n"/>
      <c r="AG31" s="3934" t="n"/>
      <c r="AH31" s="3934" t="n"/>
      <c r="AI31" s="3934" t="n"/>
      <c r="AJ31" s="3934" t="n"/>
      <c r="AK31" s="3934" t="n"/>
      <c r="AL31" s="3934" t="n"/>
      <c r="AM31" s="3934" t="n"/>
      <c r="AN31" s="3934" t="n"/>
      <c r="AO31" s="3934" t="n"/>
      <c r="AP31" s="3934" t="n"/>
      <c r="AQ31" s="3934" t="n"/>
      <c r="AR31" s="3934" t="n"/>
    </row>
    <row r="32">
      <c r="A32" s="3941" t="n"/>
      <c r="B32" s="3944" t="n"/>
      <c r="C32" s="3944" t="n"/>
      <c r="D32" s="3944" t="n"/>
      <c r="E32" s="3944" t="n"/>
      <c r="F32" s="3944" t="n"/>
      <c r="G32" s="3944" t="n"/>
      <c r="H32" s="3944" t="n"/>
      <c r="I32" s="3944" t="n"/>
      <c r="J32" s="3944" t="n"/>
      <c r="K32" s="3942">
        <f>IF(A32="","",SUM(E32:J32))</f>
        <v/>
      </c>
      <c r="L32" s="3934" t="n"/>
      <c r="M32" s="3934" t="n"/>
      <c r="N32" s="3934" t="n"/>
      <c r="O32" s="3934" t="n"/>
      <c r="P32" s="3934" t="n"/>
      <c r="Q32" s="3934" t="n"/>
      <c r="R32" s="3934" t="n"/>
      <c r="S32" s="3934" t="n"/>
      <c r="T32" s="3934" t="n"/>
      <c r="U32" s="3934" t="n"/>
      <c r="V32" s="3934" t="n"/>
      <c r="W32" s="3934" t="n"/>
      <c r="X32" s="3934" t="n"/>
      <c r="Y32" s="3934" t="n"/>
      <c r="Z32" s="3934" t="n"/>
      <c r="AA32" s="3934" t="n"/>
      <c r="AB32" s="3934" t="n"/>
      <c r="AC32" s="3934" t="n"/>
      <c r="AD32" s="3934" t="n"/>
      <c r="AE32" s="3934" t="n"/>
      <c r="AF32" s="3934" t="n"/>
      <c r="AG32" s="3934" t="n"/>
      <c r="AH32" s="3934" t="n"/>
      <c r="AI32" s="3934" t="n"/>
      <c r="AJ32" s="3934" t="n"/>
      <c r="AK32" s="3934" t="n"/>
      <c r="AL32" s="3934" t="n"/>
      <c r="AM32" s="3934" t="n"/>
      <c r="AN32" s="3934" t="n"/>
      <c r="AO32" s="3934" t="n"/>
      <c r="AP32" s="3934" t="n"/>
      <c r="AQ32" s="3934" t="n"/>
      <c r="AR32" s="3934" t="n"/>
    </row>
    <row r="33">
      <c r="A33" s="3941" t="n"/>
      <c r="B33" s="3944" t="n"/>
      <c r="C33" s="3944" t="n"/>
      <c r="D33" s="3944" t="n"/>
      <c r="E33" s="3944" t="n"/>
      <c r="F33" s="3944" t="n"/>
      <c r="G33" s="3944" t="n"/>
      <c r="H33" s="3944" t="n"/>
      <c r="I33" s="3944" t="n"/>
      <c r="J33" s="3944" t="n"/>
      <c r="K33" s="3942">
        <f>IF(A33="","",SUM(E33:J33))</f>
        <v/>
      </c>
      <c r="L33" s="3934" t="n"/>
      <c r="M33" s="3934" t="n"/>
      <c r="N33" s="3934" t="n"/>
      <c r="O33" s="3934" t="n"/>
      <c r="P33" s="3934" t="n"/>
      <c r="Q33" s="3934" t="n"/>
      <c r="R33" s="3934" t="n"/>
      <c r="S33" s="3934" t="n"/>
      <c r="T33" s="3934" t="n"/>
      <c r="U33" s="3934" t="n"/>
      <c r="V33" s="3934" t="n"/>
      <c r="W33" s="3934" t="n"/>
      <c r="X33" s="3934" t="n"/>
      <c r="Y33" s="3934" t="n"/>
      <c r="Z33" s="3934" t="n"/>
      <c r="AA33" s="3934" t="n"/>
      <c r="AB33" s="3934" t="n"/>
      <c r="AC33" s="3934" t="n"/>
      <c r="AD33" s="3934" t="n"/>
      <c r="AE33" s="3934" t="n"/>
      <c r="AF33" s="3934" t="n"/>
      <c r="AG33" s="3934" t="n"/>
      <c r="AH33" s="3934" t="n"/>
      <c r="AI33" s="3934" t="n"/>
      <c r="AJ33" s="3934" t="n"/>
      <c r="AK33" s="3934" t="n"/>
      <c r="AL33" s="3934" t="n"/>
      <c r="AM33" s="3934" t="n"/>
      <c r="AN33" s="3934" t="n"/>
      <c r="AO33" s="3934" t="n"/>
      <c r="AP33" s="3934" t="n"/>
      <c r="AQ33" s="3934" t="n"/>
      <c r="AR33" s="3934" t="n"/>
    </row>
    <row r="34">
      <c r="A34" s="3941" t="n"/>
      <c r="B34" s="3944" t="n"/>
      <c r="C34" s="3944" t="n"/>
      <c r="D34" s="3944" t="n"/>
      <c r="E34" s="3944" t="n"/>
      <c r="F34" s="3944" t="n"/>
      <c r="G34" s="3944" t="n"/>
      <c r="H34" s="3944" t="n"/>
      <c r="I34" s="3944" t="n"/>
      <c r="J34" s="3944" t="n"/>
      <c r="K34" s="3942">
        <f>IF(A34="","",SUM(E34:J34))</f>
        <v/>
      </c>
      <c r="L34" s="3934" t="n"/>
      <c r="M34" s="3934" t="n"/>
      <c r="N34" s="3934" t="n"/>
      <c r="O34" s="3934" t="n"/>
      <c r="P34" s="3934" t="n"/>
      <c r="Q34" s="3934" t="n"/>
      <c r="R34" s="3934" t="n"/>
      <c r="S34" s="3934" t="n"/>
      <c r="T34" s="3934" t="n"/>
      <c r="U34" s="3934" t="n"/>
      <c r="V34" s="3934" t="n"/>
      <c r="W34" s="3934" t="n"/>
      <c r="X34" s="3934" t="n"/>
      <c r="Y34" s="3934" t="n"/>
      <c r="Z34" s="3934" t="n"/>
      <c r="AA34" s="3934" t="n"/>
      <c r="AB34" s="3934" t="n"/>
      <c r="AC34" s="3934" t="n"/>
      <c r="AD34" s="3934" t="n"/>
      <c r="AE34" s="3934" t="n"/>
      <c r="AF34" s="3934" t="n"/>
      <c r="AG34" s="3934" t="n"/>
      <c r="AH34" s="3934" t="n"/>
      <c r="AI34" s="3934" t="n"/>
      <c r="AJ34" s="3934" t="n"/>
      <c r="AK34" s="3934" t="n"/>
      <c r="AL34" s="3934" t="n"/>
      <c r="AM34" s="3934" t="n"/>
      <c r="AN34" s="3934" t="n"/>
      <c r="AO34" s="3934" t="n"/>
      <c r="AP34" s="3934" t="n"/>
      <c r="AQ34" s="3934" t="n"/>
      <c r="AR34" s="3934" t="n"/>
    </row>
    <row r="35">
      <c r="A35" s="3941" t="n"/>
      <c r="B35" s="3944" t="n"/>
      <c r="C35" s="3944" t="n"/>
      <c r="D35" s="3944" t="n"/>
      <c r="E35" s="3944" t="n"/>
      <c r="F35" s="3944" t="n"/>
      <c r="G35" s="3944" t="n"/>
      <c r="H35" s="3944" t="n"/>
      <c r="I35" s="3944" t="n"/>
      <c r="J35" s="3944" t="n"/>
      <c r="K35" s="3942">
        <f>IF(A35="","",SUM(E35:J35))</f>
        <v/>
      </c>
      <c r="L35" s="3934" t="n"/>
      <c r="M35" s="3934" t="n"/>
      <c r="N35" s="3934" t="n"/>
      <c r="O35" s="3934" t="n"/>
      <c r="P35" s="3934" t="n"/>
      <c r="Q35" s="3934" t="n"/>
      <c r="R35" s="3934" t="n"/>
      <c r="S35" s="3934" t="n"/>
      <c r="T35" s="3934" t="n"/>
      <c r="U35" s="3934" t="n"/>
      <c r="V35" s="3934" t="n"/>
      <c r="W35" s="3934" t="n"/>
      <c r="X35" s="3934" t="n"/>
      <c r="Y35" s="3934" t="n"/>
      <c r="Z35" s="3934" t="n"/>
      <c r="AA35" s="3934" t="n"/>
      <c r="AB35" s="3934" t="n"/>
      <c r="AC35" s="3934" t="n"/>
      <c r="AD35" s="3934" t="n"/>
      <c r="AE35" s="3934" t="n"/>
      <c r="AF35" s="3934" t="n"/>
      <c r="AG35" s="3934" t="n"/>
      <c r="AH35" s="3934" t="n"/>
      <c r="AI35" s="3934" t="n"/>
      <c r="AJ35" s="3934" t="n"/>
      <c r="AK35" s="3934" t="n"/>
      <c r="AL35" s="3934" t="n"/>
      <c r="AM35" s="3934" t="n"/>
      <c r="AN35" s="3934" t="n"/>
      <c r="AO35" s="3934" t="n"/>
      <c r="AP35" s="3934" t="n"/>
      <c r="AQ35" s="3934" t="n"/>
      <c r="AR35" s="3934" t="n"/>
    </row>
    <row r="36">
      <c r="A36" s="3941" t="n"/>
      <c r="B36" s="3944" t="n"/>
      <c r="C36" s="3944" t="n"/>
      <c r="D36" s="3944" t="n"/>
      <c r="E36" s="3944" t="n"/>
      <c r="F36" s="3944" t="n"/>
      <c r="G36" s="3944" t="n"/>
      <c r="H36" s="3944" t="n"/>
      <c r="I36" s="3944" t="n"/>
      <c r="J36" s="3944" t="n"/>
      <c r="K36" s="3942">
        <f>IF(A36="","",SUM(E36:J36))</f>
        <v/>
      </c>
      <c r="L36" s="3934" t="n"/>
      <c r="M36" s="3934" t="n"/>
      <c r="N36" s="3934" t="n"/>
      <c r="O36" s="3934" t="n"/>
      <c r="P36" s="3934" t="n"/>
      <c r="Q36" s="3934" t="n"/>
      <c r="R36" s="3934" t="n"/>
      <c r="S36" s="3934" t="n"/>
      <c r="T36" s="3934" t="n"/>
      <c r="U36" s="3934" t="n"/>
      <c r="V36" s="3934" t="n"/>
      <c r="W36" s="3934" t="n"/>
      <c r="X36" s="3934" t="n"/>
      <c r="Y36" s="3934" t="n"/>
      <c r="Z36" s="3934" t="n"/>
      <c r="AA36" s="3934" t="n"/>
      <c r="AB36" s="3934" t="n"/>
      <c r="AC36" s="3934" t="n"/>
      <c r="AD36" s="3934" t="n"/>
      <c r="AE36" s="3934" t="n"/>
      <c r="AF36" s="3934" t="n"/>
      <c r="AG36" s="3934" t="n"/>
      <c r="AH36" s="3934" t="n"/>
      <c r="AI36" s="3934" t="n"/>
      <c r="AJ36" s="3934" t="n"/>
      <c r="AK36" s="3934" t="n"/>
      <c r="AL36" s="3934" t="n"/>
      <c r="AM36" s="3934" t="n"/>
      <c r="AN36" s="3934" t="n"/>
      <c r="AO36" s="3934" t="n"/>
      <c r="AP36" s="3934" t="n"/>
      <c r="AQ36" s="3934" t="n"/>
      <c r="AR36" s="3934" t="n"/>
    </row>
    <row r="37">
      <c r="A37" s="3941" t="n"/>
      <c r="B37" s="3944" t="n"/>
      <c r="C37" s="3944" t="n"/>
      <c r="D37" s="3944" t="n"/>
      <c r="E37" s="3944" t="n"/>
      <c r="F37" s="3944" t="n"/>
      <c r="G37" s="3944" t="n"/>
      <c r="H37" s="3944" t="n"/>
      <c r="I37" s="3944" t="n"/>
      <c r="J37" s="3944" t="n"/>
      <c r="K37" s="3942">
        <f>IF(A37="","",SUM(E37:J37))</f>
        <v/>
      </c>
      <c r="L37" s="3934" t="n"/>
      <c r="M37" s="3934" t="n"/>
      <c r="N37" s="3934" t="n"/>
      <c r="O37" s="3934" t="n"/>
      <c r="P37" s="3934" t="n"/>
      <c r="Q37" s="3934" t="n"/>
      <c r="R37" s="3934" t="n"/>
      <c r="S37" s="3934" t="n"/>
      <c r="T37" s="3934" t="n"/>
      <c r="U37" s="3934" t="n"/>
      <c r="V37" s="3934" t="n"/>
      <c r="W37" s="3934" t="n"/>
      <c r="X37" s="3934" t="n"/>
      <c r="Y37" s="3934" t="n"/>
      <c r="Z37" s="3934" t="n"/>
      <c r="AA37" s="3934" t="n"/>
      <c r="AB37" s="3934" t="n"/>
      <c r="AC37" s="3934" t="n"/>
      <c r="AD37" s="3934" t="n"/>
      <c r="AE37" s="3934" t="n"/>
      <c r="AF37" s="3934" t="n"/>
      <c r="AG37" s="3934" t="n"/>
      <c r="AH37" s="3934" t="n"/>
      <c r="AI37" s="3934" t="n"/>
      <c r="AJ37" s="3934" t="n"/>
      <c r="AK37" s="3934" t="n"/>
      <c r="AL37" s="3934" t="n"/>
      <c r="AM37" s="3934" t="n"/>
      <c r="AN37" s="3934" t="n"/>
      <c r="AO37" s="3934" t="n"/>
      <c r="AP37" s="3934" t="n"/>
      <c r="AQ37" s="3934" t="n"/>
      <c r="AR37" s="3934" t="n"/>
    </row>
    <row r="38">
      <c r="A38" s="3941" t="n"/>
      <c r="B38" s="3944" t="n"/>
      <c r="C38" s="3944" t="n"/>
      <c r="D38" s="3944" t="n"/>
      <c r="E38" s="3944" t="n"/>
      <c r="F38" s="3944" t="n"/>
      <c r="G38" s="3944" t="n"/>
      <c r="H38" s="3944" t="n"/>
      <c r="I38" s="3944" t="n"/>
      <c r="J38" s="3944" t="n"/>
      <c r="K38" s="3942">
        <f>IF(A38="","",SUM(E38:J38))</f>
        <v/>
      </c>
      <c r="L38" s="3934" t="n"/>
      <c r="M38" s="3934" t="n"/>
      <c r="N38" s="3934" t="n"/>
      <c r="O38" s="3934" t="n"/>
      <c r="P38" s="3934" t="n"/>
      <c r="Q38" s="3934" t="n"/>
      <c r="R38" s="3934" t="n"/>
      <c r="S38" s="3934" t="n"/>
      <c r="T38" s="3934" t="n"/>
      <c r="U38" s="3934" t="n"/>
      <c r="V38" s="3934" t="n"/>
      <c r="W38" s="3934" t="n"/>
      <c r="X38" s="3934" t="n"/>
      <c r="Y38" s="3934" t="n"/>
      <c r="Z38" s="3934" t="n"/>
      <c r="AA38" s="3934" t="n"/>
      <c r="AB38" s="3934" t="n"/>
      <c r="AC38" s="3934" t="n"/>
      <c r="AD38" s="3934" t="n"/>
      <c r="AE38" s="3934" t="n"/>
      <c r="AF38" s="3934" t="n"/>
      <c r="AG38" s="3934" t="n"/>
      <c r="AH38" s="3934" t="n"/>
      <c r="AI38" s="3934" t="n"/>
      <c r="AJ38" s="3934" t="n"/>
      <c r="AK38" s="3934" t="n"/>
      <c r="AL38" s="3934" t="n"/>
      <c r="AM38" s="3934" t="n"/>
      <c r="AN38" s="3934" t="n"/>
      <c r="AO38" s="3934" t="n"/>
      <c r="AP38" s="3934" t="n"/>
      <c r="AQ38" s="3934" t="n"/>
      <c r="AR38" s="3934" t="n"/>
    </row>
    <row r="39">
      <c r="A39" s="3941" t="n"/>
      <c r="B39" s="3944" t="n"/>
      <c r="C39" s="3944" t="n"/>
      <c r="D39" s="3944" t="n"/>
      <c r="E39" s="3944" t="n"/>
      <c r="F39" s="3944" t="n"/>
      <c r="G39" s="3944" t="n"/>
      <c r="H39" s="3944" t="n"/>
      <c r="I39" s="3944" t="n"/>
      <c r="J39" s="3944" t="n"/>
      <c r="K39" s="3942">
        <f>IF(A39="","",SUM(E39:J39))</f>
        <v/>
      </c>
      <c r="L39" s="3934" t="n"/>
      <c r="M39" s="3934" t="n"/>
      <c r="N39" s="3934" t="n"/>
      <c r="O39" s="3934" t="n"/>
      <c r="P39" s="3934" t="n"/>
      <c r="Q39" s="3934" t="n"/>
      <c r="R39" s="3934" t="n"/>
      <c r="S39" s="3934" t="n"/>
      <c r="T39" s="3934" t="n"/>
      <c r="U39" s="3934" t="n"/>
      <c r="V39" s="3934" t="n"/>
      <c r="W39" s="3934" t="n"/>
      <c r="X39" s="3934" t="n"/>
      <c r="Y39" s="3934" t="n"/>
      <c r="Z39" s="3934" t="n"/>
      <c r="AA39" s="3934" t="n"/>
      <c r="AB39" s="3934" t="n"/>
      <c r="AC39" s="3934" t="n"/>
      <c r="AD39" s="3934" t="n"/>
      <c r="AE39" s="3934" t="n"/>
      <c r="AF39" s="3934" t="n"/>
      <c r="AG39" s="3934" t="n"/>
      <c r="AH39" s="3934" t="n"/>
      <c r="AI39" s="3934" t="n"/>
      <c r="AJ39" s="3934" t="n"/>
      <c r="AK39" s="3934" t="n"/>
      <c r="AL39" s="3934" t="n"/>
      <c r="AM39" s="3934" t="n"/>
      <c r="AN39" s="3934" t="n"/>
      <c r="AO39" s="3934" t="n"/>
      <c r="AP39" s="3934" t="n"/>
      <c r="AQ39" s="3934" t="n"/>
      <c r="AR39" s="3934" t="n"/>
    </row>
    <row r="40">
      <c r="A40" s="3941" t="n"/>
      <c r="B40" s="3944" t="n"/>
      <c r="C40" s="3944" t="n"/>
      <c r="D40" s="3944" t="n"/>
      <c r="E40" s="3944" t="n"/>
      <c r="F40" s="3944" t="n"/>
      <c r="G40" s="3944" t="n"/>
      <c r="H40" s="3944" t="n"/>
      <c r="I40" s="3944" t="n"/>
      <c r="J40" s="3944" t="n"/>
      <c r="K40" s="3942">
        <f>IF(A40="","",SUM(E40:J40))</f>
        <v/>
      </c>
      <c r="L40" s="3934" t="n"/>
      <c r="M40" s="3934" t="n"/>
      <c r="N40" s="3934" t="n"/>
      <c r="O40" s="3934" t="n"/>
      <c r="P40" s="3934" t="n"/>
      <c r="Q40" s="3934" t="n"/>
      <c r="R40" s="3934" t="n"/>
      <c r="S40" s="3934" t="n"/>
      <c r="T40" s="3934" t="n"/>
      <c r="U40" s="3934" t="n"/>
      <c r="V40" s="3934" t="n"/>
      <c r="W40" s="3934" t="n"/>
      <c r="X40" s="3934" t="n"/>
      <c r="Y40" s="3934" t="n"/>
      <c r="Z40" s="3934" t="n"/>
      <c r="AA40" s="3934" t="n"/>
      <c r="AB40" s="3934" t="n"/>
      <c r="AC40" s="3934" t="n"/>
      <c r="AD40" s="3934" t="n"/>
      <c r="AE40" s="3934" t="n"/>
      <c r="AF40" s="3934" t="n"/>
      <c r="AG40" s="3934" t="n"/>
      <c r="AH40" s="3934" t="n"/>
      <c r="AI40" s="3934" t="n"/>
      <c r="AJ40" s="3934" t="n"/>
      <c r="AK40" s="3934" t="n"/>
      <c r="AL40" s="3934" t="n"/>
      <c r="AM40" s="3934" t="n"/>
      <c r="AN40" s="3934" t="n"/>
      <c r="AO40" s="3934" t="n"/>
      <c r="AP40" s="3934" t="n"/>
      <c r="AQ40" s="3934" t="n"/>
      <c r="AR40" s="3934" t="n"/>
    </row>
    <row r="41">
      <c r="A41" s="3941" t="n"/>
      <c r="B41" s="3944" t="n"/>
      <c r="C41" s="3944" t="n"/>
      <c r="D41" s="3944" t="n"/>
      <c r="E41" s="3944" t="n"/>
      <c r="F41" s="3944" t="n"/>
      <c r="G41" s="3944" t="n"/>
      <c r="H41" s="3944" t="n"/>
      <c r="I41" s="3944" t="n"/>
      <c r="J41" s="3944" t="n"/>
      <c r="K41" s="3942">
        <f>IF(A41="","",SUM(E41:J41))</f>
        <v/>
      </c>
      <c r="L41" s="3934" t="n"/>
      <c r="M41" s="3934" t="n"/>
      <c r="N41" s="3934" t="n"/>
      <c r="O41" s="3934" t="n"/>
      <c r="P41" s="3934" t="n"/>
      <c r="Q41" s="3934" t="n"/>
      <c r="R41" s="3934" t="n"/>
      <c r="S41" s="3934" t="n"/>
      <c r="T41" s="3934" t="n"/>
      <c r="U41" s="3934" t="n"/>
      <c r="V41" s="3934" t="n"/>
      <c r="W41" s="3934" t="n"/>
      <c r="X41" s="3934" t="n"/>
      <c r="Y41" s="3934" t="n"/>
      <c r="Z41" s="3934" t="n"/>
      <c r="AA41" s="3934" t="n"/>
      <c r="AB41" s="3934" t="n"/>
      <c r="AC41" s="3934" t="n"/>
      <c r="AD41" s="3934" t="n"/>
      <c r="AE41" s="3934" t="n"/>
      <c r="AF41" s="3934" t="n"/>
      <c r="AG41" s="3934" t="n"/>
      <c r="AH41" s="3934" t="n"/>
      <c r="AI41" s="3934" t="n"/>
      <c r="AJ41" s="3934" t="n"/>
      <c r="AK41" s="3934" t="n"/>
      <c r="AL41" s="3934" t="n"/>
      <c r="AM41" s="3934" t="n"/>
      <c r="AN41" s="3934" t="n"/>
      <c r="AO41" s="3934" t="n"/>
      <c r="AP41" s="3934" t="n"/>
      <c r="AQ41" s="3934" t="n"/>
      <c r="AR41" s="3934" t="n"/>
    </row>
    <row r="42">
      <c r="A42" s="3941" t="n"/>
      <c r="B42" s="3944" t="n"/>
      <c r="C42" s="3944" t="n"/>
      <c r="D42" s="3944" t="n"/>
      <c r="E42" s="3944" t="n"/>
      <c r="F42" s="3944" t="n"/>
      <c r="G42" s="3944" t="n"/>
      <c r="H42" s="3944" t="n"/>
      <c r="I42" s="3944" t="n"/>
      <c r="J42" s="3944" t="n"/>
      <c r="K42" s="3942">
        <f>IF(A42="","",SUM(E42:J42))</f>
        <v/>
      </c>
      <c r="L42" s="3934" t="n"/>
      <c r="M42" s="3934" t="n"/>
      <c r="N42" s="3934" t="n"/>
      <c r="O42" s="3934" t="n"/>
      <c r="P42" s="3934" t="n"/>
      <c r="Q42" s="3934" t="n"/>
      <c r="R42" s="3934" t="n"/>
      <c r="S42" s="3934" t="n"/>
      <c r="T42" s="3934" t="n"/>
      <c r="U42" s="3934" t="n"/>
      <c r="V42" s="3934" t="n"/>
      <c r="W42" s="3934" t="n"/>
      <c r="X42" s="3934" t="n"/>
      <c r="Y42" s="3934" t="n"/>
      <c r="Z42" s="3934" t="n"/>
      <c r="AA42" s="3934" t="n"/>
      <c r="AB42" s="3934" t="n"/>
      <c r="AC42" s="3934" t="n"/>
      <c r="AD42" s="3934" t="n"/>
      <c r="AE42" s="3934" t="n"/>
      <c r="AF42" s="3934" t="n"/>
      <c r="AG42" s="3934" t="n"/>
      <c r="AH42" s="3934" t="n"/>
      <c r="AI42" s="3934" t="n"/>
      <c r="AJ42" s="3934" t="n"/>
      <c r="AK42" s="3934" t="n"/>
      <c r="AL42" s="3934" t="n"/>
      <c r="AM42" s="3934" t="n"/>
      <c r="AN42" s="3934" t="n"/>
      <c r="AO42" s="3934" t="n"/>
      <c r="AP42" s="3934" t="n"/>
      <c r="AQ42" s="3934" t="n"/>
      <c r="AR42" s="3934" t="n"/>
    </row>
    <row r="43">
      <c r="A43" s="3941" t="n"/>
      <c r="B43" s="3944" t="n"/>
      <c r="C43" s="3944" t="n"/>
      <c r="D43" s="3944" t="n"/>
      <c r="E43" s="3944" t="n"/>
      <c r="F43" s="3944" t="n"/>
      <c r="G43" s="3944" t="n"/>
      <c r="H43" s="3944" t="n"/>
      <c r="I43" s="3944" t="n"/>
      <c r="J43" s="3944" t="n"/>
      <c r="K43" s="3942">
        <f>IF(A43="","",SUM(E43:J43))</f>
        <v/>
      </c>
      <c r="L43" s="3934" t="n"/>
      <c r="M43" s="3934" t="n"/>
      <c r="N43" s="3934" t="n"/>
      <c r="O43" s="3934" t="n"/>
      <c r="P43" s="3934" t="n"/>
      <c r="Q43" s="3934" t="n"/>
      <c r="R43" s="3934" t="n"/>
      <c r="S43" s="3934" t="n"/>
      <c r="T43" s="3934" t="n"/>
      <c r="U43" s="3934" t="n"/>
      <c r="V43" s="3934" t="n"/>
      <c r="W43" s="3934" t="n"/>
      <c r="X43" s="3934" t="n"/>
      <c r="Y43" s="3934" t="n"/>
      <c r="Z43" s="3934" t="n"/>
      <c r="AA43" s="3934" t="n"/>
      <c r="AB43" s="3934" t="n"/>
      <c r="AC43" s="3934" t="n"/>
      <c r="AD43" s="3934" t="n"/>
      <c r="AE43" s="3934" t="n"/>
      <c r="AF43" s="3934" t="n"/>
      <c r="AG43" s="3934" t="n"/>
      <c r="AH43" s="3934" t="n"/>
      <c r="AI43" s="3934" t="n"/>
      <c r="AJ43" s="3934" t="n"/>
      <c r="AK43" s="3934" t="n"/>
      <c r="AL43" s="3934" t="n"/>
      <c r="AM43" s="3934" t="n"/>
      <c r="AN43" s="3934" t="n"/>
      <c r="AO43" s="3934" t="n"/>
      <c r="AP43" s="3934" t="n"/>
      <c r="AQ43" s="3934" t="n"/>
      <c r="AR43" s="3934" t="n"/>
    </row>
    <row r="44">
      <c r="A44" s="3941" t="n"/>
      <c r="B44" s="3944" t="n"/>
      <c r="C44" s="3944" t="n"/>
      <c r="D44" s="3944" t="n"/>
      <c r="E44" s="3944" t="n"/>
      <c r="F44" s="3944" t="n"/>
      <c r="G44" s="3944" t="n"/>
      <c r="H44" s="3944" t="n"/>
      <c r="I44" s="3944" t="n"/>
      <c r="J44" s="3944" t="n"/>
      <c r="K44" s="3942">
        <f>IF(A44="","",SUM(E44:J44))</f>
        <v/>
      </c>
      <c r="L44" s="3934" t="n"/>
      <c r="M44" s="3934" t="n"/>
      <c r="N44" s="3934" t="n"/>
      <c r="O44" s="3934" t="n"/>
      <c r="P44" s="3934" t="n"/>
      <c r="Q44" s="3934" t="n"/>
      <c r="R44" s="3934" t="n"/>
      <c r="S44" s="3934" t="n"/>
      <c r="T44" s="3934" t="n"/>
      <c r="U44" s="3934" t="n"/>
      <c r="V44" s="3934" t="n"/>
      <c r="W44" s="3934" t="n"/>
      <c r="X44" s="3934" t="n"/>
      <c r="Y44" s="3934" t="n"/>
      <c r="Z44" s="3934" t="n"/>
      <c r="AA44" s="3934" t="n"/>
      <c r="AB44" s="3934" t="n"/>
      <c r="AC44" s="3934" t="n"/>
      <c r="AD44" s="3934" t="n"/>
      <c r="AE44" s="3934" t="n"/>
      <c r="AF44" s="3934" t="n"/>
      <c r="AG44" s="3934" t="n"/>
      <c r="AH44" s="3934" t="n"/>
      <c r="AI44" s="3934" t="n"/>
      <c r="AJ44" s="3934" t="n"/>
      <c r="AK44" s="3934" t="n"/>
      <c r="AL44" s="3934" t="n"/>
      <c r="AM44" s="3934" t="n"/>
      <c r="AN44" s="3934" t="n"/>
      <c r="AO44" s="3934" t="n"/>
      <c r="AP44" s="3934" t="n"/>
      <c r="AQ44" s="3934" t="n"/>
      <c r="AR44" s="3934" t="n"/>
    </row>
    <row r="45">
      <c r="A45" s="3941" t="n"/>
      <c r="B45" s="3944" t="n"/>
      <c r="C45" s="3944" t="n"/>
      <c r="D45" s="3944" t="n"/>
      <c r="E45" s="3944" t="n"/>
      <c r="F45" s="3944" t="n"/>
      <c r="G45" s="3944" t="n"/>
      <c r="H45" s="3944" t="n"/>
      <c r="I45" s="3944" t="n"/>
      <c r="J45" s="3944" t="n"/>
      <c r="K45" s="3942">
        <f>IF(A45="","",SUM(E45:J45))</f>
        <v/>
      </c>
      <c r="L45" s="3934" t="n"/>
      <c r="M45" s="3934" t="n"/>
      <c r="N45" s="3934" t="n"/>
      <c r="O45" s="3934" t="n"/>
      <c r="P45" s="3934" t="n"/>
      <c r="Q45" s="3934" t="n"/>
      <c r="R45" s="3934" t="n"/>
      <c r="S45" s="3934" t="n"/>
      <c r="T45" s="3934" t="n"/>
      <c r="U45" s="3934" t="n"/>
      <c r="V45" s="3934" t="n"/>
      <c r="W45" s="3934" t="n"/>
      <c r="X45" s="3934" t="n"/>
      <c r="Y45" s="3934" t="n"/>
      <c r="Z45" s="3934" t="n"/>
      <c r="AA45" s="3934" t="n"/>
      <c r="AB45" s="3934" t="n"/>
      <c r="AC45" s="3934" t="n"/>
      <c r="AD45" s="3934" t="n"/>
      <c r="AE45" s="3934" t="n"/>
      <c r="AF45" s="3934" t="n"/>
      <c r="AG45" s="3934" t="n"/>
      <c r="AH45" s="3934" t="n"/>
      <c r="AI45" s="3934" t="n"/>
      <c r="AJ45" s="3934" t="n"/>
      <c r="AK45" s="3934" t="n"/>
      <c r="AL45" s="3934" t="n"/>
      <c r="AM45" s="3934" t="n"/>
      <c r="AN45" s="3934" t="n"/>
      <c r="AO45" s="3934" t="n"/>
      <c r="AP45" s="3934" t="n"/>
      <c r="AQ45" s="3934" t="n"/>
      <c r="AR45" s="3934" t="n"/>
    </row>
    <row r="46">
      <c r="A46" s="3941" t="n"/>
      <c r="B46" s="3944" t="n"/>
      <c r="C46" s="3944" t="n"/>
      <c r="D46" s="3944" t="n"/>
      <c r="E46" s="3944" t="n"/>
      <c r="F46" s="3944" t="n"/>
      <c r="G46" s="3944" t="n"/>
      <c r="H46" s="3944" t="n"/>
      <c r="I46" s="3944" t="n"/>
      <c r="J46" s="3944" t="n"/>
      <c r="K46" s="3942">
        <f>IF(A46="","",SUM(E46:J46))</f>
        <v/>
      </c>
      <c r="L46" s="3934" t="n"/>
      <c r="M46" s="3934" t="n"/>
      <c r="N46" s="3934" t="n"/>
      <c r="O46" s="3934" t="n"/>
      <c r="P46" s="3934" t="n"/>
      <c r="Q46" s="3934" t="n"/>
      <c r="R46" s="3934" t="n"/>
      <c r="S46" s="3934" t="n"/>
      <c r="T46" s="3934" t="n"/>
      <c r="U46" s="3934" t="n"/>
      <c r="V46" s="3934" t="n"/>
      <c r="W46" s="3934" t="n"/>
      <c r="X46" s="3934" t="n"/>
      <c r="Y46" s="3934" t="n"/>
      <c r="Z46" s="3934" t="n"/>
      <c r="AA46" s="3934" t="n"/>
      <c r="AB46" s="3934" t="n"/>
      <c r="AC46" s="3934" t="n"/>
      <c r="AD46" s="3934" t="n"/>
      <c r="AE46" s="3934" t="n"/>
      <c r="AF46" s="3934" t="n"/>
      <c r="AG46" s="3934" t="n"/>
      <c r="AH46" s="3934" t="n"/>
      <c r="AI46" s="3934" t="n"/>
      <c r="AJ46" s="3934" t="n"/>
      <c r="AK46" s="3934" t="n"/>
      <c r="AL46" s="3934" t="n"/>
      <c r="AM46" s="3934" t="n"/>
      <c r="AN46" s="3934" t="n"/>
      <c r="AO46" s="3934" t="n"/>
      <c r="AP46" s="3934" t="n"/>
      <c r="AQ46" s="3934" t="n"/>
      <c r="AR46" s="3934" t="n"/>
    </row>
    <row r="47">
      <c r="A47" s="3941" t="n"/>
      <c r="B47" s="3944" t="n"/>
      <c r="C47" s="3944" t="n"/>
      <c r="D47" s="3944" t="n"/>
      <c r="E47" s="3944" t="n"/>
      <c r="F47" s="3944" t="n"/>
      <c r="G47" s="3944" t="n"/>
      <c r="H47" s="3944" t="n"/>
      <c r="I47" s="3944" t="n"/>
      <c r="J47" s="3944" t="n"/>
      <c r="K47" s="3942">
        <f>IF(A47="","",SUM(E47:J47))</f>
        <v/>
      </c>
      <c r="L47" s="3934" t="n"/>
      <c r="M47" s="3934" t="n"/>
      <c r="N47" s="3934" t="n"/>
      <c r="O47" s="3934" t="n"/>
      <c r="P47" s="3934" t="n"/>
      <c r="Q47" s="3934" t="n"/>
      <c r="R47" s="3934" t="n"/>
      <c r="S47" s="3934" t="n"/>
      <c r="T47" s="3934" t="n"/>
      <c r="U47" s="3934" t="n"/>
      <c r="V47" s="3934" t="n"/>
      <c r="W47" s="3934" t="n"/>
      <c r="X47" s="3934" t="n"/>
      <c r="Y47" s="3934" t="n"/>
      <c r="Z47" s="3934" t="n"/>
      <c r="AA47" s="3934" t="n"/>
      <c r="AB47" s="3934" t="n"/>
      <c r="AC47" s="3934" t="n"/>
      <c r="AD47" s="3934" t="n"/>
      <c r="AE47" s="3934" t="n"/>
      <c r="AF47" s="3934" t="n"/>
      <c r="AG47" s="3934" t="n"/>
      <c r="AH47" s="3934" t="n"/>
      <c r="AI47" s="3934" t="n"/>
      <c r="AJ47" s="3934" t="n"/>
      <c r="AK47" s="3934" t="n"/>
      <c r="AL47" s="3934" t="n"/>
      <c r="AM47" s="3934" t="n"/>
      <c r="AN47" s="3934" t="n"/>
      <c r="AO47" s="3934" t="n"/>
      <c r="AP47" s="3934" t="n"/>
      <c r="AQ47" s="3934" t="n"/>
      <c r="AR47" s="3934" t="n"/>
    </row>
    <row r="48">
      <c r="A48" s="3941" t="n"/>
      <c r="B48" s="3944" t="n"/>
      <c r="C48" s="3944" t="n"/>
      <c r="D48" s="3944" t="n"/>
      <c r="E48" s="3944" t="n"/>
      <c r="F48" s="3944" t="n"/>
      <c r="G48" s="3944" t="n"/>
      <c r="H48" s="3944" t="n"/>
      <c r="I48" s="3944" t="n"/>
      <c r="J48" s="3944" t="n"/>
      <c r="K48" s="3942">
        <f>IF(A48="","",SUM(E48:J48))</f>
        <v/>
      </c>
      <c r="L48" s="3934" t="n"/>
      <c r="M48" s="3934" t="n"/>
      <c r="N48" s="3934" t="n"/>
      <c r="O48" s="3934" t="n"/>
      <c r="P48" s="3934" t="n"/>
      <c r="Q48" s="3934" t="n"/>
      <c r="R48" s="3934" t="n"/>
      <c r="S48" s="3934" t="n"/>
      <c r="T48" s="3934" t="n"/>
      <c r="U48" s="3934" t="n"/>
      <c r="V48" s="3934" t="n"/>
      <c r="W48" s="3934" t="n"/>
      <c r="X48" s="3934" t="n"/>
      <c r="Y48" s="3934" t="n"/>
      <c r="Z48" s="3934" t="n"/>
      <c r="AA48" s="3934" t="n"/>
      <c r="AB48" s="3934" t="n"/>
      <c r="AC48" s="3934" t="n"/>
      <c r="AD48" s="3934" t="n"/>
      <c r="AE48" s="3934" t="n"/>
      <c r="AF48" s="3934" t="n"/>
      <c r="AG48" s="3934" t="n"/>
      <c r="AH48" s="3934" t="n"/>
      <c r="AI48" s="3934" t="n"/>
      <c r="AJ48" s="3934" t="n"/>
      <c r="AK48" s="3934" t="n"/>
      <c r="AL48" s="3934" t="n"/>
      <c r="AM48" s="3934" t="n"/>
      <c r="AN48" s="3934" t="n"/>
      <c r="AO48" s="3934" t="n"/>
      <c r="AP48" s="3934" t="n"/>
      <c r="AQ48" s="3934" t="n"/>
      <c r="AR48" s="3934" t="n"/>
    </row>
    <row r="49">
      <c r="A49" s="3941" t="n"/>
      <c r="B49" s="3944" t="n"/>
      <c r="C49" s="3944" t="n"/>
      <c r="D49" s="3944" t="n"/>
      <c r="E49" s="3944" t="n"/>
      <c r="F49" s="3944" t="n"/>
      <c r="G49" s="3944" t="n"/>
      <c r="H49" s="3944" t="n"/>
      <c r="I49" s="3944" t="n"/>
      <c r="J49" s="3944" t="n"/>
      <c r="K49" s="3942">
        <f>IF(A49="","",SUM(E49:J49))</f>
        <v/>
      </c>
      <c r="L49" s="3934" t="n"/>
      <c r="M49" s="3934" t="n"/>
      <c r="N49" s="3934" t="n"/>
      <c r="O49" s="3934" t="n"/>
      <c r="P49" s="3934" t="n"/>
      <c r="Q49" s="3934" t="n"/>
      <c r="R49" s="3934" t="n"/>
      <c r="S49" s="3934" t="n"/>
      <c r="T49" s="3934" t="n"/>
      <c r="U49" s="3934" t="n"/>
      <c r="V49" s="3934" t="n"/>
      <c r="W49" s="3934" t="n"/>
      <c r="X49" s="3934" t="n"/>
      <c r="Y49" s="3934" t="n"/>
      <c r="Z49" s="3934" t="n"/>
      <c r="AA49" s="3934" t="n"/>
      <c r="AB49" s="3934" t="n"/>
      <c r="AC49" s="3934" t="n"/>
      <c r="AD49" s="3934" t="n"/>
      <c r="AE49" s="3934" t="n"/>
      <c r="AF49" s="3934" t="n"/>
      <c r="AG49" s="3934" t="n"/>
      <c r="AH49" s="3934" t="n"/>
      <c r="AI49" s="3934" t="n"/>
      <c r="AJ49" s="3934" t="n"/>
      <c r="AK49" s="3934" t="n"/>
      <c r="AL49" s="3934" t="n"/>
      <c r="AM49" s="3934" t="n"/>
      <c r="AN49" s="3934" t="n"/>
      <c r="AO49" s="3934" t="n"/>
      <c r="AP49" s="3934" t="n"/>
      <c r="AQ49" s="3934" t="n"/>
      <c r="AR49" s="3934" t="n"/>
    </row>
    <row r="50">
      <c r="A50" s="3941" t="n"/>
      <c r="B50" s="3944" t="n"/>
      <c r="C50" s="3944" t="n"/>
      <c r="D50" s="3944" t="n"/>
      <c r="E50" s="3944" t="n"/>
      <c r="F50" s="3944" t="n"/>
      <c r="G50" s="3944" t="n"/>
      <c r="H50" s="3944" t="n"/>
      <c r="I50" s="3944" t="n"/>
      <c r="J50" s="3944" t="n"/>
      <c r="K50" s="3942">
        <f>IF(A50="","",SUM(E50:J50))</f>
        <v/>
      </c>
      <c r="L50" s="3934" t="n"/>
      <c r="M50" s="3934" t="n"/>
      <c r="N50" s="3934" t="n"/>
      <c r="O50" s="3934" t="n"/>
      <c r="P50" s="3934" t="n"/>
      <c r="Q50" s="3934" t="n"/>
      <c r="R50" s="3934" t="n"/>
      <c r="S50" s="3934" t="n"/>
      <c r="T50" s="3934" t="n"/>
      <c r="U50" s="3934" t="n"/>
      <c r="V50" s="3934" t="n"/>
      <c r="W50" s="3934" t="n"/>
      <c r="X50" s="3934" t="n"/>
      <c r="Y50" s="3934" t="n"/>
      <c r="Z50" s="3934" t="n"/>
      <c r="AA50" s="3934" t="n"/>
      <c r="AB50" s="3934" t="n"/>
      <c r="AC50" s="3934" t="n"/>
      <c r="AD50" s="3934" t="n"/>
      <c r="AE50" s="3934" t="n"/>
      <c r="AF50" s="3934" t="n"/>
      <c r="AG50" s="3934" t="n"/>
      <c r="AH50" s="3934" t="n"/>
      <c r="AI50" s="3934" t="n"/>
      <c r="AJ50" s="3934" t="n"/>
      <c r="AK50" s="3934" t="n"/>
      <c r="AL50" s="3934" t="n"/>
      <c r="AM50" s="3934" t="n"/>
      <c r="AN50" s="3934" t="n"/>
      <c r="AO50" s="3934" t="n"/>
      <c r="AP50" s="3934" t="n"/>
      <c r="AQ50" s="3934" t="n"/>
      <c r="AR50" s="3934" t="n"/>
    </row>
    <row r="51">
      <c r="A51" s="3941" t="n"/>
      <c r="B51" s="3944" t="n"/>
      <c r="C51" s="3944" t="n"/>
      <c r="D51" s="3944" t="n"/>
      <c r="E51" s="3944" t="n"/>
      <c r="F51" s="3944" t="n"/>
      <c r="G51" s="3944" t="n"/>
      <c r="H51" s="3944" t="n"/>
      <c r="I51" s="3944" t="n"/>
      <c r="J51" s="3944" t="n"/>
      <c r="K51" s="3942">
        <f>IF(A51="","",SUM(E51:J51))</f>
        <v/>
      </c>
      <c r="L51" s="3934" t="n"/>
      <c r="M51" s="3934" t="n"/>
      <c r="N51" s="3934" t="n"/>
      <c r="O51" s="3934" t="n"/>
      <c r="P51" s="3934" t="n"/>
      <c r="Q51" s="3934" t="n"/>
      <c r="R51" s="3934" t="n"/>
      <c r="S51" s="3934" t="n"/>
      <c r="T51" s="3934" t="n"/>
      <c r="U51" s="3934" t="n"/>
      <c r="V51" s="3934" t="n"/>
      <c r="W51" s="3934" t="n"/>
      <c r="X51" s="3934" t="n"/>
      <c r="Y51" s="3934" t="n"/>
      <c r="Z51" s="3934" t="n"/>
      <c r="AA51" s="3934" t="n"/>
      <c r="AB51" s="3934" t="n"/>
      <c r="AC51" s="3934" t="n"/>
      <c r="AD51" s="3934" t="n"/>
      <c r="AE51" s="3934" t="n"/>
      <c r="AF51" s="3934" t="n"/>
      <c r="AG51" s="3934" t="n"/>
      <c r="AH51" s="3934" t="n"/>
      <c r="AI51" s="3934" t="n"/>
      <c r="AJ51" s="3934" t="n"/>
      <c r="AK51" s="3934" t="n"/>
      <c r="AL51" s="3934" t="n"/>
      <c r="AM51" s="3934" t="n"/>
      <c r="AN51" s="3934" t="n"/>
      <c r="AO51" s="3934" t="n"/>
      <c r="AP51" s="3934" t="n"/>
      <c r="AQ51" s="3934" t="n"/>
      <c r="AR51" s="3934" t="n"/>
    </row>
    <row r="52">
      <c r="A52" s="3941" t="n"/>
      <c r="B52" s="3944" t="n"/>
      <c r="C52" s="3944" t="n"/>
      <c r="D52" s="3944" t="n"/>
      <c r="E52" s="3944" t="n"/>
      <c r="F52" s="3944" t="n"/>
      <c r="G52" s="3944" t="n"/>
      <c r="H52" s="3944" t="n"/>
      <c r="I52" s="3944" t="n"/>
      <c r="J52" s="3944" t="n"/>
      <c r="K52" s="3942">
        <f>IF(A52="","",SUM(E52:J52))</f>
        <v/>
      </c>
      <c r="L52" s="3934" t="n"/>
      <c r="M52" s="3934" t="n"/>
      <c r="N52" s="3934" t="n"/>
      <c r="O52" s="3934" t="n"/>
      <c r="P52" s="3934" t="n"/>
      <c r="Q52" s="3934" t="n"/>
      <c r="R52" s="3934" t="n"/>
      <c r="S52" s="3934" t="n"/>
      <c r="T52" s="3934" t="n"/>
      <c r="U52" s="3934" t="n"/>
      <c r="V52" s="3934" t="n"/>
      <c r="W52" s="3934" t="n"/>
      <c r="X52" s="3934" t="n"/>
      <c r="Y52" s="3934" t="n"/>
      <c r="Z52" s="3934" t="n"/>
      <c r="AA52" s="3934" t="n"/>
      <c r="AB52" s="3934" t="n"/>
      <c r="AC52" s="3934" t="n"/>
      <c r="AD52" s="3934" t="n"/>
      <c r="AE52" s="3934" t="n"/>
      <c r="AF52" s="3934" t="n"/>
      <c r="AG52" s="3934" t="n"/>
      <c r="AH52" s="3934" t="n"/>
      <c r="AI52" s="3934" t="n"/>
      <c r="AJ52" s="3934" t="n"/>
      <c r="AK52" s="3934" t="n"/>
      <c r="AL52" s="3934" t="n"/>
      <c r="AM52" s="3934" t="n"/>
      <c r="AN52" s="3934" t="n"/>
      <c r="AO52" s="3934" t="n"/>
      <c r="AP52" s="3934" t="n"/>
      <c r="AQ52" s="3934" t="n"/>
      <c r="AR52" s="3934" t="n"/>
    </row>
    <row r="53">
      <c r="A53" s="3941" t="n"/>
      <c r="B53" s="3944" t="n"/>
      <c r="C53" s="3944" t="n"/>
      <c r="D53" s="3944" t="n"/>
      <c r="E53" s="3944" t="n"/>
      <c r="F53" s="3944" t="n"/>
      <c r="G53" s="3944" t="n"/>
      <c r="H53" s="3944" t="n"/>
      <c r="I53" s="3944" t="n"/>
      <c r="J53" s="3944" t="n"/>
      <c r="K53" s="3942">
        <f>IF(A53="","",SUM(E53:J53))</f>
        <v/>
      </c>
      <c r="L53" s="3934" t="n"/>
      <c r="M53" s="3934" t="n"/>
      <c r="N53" s="3934" t="n"/>
      <c r="O53" s="3934" t="n"/>
      <c r="P53" s="3934" t="n"/>
      <c r="Q53" s="3934" t="n"/>
      <c r="R53" s="3934" t="n"/>
      <c r="S53" s="3934" t="n"/>
      <c r="T53" s="3934" t="n"/>
      <c r="U53" s="3934" t="n"/>
      <c r="V53" s="3934" t="n"/>
      <c r="W53" s="3934" t="n"/>
      <c r="X53" s="3934" t="n"/>
      <c r="Y53" s="3934" t="n"/>
      <c r="Z53" s="3934" t="n"/>
      <c r="AA53" s="3934" t="n"/>
      <c r="AB53" s="3934" t="n"/>
      <c r="AC53" s="3934" t="n"/>
      <c r="AD53" s="3934" t="n"/>
      <c r="AE53" s="3934" t="n"/>
      <c r="AF53" s="3934" t="n"/>
      <c r="AG53" s="3934" t="n"/>
      <c r="AH53" s="3934" t="n"/>
      <c r="AI53" s="3934" t="n"/>
      <c r="AJ53" s="3934" t="n"/>
      <c r="AK53" s="3934" t="n"/>
      <c r="AL53" s="3934" t="n"/>
      <c r="AM53" s="3934" t="n"/>
      <c r="AN53" s="3934" t="n"/>
      <c r="AO53" s="3934" t="n"/>
      <c r="AP53" s="3934" t="n"/>
      <c r="AQ53" s="3934" t="n"/>
      <c r="AR53" s="3934" t="n"/>
    </row>
    <row r="54">
      <c r="A54" s="3941" t="n"/>
      <c r="B54" s="3944" t="n"/>
      <c r="C54" s="3944" t="n"/>
      <c r="D54" s="3944" t="n"/>
      <c r="E54" s="3944" t="n"/>
      <c r="F54" s="3944" t="n"/>
      <c r="G54" s="3944" t="n"/>
      <c r="H54" s="3944" t="n"/>
      <c r="I54" s="3944" t="n"/>
      <c r="J54" s="3944" t="n"/>
      <c r="K54" s="3942">
        <f>IF(A54="","",SUM(E54:J54))</f>
        <v/>
      </c>
      <c r="L54" s="3934" t="n"/>
      <c r="M54" s="3934" t="n"/>
      <c r="N54" s="3934" t="n"/>
      <c r="O54" s="3934" t="n"/>
      <c r="P54" s="3934" t="n"/>
      <c r="Q54" s="3934" t="n"/>
      <c r="R54" s="3934" t="n"/>
      <c r="S54" s="3934" t="n"/>
      <c r="T54" s="3934" t="n"/>
      <c r="U54" s="3934" t="n"/>
      <c r="V54" s="3934" t="n"/>
      <c r="W54" s="3934" t="n"/>
      <c r="X54" s="3934" t="n"/>
      <c r="Y54" s="3934" t="n"/>
      <c r="Z54" s="3934" t="n"/>
      <c r="AA54" s="3934" t="n"/>
      <c r="AB54" s="3934" t="n"/>
      <c r="AC54" s="3934" t="n"/>
      <c r="AD54" s="3934" t="n"/>
      <c r="AE54" s="3934" t="n"/>
      <c r="AF54" s="3934" t="n"/>
      <c r="AG54" s="3934" t="n"/>
      <c r="AH54" s="3934" t="n"/>
      <c r="AI54" s="3934" t="n"/>
      <c r="AJ54" s="3934" t="n"/>
      <c r="AK54" s="3934" t="n"/>
      <c r="AL54" s="3934" t="n"/>
      <c r="AM54" s="3934" t="n"/>
      <c r="AN54" s="3934" t="n"/>
      <c r="AO54" s="3934" t="n"/>
      <c r="AP54" s="3934" t="n"/>
      <c r="AQ54" s="3934" t="n"/>
      <c r="AR54" s="3934" t="n"/>
    </row>
    <row r="55">
      <c r="A55" s="3941" t="n"/>
      <c r="B55" s="3944" t="n"/>
      <c r="C55" s="3944" t="n"/>
      <c r="D55" s="3944" t="n"/>
      <c r="E55" s="3944" t="n"/>
      <c r="F55" s="3944" t="n"/>
      <c r="G55" s="3944" t="n"/>
      <c r="H55" s="3944" t="n"/>
      <c r="I55" s="3944" t="n"/>
      <c r="J55" s="3944" t="n"/>
      <c r="K55" s="3942">
        <f>IF(A55="","",SUM(E55:J55))</f>
        <v/>
      </c>
      <c r="L55" s="3934" t="n"/>
      <c r="M55" s="3934" t="n"/>
      <c r="N55" s="3934" t="n"/>
      <c r="O55" s="3934" t="n"/>
      <c r="P55" s="3934" t="n"/>
      <c r="Q55" s="3934" t="n"/>
      <c r="R55" s="3934" t="n"/>
      <c r="S55" s="3934" t="n"/>
      <c r="T55" s="3934" t="n"/>
      <c r="U55" s="3934" t="n"/>
      <c r="V55" s="3934" t="n"/>
      <c r="W55" s="3934" t="n"/>
      <c r="X55" s="3934" t="n"/>
      <c r="Y55" s="3934" t="n"/>
      <c r="Z55" s="3934" t="n"/>
      <c r="AA55" s="3934" t="n"/>
      <c r="AB55" s="3934" t="n"/>
      <c r="AC55" s="3934" t="n"/>
      <c r="AD55" s="3934" t="n"/>
      <c r="AE55" s="3934" t="n"/>
      <c r="AF55" s="3934" t="n"/>
      <c r="AG55" s="3934" t="n"/>
      <c r="AH55" s="3934" t="n"/>
      <c r="AI55" s="3934" t="n"/>
      <c r="AJ55" s="3934" t="n"/>
      <c r="AK55" s="3934" t="n"/>
      <c r="AL55" s="3934" t="n"/>
      <c r="AM55" s="3934" t="n"/>
      <c r="AN55" s="3934" t="n"/>
      <c r="AO55" s="3934" t="n"/>
      <c r="AP55" s="3934" t="n"/>
      <c r="AQ55" s="3934" t="n"/>
      <c r="AR55" s="3934" t="n"/>
    </row>
    <row r="56">
      <c r="A56" s="3941" t="n"/>
      <c r="B56" s="3944" t="n"/>
      <c r="C56" s="3944" t="n"/>
      <c r="D56" s="3944" t="n"/>
      <c r="E56" s="3944" t="n"/>
      <c r="F56" s="3944" t="n"/>
      <c r="G56" s="3944" t="n"/>
      <c r="H56" s="3944" t="n"/>
      <c r="I56" s="3944" t="n"/>
      <c r="J56" s="3944" t="n"/>
      <c r="K56" s="3942">
        <f>IF(A56="","",SUM(E56:J56))</f>
        <v/>
      </c>
      <c r="L56" s="3934" t="n"/>
      <c r="M56" s="3934" t="n"/>
      <c r="N56" s="3934" t="n"/>
      <c r="O56" s="3934" t="n"/>
      <c r="P56" s="3934" t="n"/>
      <c r="Q56" s="3934" t="n"/>
      <c r="R56" s="3934" t="n"/>
      <c r="S56" s="3934" t="n"/>
      <c r="T56" s="3934" t="n"/>
      <c r="U56" s="3934" t="n"/>
      <c r="V56" s="3934" t="n"/>
      <c r="W56" s="3934" t="n"/>
      <c r="X56" s="3934" t="n"/>
      <c r="Y56" s="3934" t="n"/>
      <c r="Z56" s="3934" t="n"/>
      <c r="AA56" s="3934" t="n"/>
      <c r="AB56" s="3934" t="n"/>
      <c r="AC56" s="3934" t="n"/>
      <c r="AD56" s="3934" t="n"/>
      <c r="AE56" s="3934" t="n"/>
      <c r="AF56" s="3934" t="n"/>
      <c r="AG56" s="3934" t="n"/>
      <c r="AH56" s="3934" t="n"/>
      <c r="AI56" s="3934" t="n"/>
      <c r="AJ56" s="3934" t="n"/>
      <c r="AK56" s="3934" t="n"/>
      <c r="AL56" s="3934" t="n"/>
      <c r="AM56" s="3934" t="n"/>
      <c r="AN56" s="3934" t="n"/>
      <c r="AO56" s="3934" t="n"/>
      <c r="AP56" s="3934" t="n"/>
      <c r="AQ56" s="3934" t="n"/>
      <c r="AR56" s="3934" t="n"/>
    </row>
    <row r="57">
      <c r="A57" s="3941" t="n"/>
      <c r="B57" s="3944" t="n"/>
      <c r="C57" s="3944" t="n"/>
      <c r="D57" s="3944" t="n"/>
      <c r="E57" s="3944" t="n"/>
      <c r="F57" s="3944" t="n"/>
      <c r="G57" s="3944" t="n"/>
      <c r="H57" s="3944" t="n"/>
      <c r="I57" s="3944" t="n"/>
      <c r="J57" s="3944" t="n"/>
      <c r="K57" s="3942">
        <f>IF(A57="","",SUM(E57:J57))</f>
        <v/>
      </c>
      <c r="L57" s="3934" t="n"/>
      <c r="M57" s="3934" t="n"/>
      <c r="N57" s="3934" t="n"/>
      <c r="O57" s="3934" t="n"/>
      <c r="P57" s="3934" t="n"/>
      <c r="Q57" s="3934" t="n"/>
      <c r="R57" s="3934" t="n"/>
      <c r="S57" s="3934" t="n"/>
      <c r="T57" s="3934" t="n"/>
      <c r="U57" s="3934" t="n"/>
      <c r="V57" s="3934" t="n"/>
      <c r="W57" s="3934" t="n"/>
      <c r="X57" s="3934" t="n"/>
      <c r="Y57" s="3934" t="n"/>
      <c r="Z57" s="3934" t="n"/>
      <c r="AA57" s="3934" t="n"/>
      <c r="AB57" s="3934" t="n"/>
      <c r="AC57" s="3934" t="n"/>
      <c r="AD57" s="3934" t="n"/>
      <c r="AE57" s="3934" t="n"/>
      <c r="AF57" s="3934" t="n"/>
      <c r="AG57" s="3934" t="n"/>
      <c r="AH57" s="3934" t="n"/>
      <c r="AI57" s="3934" t="n"/>
      <c r="AJ57" s="3934" t="n"/>
      <c r="AK57" s="3934" t="n"/>
      <c r="AL57" s="3934" t="n"/>
      <c r="AM57" s="3934" t="n"/>
      <c r="AN57" s="3934" t="n"/>
      <c r="AO57" s="3934" t="n"/>
      <c r="AP57" s="3934" t="n"/>
      <c r="AQ57" s="3934" t="n"/>
      <c r="AR57" s="3934" t="n"/>
    </row>
    <row r="58">
      <c r="A58" s="3941" t="n"/>
      <c r="B58" s="3944" t="n"/>
      <c r="C58" s="3944" t="n"/>
      <c r="D58" s="3944" t="n"/>
      <c r="E58" s="3944" t="n"/>
      <c r="F58" s="3944" t="n"/>
      <c r="G58" s="3944" t="n"/>
      <c r="H58" s="3944" t="n"/>
      <c r="I58" s="3944" t="n"/>
      <c r="J58" s="3944" t="n"/>
      <c r="K58" s="3942">
        <f>IF(A58="","",SUM(E58:J58))</f>
        <v/>
      </c>
      <c r="L58" s="3934" t="n"/>
      <c r="M58" s="3934" t="n"/>
      <c r="N58" s="3934" t="n"/>
      <c r="O58" s="3934" t="n"/>
      <c r="P58" s="3934" t="n"/>
      <c r="Q58" s="3934" t="n"/>
      <c r="R58" s="3934" t="n"/>
      <c r="S58" s="3934" t="n"/>
      <c r="T58" s="3934" t="n"/>
      <c r="U58" s="3934" t="n"/>
      <c r="V58" s="3934" t="n"/>
      <c r="W58" s="3934" t="n"/>
      <c r="X58" s="3934" t="n"/>
      <c r="Y58" s="3934" t="n"/>
      <c r="Z58" s="3934" t="n"/>
      <c r="AA58" s="3934" t="n"/>
      <c r="AB58" s="3934" t="n"/>
      <c r="AC58" s="3934" t="n"/>
      <c r="AD58" s="3934" t="n"/>
      <c r="AE58" s="3934" t="n"/>
      <c r="AF58" s="3934" t="n"/>
      <c r="AG58" s="3934" t="n"/>
      <c r="AH58" s="3934" t="n"/>
      <c r="AI58" s="3934" t="n"/>
      <c r="AJ58" s="3934" t="n"/>
      <c r="AK58" s="3934" t="n"/>
      <c r="AL58" s="3934" t="n"/>
      <c r="AM58" s="3934" t="n"/>
      <c r="AN58" s="3934" t="n"/>
      <c r="AO58" s="3934" t="n"/>
      <c r="AP58" s="3934" t="n"/>
      <c r="AQ58" s="3934" t="n"/>
      <c r="AR58" s="3934" t="n"/>
    </row>
    <row r="59">
      <c r="A59" s="3941" t="n"/>
      <c r="B59" s="3944" t="n"/>
      <c r="C59" s="3944" t="n"/>
      <c r="D59" s="3944" t="n"/>
      <c r="E59" s="3944" t="n"/>
      <c r="F59" s="3944" t="n"/>
      <c r="G59" s="3944" t="n"/>
      <c r="H59" s="3944" t="n"/>
      <c r="I59" s="3944" t="n"/>
      <c r="J59" s="3944" t="n"/>
      <c r="K59" s="3942">
        <f>IF(A59="","",SUM(E59:J59))</f>
        <v/>
      </c>
      <c r="L59" s="3934" t="n"/>
      <c r="M59" s="3934" t="n"/>
      <c r="N59" s="3934" t="n"/>
      <c r="O59" s="3934" t="n"/>
      <c r="P59" s="3934" t="n"/>
      <c r="Q59" s="3934" t="n"/>
      <c r="R59" s="3934" t="n"/>
      <c r="S59" s="3934" t="n"/>
      <c r="T59" s="3934" t="n"/>
      <c r="U59" s="3934" t="n"/>
      <c r="V59" s="3934" t="n"/>
      <c r="W59" s="3934" t="n"/>
      <c r="X59" s="3934" t="n"/>
      <c r="Y59" s="3934" t="n"/>
      <c r="Z59" s="3934" t="n"/>
      <c r="AA59" s="3934" t="n"/>
      <c r="AB59" s="3934" t="n"/>
      <c r="AC59" s="3934" t="n"/>
      <c r="AD59" s="3934" t="n"/>
      <c r="AE59" s="3934" t="n"/>
      <c r="AF59" s="3934" t="n"/>
      <c r="AG59" s="3934" t="n"/>
      <c r="AH59" s="3934" t="n"/>
      <c r="AI59" s="3934" t="n"/>
      <c r="AJ59" s="3934" t="n"/>
      <c r="AK59" s="3934" t="n"/>
      <c r="AL59" s="3934" t="n"/>
      <c r="AM59" s="3934" t="n"/>
      <c r="AN59" s="3934" t="n"/>
      <c r="AO59" s="3934" t="n"/>
      <c r="AP59" s="3934" t="n"/>
      <c r="AQ59" s="3934" t="n"/>
      <c r="AR59" s="3934" t="n"/>
    </row>
    <row r="60">
      <c r="A60" s="3941" t="n"/>
      <c r="B60" s="3944" t="n"/>
      <c r="C60" s="3944" t="n"/>
      <c r="D60" s="3944" t="n"/>
      <c r="E60" s="3944" t="n"/>
      <c r="F60" s="3944" t="n"/>
      <c r="G60" s="3944" t="n"/>
      <c r="H60" s="3944" t="n"/>
      <c r="I60" s="3944" t="n"/>
      <c r="J60" s="3944" t="n"/>
      <c r="K60" s="3942">
        <f>IF(A60="","",SUM(E60:J60))</f>
        <v/>
      </c>
      <c r="L60" s="3934" t="n"/>
      <c r="M60" s="3934" t="n"/>
      <c r="N60" s="3934" t="n"/>
      <c r="O60" s="3934" t="n"/>
      <c r="P60" s="3934" t="n"/>
      <c r="Q60" s="3934" t="n"/>
      <c r="R60" s="3934" t="n"/>
      <c r="S60" s="3934" t="n"/>
      <c r="T60" s="3934" t="n"/>
      <c r="U60" s="3934" t="n"/>
      <c r="V60" s="3934" t="n"/>
      <c r="W60" s="3934" t="n"/>
      <c r="X60" s="3934" t="n"/>
      <c r="Y60" s="3934" t="n"/>
      <c r="Z60" s="3934" t="n"/>
      <c r="AA60" s="3934" t="n"/>
      <c r="AB60" s="3934" t="n"/>
      <c r="AC60" s="3934" t="n"/>
      <c r="AD60" s="3934" t="n"/>
      <c r="AE60" s="3934" t="n"/>
      <c r="AF60" s="3934" t="n"/>
      <c r="AG60" s="3934" t="n"/>
      <c r="AH60" s="3934" t="n"/>
      <c r="AI60" s="3934" t="n"/>
      <c r="AJ60" s="3934" t="n"/>
      <c r="AK60" s="3934" t="n"/>
      <c r="AL60" s="3934" t="n"/>
      <c r="AM60" s="3934" t="n"/>
      <c r="AN60" s="3934" t="n"/>
      <c r="AO60" s="3934" t="n"/>
      <c r="AP60" s="3934" t="n"/>
      <c r="AQ60" s="3934" t="n"/>
      <c r="AR60" s="3934" t="n"/>
    </row>
    <row r="61">
      <c r="A61" s="3941" t="n"/>
      <c r="B61" s="3944" t="n"/>
      <c r="C61" s="3944" t="n"/>
      <c r="D61" s="3944" t="n"/>
      <c r="E61" s="3944" t="n"/>
      <c r="F61" s="3944" t="n"/>
      <c r="G61" s="3944" t="n"/>
      <c r="H61" s="3944" t="n"/>
      <c r="I61" s="3944" t="n"/>
      <c r="J61" s="3944" t="n"/>
      <c r="K61" s="3942">
        <f>IF(A61="","",SUM(E61:J61))</f>
        <v/>
      </c>
      <c r="L61" s="3934" t="n"/>
      <c r="M61" s="3934" t="n"/>
      <c r="N61" s="3934" t="n"/>
      <c r="O61" s="3934" t="n"/>
      <c r="P61" s="3934" t="n"/>
      <c r="Q61" s="3934" t="n"/>
      <c r="R61" s="3934" t="n"/>
      <c r="S61" s="3934" t="n"/>
      <c r="T61" s="3934" t="n"/>
      <c r="U61" s="3934" t="n"/>
      <c r="V61" s="3934" t="n"/>
      <c r="W61" s="3934" t="n"/>
      <c r="X61" s="3934" t="n"/>
      <c r="Y61" s="3934" t="n"/>
      <c r="Z61" s="3934" t="n"/>
      <c r="AA61" s="3934" t="n"/>
      <c r="AB61" s="3934" t="n"/>
      <c r="AC61" s="3934" t="n"/>
      <c r="AD61" s="3934" t="n"/>
      <c r="AE61" s="3934" t="n"/>
      <c r="AF61" s="3934" t="n"/>
      <c r="AG61" s="3934" t="n"/>
      <c r="AH61" s="3934" t="n"/>
      <c r="AI61" s="3934" t="n"/>
      <c r="AJ61" s="3934" t="n"/>
      <c r="AK61" s="3934" t="n"/>
      <c r="AL61" s="3934" t="n"/>
      <c r="AM61" s="3934" t="n"/>
      <c r="AN61" s="3934" t="n"/>
      <c r="AO61" s="3934" t="n"/>
      <c r="AP61" s="3934" t="n"/>
      <c r="AQ61" s="3934" t="n"/>
      <c r="AR61" s="3934" t="n"/>
    </row>
    <row r="62">
      <c r="A62" s="3941" t="n"/>
      <c r="B62" s="3944" t="n"/>
      <c r="C62" s="3944" t="n"/>
      <c r="D62" s="3944" t="n"/>
      <c r="E62" s="3944" t="n"/>
      <c r="F62" s="3944" t="n"/>
      <c r="G62" s="3944" t="n"/>
      <c r="H62" s="3944" t="n"/>
      <c r="I62" s="3944" t="n"/>
      <c r="J62" s="3944" t="n"/>
      <c r="K62" s="3942">
        <f>IF(A62="","",SUM(E62:J62))</f>
        <v/>
      </c>
      <c r="L62" s="3934" t="n"/>
      <c r="M62" s="3934" t="n"/>
      <c r="N62" s="3934" t="n"/>
      <c r="O62" s="3934" t="n"/>
      <c r="P62" s="3934" t="n"/>
      <c r="Q62" s="3934" t="n"/>
      <c r="R62" s="3934" t="n"/>
      <c r="S62" s="3934" t="n"/>
      <c r="T62" s="3934" t="n"/>
      <c r="U62" s="3934" t="n"/>
      <c r="V62" s="3934" t="n"/>
      <c r="W62" s="3934" t="n"/>
      <c r="X62" s="3934" t="n"/>
      <c r="Y62" s="3934" t="n"/>
      <c r="Z62" s="3934" t="n"/>
      <c r="AA62" s="3934" t="n"/>
      <c r="AB62" s="3934" t="n"/>
      <c r="AC62" s="3934" t="n"/>
      <c r="AD62" s="3934" t="n"/>
      <c r="AE62" s="3934" t="n"/>
      <c r="AF62" s="3934" t="n"/>
      <c r="AG62" s="3934" t="n"/>
      <c r="AH62" s="3934" t="n"/>
      <c r="AI62" s="3934" t="n"/>
      <c r="AJ62" s="3934" t="n"/>
      <c r="AK62" s="3934" t="n"/>
      <c r="AL62" s="3934" t="n"/>
      <c r="AM62" s="3934" t="n"/>
      <c r="AN62" s="3934" t="n"/>
      <c r="AO62" s="3934" t="n"/>
      <c r="AP62" s="3934" t="n"/>
      <c r="AQ62" s="3934" t="n"/>
      <c r="AR62" s="3934" t="n"/>
    </row>
    <row r="63">
      <c r="A63" s="3941" t="n"/>
      <c r="B63" s="3944" t="n"/>
      <c r="C63" s="3944" t="n"/>
      <c r="D63" s="3944" t="n"/>
      <c r="E63" s="3944" t="n"/>
      <c r="F63" s="3944" t="n"/>
      <c r="G63" s="3944" t="n"/>
      <c r="H63" s="3944" t="n"/>
      <c r="I63" s="3944" t="n"/>
      <c r="J63" s="3944" t="n"/>
      <c r="K63" s="3942">
        <f>IF(A63="","",SUM(E63:J63))</f>
        <v/>
      </c>
      <c r="L63" s="3934" t="n"/>
      <c r="M63" s="3934" t="n"/>
      <c r="N63" s="3934" t="n"/>
      <c r="O63" s="3934" t="n"/>
      <c r="P63" s="3934" t="n"/>
      <c r="Q63" s="3934" t="n"/>
      <c r="R63" s="3934" t="n"/>
      <c r="S63" s="3934" t="n"/>
      <c r="T63" s="3934" t="n"/>
      <c r="U63" s="3934" t="n"/>
      <c r="V63" s="3934" t="n"/>
      <c r="W63" s="3934" t="n"/>
      <c r="X63" s="3934" t="n"/>
      <c r="Y63" s="3934" t="n"/>
      <c r="Z63" s="3934" t="n"/>
      <c r="AA63" s="3934" t="n"/>
      <c r="AB63" s="3934" t="n"/>
      <c r="AC63" s="3934" t="n"/>
      <c r="AD63" s="3934" t="n"/>
      <c r="AE63" s="3934" t="n"/>
      <c r="AF63" s="3934" t="n"/>
      <c r="AG63" s="3934" t="n"/>
      <c r="AH63" s="3934" t="n"/>
      <c r="AI63" s="3934" t="n"/>
      <c r="AJ63" s="3934" t="n"/>
      <c r="AK63" s="3934" t="n"/>
      <c r="AL63" s="3934" t="n"/>
      <c r="AM63" s="3934" t="n"/>
      <c r="AN63" s="3934" t="n"/>
      <c r="AO63" s="3934" t="n"/>
      <c r="AP63" s="3934" t="n"/>
      <c r="AQ63" s="3934" t="n"/>
      <c r="AR63" s="3934" t="n"/>
    </row>
    <row r="64">
      <c r="A64" s="3941" t="n"/>
      <c r="B64" s="3944" t="n"/>
      <c r="C64" s="3944" t="n"/>
      <c r="D64" s="3944" t="n"/>
      <c r="E64" s="3944" t="n"/>
      <c r="F64" s="3944" t="n"/>
      <c r="G64" s="3944" t="n"/>
      <c r="H64" s="3944" t="n"/>
      <c r="I64" s="3944" t="n"/>
      <c r="J64" s="3944" t="n"/>
      <c r="K64" s="3942">
        <f>IF(A64="","",SUM(E64:J64))</f>
        <v/>
      </c>
      <c r="L64" s="3934" t="n"/>
      <c r="M64" s="3934" t="n"/>
      <c r="N64" s="3934" t="n"/>
      <c r="O64" s="3934" t="n"/>
      <c r="P64" s="3934" t="n"/>
      <c r="Q64" s="3934" t="n"/>
      <c r="R64" s="3934" t="n"/>
      <c r="S64" s="3934" t="n"/>
      <c r="T64" s="3934" t="n"/>
      <c r="U64" s="3934" t="n"/>
      <c r="V64" s="3934" t="n"/>
      <c r="W64" s="3934" t="n"/>
      <c r="X64" s="3934" t="n"/>
      <c r="Y64" s="3934" t="n"/>
      <c r="Z64" s="3934" t="n"/>
      <c r="AA64" s="3934" t="n"/>
      <c r="AB64" s="3934" t="n"/>
      <c r="AC64" s="3934" t="n"/>
      <c r="AD64" s="3934" t="n"/>
      <c r="AE64" s="3934" t="n"/>
      <c r="AF64" s="3934" t="n"/>
      <c r="AG64" s="3934" t="n"/>
      <c r="AH64" s="3934" t="n"/>
      <c r="AI64" s="3934" t="n"/>
      <c r="AJ64" s="3934" t="n"/>
      <c r="AK64" s="3934" t="n"/>
      <c r="AL64" s="3934" t="n"/>
      <c r="AM64" s="3934" t="n"/>
      <c r="AN64" s="3934" t="n"/>
      <c r="AO64" s="3934" t="n"/>
      <c r="AP64" s="3934" t="n"/>
      <c r="AQ64" s="3934" t="n"/>
      <c r="AR64" s="3934" t="n"/>
    </row>
    <row r="65">
      <c r="A65" s="3941" t="n"/>
      <c r="B65" s="3944" t="n"/>
      <c r="C65" s="3944" t="n"/>
      <c r="D65" s="3944" t="n"/>
      <c r="E65" s="3944" t="n"/>
      <c r="F65" s="3944" t="n"/>
      <c r="G65" s="3944" t="n"/>
      <c r="H65" s="3944" t="n"/>
      <c r="I65" s="3944" t="n"/>
      <c r="J65" s="3944" t="n"/>
      <c r="K65" s="3942">
        <f>IF(A65="","",SUM(E65:J65))</f>
        <v/>
      </c>
      <c r="L65" s="3934" t="n"/>
      <c r="M65" s="3934" t="n"/>
      <c r="N65" s="3934" t="n"/>
      <c r="O65" s="3934" t="n"/>
      <c r="P65" s="3934" t="n"/>
      <c r="Q65" s="3934" t="n"/>
      <c r="R65" s="3934" t="n"/>
      <c r="S65" s="3934" t="n"/>
      <c r="T65" s="3934" t="n"/>
      <c r="U65" s="3934" t="n"/>
      <c r="V65" s="3934" t="n"/>
      <c r="W65" s="3934" t="n"/>
      <c r="X65" s="3934" t="n"/>
      <c r="Y65" s="3934" t="n"/>
      <c r="Z65" s="3934" t="n"/>
      <c r="AA65" s="3934" t="n"/>
      <c r="AB65" s="3934" t="n"/>
      <c r="AC65" s="3934" t="n"/>
      <c r="AD65" s="3934" t="n"/>
      <c r="AE65" s="3934" t="n"/>
      <c r="AF65" s="3934" t="n"/>
      <c r="AG65" s="3934" t="n"/>
      <c r="AH65" s="3934" t="n"/>
      <c r="AI65" s="3934" t="n"/>
      <c r="AJ65" s="3934" t="n"/>
      <c r="AK65" s="3934" t="n"/>
      <c r="AL65" s="3934" t="n"/>
      <c r="AM65" s="3934" t="n"/>
      <c r="AN65" s="3934" t="n"/>
      <c r="AO65" s="3934" t="n"/>
      <c r="AP65" s="3934" t="n"/>
      <c r="AQ65" s="3934" t="n"/>
      <c r="AR65" s="3934" t="n"/>
    </row>
    <row r="66">
      <c r="A66" s="3941" t="n"/>
      <c r="B66" s="3944" t="n"/>
      <c r="C66" s="3944" t="n"/>
      <c r="D66" s="3944" t="n"/>
      <c r="E66" s="3944" t="n"/>
      <c r="F66" s="3944" t="n"/>
      <c r="G66" s="3944" t="n"/>
      <c r="H66" s="3944" t="n"/>
      <c r="I66" s="3944" t="n"/>
      <c r="J66" s="3944" t="n"/>
      <c r="K66" s="3942">
        <f>IF(A66="","",SUM(E66:J66))</f>
        <v/>
      </c>
      <c r="L66" s="3934" t="n"/>
      <c r="M66" s="3934" t="n"/>
      <c r="N66" s="3934" t="n"/>
      <c r="O66" s="3934" t="n"/>
      <c r="P66" s="3934" t="n"/>
      <c r="Q66" s="3934" t="n"/>
      <c r="R66" s="3934" t="n"/>
      <c r="S66" s="3934" t="n"/>
      <c r="T66" s="3934" t="n"/>
      <c r="U66" s="3934" t="n"/>
      <c r="V66" s="3934" t="n"/>
      <c r="W66" s="3934" t="n"/>
      <c r="X66" s="3934" t="n"/>
      <c r="Y66" s="3934" t="n"/>
      <c r="Z66" s="3934" t="n"/>
      <c r="AA66" s="3934" t="n"/>
      <c r="AB66" s="3934" t="n"/>
      <c r="AC66" s="3934" t="n"/>
      <c r="AD66" s="3934" t="n"/>
      <c r="AE66" s="3934" t="n"/>
      <c r="AF66" s="3934" t="n"/>
      <c r="AG66" s="3934" t="n"/>
      <c r="AH66" s="3934" t="n"/>
      <c r="AI66" s="3934" t="n"/>
      <c r="AJ66" s="3934" t="n"/>
      <c r="AK66" s="3934" t="n"/>
      <c r="AL66" s="3934" t="n"/>
      <c r="AM66" s="3934" t="n"/>
      <c r="AN66" s="3934" t="n"/>
      <c r="AO66" s="3934" t="n"/>
      <c r="AP66" s="3934" t="n"/>
      <c r="AQ66" s="3934" t="n"/>
      <c r="AR66" s="3934" t="n"/>
    </row>
    <row r="67">
      <c r="A67" s="3941" t="n"/>
      <c r="B67" s="3944" t="n"/>
      <c r="C67" s="3944" t="n"/>
      <c r="D67" s="3944" t="n"/>
      <c r="E67" s="3944" t="n"/>
      <c r="F67" s="3944" t="n"/>
      <c r="G67" s="3944" t="n"/>
      <c r="H67" s="3944" t="n"/>
      <c r="I67" s="3944" t="n"/>
      <c r="J67" s="3944" t="n"/>
      <c r="K67" s="3942">
        <f>IF(A67="","",SUM(E67:J67))</f>
        <v/>
      </c>
      <c r="L67" s="3934" t="n"/>
      <c r="M67" s="3934" t="n"/>
      <c r="N67" s="3934" t="n"/>
      <c r="O67" s="3934" t="n"/>
      <c r="P67" s="3934" t="n"/>
      <c r="Q67" s="3934" t="n"/>
      <c r="R67" s="3934" t="n"/>
      <c r="S67" s="3934" t="n"/>
      <c r="T67" s="3934" t="n"/>
      <c r="U67" s="3934" t="n"/>
      <c r="V67" s="3934" t="n"/>
      <c r="W67" s="3934" t="n"/>
      <c r="X67" s="3934" t="n"/>
      <c r="Y67" s="3934" t="n"/>
      <c r="Z67" s="3934" t="n"/>
      <c r="AA67" s="3934" t="n"/>
      <c r="AB67" s="3934" t="n"/>
      <c r="AC67" s="3934" t="n"/>
      <c r="AD67" s="3934" t="n"/>
      <c r="AE67" s="3934" t="n"/>
      <c r="AF67" s="3934" t="n"/>
      <c r="AG67" s="3934" t="n"/>
      <c r="AH67" s="3934" t="n"/>
      <c r="AI67" s="3934" t="n"/>
      <c r="AJ67" s="3934" t="n"/>
      <c r="AK67" s="3934" t="n"/>
      <c r="AL67" s="3934" t="n"/>
      <c r="AM67" s="3934" t="n"/>
      <c r="AN67" s="3934" t="n"/>
      <c r="AO67" s="3934" t="n"/>
      <c r="AP67" s="3934" t="n"/>
      <c r="AQ67" s="3934" t="n"/>
      <c r="AR67" s="3934" t="n"/>
    </row>
    <row r="68">
      <c r="A68" s="3941" t="n"/>
      <c r="B68" s="3944" t="n"/>
      <c r="C68" s="3944" t="n"/>
      <c r="D68" s="3944" t="n"/>
      <c r="E68" s="3944" t="n"/>
      <c r="F68" s="3944" t="n"/>
      <c r="G68" s="3944" t="n"/>
      <c r="H68" s="3944" t="n"/>
      <c r="I68" s="3944" t="n"/>
      <c r="J68" s="3944" t="n"/>
      <c r="K68" s="3942">
        <f>IF(A68="","",SUM(E68:J68))</f>
        <v/>
      </c>
      <c r="L68" s="3934" t="n"/>
      <c r="M68" s="3934" t="n"/>
      <c r="N68" s="3934" t="n"/>
      <c r="O68" s="3934" t="n"/>
      <c r="P68" s="3934" t="n"/>
      <c r="Q68" s="3934" t="n"/>
      <c r="R68" s="3934" t="n"/>
      <c r="S68" s="3934" t="n"/>
      <c r="T68" s="3934" t="n"/>
      <c r="U68" s="3934" t="n"/>
      <c r="V68" s="3934" t="n"/>
      <c r="W68" s="3934" t="n"/>
      <c r="X68" s="3934" t="n"/>
      <c r="Y68" s="3934" t="n"/>
      <c r="Z68" s="3934" t="n"/>
      <c r="AA68" s="3934" t="n"/>
      <c r="AB68" s="3934" t="n"/>
      <c r="AC68" s="3934" t="n"/>
      <c r="AD68" s="3934" t="n"/>
      <c r="AE68" s="3934" t="n"/>
      <c r="AF68" s="3934" t="n"/>
      <c r="AG68" s="3934" t="n"/>
      <c r="AH68" s="3934" t="n"/>
      <c r="AI68" s="3934" t="n"/>
      <c r="AJ68" s="3934" t="n"/>
      <c r="AK68" s="3934" t="n"/>
      <c r="AL68" s="3934" t="n"/>
      <c r="AM68" s="3934" t="n"/>
      <c r="AN68" s="3934" t="n"/>
      <c r="AO68" s="3934" t="n"/>
      <c r="AP68" s="3934" t="n"/>
      <c r="AQ68" s="3934" t="n"/>
      <c r="AR68" s="3934" t="n"/>
    </row>
    <row r="69">
      <c r="A69" s="3941" t="n"/>
      <c r="B69" s="3944" t="n"/>
      <c r="C69" s="3944" t="n"/>
      <c r="D69" s="3944" t="n"/>
      <c r="E69" s="3944" t="n"/>
      <c r="F69" s="3944" t="n"/>
      <c r="G69" s="3944" t="n"/>
      <c r="H69" s="3944" t="n"/>
      <c r="I69" s="3944" t="n"/>
      <c r="J69" s="3944" t="n"/>
      <c r="K69" s="3942">
        <f>IF(A69="","",SUM(E69:J69))</f>
        <v/>
      </c>
      <c r="L69" s="3934" t="n"/>
      <c r="M69" s="3934" t="n"/>
      <c r="N69" s="3934" t="n"/>
      <c r="O69" s="3934" t="n"/>
      <c r="P69" s="3934" t="n"/>
      <c r="Q69" s="3934" t="n"/>
      <c r="R69" s="3934" t="n"/>
      <c r="S69" s="3934" t="n"/>
      <c r="T69" s="3934" t="n"/>
      <c r="U69" s="3934" t="n"/>
      <c r="V69" s="3934" t="n"/>
      <c r="W69" s="3934" t="n"/>
      <c r="X69" s="3934" t="n"/>
      <c r="Y69" s="3934" t="n"/>
      <c r="Z69" s="3934" t="n"/>
      <c r="AA69" s="3934" t="n"/>
      <c r="AB69" s="3934" t="n"/>
      <c r="AC69" s="3934" t="n"/>
      <c r="AD69" s="3934" t="n"/>
      <c r="AE69" s="3934" t="n"/>
      <c r="AF69" s="3934" t="n"/>
      <c r="AG69" s="3934" t="n"/>
      <c r="AH69" s="3934" t="n"/>
      <c r="AI69" s="3934" t="n"/>
      <c r="AJ69" s="3934" t="n"/>
      <c r="AK69" s="3934" t="n"/>
      <c r="AL69" s="3934" t="n"/>
      <c r="AM69" s="3934" t="n"/>
      <c r="AN69" s="3934" t="n"/>
      <c r="AO69" s="3934" t="n"/>
      <c r="AP69" s="3934" t="n"/>
      <c r="AQ69" s="3934" t="n"/>
      <c r="AR69" s="3934" t="n"/>
    </row>
    <row r="70">
      <c r="A70" s="3941" t="n"/>
      <c r="B70" s="3944" t="n"/>
      <c r="C70" s="3944" t="n"/>
      <c r="D70" s="3944" t="n"/>
      <c r="E70" s="3944" t="n"/>
      <c r="F70" s="3944" t="n"/>
      <c r="G70" s="3944" t="n"/>
      <c r="H70" s="3944" t="n"/>
      <c r="I70" s="3944" t="n"/>
      <c r="J70" s="3944" t="n"/>
      <c r="K70" s="3942">
        <f>IF(A70="","",SUM(E70:J70))</f>
        <v/>
      </c>
      <c r="L70" s="3934" t="n"/>
      <c r="M70" s="3934" t="n"/>
      <c r="N70" s="3934" t="n"/>
      <c r="O70" s="3934" t="n"/>
      <c r="P70" s="3934" t="n"/>
      <c r="Q70" s="3934" t="n"/>
      <c r="R70" s="3934" t="n"/>
      <c r="S70" s="3934" t="n"/>
      <c r="T70" s="3934" t="n"/>
      <c r="U70" s="3934" t="n"/>
      <c r="V70" s="3934" t="n"/>
      <c r="W70" s="3934" t="n"/>
      <c r="X70" s="3934" t="n"/>
      <c r="Y70" s="3934" t="n"/>
      <c r="Z70" s="3934" t="n"/>
      <c r="AA70" s="3934" t="n"/>
      <c r="AB70" s="3934" t="n"/>
      <c r="AC70" s="3934" t="n"/>
      <c r="AD70" s="3934" t="n"/>
      <c r="AE70" s="3934" t="n"/>
      <c r="AF70" s="3934" t="n"/>
      <c r="AG70" s="3934" t="n"/>
      <c r="AH70" s="3934" t="n"/>
      <c r="AI70" s="3934" t="n"/>
      <c r="AJ70" s="3934" t="n"/>
      <c r="AK70" s="3934" t="n"/>
      <c r="AL70" s="3934" t="n"/>
      <c r="AM70" s="3934" t="n"/>
      <c r="AN70" s="3934" t="n"/>
      <c r="AO70" s="3934" t="n"/>
      <c r="AP70" s="3934" t="n"/>
      <c r="AQ70" s="3934" t="n"/>
      <c r="AR70" s="3934" t="n"/>
    </row>
    <row r="71">
      <c r="A71" s="3941" t="n"/>
      <c r="B71" s="3944" t="n"/>
      <c r="C71" s="3944" t="n"/>
      <c r="D71" s="3944" t="n"/>
      <c r="E71" s="3944" t="n"/>
      <c r="F71" s="3944" t="n"/>
      <c r="G71" s="3944" t="n"/>
      <c r="H71" s="3944" t="n"/>
      <c r="I71" s="3944" t="n"/>
      <c r="J71" s="3944" t="n"/>
      <c r="K71" s="3942">
        <f>IF(A71="","",SUM(E71:J71))</f>
        <v/>
      </c>
      <c r="L71" s="3934" t="n"/>
      <c r="M71" s="3934" t="n"/>
      <c r="N71" s="3934" t="n"/>
      <c r="O71" s="3934" t="n"/>
      <c r="P71" s="3934" t="n"/>
      <c r="Q71" s="3934" t="n"/>
      <c r="R71" s="3934" t="n"/>
      <c r="S71" s="3934" t="n"/>
      <c r="T71" s="3934" t="n"/>
      <c r="U71" s="3934" t="n"/>
      <c r="V71" s="3934" t="n"/>
      <c r="W71" s="3934" t="n"/>
      <c r="X71" s="3934" t="n"/>
      <c r="Y71" s="3934" t="n"/>
      <c r="Z71" s="3934" t="n"/>
      <c r="AA71" s="3934" t="n"/>
      <c r="AB71" s="3934" t="n"/>
      <c r="AC71" s="3934" t="n"/>
      <c r="AD71" s="3934" t="n"/>
      <c r="AE71" s="3934" t="n"/>
      <c r="AF71" s="3934" t="n"/>
      <c r="AG71" s="3934" t="n"/>
      <c r="AH71" s="3934" t="n"/>
      <c r="AI71" s="3934" t="n"/>
      <c r="AJ71" s="3934" t="n"/>
      <c r="AK71" s="3934" t="n"/>
      <c r="AL71" s="3934" t="n"/>
      <c r="AM71" s="3934" t="n"/>
      <c r="AN71" s="3934" t="n"/>
      <c r="AO71" s="3934" t="n"/>
      <c r="AP71" s="3934" t="n"/>
      <c r="AQ71" s="3934" t="n"/>
      <c r="AR71" s="3934" t="n"/>
    </row>
    <row r="72">
      <c r="A72" s="3941" t="n"/>
      <c r="B72" s="3944" t="n"/>
      <c r="C72" s="3944" t="n"/>
      <c r="D72" s="3944" t="n"/>
      <c r="E72" s="3944" t="n"/>
      <c r="F72" s="3944" t="n"/>
      <c r="G72" s="3944" t="n"/>
      <c r="H72" s="3944" t="n"/>
      <c r="I72" s="3944" t="n"/>
      <c r="J72" s="3944" t="n"/>
      <c r="K72" s="3942">
        <f>IF(A72="","",SUM(E72:J72))</f>
        <v/>
      </c>
      <c r="L72" s="3934" t="n"/>
      <c r="M72" s="3934" t="n"/>
      <c r="N72" s="3934" t="n"/>
      <c r="O72" s="3934" t="n"/>
      <c r="P72" s="3934" t="n"/>
      <c r="Q72" s="3934" t="n"/>
      <c r="R72" s="3934" t="n"/>
      <c r="S72" s="3934" t="n"/>
      <c r="T72" s="3934" t="n"/>
      <c r="U72" s="3934" t="n"/>
      <c r="V72" s="3934" t="n"/>
      <c r="W72" s="3934" t="n"/>
      <c r="X72" s="3934" t="n"/>
      <c r="Y72" s="3934" t="n"/>
      <c r="Z72" s="3934" t="n"/>
      <c r="AA72" s="3934" t="n"/>
      <c r="AB72" s="3934" t="n"/>
      <c r="AC72" s="3934" t="n"/>
      <c r="AD72" s="3934" t="n"/>
      <c r="AE72" s="3934" t="n"/>
      <c r="AF72" s="3934" t="n"/>
      <c r="AG72" s="3934" t="n"/>
      <c r="AH72" s="3934" t="n"/>
      <c r="AI72" s="3934" t="n"/>
      <c r="AJ72" s="3934" t="n"/>
      <c r="AK72" s="3934" t="n"/>
      <c r="AL72" s="3934" t="n"/>
      <c r="AM72" s="3934" t="n"/>
      <c r="AN72" s="3934" t="n"/>
      <c r="AO72" s="3934" t="n"/>
      <c r="AP72" s="3934" t="n"/>
      <c r="AQ72" s="3934" t="n"/>
      <c r="AR72" s="3934" t="n"/>
    </row>
    <row r="73">
      <c r="A73" s="3941" t="n"/>
      <c r="B73" s="3944" t="n"/>
      <c r="C73" s="3944" t="n"/>
      <c r="D73" s="3944" t="n"/>
      <c r="E73" s="3944" t="n"/>
      <c r="F73" s="3944" t="n"/>
      <c r="G73" s="3944" t="n"/>
      <c r="H73" s="3944" t="n"/>
      <c r="I73" s="3944" t="n"/>
      <c r="J73" s="3944" t="n"/>
      <c r="K73" s="3942">
        <f>IF(A73="","",SUM(E73:J73))</f>
        <v/>
      </c>
      <c r="L73" s="3934" t="n"/>
      <c r="M73" s="3934" t="n"/>
      <c r="N73" s="3934" t="n"/>
      <c r="O73" s="3934" t="n"/>
      <c r="P73" s="3934" t="n"/>
      <c r="Q73" s="3934" t="n"/>
      <c r="R73" s="3934" t="n"/>
      <c r="S73" s="3934" t="n"/>
      <c r="T73" s="3934" t="n"/>
      <c r="U73" s="3934" t="n"/>
      <c r="V73" s="3934" t="n"/>
      <c r="W73" s="3934" t="n"/>
      <c r="X73" s="3934" t="n"/>
      <c r="Y73" s="3934" t="n"/>
      <c r="Z73" s="3934" t="n"/>
      <c r="AA73" s="3934" t="n"/>
      <c r="AB73" s="3934" t="n"/>
      <c r="AC73" s="3934" t="n"/>
      <c r="AD73" s="3934" t="n"/>
      <c r="AE73" s="3934" t="n"/>
      <c r="AF73" s="3934" t="n"/>
      <c r="AG73" s="3934" t="n"/>
      <c r="AH73" s="3934" t="n"/>
      <c r="AI73" s="3934" t="n"/>
      <c r="AJ73" s="3934" t="n"/>
      <c r="AK73" s="3934" t="n"/>
      <c r="AL73" s="3934" t="n"/>
      <c r="AM73" s="3934" t="n"/>
      <c r="AN73" s="3934" t="n"/>
      <c r="AO73" s="3934" t="n"/>
      <c r="AP73" s="3934" t="n"/>
      <c r="AQ73" s="3934" t="n"/>
      <c r="AR73" s="3934" t="n"/>
    </row>
    <row r="74">
      <c r="A74" s="3941" t="n"/>
      <c r="B74" s="3944" t="n"/>
      <c r="C74" s="3944" t="n"/>
      <c r="D74" s="3944" t="n"/>
      <c r="E74" s="3944" t="n"/>
      <c r="F74" s="3944" t="n"/>
      <c r="G74" s="3944" t="n"/>
      <c r="H74" s="3944" t="n"/>
      <c r="I74" s="3944" t="n"/>
      <c r="J74" s="3944" t="n"/>
      <c r="K74" s="3942">
        <f>IF(A74="","",SUM(E74:J74))</f>
        <v/>
      </c>
      <c r="L74" s="3934" t="n"/>
      <c r="M74" s="3934" t="n"/>
      <c r="N74" s="3934" t="n"/>
      <c r="O74" s="3934" t="n"/>
      <c r="P74" s="3934" t="n"/>
      <c r="Q74" s="3934" t="n"/>
      <c r="R74" s="3934" t="n"/>
      <c r="S74" s="3934" t="n"/>
      <c r="T74" s="3934" t="n"/>
      <c r="U74" s="3934" t="n"/>
      <c r="V74" s="3934" t="n"/>
      <c r="W74" s="3934" t="n"/>
      <c r="X74" s="3934" t="n"/>
      <c r="Y74" s="3934" t="n"/>
      <c r="Z74" s="3934" t="n"/>
      <c r="AA74" s="3934" t="n"/>
      <c r="AB74" s="3934" t="n"/>
      <c r="AC74" s="3934" t="n"/>
      <c r="AD74" s="3934" t="n"/>
      <c r="AE74" s="3934" t="n"/>
      <c r="AF74" s="3934" t="n"/>
      <c r="AG74" s="3934" t="n"/>
      <c r="AH74" s="3934" t="n"/>
      <c r="AI74" s="3934" t="n"/>
      <c r="AJ74" s="3934" t="n"/>
      <c r="AK74" s="3934" t="n"/>
      <c r="AL74" s="3934" t="n"/>
      <c r="AM74" s="3934" t="n"/>
      <c r="AN74" s="3934" t="n"/>
      <c r="AO74" s="3934" t="n"/>
      <c r="AP74" s="3934" t="n"/>
      <c r="AQ74" s="3934" t="n"/>
      <c r="AR74" s="3934" t="n"/>
    </row>
    <row r="75">
      <c r="A75" s="3941" t="n"/>
      <c r="B75" s="3944" t="n"/>
      <c r="C75" s="3944" t="n"/>
      <c r="D75" s="3944" t="n"/>
      <c r="E75" s="3944" t="n"/>
      <c r="F75" s="3944" t="n"/>
      <c r="G75" s="3944" t="n"/>
      <c r="H75" s="3944" t="n"/>
      <c r="I75" s="3944" t="n"/>
      <c r="J75" s="3944" t="n"/>
      <c r="K75" s="3942">
        <f>IF(A75="","",SUM(E75:J75))</f>
        <v/>
      </c>
      <c r="L75" s="3934" t="n"/>
      <c r="M75" s="3934" t="n"/>
      <c r="N75" s="3934" t="n"/>
      <c r="O75" s="3934" t="n"/>
      <c r="P75" s="3934" t="n"/>
      <c r="Q75" s="3934" t="n"/>
      <c r="R75" s="3934" t="n"/>
      <c r="S75" s="3934" t="n"/>
      <c r="T75" s="3934" t="n"/>
      <c r="U75" s="3934" t="n"/>
      <c r="V75" s="3934" t="n"/>
      <c r="W75" s="3934" t="n"/>
      <c r="X75" s="3934" t="n"/>
      <c r="Y75" s="3934" t="n"/>
      <c r="Z75" s="3934" t="n"/>
      <c r="AA75" s="3934" t="n"/>
      <c r="AB75" s="3934" t="n"/>
      <c r="AC75" s="3934" t="n"/>
      <c r="AD75" s="3934" t="n"/>
      <c r="AE75" s="3934" t="n"/>
      <c r="AF75" s="3934" t="n"/>
      <c r="AG75" s="3934" t="n"/>
      <c r="AH75" s="3934" t="n"/>
      <c r="AI75" s="3934" t="n"/>
      <c r="AJ75" s="3934" t="n"/>
      <c r="AK75" s="3934" t="n"/>
      <c r="AL75" s="3934" t="n"/>
      <c r="AM75" s="3934" t="n"/>
      <c r="AN75" s="3934" t="n"/>
      <c r="AO75" s="3934" t="n"/>
      <c r="AP75" s="3934" t="n"/>
      <c r="AQ75" s="3934" t="n"/>
      <c r="AR75" s="3934" t="n"/>
    </row>
    <row r="76">
      <c r="A76" s="3941" t="n"/>
      <c r="B76" s="3944" t="n"/>
      <c r="C76" s="3944" t="n"/>
      <c r="D76" s="3944" t="n"/>
      <c r="E76" s="3944" t="n"/>
      <c r="F76" s="3944" t="n"/>
      <c r="G76" s="3944" t="n"/>
      <c r="H76" s="3944" t="n"/>
      <c r="I76" s="3944" t="n"/>
      <c r="J76" s="3944" t="n"/>
      <c r="K76" s="3942">
        <f>IF(A76="","",SUM(E76:J76))</f>
        <v/>
      </c>
      <c r="L76" s="3934" t="n"/>
      <c r="M76" s="3934" t="n"/>
      <c r="N76" s="3934" t="n"/>
      <c r="O76" s="3934" t="n"/>
      <c r="P76" s="3934" t="n"/>
      <c r="Q76" s="3934" t="n"/>
      <c r="R76" s="3934" t="n"/>
      <c r="S76" s="3934" t="n"/>
      <c r="T76" s="3934" t="n"/>
      <c r="U76" s="3934" t="n"/>
      <c r="V76" s="3934" t="n"/>
      <c r="W76" s="3934" t="n"/>
      <c r="X76" s="3934" t="n"/>
      <c r="Y76" s="3934" t="n"/>
      <c r="Z76" s="3934" t="n"/>
      <c r="AA76" s="3934" t="n"/>
      <c r="AB76" s="3934" t="n"/>
      <c r="AC76" s="3934" t="n"/>
      <c r="AD76" s="3934" t="n"/>
      <c r="AE76" s="3934" t="n"/>
      <c r="AF76" s="3934" t="n"/>
      <c r="AG76" s="3934" t="n"/>
      <c r="AH76" s="3934" t="n"/>
      <c r="AI76" s="3934" t="n"/>
      <c r="AJ76" s="3934" t="n"/>
      <c r="AK76" s="3934" t="n"/>
      <c r="AL76" s="3934" t="n"/>
      <c r="AM76" s="3934" t="n"/>
      <c r="AN76" s="3934" t="n"/>
      <c r="AO76" s="3934" t="n"/>
      <c r="AP76" s="3934" t="n"/>
      <c r="AQ76" s="3934" t="n"/>
      <c r="AR76" s="3934" t="n"/>
    </row>
    <row r="77">
      <c r="A77" s="3941" t="n"/>
      <c r="B77" s="3944" t="n"/>
      <c r="C77" s="3944" t="n"/>
      <c r="D77" s="3944" t="n"/>
      <c r="E77" s="3944" t="n"/>
      <c r="F77" s="3944" t="n"/>
      <c r="G77" s="3944" t="n"/>
      <c r="H77" s="3944" t="n"/>
      <c r="I77" s="3944" t="n"/>
      <c r="J77" s="3944" t="n"/>
      <c r="K77" s="3942">
        <f>IF(A77="","",SUM(E77:J77))</f>
        <v/>
      </c>
      <c r="L77" s="3934" t="n"/>
      <c r="M77" s="3934" t="n"/>
      <c r="N77" s="3934" t="n"/>
      <c r="O77" s="3934" t="n"/>
      <c r="P77" s="3934" t="n"/>
      <c r="Q77" s="3934" t="n"/>
      <c r="R77" s="3934" t="n"/>
      <c r="S77" s="3934" t="n"/>
      <c r="T77" s="3934" t="n"/>
      <c r="U77" s="3934" t="n"/>
      <c r="V77" s="3934" t="n"/>
      <c r="W77" s="3934" t="n"/>
      <c r="X77" s="3934" t="n"/>
      <c r="Y77" s="3934" t="n"/>
      <c r="Z77" s="3934" t="n"/>
      <c r="AA77" s="3934" t="n"/>
      <c r="AB77" s="3934" t="n"/>
      <c r="AC77" s="3934" t="n"/>
      <c r="AD77" s="3934" t="n"/>
      <c r="AE77" s="3934" t="n"/>
      <c r="AF77" s="3934" t="n"/>
      <c r="AG77" s="3934" t="n"/>
      <c r="AH77" s="3934" t="n"/>
      <c r="AI77" s="3934" t="n"/>
      <c r="AJ77" s="3934" t="n"/>
      <c r="AK77" s="3934" t="n"/>
      <c r="AL77" s="3934" t="n"/>
      <c r="AM77" s="3934" t="n"/>
      <c r="AN77" s="3934" t="n"/>
      <c r="AO77" s="3934" t="n"/>
      <c r="AP77" s="3934" t="n"/>
      <c r="AQ77" s="3934" t="n"/>
      <c r="AR77" s="3934" t="n"/>
    </row>
    <row r="78">
      <c r="A78" s="3941" t="n"/>
      <c r="B78" s="3944" t="n"/>
      <c r="C78" s="3944" t="n"/>
      <c r="D78" s="3944" t="n"/>
      <c r="E78" s="3944" t="n"/>
      <c r="F78" s="3944" t="n"/>
      <c r="G78" s="3944" t="n"/>
      <c r="H78" s="3944" t="n"/>
      <c r="I78" s="3944" t="n"/>
      <c r="J78" s="3944" t="n"/>
      <c r="K78" s="3942">
        <f>IF(A78="","",SUM(E78:J78))</f>
        <v/>
      </c>
      <c r="L78" s="3934" t="n"/>
      <c r="M78" s="3934" t="n"/>
      <c r="N78" s="3934" t="n"/>
      <c r="O78" s="3934" t="n"/>
      <c r="P78" s="3934" t="n"/>
      <c r="Q78" s="3934" t="n"/>
      <c r="R78" s="3934" t="n"/>
      <c r="S78" s="3934" t="n"/>
      <c r="T78" s="3934" t="n"/>
      <c r="U78" s="3934" t="n"/>
      <c r="V78" s="3934" t="n"/>
      <c r="W78" s="3934" t="n"/>
      <c r="X78" s="3934" t="n"/>
      <c r="Y78" s="3934" t="n"/>
      <c r="Z78" s="3934" t="n"/>
      <c r="AA78" s="3934" t="n"/>
      <c r="AB78" s="3934" t="n"/>
      <c r="AC78" s="3934" t="n"/>
      <c r="AD78" s="3934" t="n"/>
      <c r="AE78" s="3934" t="n"/>
      <c r="AF78" s="3934" t="n"/>
      <c r="AG78" s="3934" t="n"/>
      <c r="AH78" s="3934" t="n"/>
      <c r="AI78" s="3934" t="n"/>
      <c r="AJ78" s="3934" t="n"/>
      <c r="AK78" s="3934" t="n"/>
      <c r="AL78" s="3934" t="n"/>
      <c r="AM78" s="3934" t="n"/>
      <c r="AN78" s="3934" t="n"/>
      <c r="AO78" s="3934" t="n"/>
      <c r="AP78" s="3934" t="n"/>
      <c r="AQ78" s="3934" t="n"/>
      <c r="AR78" s="3934" t="n"/>
    </row>
    <row r="79">
      <c r="A79" s="3941" t="n"/>
      <c r="B79" s="3944" t="n"/>
      <c r="C79" s="3944" t="n"/>
      <c r="D79" s="3944" t="n"/>
      <c r="E79" s="3944" t="n"/>
      <c r="F79" s="3944" t="n"/>
      <c r="G79" s="3944" t="n"/>
      <c r="H79" s="3944" t="n"/>
      <c r="I79" s="3944" t="n"/>
      <c r="J79" s="3944" t="n"/>
      <c r="K79" s="3942">
        <f>IF(A79="","",SUM(E79:J79))</f>
        <v/>
      </c>
      <c r="L79" s="3934" t="n"/>
      <c r="M79" s="3934" t="n"/>
      <c r="N79" s="3934" t="n"/>
      <c r="O79" s="3934" t="n"/>
      <c r="P79" s="3934" t="n"/>
      <c r="Q79" s="3934" t="n"/>
      <c r="R79" s="3934" t="n"/>
      <c r="S79" s="3934" t="n"/>
      <c r="T79" s="3934" t="n"/>
      <c r="U79" s="3934" t="n"/>
      <c r="V79" s="3934" t="n"/>
      <c r="W79" s="3934" t="n"/>
      <c r="X79" s="3934" t="n"/>
      <c r="Y79" s="3934" t="n"/>
      <c r="Z79" s="3934" t="n"/>
      <c r="AA79" s="3934" t="n"/>
      <c r="AB79" s="3934" t="n"/>
      <c r="AC79" s="3934" t="n"/>
      <c r="AD79" s="3934" t="n"/>
      <c r="AE79" s="3934" t="n"/>
      <c r="AF79" s="3934" t="n"/>
      <c r="AG79" s="3934" t="n"/>
      <c r="AH79" s="3934" t="n"/>
      <c r="AI79" s="3934" t="n"/>
      <c r="AJ79" s="3934" t="n"/>
      <c r="AK79" s="3934" t="n"/>
      <c r="AL79" s="3934" t="n"/>
      <c r="AM79" s="3934" t="n"/>
      <c r="AN79" s="3934" t="n"/>
      <c r="AO79" s="3934" t="n"/>
      <c r="AP79" s="3934" t="n"/>
      <c r="AQ79" s="3934" t="n"/>
      <c r="AR79" s="3934" t="n"/>
    </row>
    <row r="80">
      <c r="A80" s="3941" t="n"/>
      <c r="B80" s="3944" t="n"/>
      <c r="C80" s="3944" t="n"/>
      <c r="D80" s="3944" t="n"/>
      <c r="E80" s="3944" t="n"/>
      <c r="F80" s="3944" t="n"/>
      <c r="G80" s="3944" t="n"/>
      <c r="H80" s="3944" t="n"/>
      <c r="I80" s="3944" t="n"/>
      <c r="J80" s="3944" t="n"/>
      <c r="K80" s="3942">
        <f>IF(A80="","",SUM(E80:J80))</f>
        <v/>
      </c>
      <c r="L80" s="3934" t="n"/>
      <c r="M80" s="3934" t="n"/>
      <c r="N80" s="3934" t="n"/>
      <c r="O80" s="3934" t="n"/>
      <c r="P80" s="3934" t="n"/>
      <c r="Q80" s="3934" t="n"/>
      <c r="R80" s="3934" t="n"/>
      <c r="S80" s="3934" t="n"/>
      <c r="T80" s="3934" t="n"/>
      <c r="U80" s="3934" t="n"/>
      <c r="V80" s="3934" t="n"/>
      <c r="W80" s="3934" t="n"/>
      <c r="X80" s="3934" t="n"/>
      <c r="Y80" s="3934" t="n"/>
      <c r="Z80" s="3934" t="n"/>
      <c r="AA80" s="3934" t="n"/>
      <c r="AB80" s="3934" t="n"/>
      <c r="AC80" s="3934" t="n"/>
      <c r="AD80" s="3934" t="n"/>
      <c r="AE80" s="3934" t="n"/>
      <c r="AF80" s="3934" t="n"/>
      <c r="AG80" s="3934" t="n"/>
      <c r="AH80" s="3934" t="n"/>
      <c r="AI80" s="3934" t="n"/>
      <c r="AJ80" s="3934" t="n"/>
      <c r="AK80" s="3934" t="n"/>
      <c r="AL80" s="3934" t="n"/>
      <c r="AM80" s="3934" t="n"/>
      <c r="AN80" s="3934" t="n"/>
      <c r="AO80" s="3934" t="n"/>
      <c r="AP80" s="3934" t="n"/>
      <c r="AQ80" s="3934" t="n"/>
      <c r="AR80" s="3934" t="n"/>
    </row>
    <row r="81">
      <c r="A81" s="3941" t="n"/>
      <c r="B81" s="3944" t="n"/>
      <c r="C81" s="3944" t="n"/>
      <c r="D81" s="3944" t="n"/>
      <c r="E81" s="3944" t="n"/>
      <c r="F81" s="3944" t="n"/>
      <c r="G81" s="3944" t="n"/>
      <c r="H81" s="3944" t="n"/>
      <c r="I81" s="3944" t="n"/>
      <c r="J81" s="3944" t="n"/>
      <c r="K81" s="3942">
        <f>IF(A81="","",SUM(E81:J81))</f>
        <v/>
      </c>
      <c r="L81" s="3934" t="n"/>
      <c r="M81" s="3934" t="n"/>
      <c r="N81" s="3934" t="n"/>
      <c r="O81" s="3934" t="n"/>
      <c r="P81" s="3934" t="n"/>
      <c r="Q81" s="3934" t="n"/>
      <c r="R81" s="3934" t="n"/>
      <c r="S81" s="3934" t="n"/>
      <c r="T81" s="3934" t="n"/>
      <c r="U81" s="3934" t="n"/>
      <c r="V81" s="3934" t="n"/>
      <c r="W81" s="3934" t="n"/>
      <c r="X81" s="3934" t="n"/>
      <c r="Y81" s="3934" t="n"/>
      <c r="Z81" s="3934" t="n"/>
      <c r="AA81" s="3934" t="n"/>
      <c r="AB81" s="3934" t="n"/>
      <c r="AC81" s="3934" t="n"/>
      <c r="AD81" s="3934" t="n"/>
      <c r="AE81" s="3934" t="n"/>
      <c r="AF81" s="3934" t="n"/>
      <c r="AG81" s="3934" t="n"/>
      <c r="AH81" s="3934" t="n"/>
      <c r="AI81" s="3934" t="n"/>
      <c r="AJ81" s="3934" t="n"/>
      <c r="AK81" s="3934" t="n"/>
      <c r="AL81" s="3934" t="n"/>
      <c r="AM81" s="3934" t="n"/>
      <c r="AN81" s="3934" t="n"/>
      <c r="AO81" s="3934" t="n"/>
      <c r="AP81" s="3934" t="n"/>
      <c r="AQ81" s="3934" t="n"/>
      <c r="AR81" s="3934" t="n"/>
    </row>
    <row r="82">
      <c r="A82" s="3941" t="n"/>
      <c r="B82" s="3944" t="n"/>
      <c r="C82" s="3944" t="n"/>
      <c r="D82" s="3944" t="n"/>
      <c r="E82" s="3944" t="n"/>
      <c r="F82" s="3944" t="n"/>
      <c r="G82" s="3944" t="n"/>
      <c r="H82" s="3944" t="n"/>
      <c r="I82" s="3944" t="n"/>
      <c r="J82" s="3944" t="n"/>
      <c r="K82" s="3942">
        <f>IF(A82="","",SUM(E82:J82))</f>
        <v/>
      </c>
      <c r="L82" s="3934" t="n"/>
      <c r="M82" s="3934" t="n"/>
      <c r="N82" s="3934" t="n"/>
      <c r="O82" s="3934" t="n"/>
      <c r="P82" s="3934" t="n"/>
      <c r="Q82" s="3934" t="n"/>
      <c r="R82" s="3934" t="n"/>
      <c r="S82" s="3934" t="n"/>
      <c r="T82" s="3934" t="n"/>
      <c r="U82" s="3934" t="n"/>
      <c r="V82" s="3934" t="n"/>
      <c r="W82" s="3934" t="n"/>
      <c r="X82" s="3934" t="n"/>
      <c r="Y82" s="3934" t="n"/>
      <c r="Z82" s="3934" t="n"/>
      <c r="AA82" s="3934" t="n"/>
      <c r="AB82" s="3934" t="n"/>
      <c r="AC82" s="3934" t="n"/>
      <c r="AD82" s="3934" t="n"/>
      <c r="AE82" s="3934" t="n"/>
      <c r="AF82" s="3934" t="n"/>
      <c r="AG82" s="3934" t="n"/>
      <c r="AH82" s="3934" t="n"/>
      <c r="AI82" s="3934" t="n"/>
      <c r="AJ82" s="3934" t="n"/>
      <c r="AK82" s="3934" t="n"/>
      <c r="AL82" s="3934" t="n"/>
      <c r="AM82" s="3934" t="n"/>
      <c r="AN82" s="3934" t="n"/>
      <c r="AO82" s="3934" t="n"/>
      <c r="AP82" s="3934" t="n"/>
      <c r="AQ82" s="3934" t="n"/>
      <c r="AR82" s="3934" t="n"/>
    </row>
    <row r="83">
      <c r="A83" s="3941" t="n"/>
      <c r="B83" s="3944" t="n"/>
      <c r="C83" s="3944" t="n"/>
      <c r="D83" s="3944" t="n"/>
      <c r="E83" s="3944" t="n"/>
      <c r="F83" s="3944" t="n"/>
      <c r="G83" s="3944" t="n"/>
      <c r="H83" s="3944" t="n"/>
      <c r="I83" s="3944" t="n"/>
      <c r="J83" s="3944" t="n"/>
      <c r="K83" s="3942">
        <f>IF(A83="","",SUM(E83:J83))</f>
        <v/>
      </c>
      <c r="L83" s="3934" t="n"/>
      <c r="M83" s="3934" t="n"/>
      <c r="N83" s="3934" t="n"/>
      <c r="O83" s="3934" t="n"/>
      <c r="P83" s="3934" t="n"/>
      <c r="Q83" s="3934" t="n"/>
      <c r="R83" s="3934" t="n"/>
      <c r="S83" s="3934" t="n"/>
      <c r="T83" s="3934" t="n"/>
      <c r="U83" s="3934" t="n"/>
      <c r="V83" s="3934" t="n"/>
      <c r="W83" s="3934" t="n"/>
      <c r="X83" s="3934" t="n"/>
      <c r="Y83" s="3934" t="n"/>
      <c r="Z83" s="3934" t="n"/>
      <c r="AA83" s="3934" t="n"/>
      <c r="AB83" s="3934" t="n"/>
      <c r="AC83" s="3934" t="n"/>
      <c r="AD83" s="3934" t="n"/>
      <c r="AE83" s="3934" t="n"/>
      <c r="AF83" s="3934" t="n"/>
      <c r="AG83" s="3934" t="n"/>
      <c r="AH83" s="3934" t="n"/>
      <c r="AI83" s="3934" t="n"/>
      <c r="AJ83" s="3934" t="n"/>
      <c r="AK83" s="3934" t="n"/>
      <c r="AL83" s="3934" t="n"/>
      <c r="AM83" s="3934" t="n"/>
      <c r="AN83" s="3934" t="n"/>
      <c r="AO83" s="3934" t="n"/>
      <c r="AP83" s="3934" t="n"/>
      <c r="AQ83" s="3934" t="n"/>
      <c r="AR83" s="3934" t="n"/>
    </row>
    <row r="84">
      <c r="A84" s="3941" t="n"/>
      <c r="B84" s="3944" t="n"/>
      <c r="C84" s="3944" t="n"/>
      <c r="D84" s="3944" t="n"/>
      <c r="E84" s="3944" t="n"/>
      <c r="F84" s="3944" t="n"/>
      <c r="G84" s="3944" t="n"/>
      <c r="H84" s="3944" t="n"/>
      <c r="I84" s="3944" t="n"/>
      <c r="J84" s="3944" t="n"/>
      <c r="K84" s="3942">
        <f>IF(A84="","",SUM(E84:J84))</f>
        <v/>
      </c>
      <c r="L84" s="3934" t="n"/>
      <c r="M84" s="3934" t="n"/>
      <c r="N84" s="3934" t="n"/>
      <c r="O84" s="3934" t="n"/>
      <c r="P84" s="3934" t="n"/>
      <c r="Q84" s="3934" t="n"/>
      <c r="R84" s="3934" t="n"/>
      <c r="S84" s="3934" t="n"/>
      <c r="T84" s="3934" t="n"/>
      <c r="U84" s="3934" t="n"/>
      <c r="V84" s="3934" t="n"/>
      <c r="W84" s="3934" t="n"/>
      <c r="X84" s="3934" t="n"/>
      <c r="Y84" s="3934" t="n"/>
      <c r="Z84" s="3934" t="n"/>
      <c r="AA84" s="3934" t="n"/>
      <c r="AB84" s="3934" t="n"/>
      <c r="AC84" s="3934" t="n"/>
      <c r="AD84" s="3934" t="n"/>
      <c r="AE84" s="3934" t="n"/>
      <c r="AF84" s="3934" t="n"/>
      <c r="AG84" s="3934" t="n"/>
      <c r="AH84" s="3934" t="n"/>
      <c r="AI84" s="3934" t="n"/>
      <c r="AJ84" s="3934" t="n"/>
      <c r="AK84" s="3934" t="n"/>
      <c r="AL84" s="3934" t="n"/>
      <c r="AM84" s="3934" t="n"/>
      <c r="AN84" s="3934" t="n"/>
      <c r="AO84" s="3934" t="n"/>
      <c r="AP84" s="3934" t="n"/>
      <c r="AQ84" s="3934" t="n"/>
      <c r="AR84" s="3934" t="n"/>
    </row>
    <row r="85">
      <c r="A85" s="3941" t="n"/>
      <c r="B85" s="3944" t="n"/>
      <c r="C85" s="3944" t="n"/>
      <c r="D85" s="3944" t="n"/>
      <c r="E85" s="3944" t="n"/>
      <c r="F85" s="3944" t="n"/>
      <c r="G85" s="3944" t="n"/>
      <c r="H85" s="3944" t="n"/>
      <c r="I85" s="3944" t="n"/>
      <c r="J85" s="3944" t="n"/>
      <c r="K85" s="3942">
        <f>IF(A85="","",SUM(E85:J85))</f>
        <v/>
      </c>
      <c r="L85" s="3934" t="n"/>
      <c r="M85" s="3934" t="n"/>
      <c r="N85" s="3934" t="n"/>
      <c r="O85" s="3934" t="n"/>
      <c r="P85" s="3934" t="n"/>
      <c r="Q85" s="3934" t="n"/>
      <c r="R85" s="3934" t="n"/>
      <c r="S85" s="3934" t="n"/>
      <c r="T85" s="3934" t="n"/>
      <c r="U85" s="3934" t="n"/>
      <c r="V85" s="3934" t="n"/>
      <c r="W85" s="3934" t="n"/>
      <c r="X85" s="3934" t="n"/>
      <c r="Y85" s="3934" t="n"/>
      <c r="Z85" s="3934" t="n"/>
      <c r="AA85" s="3934" t="n"/>
      <c r="AB85" s="3934" t="n"/>
      <c r="AC85" s="3934" t="n"/>
      <c r="AD85" s="3934" t="n"/>
      <c r="AE85" s="3934" t="n"/>
      <c r="AF85" s="3934" t="n"/>
      <c r="AG85" s="3934" t="n"/>
      <c r="AH85" s="3934" t="n"/>
      <c r="AI85" s="3934" t="n"/>
      <c r="AJ85" s="3934" t="n"/>
      <c r="AK85" s="3934" t="n"/>
      <c r="AL85" s="3934" t="n"/>
      <c r="AM85" s="3934" t="n"/>
      <c r="AN85" s="3934" t="n"/>
      <c r="AO85" s="3934" t="n"/>
      <c r="AP85" s="3934" t="n"/>
      <c r="AQ85" s="3934" t="n"/>
      <c r="AR85" s="3934" t="n"/>
    </row>
    <row r="86">
      <c r="A86" s="3941" t="n"/>
      <c r="B86" s="3944" t="n"/>
      <c r="C86" s="3944" t="n"/>
      <c r="D86" s="3944" t="n"/>
      <c r="E86" s="3944" t="n"/>
      <c r="F86" s="3944" t="n"/>
      <c r="G86" s="3944" t="n"/>
      <c r="H86" s="3944" t="n"/>
      <c r="I86" s="3944" t="n"/>
      <c r="J86" s="3944" t="n"/>
      <c r="K86" s="3942">
        <f>IF(A86="","",SUM(E86:J86))</f>
        <v/>
      </c>
      <c r="L86" s="3934" t="n"/>
      <c r="M86" s="3934" t="n"/>
      <c r="N86" s="3934" t="n"/>
      <c r="O86" s="3934" t="n"/>
      <c r="P86" s="3934" t="n"/>
      <c r="Q86" s="3934" t="n"/>
      <c r="R86" s="3934" t="n"/>
      <c r="S86" s="3934" t="n"/>
      <c r="T86" s="3934" t="n"/>
      <c r="U86" s="3934" t="n"/>
      <c r="V86" s="3934" t="n"/>
      <c r="W86" s="3934" t="n"/>
      <c r="X86" s="3934" t="n"/>
      <c r="Y86" s="3934" t="n"/>
      <c r="Z86" s="3934" t="n"/>
      <c r="AA86" s="3934" t="n"/>
      <c r="AB86" s="3934" t="n"/>
      <c r="AC86" s="3934" t="n"/>
      <c r="AD86" s="3934" t="n"/>
      <c r="AE86" s="3934" t="n"/>
      <c r="AF86" s="3934" t="n"/>
      <c r="AG86" s="3934" t="n"/>
      <c r="AH86" s="3934" t="n"/>
      <c r="AI86" s="3934" t="n"/>
      <c r="AJ86" s="3934" t="n"/>
      <c r="AK86" s="3934" t="n"/>
      <c r="AL86" s="3934" t="n"/>
      <c r="AM86" s="3934" t="n"/>
      <c r="AN86" s="3934" t="n"/>
      <c r="AO86" s="3934" t="n"/>
      <c r="AP86" s="3934" t="n"/>
      <c r="AQ86" s="3934" t="n"/>
      <c r="AR86" s="3934" t="n"/>
    </row>
    <row r="87">
      <c r="A87" s="3941" t="n"/>
      <c r="B87" s="3944" t="n"/>
      <c r="C87" s="3944" t="n"/>
      <c r="D87" s="3944" t="n"/>
      <c r="E87" s="3944" t="n"/>
      <c r="F87" s="3944" t="n"/>
      <c r="G87" s="3944" t="n"/>
      <c r="H87" s="3944" t="n"/>
      <c r="I87" s="3944" t="n"/>
      <c r="J87" s="3944" t="n"/>
      <c r="K87" s="3942">
        <f>IF(A87="","",SUM(E87:J87))</f>
        <v/>
      </c>
      <c r="L87" s="3934" t="n"/>
      <c r="M87" s="3934" t="n"/>
      <c r="N87" s="3934" t="n"/>
      <c r="O87" s="3934" t="n"/>
      <c r="P87" s="3934" t="n"/>
      <c r="Q87" s="3934" t="n"/>
      <c r="R87" s="3934" t="n"/>
      <c r="S87" s="3934" t="n"/>
      <c r="T87" s="3934" t="n"/>
      <c r="U87" s="3934" t="n"/>
      <c r="V87" s="3934" t="n"/>
      <c r="W87" s="3934" t="n"/>
      <c r="X87" s="3934" t="n"/>
      <c r="Y87" s="3934" t="n"/>
      <c r="Z87" s="3934" t="n"/>
      <c r="AA87" s="3934" t="n"/>
      <c r="AB87" s="3934" t="n"/>
      <c r="AC87" s="3934" t="n"/>
      <c r="AD87" s="3934" t="n"/>
      <c r="AE87" s="3934" t="n"/>
      <c r="AF87" s="3934" t="n"/>
      <c r="AG87" s="3934" t="n"/>
      <c r="AH87" s="3934" t="n"/>
      <c r="AI87" s="3934" t="n"/>
      <c r="AJ87" s="3934" t="n"/>
      <c r="AK87" s="3934" t="n"/>
      <c r="AL87" s="3934" t="n"/>
      <c r="AM87" s="3934" t="n"/>
      <c r="AN87" s="3934" t="n"/>
      <c r="AO87" s="3934" t="n"/>
      <c r="AP87" s="3934" t="n"/>
      <c r="AQ87" s="3934" t="n"/>
      <c r="AR87" s="3934" t="n"/>
    </row>
    <row r="88">
      <c r="A88" s="3941" t="n"/>
      <c r="B88" s="3944" t="n"/>
      <c r="C88" s="3944" t="n"/>
      <c r="D88" s="3944" t="n"/>
      <c r="E88" s="3944" t="n"/>
      <c r="F88" s="3944" t="n"/>
      <c r="G88" s="3944" t="n"/>
      <c r="H88" s="3944" t="n"/>
      <c r="I88" s="3944" t="n"/>
      <c r="J88" s="3944" t="n"/>
      <c r="K88" s="3942">
        <f>IF(A88="","",SUM(E88:J88))</f>
        <v/>
      </c>
      <c r="L88" s="3934" t="n"/>
      <c r="M88" s="3934" t="n"/>
      <c r="N88" s="3934" t="n"/>
      <c r="O88" s="3934" t="n"/>
      <c r="P88" s="3934" t="n"/>
      <c r="Q88" s="3934" t="n"/>
      <c r="R88" s="3934" t="n"/>
      <c r="S88" s="3934" t="n"/>
      <c r="T88" s="3934" t="n"/>
      <c r="U88" s="3934" t="n"/>
      <c r="V88" s="3934" t="n"/>
      <c r="W88" s="3934" t="n"/>
      <c r="X88" s="3934" t="n"/>
      <c r="Y88" s="3934" t="n"/>
      <c r="Z88" s="3934" t="n"/>
      <c r="AA88" s="3934" t="n"/>
      <c r="AB88" s="3934" t="n"/>
      <c r="AC88" s="3934" t="n"/>
      <c r="AD88" s="3934" t="n"/>
      <c r="AE88" s="3934" t="n"/>
      <c r="AF88" s="3934" t="n"/>
      <c r="AG88" s="3934" t="n"/>
      <c r="AH88" s="3934" t="n"/>
      <c r="AI88" s="3934" t="n"/>
      <c r="AJ88" s="3934" t="n"/>
      <c r="AK88" s="3934" t="n"/>
      <c r="AL88" s="3934" t="n"/>
      <c r="AM88" s="3934" t="n"/>
      <c r="AN88" s="3934" t="n"/>
      <c r="AO88" s="3934" t="n"/>
      <c r="AP88" s="3934" t="n"/>
      <c r="AQ88" s="3934" t="n"/>
      <c r="AR88" s="3934" t="n"/>
    </row>
    <row r="89">
      <c r="A89" s="3941" t="n"/>
      <c r="B89" s="3944" t="n"/>
      <c r="C89" s="3944" t="n"/>
      <c r="D89" s="3944" t="n"/>
      <c r="E89" s="3944" t="n"/>
      <c r="F89" s="3944" t="n"/>
      <c r="G89" s="3944" t="n"/>
      <c r="H89" s="3944" t="n"/>
      <c r="I89" s="3944" t="n"/>
      <c r="J89" s="3944" t="n"/>
      <c r="K89" s="3942">
        <f>IF(A89="","",SUM(E89:J89))</f>
        <v/>
      </c>
      <c r="L89" s="3934" t="n"/>
      <c r="M89" s="3934" t="n"/>
      <c r="N89" s="3934" t="n"/>
      <c r="O89" s="3934" t="n"/>
      <c r="P89" s="3934" t="n"/>
      <c r="Q89" s="3934" t="n"/>
      <c r="R89" s="3934" t="n"/>
      <c r="S89" s="3934" t="n"/>
      <c r="T89" s="3934" t="n"/>
      <c r="U89" s="3934" t="n"/>
      <c r="V89" s="3934" t="n"/>
      <c r="W89" s="3934" t="n"/>
      <c r="X89" s="3934" t="n"/>
      <c r="Y89" s="3934" t="n"/>
      <c r="Z89" s="3934" t="n"/>
      <c r="AA89" s="3934" t="n"/>
      <c r="AB89" s="3934" t="n"/>
      <c r="AC89" s="3934" t="n"/>
      <c r="AD89" s="3934" t="n"/>
      <c r="AE89" s="3934" t="n"/>
      <c r="AF89" s="3934" t="n"/>
      <c r="AG89" s="3934" t="n"/>
      <c r="AH89" s="3934" t="n"/>
      <c r="AI89" s="3934" t="n"/>
      <c r="AJ89" s="3934" t="n"/>
      <c r="AK89" s="3934" t="n"/>
      <c r="AL89" s="3934" t="n"/>
      <c r="AM89" s="3934" t="n"/>
      <c r="AN89" s="3934" t="n"/>
      <c r="AO89" s="3934" t="n"/>
      <c r="AP89" s="3934" t="n"/>
      <c r="AQ89" s="3934" t="n"/>
      <c r="AR89" s="3934" t="n"/>
    </row>
    <row r="90">
      <c r="A90" s="3941" t="n"/>
      <c r="B90" s="3944" t="n"/>
      <c r="C90" s="3944" t="n"/>
      <c r="D90" s="3944" t="n"/>
      <c r="E90" s="3944" t="n"/>
      <c r="F90" s="3944" t="n"/>
      <c r="G90" s="3944" t="n"/>
      <c r="H90" s="3944" t="n"/>
      <c r="I90" s="3944" t="n"/>
      <c r="J90" s="3944" t="n"/>
      <c r="K90" s="3942">
        <f>IF(A90="","",SUM(E90:J90))</f>
        <v/>
      </c>
      <c r="L90" s="3934" t="n"/>
      <c r="M90" s="3934" t="n"/>
      <c r="N90" s="3934" t="n"/>
      <c r="O90" s="3934" t="n"/>
      <c r="P90" s="3934" t="n"/>
      <c r="Q90" s="3934" t="n"/>
      <c r="R90" s="3934" t="n"/>
      <c r="S90" s="3934" t="n"/>
      <c r="T90" s="3934" t="n"/>
      <c r="U90" s="3934" t="n"/>
      <c r="V90" s="3934" t="n"/>
      <c r="W90" s="3934" t="n"/>
      <c r="X90" s="3934" t="n"/>
      <c r="Y90" s="3934" t="n"/>
      <c r="Z90" s="3934" t="n"/>
      <c r="AA90" s="3934" t="n"/>
      <c r="AB90" s="3934" t="n"/>
      <c r="AC90" s="3934" t="n"/>
      <c r="AD90" s="3934" t="n"/>
      <c r="AE90" s="3934" t="n"/>
      <c r="AF90" s="3934" t="n"/>
      <c r="AG90" s="3934" t="n"/>
      <c r="AH90" s="3934" t="n"/>
      <c r="AI90" s="3934" t="n"/>
      <c r="AJ90" s="3934" t="n"/>
      <c r="AK90" s="3934" t="n"/>
      <c r="AL90" s="3934" t="n"/>
      <c r="AM90" s="3934" t="n"/>
      <c r="AN90" s="3934" t="n"/>
      <c r="AO90" s="3934" t="n"/>
      <c r="AP90" s="3934" t="n"/>
      <c r="AQ90" s="3934" t="n"/>
      <c r="AR90" s="3934" t="n"/>
    </row>
    <row r="91">
      <c r="A91" s="3941" t="n"/>
      <c r="B91" s="3944" t="n"/>
      <c r="C91" s="3944" t="n"/>
      <c r="D91" s="3944" t="n"/>
      <c r="E91" s="3944" t="n"/>
      <c r="F91" s="3944" t="n"/>
      <c r="G91" s="3944" t="n"/>
      <c r="H91" s="3944" t="n"/>
      <c r="I91" s="3944" t="n"/>
      <c r="J91" s="3944" t="n"/>
      <c r="K91" s="3942">
        <f>IF(A91="","",SUM(E91:J91))</f>
        <v/>
      </c>
      <c r="L91" s="3934" t="n"/>
      <c r="M91" s="3934" t="n"/>
      <c r="N91" s="3934" t="n"/>
      <c r="O91" s="3934" t="n"/>
      <c r="P91" s="3934" t="n"/>
      <c r="Q91" s="3934" t="n"/>
      <c r="R91" s="3934" t="n"/>
      <c r="S91" s="3934" t="n"/>
      <c r="T91" s="3934" t="n"/>
      <c r="U91" s="3934" t="n"/>
      <c r="V91" s="3934" t="n"/>
      <c r="W91" s="3934" t="n"/>
      <c r="X91" s="3934" t="n"/>
      <c r="Y91" s="3934" t="n"/>
      <c r="Z91" s="3934" t="n"/>
      <c r="AA91" s="3934" t="n"/>
      <c r="AB91" s="3934" t="n"/>
      <c r="AC91" s="3934" t="n"/>
      <c r="AD91" s="3934" t="n"/>
      <c r="AE91" s="3934" t="n"/>
      <c r="AF91" s="3934" t="n"/>
      <c r="AG91" s="3934" t="n"/>
      <c r="AH91" s="3934" t="n"/>
      <c r="AI91" s="3934" t="n"/>
      <c r="AJ91" s="3934" t="n"/>
      <c r="AK91" s="3934" t="n"/>
      <c r="AL91" s="3934" t="n"/>
      <c r="AM91" s="3934" t="n"/>
      <c r="AN91" s="3934" t="n"/>
      <c r="AO91" s="3934" t="n"/>
      <c r="AP91" s="3934" t="n"/>
      <c r="AQ91" s="3934" t="n"/>
      <c r="AR91" s="3934" t="n"/>
    </row>
    <row r="92">
      <c r="A92" s="3941" t="n"/>
      <c r="B92" s="3944" t="n"/>
      <c r="C92" s="3944" t="n"/>
      <c r="D92" s="3944" t="n"/>
      <c r="E92" s="3944" t="n"/>
      <c r="F92" s="3944" t="n"/>
      <c r="G92" s="3944" t="n"/>
      <c r="H92" s="3944" t="n"/>
      <c r="I92" s="3944" t="n"/>
      <c r="J92" s="3944" t="n"/>
      <c r="K92" s="3942">
        <f>IF(A92="","",SUM(E92:J92))</f>
        <v/>
      </c>
      <c r="L92" s="3934" t="n"/>
      <c r="M92" s="3934" t="n"/>
      <c r="N92" s="3934" t="n"/>
      <c r="O92" s="3934" t="n"/>
      <c r="P92" s="3934" t="n"/>
      <c r="Q92" s="3934" t="n"/>
      <c r="R92" s="3934" t="n"/>
      <c r="S92" s="3934" t="n"/>
      <c r="T92" s="3934" t="n"/>
      <c r="U92" s="3934" t="n"/>
      <c r="V92" s="3934" t="n"/>
      <c r="W92" s="3934" t="n"/>
      <c r="X92" s="3934" t="n"/>
      <c r="Y92" s="3934" t="n"/>
      <c r="Z92" s="3934" t="n"/>
      <c r="AA92" s="3934" t="n"/>
      <c r="AB92" s="3934" t="n"/>
      <c r="AC92" s="3934" t="n"/>
      <c r="AD92" s="3934" t="n"/>
      <c r="AE92" s="3934" t="n"/>
      <c r="AF92" s="3934" t="n"/>
      <c r="AG92" s="3934" t="n"/>
      <c r="AH92" s="3934" t="n"/>
      <c r="AI92" s="3934" t="n"/>
      <c r="AJ92" s="3934" t="n"/>
      <c r="AK92" s="3934" t="n"/>
      <c r="AL92" s="3934" t="n"/>
      <c r="AM92" s="3934" t="n"/>
      <c r="AN92" s="3934" t="n"/>
      <c r="AO92" s="3934" t="n"/>
      <c r="AP92" s="3934" t="n"/>
      <c r="AQ92" s="3934" t="n"/>
      <c r="AR92" s="3934" t="n"/>
    </row>
    <row r="93">
      <c r="A93" s="3941" t="n"/>
      <c r="B93" s="3944" t="n"/>
      <c r="C93" s="3944" t="n"/>
      <c r="D93" s="3944" t="n"/>
      <c r="E93" s="3944" t="n"/>
      <c r="F93" s="3944" t="n"/>
      <c r="G93" s="3944" t="n"/>
      <c r="H93" s="3944" t="n"/>
      <c r="I93" s="3944" t="n"/>
      <c r="J93" s="3944" t="n"/>
      <c r="K93" s="3942">
        <f>IF(A93="","",SUM(E93:J93))</f>
        <v/>
      </c>
      <c r="L93" s="3934" t="n"/>
      <c r="M93" s="3934" t="n"/>
      <c r="N93" s="3934" t="n"/>
      <c r="O93" s="3934" t="n"/>
      <c r="P93" s="3934" t="n"/>
      <c r="Q93" s="3934" t="n"/>
      <c r="R93" s="3934" t="n"/>
      <c r="S93" s="3934" t="n"/>
      <c r="T93" s="3934" t="n"/>
      <c r="U93" s="3934" t="n"/>
      <c r="V93" s="3934" t="n"/>
      <c r="W93" s="3934" t="n"/>
      <c r="X93" s="3934" t="n"/>
      <c r="Y93" s="3934" t="n"/>
      <c r="Z93" s="3934" t="n"/>
      <c r="AA93" s="3934" t="n"/>
      <c r="AB93" s="3934" t="n"/>
      <c r="AC93" s="3934" t="n"/>
      <c r="AD93" s="3934" t="n"/>
      <c r="AE93" s="3934" t="n"/>
      <c r="AF93" s="3934" t="n"/>
      <c r="AG93" s="3934" t="n"/>
      <c r="AH93" s="3934" t="n"/>
      <c r="AI93" s="3934" t="n"/>
      <c r="AJ93" s="3934" t="n"/>
      <c r="AK93" s="3934" t="n"/>
      <c r="AL93" s="3934" t="n"/>
      <c r="AM93" s="3934" t="n"/>
      <c r="AN93" s="3934" t="n"/>
      <c r="AO93" s="3934" t="n"/>
      <c r="AP93" s="3934" t="n"/>
      <c r="AQ93" s="3934" t="n"/>
      <c r="AR93" s="3934" t="n"/>
    </row>
    <row r="94">
      <c r="A94" s="3941" t="n"/>
      <c r="B94" s="3944" t="n"/>
      <c r="C94" s="3944" t="n"/>
      <c r="D94" s="3944" t="n"/>
      <c r="E94" s="3944" t="n"/>
      <c r="F94" s="3944" t="n"/>
      <c r="G94" s="3944" t="n"/>
      <c r="H94" s="3944" t="n"/>
      <c r="I94" s="3944" t="n"/>
      <c r="J94" s="3944" t="n"/>
      <c r="K94" s="3942">
        <f>IF(A94="","",SUM(E94:J94))</f>
        <v/>
      </c>
      <c r="L94" s="3934" t="n"/>
      <c r="M94" s="3934" t="n"/>
      <c r="N94" s="3934" t="n"/>
      <c r="O94" s="3934" t="n"/>
      <c r="P94" s="3934" t="n"/>
      <c r="Q94" s="3934" t="n"/>
      <c r="R94" s="3934" t="n"/>
      <c r="S94" s="3934" t="n"/>
      <c r="T94" s="3934" t="n"/>
      <c r="U94" s="3934" t="n"/>
      <c r="V94" s="3934" t="n"/>
      <c r="W94" s="3934" t="n"/>
      <c r="X94" s="3934" t="n"/>
      <c r="Y94" s="3934" t="n"/>
      <c r="Z94" s="3934" t="n"/>
      <c r="AA94" s="3934" t="n"/>
      <c r="AB94" s="3934" t="n"/>
      <c r="AC94" s="3934" t="n"/>
      <c r="AD94" s="3934" t="n"/>
      <c r="AE94" s="3934" t="n"/>
      <c r="AF94" s="3934" t="n"/>
      <c r="AG94" s="3934" t="n"/>
      <c r="AH94" s="3934" t="n"/>
      <c r="AI94" s="3934" t="n"/>
      <c r="AJ94" s="3934" t="n"/>
      <c r="AK94" s="3934" t="n"/>
      <c r="AL94" s="3934" t="n"/>
      <c r="AM94" s="3934" t="n"/>
      <c r="AN94" s="3934" t="n"/>
      <c r="AO94" s="3934" t="n"/>
      <c r="AP94" s="3934" t="n"/>
      <c r="AQ94" s="3934" t="n"/>
      <c r="AR94" s="3934" t="n"/>
    </row>
    <row r="95">
      <c r="A95" s="3941" t="n"/>
      <c r="B95" s="3944" t="n"/>
      <c r="C95" s="3944" t="n"/>
      <c r="D95" s="3944" t="n"/>
      <c r="E95" s="3944" t="n"/>
      <c r="F95" s="3944" t="n"/>
      <c r="G95" s="3944" t="n"/>
      <c r="H95" s="3944" t="n"/>
      <c r="I95" s="3944" t="n"/>
      <c r="J95" s="3944" t="n"/>
      <c r="K95" s="3942">
        <f>IF(A95="","",SUM(E95:J95))</f>
        <v/>
      </c>
      <c r="L95" s="3934" t="n"/>
      <c r="M95" s="3934" t="n"/>
      <c r="N95" s="3934" t="n"/>
      <c r="O95" s="3934" t="n"/>
      <c r="P95" s="3934" t="n"/>
      <c r="Q95" s="3934" t="n"/>
      <c r="R95" s="3934" t="n"/>
      <c r="S95" s="3934" t="n"/>
      <c r="T95" s="3934" t="n"/>
      <c r="U95" s="3934" t="n"/>
      <c r="V95" s="3934" t="n"/>
      <c r="W95" s="3934" t="n"/>
      <c r="X95" s="3934" t="n"/>
      <c r="Y95" s="3934" t="n"/>
      <c r="Z95" s="3934" t="n"/>
      <c r="AA95" s="3934" t="n"/>
      <c r="AB95" s="3934" t="n"/>
      <c r="AC95" s="3934" t="n"/>
      <c r="AD95" s="3934" t="n"/>
      <c r="AE95" s="3934" t="n"/>
      <c r="AF95" s="3934" t="n"/>
      <c r="AG95" s="3934" t="n"/>
      <c r="AH95" s="3934" t="n"/>
      <c r="AI95" s="3934" t="n"/>
      <c r="AJ95" s="3934" t="n"/>
      <c r="AK95" s="3934" t="n"/>
      <c r="AL95" s="3934" t="n"/>
      <c r="AM95" s="3934" t="n"/>
      <c r="AN95" s="3934" t="n"/>
      <c r="AO95" s="3934" t="n"/>
      <c r="AP95" s="3934" t="n"/>
      <c r="AQ95" s="3934" t="n"/>
      <c r="AR95" s="3934" t="n"/>
    </row>
    <row r="96">
      <c r="A96" s="3941" t="n"/>
      <c r="B96" s="3944" t="n"/>
      <c r="C96" s="3944" t="n"/>
      <c r="D96" s="3944" t="n"/>
      <c r="E96" s="3944" t="n"/>
      <c r="F96" s="3944" t="n"/>
      <c r="G96" s="3944" t="n"/>
      <c r="H96" s="3944" t="n"/>
      <c r="I96" s="3944" t="n"/>
      <c r="J96" s="3944" t="n"/>
      <c r="K96" s="3942">
        <f>IF(A96="","",SUM(E96:J96))</f>
        <v/>
      </c>
      <c r="L96" s="3934" t="n"/>
      <c r="M96" s="3934" t="n"/>
      <c r="N96" s="3934" t="n"/>
      <c r="O96" s="3934" t="n"/>
      <c r="P96" s="3934" t="n"/>
      <c r="Q96" s="3934" t="n"/>
      <c r="R96" s="3934" t="n"/>
      <c r="S96" s="3934" t="n"/>
      <c r="T96" s="3934" t="n"/>
      <c r="U96" s="3934" t="n"/>
      <c r="V96" s="3934" t="n"/>
      <c r="W96" s="3934" t="n"/>
      <c r="X96" s="3934" t="n"/>
      <c r="Y96" s="3934" t="n"/>
      <c r="Z96" s="3934" t="n"/>
      <c r="AA96" s="3934" t="n"/>
      <c r="AB96" s="3934" t="n"/>
      <c r="AC96" s="3934" t="n"/>
      <c r="AD96" s="3934" t="n"/>
      <c r="AE96" s="3934" t="n"/>
      <c r="AF96" s="3934" t="n"/>
      <c r="AG96" s="3934" t="n"/>
      <c r="AH96" s="3934" t="n"/>
      <c r="AI96" s="3934" t="n"/>
      <c r="AJ96" s="3934" t="n"/>
      <c r="AK96" s="3934" t="n"/>
      <c r="AL96" s="3934" t="n"/>
      <c r="AM96" s="3934" t="n"/>
      <c r="AN96" s="3934" t="n"/>
      <c r="AO96" s="3934" t="n"/>
      <c r="AP96" s="3934" t="n"/>
      <c r="AQ96" s="3934" t="n"/>
      <c r="AR96" s="3934" t="n"/>
    </row>
    <row r="97">
      <c r="A97" s="3941" t="n"/>
      <c r="B97" s="3944" t="n"/>
      <c r="C97" s="3944" t="n"/>
      <c r="D97" s="3944" t="n"/>
      <c r="E97" s="3944" t="n"/>
      <c r="F97" s="3944" t="n"/>
      <c r="G97" s="3944" t="n"/>
      <c r="H97" s="3944" t="n"/>
      <c r="I97" s="3944" t="n"/>
      <c r="J97" s="3944" t="n"/>
      <c r="K97" s="3942">
        <f>IF(A97="","",SUM(E97:J97))</f>
        <v/>
      </c>
      <c r="L97" s="3934" t="n"/>
      <c r="M97" s="3934" t="n"/>
      <c r="N97" s="3934" t="n"/>
      <c r="O97" s="3934" t="n"/>
      <c r="P97" s="3934" t="n"/>
      <c r="Q97" s="3934" t="n"/>
      <c r="R97" s="3934" t="n"/>
      <c r="S97" s="3934" t="n"/>
      <c r="T97" s="3934" t="n"/>
      <c r="U97" s="3934" t="n"/>
      <c r="V97" s="3934" t="n"/>
      <c r="W97" s="3934" t="n"/>
      <c r="X97" s="3934" t="n"/>
      <c r="Y97" s="3934" t="n"/>
      <c r="Z97" s="3934" t="n"/>
      <c r="AA97" s="3934" t="n"/>
      <c r="AB97" s="3934" t="n"/>
      <c r="AC97" s="3934" t="n"/>
      <c r="AD97" s="3934" t="n"/>
      <c r="AE97" s="3934" t="n"/>
      <c r="AF97" s="3934" t="n"/>
      <c r="AG97" s="3934" t="n"/>
      <c r="AH97" s="3934" t="n"/>
      <c r="AI97" s="3934" t="n"/>
      <c r="AJ97" s="3934" t="n"/>
      <c r="AK97" s="3934" t="n"/>
      <c r="AL97" s="3934" t="n"/>
      <c r="AM97" s="3934" t="n"/>
      <c r="AN97" s="3934" t="n"/>
      <c r="AO97" s="3934" t="n"/>
      <c r="AP97" s="3934" t="n"/>
      <c r="AQ97" s="3934" t="n"/>
      <c r="AR97" s="3934" t="n"/>
    </row>
    <row r="98">
      <c r="A98" s="3941" t="n"/>
      <c r="B98" s="3944" t="n"/>
      <c r="C98" s="3944" t="n"/>
      <c r="D98" s="3944" t="n"/>
      <c r="E98" s="3944" t="n"/>
      <c r="F98" s="3944" t="n"/>
      <c r="G98" s="3944" t="n"/>
      <c r="H98" s="3944" t="n"/>
      <c r="I98" s="3944" t="n"/>
      <c r="J98" s="3944" t="n"/>
      <c r="K98" s="3942">
        <f>IF(A98="","",SUM(E98:J98))</f>
        <v/>
      </c>
      <c r="L98" s="3934" t="n"/>
      <c r="M98" s="3934" t="n"/>
      <c r="N98" s="3934" t="n"/>
      <c r="O98" s="3934" t="n"/>
      <c r="P98" s="3934" t="n"/>
      <c r="Q98" s="3934" t="n"/>
      <c r="R98" s="3934" t="n"/>
      <c r="S98" s="3934" t="n"/>
      <c r="T98" s="3934" t="n"/>
      <c r="U98" s="3934" t="n"/>
      <c r="V98" s="3934" t="n"/>
      <c r="W98" s="3934" t="n"/>
      <c r="X98" s="3934" t="n"/>
      <c r="Y98" s="3934" t="n"/>
      <c r="Z98" s="3934" t="n"/>
      <c r="AA98" s="3934" t="n"/>
      <c r="AB98" s="3934" t="n"/>
      <c r="AC98" s="3934" t="n"/>
      <c r="AD98" s="3934" t="n"/>
      <c r="AE98" s="3934" t="n"/>
      <c r="AF98" s="3934" t="n"/>
      <c r="AG98" s="3934" t="n"/>
      <c r="AH98" s="3934" t="n"/>
      <c r="AI98" s="3934" t="n"/>
      <c r="AJ98" s="3934" t="n"/>
      <c r="AK98" s="3934" t="n"/>
      <c r="AL98" s="3934" t="n"/>
      <c r="AM98" s="3934" t="n"/>
      <c r="AN98" s="3934" t="n"/>
      <c r="AO98" s="3934" t="n"/>
      <c r="AP98" s="3934" t="n"/>
      <c r="AQ98" s="3934" t="n"/>
      <c r="AR98" s="3934" t="n"/>
    </row>
    <row r="99">
      <c r="A99" s="3941" t="n"/>
      <c r="B99" s="3944" t="n"/>
      <c r="C99" s="3944" t="n"/>
      <c r="D99" s="3944" t="n"/>
      <c r="E99" s="3944" t="n"/>
      <c r="F99" s="3944" t="n"/>
      <c r="G99" s="3944" t="n"/>
      <c r="H99" s="3944" t="n"/>
      <c r="I99" s="3944" t="n"/>
      <c r="J99" s="3944" t="n"/>
      <c r="K99" s="3942">
        <f>IF(A99="","",SUM(E99:J99))</f>
        <v/>
      </c>
      <c r="L99" s="3934" t="n"/>
      <c r="M99" s="3934" t="n"/>
      <c r="N99" s="3934" t="n"/>
      <c r="O99" s="3934" t="n"/>
      <c r="P99" s="3934" t="n"/>
      <c r="Q99" s="3934" t="n"/>
      <c r="R99" s="3934" t="n"/>
      <c r="S99" s="3934" t="n"/>
      <c r="T99" s="3934" t="n"/>
      <c r="U99" s="3934" t="n"/>
      <c r="V99" s="3934" t="n"/>
      <c r="W99" s="3934" t="n"/>
      <c r="X99" s="3934" t="n"/>
      <c r="Y99" s="3934" t="n"/>
      <c r="Z99" s="3934" t="n"/>
      <c r="AA99" s="3934" t="n"/>
      <c r="AB99" s="3934" t="n"/>
      <c r="AC99" s="3934" t="n"/>
      <c r="AD99" s="3934" t="n"/>
      <c r="AE99" s="3934" t="n"/>
      <c r="AF99" s="3934" t="n"/>
      <c r="AG99" s="3934" t="n"/>
      <c r="AH99" s="3934" t="n"/>
      <c r="AI99" s="3934" t="n"/>
      <c r="AJ99" s="3934" t="n"/>
      <c r="AK99" s="3934" t="n"/>
      <c r="AL99" s="3934" t="n"/>
      <c r="AM99" s="3934" t="n"/>
      <c r="AN99" s="3934" t="n"/>
      <c r="AO99" s="3934" t="n"/>
      <c r="AP99" s="3934" t="n"/>
      <c r="AQ99" s="3934" t="n"/>
      <c r="AR99" s="3934" t="n"/>
    </row>
    <row r="100">
      <c r="A100" s="3941" t="n"/>
      <c r="B100" s="3944" t="n"/>
      <c r="C100" s="3944" t="n"/>
      <c r="D100" s="3944" t="n"/>
      <c r="E100" s="3944" t="n"/>
      <c r="F100" s="3944" t="n"/>
      <c r="G100" s="3944" t="n"/>
      <c r="H100" s="3944" t="n"/>
      <c r="I100" s="3944" t="n"/>
      <c r="J100" s="3944" t="n"/>
      <c r="K100" s="3942">
        <f>IF(A100="","",SUM(E100:J100))</f>
        <v/>
      </c>
      <c r="L100" s="3934" t="n"/>
      <c r="M100" s="3934" t="n"/>
      <c r="N100" s="3934" t="n"/>
      <c r="O100" s="3934" t="n"/>
      <c r="P100" s="3934" t="n"/>
      <c r="Q100" s="3934" t="n"/>
      <c r="R100" s="3934" t="n"/>
      <c r="S100" s="3934" t="n"/>
      <c r="T100" s="3934" t="n"/>
      <c r="U100" s="3934" t="n"/>
      <c r="V100" s="3934" t="n"/>
      <c r="W100" s="3934" t="n"/>
      <c r="X100" s="3934" t="n"/>
      <c r="Y100" s="3934" t="n"/>
      <c r="Z100" s="3934" t="n"/>
      <c r="AA100" s="3934" t="n"/>
      <c r="AB100" s="3934" t="n"/>
      <c r="AC100" s="3934" t="n"/>
      <c r="AD100" s="3934" t="n"/>
      <c r="AE100" s="3934" t="n"/>
      <c r="AF100" s="3934" t="n"/>
      <c r="AG100" s="3934" t="n"/>
      <c r="AH100" s="3934" t="n"/>
      <c r="AI100" s="3934" t="n"/>
      <c r="AJ100" s="3934" t="n"/>
      <c r="AK100" s="3934" t="n"/>
      <c r="AL100" s="3934" t="n"/>
      <c r="AM100" s="3934" t="n"/>
      <c r="AN100" s="3934" t="n"/>
      <c r="AO100" s="3934" t="n"/>
      <c r="AP100" s="3934" t="n"/>
      <c r="AQ100" s="3934" t="n"/>
      <c r="AR100" s="3934" t="n"/>
    </row>
    <row r="101">
      <c r="A101" s="3941" t="n"/>
      <c r="B101" s="3944" t="n"/>
      <c r="C101" s="3944" t="n"/>
      <c r="D101" s="3944" t="n"/>
      <c r="E101" s="3944" t="n"/>
      <c r="F101" s="3944" t="n"/>
      <c r="G101" s="3944" t="n"/>
      <c r="H101" s="3944" t="n"/>
      <c r="I101" s="3944" t="n"/>
      <c r="J101" s="3944" t="n"/>
      <c r="K101" s="3942">
        <f>IF(A101="","",SUM(E101:J101))</f>
        <v/>
      </c>
      <c r="L101" s="3934" t="n"/>
      <c r="M101" s="3934" t="n"/>
      <c r="N101" s="3934" t="n"/>
      <c r="O101" s="3934" t="n"/>
      <c r="P101" s="3934" t="n"/>
      <c r="Q101" s="3934" t="n"/>
      <c r="R101" s="3934" t="n"/>
      <c r="S101" s="3934" t="n"/>
      <c r="T101" s="3934" t="n"/>
      <c r="U101" s="3934" t="n"/>
      <c r="V101" s="3934" t="n"/>
      <c r="W101" s="3934" t="n"/>
      <c r="X101" s="3934" t="n"/>
      <c r="Y101" s="3934" t="n"/>
      <c r="Z101" s="3934" t="n"/>
      <c r="AA101" s="3934" t="n"/>
      <c r="AB101" s="3934" t="n"/>
      <c r="AC101" s="3934" t="n"/>
      <c r="AD101" s="3934" t="n"/>
      <c r="AE101" s="3934" t="n"/>
      <c r="AF101" s="3934" t="n"/>
      <c r="AG101" s="3934" t="n"/>
      <c r="AH101" s="3934" t="n"/>
      <c r="AI101" s="3934" t="n"/>
      <c r="AJ101" s="3934" t="n"/>
      <c r="AK101" s="3934" t="n"/>
      <c r="AL101" s="3934" t="n"/>
      <c r="AM101" s="3934" t="n"/>
      <c r="AN101" s="3934" t="n"/>
      <c r="AO101" s="3934" t="n"/>
      <c r="AP101" s="3934" t="n"/>
      <c r="AQ101" s="3934" t="n"/>
      <c r="AR101" s="3934" t="n"/>
    </row>
    <row r="102">
      <c r="A102" s="3941" t="n"/>
      <c r="B102" s="3944" t="n"/>
      <c r="C102" s="3944" t="n"/>
      <c r="D102" s="3944" t="n"/>
      <c r="E102" s="3944" t="n"/>
      <c r="F102" s="3944" t="n"/>
      <c r="G102" s="3944" t="n"/>
      <c r="H102" s="3944" t="n"/>
      <c r="I102" s="3944" t="n"/>
      <c r="J102" s="3944" t="n"/>
      <c r="K102" s="3942">
        <f>IF(A102="","",SUM(E102:J102))</f>
        <v/>
      </c>
      <c r="L102" s="3934" t="n"/>
      <c r="M102" s="3934" t="n"/>
      <c r="N102" s="3934" t="n"/>
      <c r="O102" s="3934" t="n"/>
      <c r="P102" s="3934" t="n"/>
      <c r="Q102" s="3934" t="n"/>
      <c r="R102" s="3934" t="n"/>
      <c r="S102" s="3934" t="n"/>
      <c r="T102" s="3934" t="n"/>
      <c r="U102" s="3934" t="n"/>
      <c r="V102" s="3934" t="n"/>
      <c r="W102" s="3934" t="n"/>
      <c r="X102" s="3934" t="n"/>
      <c r="Y102" s="3934" t="n"/>
      <c r="Z102" s="3934" t="n"/>
      <c r="AA102" s="3934" t="n"/>
      <c r="AB102" s="3934" t="n"/>
      <c r="AC102" s="3934" t="n"/>
      <c r="AD102" s="3934" t="n"/>
      <c r="AE102" s="3934" t="n"/>
      <c r="AF102" s="3934" t="n"/>
      <c r="AG102" s="3934" t="n"/>
      <c r="AH102" s="3934" t="n"/>
      <c r="AI102" s="3934" t="n"/>
      <c r="AJ102" s="3934" t="n"/>
      <c r="AK102" s="3934" t="n"/>
      <c r="AL102" s="3934" t="n"/>
      <c r="AM102" s="3934" t="n"/>
      <c r="AN102" s="3934" t="n"/>
      <c r="AO102" s="3934" t="n"/>
      <c r="AP102" s="3934" t="n"/>
      <c r="AQ102" s="3934" t="n"/>
      <c r="AR102" s="3934" t="n"/>
    </row>
    <row r="103">
      <c r="A103" s="3941" t="n"/>
      <c r="B103" s="3944" t="n"/>
      <c r="C103" s="3944" t="n"/>
      <c r="D103" s="3944" t="n"/>
      <c r="E103" s="3944" t="n"/>
      <c r="F103" s="3944" t="n"/>
      <c r="G103" s="3944" t="n"/>
      <c r="H103" s="3944" t="n"/>
      <c r="I103" s="3944" t="n"/>
      <c r="J103" s="3944" t="n"/>
      <c r="K103" s="3942">
        <f>IF(A103="","",SUM(E103:J103))</f>
        <v/>
      </c>
      <c r="L103" s="3934" t="n"/>
      <c r="M103" s="3934" t="n"/>
      <c r="N103" s="3934" t="n"/>
      <c r="O103" s="3934" t="n"/>
      <c r="P103" s="3934" t="n"/>
      <c r="Q103" s="3934" t="n"/>
      <c r="R103" s="3934" t="n"/>
      <c r="S103" s="3934" t="n"/>
      <c r="T103" s="3934" t="n"/>
      <c r="U103" s="3934" t="n"/>
      <c r="V103" s="3934" t="n"/>
      <c r="W103" s="3934" t="n"/>
      <c r="X103" s="3934" t="n"/>
      <c r="Y103" s="3934" t="n"/>
      <c r="Z103" s="3934" t="n"/>
      <c r="AA103" s="3934" t="n"/>
      <c r="AB103" s="3934" t="n"/>
      <c r="AC103" s="3934" t="n"/>
      <c r="AD103" s="3934" t="n"/>
      <c r="AE103" s="3934" t="n"/>
      <c r="AF103" s="3934" t="n"/>
      <c r="AG103" s="3934" t="n"/>
      <c r="AH103" s="3934" t="n"/>
      <c r="AI103" s="3934" t="n"/>
      <c r="AJ103" s="3934" t="n"/>
      <c r="AK103" s="3934" t="n"/>
      <c r="AL103" s="3934" t="n"/>
      <c r="AM103" s="3934" t="n"/>
      <c r="AN103" s="3934" t="n"/>
      <c r="AO103" s="3934" t="n"/>
      <c r="AP103" s="3934" t="n"/>
      <c r="AQ103" s="3934" t="n"/>
      <c r="AR103" s="3934" t="n"/>
    </row>
    <row r="104">
      <c r="A104" s="3941" t="n"/>
      <c r="B104" s="3944" t="n"/>
      <c r="C104" s="3944" t="n"/>
      <c r="D104" s="3944" t="n"/>
      <c r="E104" s="3944" t="n"/>
      <c r="F104" s="3944" t="n"/>
      <c r="G104" s="3944" t="n"/>
      <c r="H104" s="3944" t="n"/>
      <c r="I104" s="3944" t="n"/>
      <c r="J104" s="3944" t="n"/>
      <c r="K104" s="3942">
        <f>IF(A104="","",SUM(E104:J104))</f>
        <v/>
      </c>
      <c r="L104" s="3934" t="n"/>
      <c r="M104" s="3934" t="n"/>
      <c r="N104" s="3934" t="n"/>
      <c r="O104" s="3934" t="n"/>
      <c r="P104" s="3934" t="n"/>
      <c r="Q104" s="3934" t="n"/>
      <c r="R104" s="3934" t="n"/>
      <c r="S104" s="3934" t="n"/>
      <c r="T104" s="3934" t="n"/>
      <c r="U104" s="3934" t="n"/>
      <c r="V104" s="3934" t="n"/>
      <c r="W104" s="3934" t="n"/>
      <c r="X104" s="3934" t="n"/>
      <c r="Y104" s="3934" t="n"/>
      <c r="Z104" s="3934" t="n"/>
      <c r="AA104" s="3934" t="n"/>
      <c r="AB104" s="3934" t="n"/>
      <c r="AC104" s="3934" t="n"/>
      <c r="AD104" s="3934" t="n"/>
      <c r="AE104" s="3934" t="n"/>
      <c r="AF104" s="3934" t="n"/>
      <c r="AG104" s="3934" t="n"/>
      <c r="AH104" s="3934" t="n"/>
      <c r="AI104" s="3934" t="n"/>
      <c r="AJ104" s="3934" t="n"/>
      <c r="AK104" s="3934" t="n"/>
      <c r="AL104" s="3934" t="n"/>
      <c r="AM104" s="3934" t="n"/>
      <c r="AN104" s="3934" t="n"/>
      <c r="AO104" s="3934" t="n"/>
      <c r="AP104" s="3934" t="n"/>
      <c r="AQ104" s="3934" t="n"/>
      <c r="AR104" s="3934" t="n"/>
    </row>
    <row r="105">
      <c r="A105" s="3941" t="n"/>
      <c r="B105" s="3944" t="n"/>
      <c r="C105" s="3944" t="n"/>
      <c r="D105" s="3944" t="n"/>
      <c r="E105" s="3944" t="n"/>
      <c r="F105" s="3944" t="n"/>
      <c r="G105" s="3944" t="n"/>
      <c r="H105" s="3944" t="n"/>
      <c r="I105" s="3944" t="n"/>
      <c r="J105" s="3944" t="n"/>
      <c r="K105" s="3942">
        <f>IF(A105="","",SUM(E105:J105))</f>
        <v/>
      </c>
      <c r="L105" s="3934" t="n"/>
      <c r="M105" s="3934" t="n"/>
      <c r="N105" s="3934" t="n"/>
      <c r="O105" s="3934" t="n"/>
      <c r="P105" s="3934" t="n"/>
      <c r="Q105" s="3934" t="n"/>
      <c r="R105" s="3934" t="n"/>
      <c r="S105" s="3934" t="n"/>
      <c r="T105" s="3934" t="n"/>
      <c r="U105" s="3934" t="n"/>
      <c r="V105" s="3934" t="n"/>
      <c r="W105" s="3934" t="n"/>
      <c r="X105" s="3934" t="n"/>
      <c r="Y105" s="3934" t="n"/>
      <c r="Z105" s="3934" t="n"/>
      <c r="AA105" s="3934" t="n"/>
      <c r="AB105" s="3934" t="n"/>
      <c r="AC105" s="3934" t="n"/>
      <c r="AD105" s="3934" t="n"/>
      <c r="AE105" s="3934" t="n"/>
      <c r="AF105" s="3934" t="n"/>
      <c r="AG105" s="3934" t="n"/>
      <c r="AH105" s="3934" t="n"/>
      <c r="AI105" s="3934" t="n"/>
      <c r="AJ105" s="3934" t="n"/>
      <c r="AK105" s="3934" t="n"/>
      <c r="AL105" s="3934" t="n"/>
      <c r="AM105" s="3934" t="n"/>
      <c r="AN105" s="3934" t="n"/>
      <c r="AO105" s="3934" t="n"/>
      <c r="AP105" s="3934" t="n"/>
      <c r="AQ105" s="3934" t="n"/>
      <c r="AR105" s="3934" t="n"/>
    </row>
    <row r="106">
      <c r="A106" s="3941" t="n"/>
      <c r="B106" s="3944" t="n"/>
      <c r="C106" s="3944" t="n"/>
      <c r="D106" s="3944" t="n"/>
      <c r="E106" s="3944" t="n"/>
      <c r="F106" s="3944" t="n"/>
      <c r="G106" s="3944" t="n"/>
      <c r="H106" s="3944" t="n"/>
      <c r="I106" s="3944" t="n"/>
      <c r="J106" s="3944" t="n"/>
      <c r="K106" s="3942">
        <f>IF(A106="","",SUM(E106:J106))</f>
        <v/>
      </c>
      <c r="L106" s="3934" t="n"/>
      <c r="M106" s="3934" t="n"/>
      <c r="N106" s="3934" t="n"/>
      <c r="O106" s="3934" t="n"/>
      <c r="P106" s="3934" t="n"/>
      <c r="Q106" s="3934" t="n"/>
      <c r="R106" s="3934" t="n"/>
      <c r="S106" s="3934" t="n"/>
      <c r="T106" s="3934" t="n"/>
      <c r="U106" s="3934" t="n"/>
      <c r="V106" s="3934" t="n"/>
      <c r="W106" s="3934" t="n"/>
      <c r="X106" s="3934" t="n"/>
      <c r="Y106" s="3934" t="n"/>
      <c r="Z106" s="3934" t="n"/>
      <c r="AA106" s="3934" t="n"/>
      <c r="AB106" s="3934" t="n"/>
      <c r="AC106" s="3934" t="n"/>
      <c r="AD106" s="3934" t="n"/>
      <c r="AE106" s="3934" t="n"/>
      <c r="AF106" s="3934" t="n"/>
      <c r="AG106" s="3934" t="n"/>
      <c r="AH106" s="3934" t="n"/>
      <c r="AI106" s="3934" t="n"/>
      <c r="AJ106" s="3934" t="n"/>
      <c r="AK106" s="3934" t="n"/>
      <c r="AL106" s="3934" t="n"/>
      <c r="AM106" s="3934" t="n"/>
      <c r="AN106" s="3934" t="n"/>
      <c r="AO106" s="3934" t="n"/>
      <c r="AP106" s="3934" t="n"/>
      <c r="AQ106" s="3934" t="n"/>
      <c r="AR106" s="3934" t="n"/>
    </row>
    <row r="107">
      <c r="A107" s="3941" t="n"/>
      <c r="B107" s="3944" t="n"/>
      <c r="C107" s="3944" t="n"/>
      <c r="D107" s="3944" t="n"/>
      <c r="E107" s="3944" t="n"/>
      <c r="F107" s="3944" t="n"/>
      <c r="G107" s="3944" t="n"/>
      <c r="H107" s="3944" t="n"/>
      <c r="I107" s="3944" t="n"/>
      <c r="J107" s="3944" t="n"/>
      <c r="K107" s="3942">
        <f>IF(A107="","",SUM(E107:J107))</f>
        <v/>
      </c>
      <c r="L107" s="3934" t="n"/>
      <c r="M107" s="3934" t="n"/>
      <c r="N107" s="3934" t="n"/>
      <c r="O107" s="3934" t="n"/>
      <c r="P107" s="3934" t="n"/>
      <c r="Q107" s="3934" t="n"/>
      <c r="R107" s="3934" t="n"/>
      <c r="S107" s="3934" t="n"/>
      <c r="T107" s="3934" t="n"/>
      <c r="U107" s="3934" t="n"/>
      <c r="V107" s="3934" t="n"/>
      <c r="W107" s="3934" t="n"/>
      <c r="X107" s="3934" t="n"/>
      <c r="Y107" s="3934" t="n"/>
      <c r="Z107" s="3934" t="n"/>
      <c r="AA107" s="3934" t="n"/>
      <c r="AB107" s="3934" t="n"/>
      <c r="AC107" s="3934" t="n"/>
      <c r="AD107" s="3934" t="n"/>
      <c r="AE107" s="3934" t="n"/>
      <c r="AF107" s="3934" t="n"/>
      <c r="AG107" s="3934" t="n"/>
      <c r="AH107" s="3934" t="n"/>
      <c r="AI107" s="3934" t="n"/>
      <c r="AJ107" s="3934" t="n"/>
      <c r="AK107" s="3934" t="n"/>
      <c r="AL107" s="3934" t="n"/>
      <c r="AM107" s="3934" t="n"/>
      <c r="AN107" s="3934" t="n"/>
      <c r="AO107" s="3934" t="n"/>
      <c r="AP107" s="3934" t="n"/>
      <c r="AQ107" s="3934" t="n"/>
      <c r="AR107" s="3934" t="n"/>
    </row>
    <row r="108">
      <c r="A108" s="3941" t="n"/>
      <c r="B108" s="3944" t="n"/>
      <c r="C108" s="3944" t="n"/>
      <c r="D108" s="3944" t="n"/>
      <c r="E108" s="3944" t="n"/>
      <c r="F108" s="3944" t="n"/>
      <c r="G108" s="3944" t="n"/>
      <c r="H108" s="3944" t="n"/>
      <c r="I108" s="3944" t="n"/>
      <c r="J108" s="3944" t="n"/>
      <c r="K108" s="3942">
        <f>IF(A108="","",SUM(E108:J108))</f>
        <v/>
      </c>
      <c r="L108" s="3934" t="n"/>
      <c r="M108" s="3934" t="n"/>
      <c r="N108" s="3934" t="n"/>
      <c r="O108" s="3934" t="n"/>
      <c r="P108" s="3934" t="n"/>
      <c r="Q108" s="3934" t="n"/>
      <c r="R108" s="3934" t="n"/>
      <c r="S108" s="3934" t="n"/>
      <c r="T108" s="3934" t="n"/>
      <c r="U108" s="3934" t="n"/>
      <c r="V108" s="3934" t="n"/>
      <c r="W108" s="3934" t="n"/>
      <c r="X108" s="3934" t="n"/>
      <c r="Y108" s="3934" t="n"/>
      <c r="Z108" s="3934" t="n"/>
      <c r="AA108" s="3934" t="n"/>
      <c r="AB108" s="3934" t="n"/>
      <c r="AC108" s="3934" t="n"/>
      <c r="AD108" s="3934" t="n"/>
      <c r="AE108" s="3934" t="n"/>
      <c r="AF108" s="3934" t="n"/>
      <c r="AG108" s="3934" t="n"/>
      <c r="AH108" s="3934" t="n"/>
      <c r="AI108" s="3934" t="n"/>
      <c r="AJ108" s="3934" t="n"/>
      <c r="AK108" s="3934" t="n"/>
      <c r="AL108" s="3934" t="n"/>
      <c r="AM108" s="3934" t="n"/>
      <c r="AN108" s="3934" t="n"/>
      <c r="AO108" s="3934" t="n"/>
      <c r="AP108" s="3934" t="n"/>
      <c r="AQ108" s="3934" t="n"/>
      <c r="AR108" s="3934" t="n"/>
    </row>
    <row r="109">
      <c r="A109" s="3941" t="n"/>
      <c r="B109" s="3944" t="n"/>
      <c r="C109" s="3944" t="n"/>
      <c r="D109" s="3944" t="n"/>
      <c r="E109" s="3944" t="n"/>
      <c r="F109" s="3944" t="n"/>
      <c r="G109" s="3944" t="n"/>
      <c r="H109" s="3944" t="n"/>
      <c r="I109" s="3944" t="n"/>
      <c r="J109" s="3944" t="n"/>
      <c r="K109" s="3942">
        <f>IF(A109="","",SUM(E109:J109))</f>
        <v/>
      </c>
      <c r="L109" s="3934" t="n"/>
      <c r="M109" s="3934" t="n"/>
      <c r="N109" s="3934" t="n"/>
      <c r="O109" s="3934" t="n"/>
      <c r="P109" s="3934" t="n"/>
      <c r="Q109" s="3934" t="n"/>
      <c r="R109" s="3934" t="n"/>
      <c r="S109" s="3934" t="n"/>
      <c r="T109" s="3934" t="n"/>
      <c r="U109" s="3934" t="n"/>
      <c r="V109" s="3934" t="n"/>
      <c r="W109" s="3934" t="n"/>
      <c r="X109" s="3934" t="n"/>
      <c r="Y109" s="3934" t="n"/>
      <c r="Z109" s="3934" t="n"/>
      <c r="AA109" s="3934" t="n"/>
      <c r="AB109" s="3934" t="n"/>
      <c r="AC109" s="3934" t="n"/>
      <c r="AD109" s="3934" t="n"/>
      <c r="AE109" s="3934" t="n"/>
      <c r="AF109" s="3934" t="n"/>
      <c r="AG109" s="3934" t="n"/>
      <c r="AH109" s="3934" t="n"/>
      <c r="AI109" s="3934" t="n"/>
      <c r="AJ109" s="3934" t="n"/>
      <c r="AK109" s="3934" t="n"/>
      <c r="AL109" s="3934" t="n"/>
      <c r="AM109" s="3934" t="n"/>
      <c r="AN109" s="3934" t="n"/>
      <c r="AO109" s="3934" t="n"/>
      <c r="AP109" s="3934" t="n"/>
      <c r="AQ109" s="3934" t="n"/>
      <c r="AR109" s="3934" t="n"/>
    </row>
    <row r="110">
      <c r="A110" s="3941" t="n"/>
      <c r="B110" s="3944" t="n"/>
      <c r="C110" s="3944" t="n"/>
      <c r="D110" s="3944" t="n"/>
      <c r="E110" s="3944" t="n"/>
      <c r="F110" s="3944" t="n"/>
      <c r="G110" s="3944" t="n"/>
      <c r="H110" s="3944" t="n"/>
      <c r="I110" s="3944" t="n"/>
      <c r="J110" s="3944" t="n"/>
      <c r="K110" s="3942">
        <f>IF(A110="","",SUM(E110:J110))</f>
        <v/>
      </c>
      <c r="L110" s="3934" t="n"/>
      <c r="M110" s="3934" t="n"/>
      <c r="N110" s="3934" t="n"/>
      <c r="O110" s="3934" t="n"/>
      <c r="P110" s="3934" t="n"/>
      <c r="Q110" s="3934" t="n"/>
      <c r="R110" s="3934" t="n"/>
      <c r="S110" s="3934" t="n"/>
      <c r="T110" s="3934" t="n"/>
      <c r="U110" s="3934" t="n"/>
      <c r="V110" s="3934" t="n"/>
      <c r="W110" s="3934" t="n"/>
      <c r="X110" s="3934" t="n"/>
      <c r="Y110" s="3934" t="n"/>
      <c r="Z110" s="3934" t="n"/>
      <c r="AA110" s="3934" t="n"/>
      <c r="AB110" s="3934" t="n"/>
      <c r="AC110" s="3934" t="n"/>
      <c r="AD110" s="3934" t="n"/>
      <c r="AE110" s="3934" t="n"/>
      <c r="AF110" s="3934" t="n"/>
      <c r="AG110" s="3934" t="n"/>
      <c r="AH110" s="3934" t="n"/>
      <c r="AI110" s="3934" t="n"/>
      <c r="AJ110" s="3934" t="n"/>
      <c r="AK110" s="3934" t="n"/>
      <c r="AL110" s="3934" t="n"/>
      <c r="AM110" s="3934" t="n"/>
      <c r="AN110" s="3934" t="n"/>
      <c r="AO110" s="3934" t="n"/>
      <c r="AP110" s="3934" t="n"/>
      <c r="AQ110" s="3934" t="n"/>
      <c r="AR110" s="3934" t="n"/>
    </row>
    <row r="111">
      <c r="A111" s="3941" t="n"/>
      <c r="B111" s="3944" t="n"/>
      <c r="C111" s="3944" t="n"/>
      <c r="D111" s="3944" t="n"/>
      <c r="E111" s="3944" t="n"/>
      <c r="F111" s="3944" t="n"/>
      <c r="G111" s="3944" t="n"/>
      <c r="H111" s="3944" t="n"/>
      <c r="I111" s="3944" t="n"/>
      <c r="J111" s="3944" t="n"/>
      <c r="K111" s="3942">
        <f>IF(A111="","",SUM(E111:J111))</f>
        <v/>
      </c>
      <c r="L111" s="3934" t="n"/>
      <c r="M111" s="3934" t="n"/>
      <c r="N111" s="3934" t="n"/>
      <c r="O111" s="3934" t="n"/>
      <c r="P111" s="3934" t="n"/>
      <c r="Q111" s="3934" t="n"/>
      <c r="R111" s="3934" t="n"/>
      <c r="S111" s="3934" t="n"/>
      <c r="T111" s="3934" t="n"/>
      <c r="U111" s="3934" t="n"/>
      <c r="V111" s="3934" t="n"/>
      <c r="W111" s="3934" t="n"/>
      <c r="X111" s="3934" t="n"/>
      <c r="Y111" s="3934" t="n"/>
      <c r="Z111" s="3934" t="n"/>
      <c r="AA111" s="3934" t="n"/>
      <c r="AB111" s="3934" t="n"/>
      <c r="AC111" s="3934" t="n"/>
      <c r="AD111" s="3934" t="n"/>
      <c r="AE111" s="3934" t="n"/>
      <c r="AF111" s="3934" t="n"/>
      <c r="AG111" s="3934" t="n"/>
      <c r="AH111" s="3934" t="n"/>
      <c r="AI111" s="3934" t="n"/>
      <c r="AJ111" s="3934" t="n"/>
      <c r="AK111" s="3934" t="n"/>
      <c r="AL111" s="3934" t="n"/>
      <c r="AM111" s="3934" t="n"/>
      <c r="AN111" s="3934" t="n"/>
      <c r="AO111" s="3934" t="n"/>
      <c r="AP111" s="3934" t="n"/>
      <c r="AQ111" s="3934" t="n"/>
      <c r="AR111" s="3934" t="n"/>
    </row>
    <row r="112">
      <c r="A112" s="3941" t="n"/>
      <c r="B112" s="3944" t="n"/>
      <c r="C112" s="3944" t="n"/>
      <c r="D112" s="3944" t="n"/>
      <c r="E112" s="3944" t="n"/>
      <c r="F112" s="3944" t="n"/>
      <c r="G112" s="3944" t="n"/>
      <c r="H112" s="3944" t="n"/>
      <c r="I112" s="3944" t="n"/>
      <c r="J112" s="3944" t="n"/>
      <c r="K112" s="3942">
        <f>IF(A112="","",SUM(E112:J112))</f>
        <v/>
      </c>
      <c r="L112" s="3934" t="n"/>
      <c r="M112" s="3934" t="n"/>
      <c r="N112" s="3934" t="n"/>
      <c r="O112" s="3934" t="n"/>
      <c r="P112" s="3934" t="n"/>
      <c r="Q112" s="3934" t="n"/>
      <c r="R112" s="3934" t="n"/>
      <c r="S112" s="3934" t="n"/>
      <c r="T112" s="3934" t="n"/>
      <c r="U112" s="3934" t="n"/>
      <c r="V112" s="3934" t="n"/>
      <c r="W112" s="3934" t="n"/>
      <c r="X112" s="3934" t="n"/>
      <c r="Y112" s="3934" t="n"/>
      <c r="Z112" s="3934" t="n"/>
      <c r="AA112" s="3934" t="n"/>
      <c r="AB112" s="3934" t="n"/>
      <c r="AC112" s="3934" t="n"/>
      <c r="AD112" s="3934" t="n"/>
      <c r="AE112" s="3934" t="n"/>
      <c r="AF112" s="3934" t="n"/>
      <c r="AG112" s="3934" t="n"/>
      <c r="AH112" s="3934" t="n"/>
      <c r="AI112" s="3934" t="n"/>
      <c r="AJ112" s="3934" t="n"/>
      <c r="AK112" s="3934" t="n"/>
      <c r="AL112" s="3934" t="n"/>
      <c r="AM112" s="3934" t="n"/>
      <c r="AN112" s="3934" t="n"/>
      <c r="AO112" s="3934" t="n"/>
      <c r="AP112" s="3934" t="n"/>
      <c r="AQ112" s="3934" t="n"/>
      <c r="AR112" s="3934" t="n"/>
    </row>
    <row r="113">
      <c r="A113" s="3941" t="n"/>
      <c r="B113" s="3944" t="n"/>
      <c r="C113" s="3944" t="n"/>
      <c r="D113" s="3944" t="n"/>
      <c r="E113" s="3944" t="n"/>
      <c r="F113" s="3944" t="n"/>
      <c r="G113" s="3944" t="n"/>
      <c r="H113" s="3944" t="n"/>
      <c r="I113" s="3944" t="n"/>
      <c r="J113" s="3944" t="n"/>
      <c r="K113" s="3942">
        <f>IF(A113="","",SUM(E113:J113))</f>
        <v/>
      </c>
      <c r="L113" s="3934" t="n"/>
      <c r="M113" s="3934" t="n"/>
      <c r="N113" s="3934" t="n"/>
      <c r="O113" s="3934" t="n"/>
      <c r="P113" s="3934" t="n"/>
      <c r="Q113" s="3934" t="n"/>
      <c r="R113" s="3934" t="n"/>
      <c r="S113" s="3934" t="n"/>
      <c r="T113" s="3934" t="n"/>
      <c r="U113" s="3934" t="n"/>
      <c r="V113" s="3934" t="n"/>
      <c r="W113" s="3934" t="n"/>
      <c r="X113" s="3934" t="n"/>
      <c r="Y113" s="3934" t="n"/>
      <c r="Z113" s="3934" t="n"/>
      <c r="AA113" s="3934" t="n"/>
      <c r="AB113" s="3934" t="n"/>
      <c r="AC113" s="3934" t="n"/>
      <c r="AD113" s="3934" t="n"/>
      <c r="AE113" s="3934" t="n"/>
      <c r="AF113" s="3934" t="n"/>
      <c r="AG113" s="3934" t="n"/>
      <c r="AH113" s="3934" t="n"/>
      <c r="AI113" s="3934" t="n"/>
      <c r="AJ113" s="3934" t="n"/>
      <c r="AK113" s="3934" t="n"/>
      <c r="AL113" s="3934" t="n"/>
      <c r="AM113" s="3934" t="n"/>
      <c r="AN113" s="3934" t="n"/>
      <c r="AO113" s="3934" t="n"/>
      <c r="AP113" s="3934" t="n"/>
      <c r="AQ113" s="3934" t="n"/>
      <c r="AR113" s="3934" t="n"/>
    </row>
    <row r="114">
      <c r="A114" s="3941" t="n"/>
      <c r="B114" s="3944" t="n"/>
      <c r="C114" s="3944" t="n"/>
      <c r="D114" s="3944" t="n"/>
      <c r="E114" s="3944" t="n"/>
      <c r="F114" s="3944" t="n"/>
      <c r="G114" s="3944" t="n"/>
      <c r="H114" s="3944" t="n"/>
      <c r="I114" s="3944" t="n"/>
      <c r="J114" s="3944" t="n"/>
      <c r="K114" s="3942">
        <f>IF(A114="","",SUM(E114:J114))</f>
        <v/>
      </c>
      <c r="L114" s="3934" t="n"/>
      <c r="M114" s="3934" t="n"/>
      <c r="N114" s="3934" t="n"/>
      <c r="O114" s="3934" t="n"/>
      <c r="P114" s="3934" t="n"/>
      <c r="Q114" s="3934" t="n"/>
      <c r="R114" s="3934" t="n"/>
      <c r="S114" s="3934" t="n"/>
      <c r="T114" s="3934" t="n"/>
      <c r="U114" s="3934" t="n"/>
      <c r="V114" s="3934" t="n"/>
      <c r="W114" s="3934" t="n"/>
      <c r="X114" s="3934" t="n"/>
      <c r="Y114" s="3934" t="n"/>
      <c r="Z114" s="3934" t="n"/>
      <c r="AA114" s="3934" t="n"/>
      <c r="AB114" s="3934" t="n"/>
      <c r="AC114" s="3934" t="n"/>
      <c r="AD114" s="3934" t="n"/>
      <c r="AE114" s="3934" t="n"/>
      <c r="AF114" s="3934" t="n"/>
      <c r="AG114" s="3934" t="n"/>
      <c r="AH114" s="3934" t="n"/>
      <c r="AI114" s="3934" t="n"/>
      <c r="AJ114" s="3934" t="n"/>
      <c r="AK114" s="3934" t="n"/>
      <c r="AL114" s="3934" t="n"/>
      <c r="AM114" s="3934" t="n"/>
      <c r="AN114" s="3934" t="n"/>
      <c r="AO114" s="3934" t="n"/>
      <c r="AP114" s="3934" t="n"/>
      <c r="AQ114" s="3934" t="n"/>
      <c r="AR114" s="3934" t="n"/>
    </row>
    <row r="115">
      <c r="A115" s="3941" t="n"/>
      <c r="B115" s="3944" t="n"/>
      <c r="C115" s="3944" t="n"/>
      <c r="D115" s="3944" t="n"/>
      <c r="E115" s="3944" t="n"/>
      <c r="F115" s="3944" t="n"/>
      <c r="G115" s="3944" t="n"/>
      <c r="H115" s="3944" t="n"/>
      <c r="I115" s="3944" t="n"/>
      <c r="J115" s="3944" t="n"/>
      <c r="K115" s="3942">
        <f>IF(A115="","",SUM(E115:J115))</f>
        <v/>
      </c>
      <c r="L115" s="3934" t="n"/>
      <c r="M115" s="3934" t="n"/>
      <c r="N115" s="3934" t="n"/>
      <c r="O115" s="3934" t="n"/>
      <c r="P115" s="3934" t="n"/>
      <c r="Q115" s="3934" t="n"/>
      <c r="R115" s="3934" t="n"/>
      <c r="S115" s="3934" t="n"/>
      <c r="T115" s="3934" t="n"/>
      <c r="U115" s="3934" t="n"/>
      <c r="V115" s="3934" t="n"/>
      <c r="W115" s="3934" t="n"/>
      <c r="X115" s="3934" t="n"/>
      <c r="Y115" s="3934" t="n"/>
      <c r="Z115" s="3934" t="n"/>
      <c r="AA115" s="3934" t="n"/>
      <c r="AB115" s="3934" t="n"/>
      <c r="AC115" s="3934" t="n"/>
      <c r="AD115" s="3934" t="n"/>
      <c r="AE115" s="3934" t="n"/>
      <c r="AF115" s="3934" t="n"/>
      <c r="AG115" s="3934" t="n"/>
      <c r="AH115" s="3934" t="n"/>
      <c r="AI115" s="3934" t="n"/>
      <c r="AJ115" s="3934" t="n"/>
      <c r="AK115" s="3934" t="n"/>
      <c r="AL115" s="3934" t="n"/>
      <c r="AM115" s="3934" t="n"/>
      <c r="AN115" s="3934" t="n"/>
      <c r="AO115" s="3934" t="n"/>
      <c r="AP115" s="3934" t="n"/>
      <c r="AQ115" s="3934" t="n"/>
      <c r="AR115" s="3934" t="n"/>
    </row>
    <row r="116">
      <c r="A116" s="3941" t="n"/>
      <c r="B116" s="3944" t="n"/>
      <c r="C116" s="3944" t="n"/>
      <c r="D116" s="3944" t="n"/>
      <c r="E116" s="3944" t="n"/>
      <c r="F116" s="3944" t="n"/>
      <c r="G116" s="3944" t="n"/>
      <c r="H116" s="3944" t="n"/>
      <c r="I116" s="3944" t="n"/>
      <c r="J116" s="3944" t="n"/>
      <c r="K116" s="3942">
        <f>IF(A116="","",SUM(E116:J116))</f>
        <v/>
      </c>
      <c r="L116" s="3934" t="n"/>
      <c r="M116" s="3934" t="n"/>
      <c r="N116" s="3934" t="n"/>
      <c r="O116" s="3934" t="n"/>
      <c r="P116" s="3934" t="n"/>
      <c r="Q116" s="3934" t="n"/>
      <c r="R116" s="3934" t="n"/>
      <c r="S116" s="3934" t="n"/>
      <c r="T116" s="3934" t="n"/>
      <c r="U116" s="3934" t="n"/>
      <c r="V116" s="3934" t="n"/>
      <c r="W116" s="3934" t="n"/>
      <c r="X116" s="3934" t="n"/>
      <c r="Y116" s="3934" t="n"/>
      <c r="Z116" s="3934" t="n"/>
      <c r="AA116" s="3934" t="n"/>
      <c r="AB116" s="3934" t="n"/>
      <c r="AC116" s="3934" t="n"/>
      <c r="AD116" s="3934" t="n"/>
      <c r="AE116" s="3934" t="n"/>
      <c r="AF116" s="3934" t="n"/>
      <c r="AG116" s="3934" t="n"/>
      <c r="AH116" s="3934" t="n"/>
      <c r="AI116" s="3934" t="n"/>
      <c r="AJ116" s="3934" t="n"/>
      <c r="AK116" s="3934" t="n"/>
      <c r="AL116" s="3934" t="n"/>
      <c r="AM116" s="3934" t="n"/>
      <c r="AN116" s="3934" t="n"/>
      <c r="AO116" s="3934" t="n"/>
      <c r="AP116" s="3934" t="n"/>
      <c r="AQ116" s="3934" t="n"/>
      <c r="AR116" s="3934" t="n"/>
    </row>
    <row r="117">
      <c r="A117" s="3941" t="n"/>
      <c r="B117" s="3944" t="n"/>
      <c r="C117" s="3944" t="n"/>
      <c r="D117" s="3944" t="n"/>
      <c r="E117" s="3944" t="n"/>
      <c r="F117" s="3944" t="n"/>
      <c r="G117" s="3944" t="n"/>
      <c r="H117" s="3944" t="n"/>
      <c r="I117" s="3944" t="n"/>
      <c r="J117" s="3944" t="n"/>
      <c r="K117" s="3942">
        <f>IF(A117="","",SUM(E117:J117))</f>
        <v/>
      </c>
      <c r="L117" s="3934" t="n"/>
      <c r="M117" s="3934" t="n"/>
      <c r="N117" s="3934" t="n"/>
      <c r="O117" s="3934" t="n"/>
      <c r="P117" s="3934" t="n"/>
      <c r="Q117" s="3934" t="n"/>
      <c r="R117" s="3934" t="n"/>
      <c r="S117" s="3934" t="n"/>
      <c r="T117" s="3934" t="n"/>
      <c r="U117" s="3934" t="n"/>
      <c r="V117" s="3934" t="n"/>
      <c r="W117" s="3934" t="n"/>
      <c r="X117" s="3934" t="n"/>
      <c r="Y117" s="3934" t="n"/>
      <c r="Z117" s="3934" t="n"/>
      <c r="AA117" s="3934" t="n"/>
      <c r="AB117" s="3934" t="n"/>
      <c r="AC117" s="3934" t="n"/>
      <c r="AD117" s="3934" t="n"/>
      <c r="AE117" s="3934" t="n"/>
      <c r="AF117" s="3934" t="n"/>
      <c r="AG117" s="3934" t="n"/>
      <c r="AH117" s="3934" t="n"/>
      <c r="AI117" s="3934" t="n"/>
      <c r="AJ117" s="3934" t="n"/>
      <c r="AK117" s="3934" t="n"/>
      <c r="AL117" s="3934" t="n"/>
      <c r="AM117" s="3934" t="n"/>
      <c r="AN117" s="3934" t="n"/>
      <c r="AO117" s="3934" t="n"/>
      <c r="AP117" s="3934" t="n"/>
      <c r="AQ117" s="3934" t="n"/>
      <c r="AR117" s="3934" t="n"/>
    </row>
    <row r="118">
      <c r="A118" s="3941" t="n"/>
      <c r="B118" s="3944" t="n"/>
      <c r="C118" s="3944" t="n"/>
      <c r="D118" s="3944" t="n"/>
      <c r="E118" s="3944" t="n"/>
      <c r="F118" s="3944" t="n"/>
      <c r="G118" s="3944" t="n"/>
      <c r="H118" s="3944" t="n"/>
      <c r="I118" s="3944" t="n"/>
      <c r="J118" s="3944" t="n"/>
      <c r="K118" s="3942">
        <f>IF(A118="","",SUM(E118:J118))</f>
        <v/>
      </c>
      <c r="L118" s="3934" t="n"/>
      <c r="M118" s="3934" t="n"/>
      <c r="N118" s="3934" t="n"/>
      <c r="O118" s="3934" t="n"/>
      <c r="P118" s="3934" t="n"/>
      <c r="Q118" s="3934" t="n"/>
      <c r="R118" s="3934" t="n"/>
      <c r="S118" s="3934" t="n"/>
      <c r="T118" s="3934" t="n"/>
      <c r="U118" s="3934" t="n"/>
      <c r="V118" s="3934" t="n"/>
      <c r="W118" s="3934" t="n"/>
      <c r="X118" s="3934" t="n"/>
      <c r="Y118" s="3934" t="n"/>
      <c r="Z118" s="3934" t="n"/>
      <c r="AA118" s="3934" t="n"/>
      <c r="AB118" s="3934" t="n"/>
      <c r="AC118" s="3934" t="n"/>
      <c r="AD118" s="3934" t="n"/>
      <c r="AE118" s="3934" t="n"/>
      <c r="AF118" s="3934" t="n"/>
      <c r="AG118" s="3934" t="n"/>
      <c r="AH118" s="3934" t="n"/>
      <c r="AI118" s="3934" t="n"/>
      <c r="AJ118" s="3934" t="n"/>
      <c r="AK118" s="3934" t="n"/>
      <c r="AL118" s="3934" t="n"/>
      <c r="AM118" s="3934" t="n"/>
      <c r="AN118" s="3934" t="n"/>
      <c r="AO118" s="3934" t="n"/>
      <c r="AP118" s="3934" t="n"/>
      <c r="AQ118" s="3934" t="n"/>
      <c r="AR118" s="3934" t="n"/>
    </row>
    <row r="119">
      <c r="A119" s="3941" t="n"/>
      <c r="B119" s="3944" t="n"/>
      <c r="C119" s="3944" t="n"/>
      <c r="D119" s="3944" t="n"/>
      <c r="E119" s="3944" t="n"/>
      <c r="F119" s="3944" t="n"/>
      <c r="G119" s="3944" t="n"/>
      <c r="H119" s="3944" t="n"/>
      <c r="I119" s="3944" t="n"/>
      <c r="J119" s="3944" t="n"/>
      <c r="K119" s="3942">
        <f>IF(A119="","",SUM(E119:J119))</f>
        <v/>
      </c>
      <c r="L119" s="3934" t="n"/>
      <c r="M119" s="3934" t="n"/>
      <c r="N119" s="3934" t="n"/>
      <c r="O119" s="3934" t="n"/>
      <c r="P119" s="3934" t="n"/>
      <c r="Q119" s="3934" t="n"/>
      <c r="R119" s="3934" t="n"/>
      <c r="S119" s="3934" t="n"/>
      <c r="T119" s="3934" t="n"/>
      <c r="U119" s="3934" t="n"/>
      <c r="V119" s="3934" t="n"/>
      <c r="W119" s="3934" t="n"/>
      <c r="X119" s="3934" t="n"/>
      <c r="Y119" s="3934" t="n"/>
      <c r="Z119" s="3934" t="n"/>
      <c r="AA119" s="3934" t="n"/>
      <c r="AB119" s="3934" t="n"/>
      <c r="AC119" s="3934" t="n"/>
      <c r="AD119" s="3934" t="n"/>
      <c r="AE119" s="3934" t="n"/>
      <c r="AF119" s="3934" t="n"/>
      <c r="AG119" s="3934" t="n"/>
      <c r="AH119" s="3934" t="n"/>
      <c r="AI119" s="3934" t="n"/>
      <c r="AJ119" s="3934" t="n"/>
      <c r="AK119" s="3934" t="n"/>
      <c r="AL119" s="3934" t="n"/>
      <c r="AM119" s="3934" t="n"/>
      <c r="AN119" s="3934" t="n"/>
      <c r="AO119" s="3934" t="n"/>
      <c r="AP119" s="3934" t="n"/>
      <c r="AQ119" s="3934" t="n"/>
      <c r="AR119" s="3934" t="n"/>
    </row>
    <row r="120">
      <c r="A120" s="3941" t="n"/>
      <c r="B120" s="3944" t="n"/>
      <c r="C120" s="3944" t="n"/>
      <c r="D120" s="3944" t="n"/>
      <c r="E120" s="3944" t="n"/>
      <c r="F120" s="3944" t="n"/>
      <c r="G120" s="3944" t="n"/>
      <c r="H120" s="3944" t="n"/>
      <c r="I120" s="3944" t="n"/>
      <c r="J120" s="3944" t="n"/>
      <c r="K120" s="3942">
        <f>IF(A120="","",SUM(E120:J120))</f>
        <v/>
      </c>
      <c r="L120" s="3934" t="n"/>
      <c r="M120" s="3934" t="n"/>
      <c r="N120" s="3934" t="n"/>
      <c r="O120" s="3934" t="n"/>
      <c r="P120" s="3934" t="n"/>
      <c r="Q120" s="3934" t="n"/>
      <c r="R120" s="3934" t="n"/>
      <c r="S120" s="3934" t="n"/>
      <c r="T120" s="3934" t="n"/>
      <c r="U120" s="3934" t="n"/>
      <c r="V120" s="3934" t="n"/>
      <c r="W120" s="3934" t="n"/>
      <c r="X120" s="3934" t="n"/>
      <c r="Y120" s="3934" t="n"/>
      <c r="Z120" s="3934" t="n"/>
      <c r="AA120" s="3934" t="n"/>
      <c r="AB120" s="3934" t="n"/>
      <c r="AC120" s="3934" t="n"/>
      <c r="AD120" s="3934" t="n"/>
      <c r="AE120" s="3934" t="n"/>
      <c r="AF120" s="3934" t="n"/>
      <c r="AG120" s="3934" t="n"/>
      <c r="AH120" s="3934" t="n"/>
      <c r="AI120" s="3934" t="n"/>
      <c r="AJ120" s="3934" t="n"/>
      <c r="AK120" s="3934" t="n"/>
      <c r="AL120" s="3934" t="n"/>
      <c r="AM120" s="3934" t="n"/>
      <c r="AN120" s="3934" t="n"/>
      <c r="AO120" s="3934" t="n"/>
      <c r="AP120" s="3934" t="n"/>
      <c r="AQ120" s="3934" t="n"/>
      <c r="AR120" s="3934" t="n"/>
    </row>
    <row r="121">
      <c r="A121" s="3941" t="n"/>
      <c r="B121" s="3944" t="n"/>
      <c r="C121" s="3944" t="n"/>
      <c r="D121" s="3944" t="n"/>
      <c r="E121" s="3944" t="n"/>
      <c r="F121" s="3944" t="n"/>
      <c r="G121" s="3944" t="n"/>
      <c r="H121" s="3944" t="n"/>
      <c r="I121" s="3944" t="n"/>
      <c r="J121" s="3944" t="n"/>
      <c r="K121" s="3942">
        <f>IF(A121="","",SUM(E121:J121))</f>
        <v/>
      </c>
      <c r="L121" s="3934" t="n"/>
      <c r="M121" s="3934" t="n"/>
      <c r="N121" s="3934" t="n"/>
      <c r="O121" s="3934" t="n"/>
      <c r="P121" s="3934" t="n"/>
      <c r="Q121" s="3934" t="n"/>
      <c r="R121" s="3934" t="n"/>
      <c r="S121" s="3934" t="n"/>
      <c r="T121" s="3934" t="n"/>
      <c r="U121" s="3934" t="n"/>
      <c r="V121" s="3934" t="n"/>
      <c r="W121" s="3934" t="n"/>
      <c r="X121" s="3934" t="n"/>
      <c r="Y121" s="3934" t="n"/>
      <c r="Z121" s="3934" t="n"/>
      <c r="AA121" s="3934" t="n"/>
      <c r="AB121" s="3934" t="n"/>
      <c r="AC121" s="3934" t="n"/>
      <c r="AD121" s="3934" t="n"/>
      <c r="AE121" s="3934" t="n"/>
      <c r="AF121" s="3934" t="n"/>
      <c r="AG121" s="3934" t="n"/>
      <c r="AH121" s="3934" t="n"/>
      <c r="AI121" s="3934" t="n"/>
      <c r="AJ121" s="3934" t="n"/>
      <c r="AK121" s="3934" t="n"/>
      <c r="AL121" s="3934" t="n"/>
      <c r="AM121" s="3934" t="n"/>
      <c r="AN121" s="3934" t="n"/>
      <c r="AO121" s="3934" t="n"/>
      <c r="AP121" s="3934" t="n"/>
      <c r="AQ121" s="3934" t="n"/>
      <c r="AR121" s="3934" t="n"/>
    </row>
    <row r="122">
      <c r="A122" s="3941" t="n"/>
      <c r="B122" s="3944" t="n"/>
      <c r="C122" s="3944" t="n"/>
      <c r="D122" s="3944" t="n"/>
      <c r="E122" s="3944" t="n"/>
      <c r="F122" s="3944" t="n"/>
      <c r="G122" s="3944" t="n"/>
      <c r="H122" s="3944" t="n"/>
      <c r="I122" s="3944" t="n"/>
      <c r="J122" s="3944" t="n"/>
      <c r="K122" s="3942">
        <f>IF(A122="","",SUM(E122:J122))</f>
        <v/>
      </c>
      <c r="L122" s="3934" t="n"/>
      <c r="M122" s="3934" t="n"/>
      <c r="N122" s="3934" t="n"/>
      <c r="O122" s="3934" t="n"/>
      <c r="P122" s="3934" t="n"/>
      <c r="Q122" s="3934" t="n"/>
      <c r="R122" s="3934" t="n"/>
      <c r="S122" s="3934" t="n"/>
      <c r="T122" s="3934" t="n"/>
      <c r="U122" s="3934" t="n"/>
      <c r="V122" s="3934" t="n"/>
      <c r="W122" s="3934" t="n"/>
      <c r="X122" s="3934" t="n"/>
      <c r="Y122" s="3934" t="n"/>
      <c r="Z122" s="3934" t="n"/>
      <c r="AA122" s="3934" t="n"/>
      <c r="AB122" s="3934" t="n"/>
      <c r="AC122" s="3934" t="n"/>
      <c r="AD122" s="3934" t="n"/>
      <c r="AE122" s="3934" t="n"/>
      <c r="AF122" s="3934" t="n"/>
      <c r="AG122" s="3934" t="n"/>
      <c r="AH122" s="3934" t="n"/>
      <c r="AI122" s="3934" t="n"/>
      <c r="AJ122" s="3934" t="n"/>
      <c r="AK122" s="3934" t="n"/>
      <c r="AL122" s="3934" t="n"/>
      <c r="AM122" s="3934" t="n"/>
      <c r="AN122" s="3934" t="n"/>
      <c r="AO122" s="3934" t="n"/>
      <c r="AP122" s="3934" t="n"/>
      <c r="AQ122" s="3934" t="n"/>
      <c r="AR122" s="3934" t="n"/>
    </row>
    <row r="123">
      <c r="A123" s="3941" t="n"/>
      <c r="B123" s="3944" t="n"/>
      <c r="C123" s="3944" t="n"/>
      <c r="D123" s="3944" t="n"/>
      <c r="E123" s="3944" t="n"/>
      <c r="F123" s="3944" t="n"/>
      <c r="G123" s="3944" t="n"/>
      <c r="H123" s="3944" t="n"/>
      <c r="I123" s="3944" t="n"/>
      <c r="J123" s="3944" t="n"/>
      <c r="K123" s="3942">
        <f>IF(A123="","",SUM(E123:J123))</f>
        <v/>
      </c>
      <c r="L123" s="3934" t="n"/>
      <c r="M123" s="3934" t="n"/>
      <c r="N123" s="3934" t="n"/>
      <c r="O123" s="3934" t="n"/>
      <c r="P123" s="3934" t="n"/>
      <c r="Q123" s="3934" t="n"/>
      <c r="R123" s="3934" t="n"/>
      <c r="S123" s="3934" t="n"/>
      <c r="T123" s="3934" t="n"/>
      <c r="U123" s="3934" t="n"/>
      <c r="V123" s="3934" t="n"/>
      <c r="W123" s="3934" t="n"/>
      <c r="X123" s="3934" t="n"/>
      <c r="Y123" s="3934" t="n"/>
      <c r="Z123" s="3934" t="n"/>
      <c r="AA123" s="3934" t="n"/>
      <c r="AB123" s="3934" t="n"/>
      <c r="AC123" s="3934" t="n"/>
      <c r="AD123" s="3934" t="n"/>
      <c r="AE123" s="3934" t="n"/>
      <c r="AF123" s="3934" t="n"/>
      <c r="AG123" s="3934" t="n"/>
      <c r="AH123" s="3934" t="n"/>
      <c r="AI123" s="3934" t="n"/>
      <c r="AJ123" s="3934" t="n"/>
      <c r="AK123" s="3934" t="n"/>
      <c r="AL123" s="3934" t="n"/>
      <c r="AM123" s="3934" t="n"/>
      <c r="AN123" s="3934" t="n"/>
      <c r="AO123" s="3934" t="n"/>
      <c r="AP123" s="3934" t="n"/>
      <c r="AQ123" s="3934" t="n"/>
      <c r="AR123" s="3934" t="n"/>
    </row>
    <row r="124">
      <c r="A124" s="3941" t="n"/>
      <c r="B124" s="3944" t="n"/>
      <c r="C124" s="3944" t="n"/>
      <c r="D124" s="3944" t="n"/>
      <c r="E124" s="3944" t="n"/>
      <c r="F124" s="3944" t="n"/>
      <c r="G124" s="3944" t="n"/>
      <c r="H124" s="3944" t="n"/>
      <c r="I124" s="3944" t="n"/>
      <c r="J124" s="3944" t="n"/>
      <c r="K124" s="3942">
        <f>IF(A124="","",SUM(E124:J124))</f>
        <v/>
      </c>
      <c r="L124" s="3934" t="n"/>
      <c r="M124" s="3934" t="n"/>
      <c r="N124" s="3934" t="n"/>
      <c r="O124" s="3934" t="n"/>
      <c r="P124" s="3934" t="n"/>
      <c r="Q124" s="3934" t="n"/>
      <c r="R124" s="3934" t="n"/>
      <c r="S124" s="3934" t="n"/>
      <c r="T124" s="3934" t="n"/>
      <c r="U124" s="3934" t="n"/>
      <c r="V124" s="3934" t="n"/>
      <c r="W124" s="3934" t="n"/>
      <c r="X124" s="3934" t="n"/>
      <c r="Y124" s="3934" t="n"/>
      <c r="Z124" s="3934" t="n"/>
      <c r="AA124" s="3934" t="n"/>
      <c r="AB124" s="3934" t="n"/>
      <c r="AC124" s="3934" t="n"/>
      <c r="AD124" s="3934" t="n"/>
      <c r="AE124" s="3934" t="n"/>
      <c r="AF124" s="3934" t="n"/>
      <c r="AG124" s="3934" t="n"/>
      <c r="AH124" s="3934" t="n"/>
      <c r="AI124" s="3934" t="n"/>
      <c r="AJ124" s="3934" t="n"/>
      <c r="AK124" s="3934" t="n"/>
      <c r="AL124" s="3934" t="n"/>
      <c r="AM124" s="3934" t="n"/>
      <c r="AN124" s="3934" t="n"/>
      <c r="AO124" s="3934" t="n"/>
      <c r="AP124" s="3934" t="n"/>
      <c r="AQ124" s="3934" t="n"/>
      <c r="AR124" s="3934" t="n"/>
    </row>
    <row r="125">
      <c r="A125" s="3941" t="n"/>
      <c r="B125" s="3944" t="n"/>
      <c r="C125" s="3944" t="n"/>
      <c r="D125" s="3944" t="n"/>
      <c r="E125" s="3944" t="n"/>
      <c r="F125" s="3944" t="n"/>
      <c r="G125" s="3944" t="n"/>
      <c r="H125" s="3944" t="n"/>
      <c r="I125" s="3944" t="n"/>
      <c r="J125" s="3944" t="n"/>
      <c r="K125" s="3942">
        <f>IF(A125="","",SUM(E125:J125))</f>
        <v/>
      </c>
      <c r="L125" s="3934" t="n"/>
      <c r="M125" s="3934" t="n"/>
      <c r="N125" s="3934" t="n"/>
      <c r="O125" s="3934" t="n"/>
      <c r="P125" s="3934" t="n"/>
      <c r="Q125" s="3934" t="n"/>
      <c r="R125" s="3934" t="n"/>
      <c r="S125" s="3934" t="n"/>
      <c r="T125" s="3934" t="n"/>
      <c r="U125" s="3934" t="n"/>
      <c r="V125" s="3934" t="n"/>
      <c r="W125" s="3934" t="n"/>
      <c r="X125" s="3934" t="n"/>
      <c r="Y125" s="3934" t="n"/>
      <c r="Z125" s="3934" t="n"/>
      <c r="AA125" s="3934" t="n"/>
      <c r="AB125" s="3934" t="n"/>
      <c r="AC125" s="3934" t="n"/>
      <c r="AD125" s="3934" t="n"/>
      <c r="AE125" s="3934" t="n"/>
      <c r="AF125" s="3934" t="n"/>
      <c r="AG125" s="3934" t="n"/>
      <c r="AH125" s="3934" t="n"/>
      <c r="AI125" s="3934" t="n"/>
      <c r="AJ125" s="3934" t="n"/>
      <c r="AK125" s="3934" t="n"/>
      <c r="AL125" s="3934" t="n"/>
      <c r="AM125" s="3934" t="n"/>
      <c r="AN125" s="3934" t="n"/>
      <c r="AO125" s="3934" t="n"/>
      <c r="AP125" s="3934" t="n"/>
      <c r="AQ125" s="3934" t="n"/>
      <c r="AR125" s="3934" t="n"/>
    </row>
    <row r="126">
      <c r="A126" s="3941" t="n"/>
      <c r="B126" s="3944" t="n"/>
      <c r="C126" s="3944" t="n"/>
      <c r="D126" s="3944" t="n"/>
      <c r="E126" s="3944" t="n"/>
      <c r="F126" s="3944" t="n"/>
      <c r="G126" s="3944" t="n"/>
      <c r="H126" s="3944" t="n"/>
      <c r="I126" s="3944" t="n"/>
      <c r="J126" s="3944" t="n"/>
      <c r="K126" s="3942">
        <f>IF(A126="","",SUM(E126:J126))</f>
        <v/>
      </c>
      <c r="L126" s="3934" t="n"/>
      <c r="M126" s="3934" t="n"/>
      <c r="N126" s="3934" t="n"/>
      <c r="O126" s="3934" t="n"/>
      <c r="P126" s="3934" t="n"/>
      <c r="Q126" s="3934" t="n"/>
      <c r="R126" s="3934" t="n"/>
      <c r="S126" s="3934" t="n"/>
      <c r="T126" s="3934" t="n"/>
      <c r="U126" s="3934" t="n"/>
      <c r="V126" s="3934" t="n"/>
      <c r="W126" s="3934" t="n"/>
      <c r="X126" s="3934" t="n"/>
      <c r="Y126" s="3934" t="n"/>
      <c r="Z126" s="3934" t="n"/>
      <c r="AA126" s="3934" t="n"/>
      <c r="AB126" s="3934" t="n"/>
      <c r="AC126" s="3934" t="n"/>
      <c r="AD126" s="3934" t="n"/>
      <c r="AE126" s="3934" t="n"/>
      <c r="AF126" s="3934" t="n"/>
      <c r="AG126" s="3934" t="n"/>
      <c r="AH126" s="3934" t="n"/>
      <c r="AI126" s="3934" t="n"/>
      <c r="AJ126" s="3934" t="n"/>
      <c r="AK126" s="3934" t="n"/>
      <c r="AL126" s="3934" t="n"/>
      <c r="AM126" s="3934" t="n"/>
      <c r="AN126" s="3934" t="n"/>
      <c r="AO126" s="3934" t="n"/>
      <c r="AP126" s="3934" t="n"/>
      <c r="AQ126" s="3934" t="n"/>
      <c r="AR126" s="3934" t="n"/>
    </row>
    <row r="127">
      <c r="A127" s="3941" t="n"/>
      <c r="B127" s="3944" t="n"/>
      <c r="C127" s="3944" t="n"/>
      <c r="D127" s="3944" t="n"/>
      <c r="E127" s="3944" t="n"/>
      <c r="F127" s="3944" t="n"/>
      <c r="G127" s="3944" t="n"/>
      <c r="H127" s="3944" t="n"/>
      <c r="I127" s="3944" t="n"/>
      <c r="J127" s="3944" t="n"/>
      <c r="K127" s="3942">
        <f>IF(A127="","",SUM(E127:J127))</f>
        <v/>
      </c>
      <c r="L127" s="3934" t="n"/>
      <c r="M127" s="3934" t="n"/>
      <c r="N127" s="3934" t="n"/>
      <c r="O127" s="3934" t="n"/>
      <c r="P127" s="3934" t="n"/>
      <c r="Q127" s="3934" t="n"/>
      <c r="R127" s="3934" t="n"/>
      <c r="S127" s="3934" t="n"/>
      <c r="T127" s="3934" t="n"/>
      <c r="U127" s="3934" t="n"/>
      <c r="V127" s="3934" t="n"/>
      <c r="W127" s="3934" t="n"/>
      <c r="X127" s="3934" t="n"/>
      <c r="Y127" s="3934" t="n"/>
      <c r="Z127" s="3934" t="n"/>
      <c r="AA127" s="3934" t="n"/>
      <c r="AB127" s="3934" t="n"/>
      <c r="AC127" s="3934" t="n"/>
      <c r="AD127" s="3934" t="n"/>
      <c r="AE127" s="3934" t="n"/>
      <c r="AF127" s="3934" t="n"/>
      <c r="AG127" s="3934" t="n"/>
      <c r="AH127" s="3934" t="n"/>
      <c r="AI127" s="3934" t="n"/>
      <c r="AJ127" s="3934" t="n"/>
      <c r="AK127" s="3934" t="n"/>
      <c r="AL127" s="3934" t="n"/>
      <c r="AM127" s="3934" t="n"/>
      <c r="AN127" s="3934" t="n"/>
      <c r="AO127" s="3934" t="n"/>
      <c r="AP127" s="3934" t="n"/>
      <c r="AQ127" s="3934" t="n"/>
      <c r="AR127" s="3934" t="n"/>
    </row>
    <row r="128">
      <c r="A128" s="3941" t="n"/>
      <c r="B128" s="3944" t="n"/>
      <c r="C128" s="3944" t="n"/>
      <c r="D128" s="3944" t="n"/>
      <c r="E128" s="3944" t="n"/>
      <c r="F128" s="3944" t="n"/>
      <c r="G128" s="3944" t="n"/>
      <c r="H128" s="3944" t="n"/>
      <c r="I128" s="3944" t="n"/>
      <c r="J128" s="3944" t="n"/>
      <c r="K128" s="3942">
        <f>IF(A128="","",SUM(E128:J128))</f>
        <v/>
      </c>
      <c r="L128" s="3934" t="n"/>
      <c r="M128" s="3934" t="n"/>
      <c r="N128" s="3934" t="n"/>
      <c r="O128" s="3934" t="n"/>
      <c r="P128" s="3934" t="n"/>
      <c r="Q128" s="3934" t="n"/>
      <c r="R128" s="3934" t="n"/>
      <c r="S128" s="3934" t="n"/>
      <c r="T128" s="3934" t="n"/>
      <c r="U128" s="3934" t="n"/>
      <c r="V128" s="3934" t="n"/>
      <c r="W128" s="3934" t="n"/>
      <c r="X128" s="3934" t="n"/>
      <c r="Y128" s="3934" t="n"/>
      <c r="Z128" s="3934" t="n"/>
      <c r="AA128" s="3934" t="n"/>
      <c r="AB128" s="3934" t="n"/>
      <c r="AC128" s="3934" t="n"/>
      <c r="AD128" s="3934" t="n"/>
      <c r="AE128" s="3934" t="n"/>
      <c r="AF128" s="3934" t="n"/>
      <c r="AG128" s="3934" t="n"/>
      <c r="AH128" s="3934" t="n"/>
      <c r="AI128" s="3934" t="n"/>
      <c r="AJ128" s="3934" t="n"/>
      <c r="AK128" s="3934" t="n"/>
      <c r="AL128" s="3934" t="n"/>
      <c r="AM128" s="3934" t="n"/>
      <c r="AN128" s="3934" t="n"/>
      <c r="AO128" s="3934" t="n"/>
      <c r="AP128" s="3934" t="n"/>
      <c r="AQ128" s="3934" t="n"/>
      <c r="AR128" s="3934" t="n"/>
    </row>
    <row r="129">
      <c r="A129" s="3941" t="n"/>
      <c r="B129" s="3944" t="n"/>
      <c r="C129" s="3944" t="n"/>
      <c r="D129" s="3944" t="n"/>
      <c r="E129" s="3944" t="n"/>
      <c r="F129" s="3944" t="n"/>
      <c r="G129" s="3944" t="n"/>
      <c r="H129" s="3944" t="n"/>
      <c r="I129" s="3944" t="n"/>
      <c r="J129" s="3944" t="n"/>
      <c r="K129" s="3942">
        <f>IF(A129="","",SUM(E129:J129))</f>
        <v/>
      </c>
      <c r="L129" s="3934" t="n"/>
      <c r="M129" s="3934" t="n"/>
      <c r="N129" s="3934" t="n"/>
      <c r="O129" s="3934" t="n"/>
      <c r="P129" s="3934" t="n"/>
      <c r="Q129" s="3934" t="n"/>
      <c r="R129" s="3934" t="n"/>
      <c r="S129" s="3934" t="n"/>
      <c r="T129" s="3934" t="n"/>
      <c r="U129" s="3934" t="n"/>
      <c r="V129" s="3934" t="n"/>
      <c r="W129" s="3934" t="n"/>
      <c r="X129" s="3934" t="n"/>
      <c r="Y129" s="3934" t="n"/>
      <c r="Z129" s="3934" t="n"/>
      <c r="AA129" s="3934" t="n"/>
      <c r="AB129" s="3934" t="n"/>
      <c r="AC129" s="3934" t="n"/>
      <c r="AD129" s="3934" t="n"/>
      <c r="AE129" s="3934" t="n"/>
      <c r="AF129" s="3934" t="n"/>
      <c r="AG129" s="3934" t="n"/>
      <c r="AH129" s="3934" t="n"/>
      <c r="AI129" s="3934" t="n"/>
      <c r="AJ129" s="3934" t="n"/>
      <c r="AK129" s="3934" t="n"/>
      <c r="AL129" s="3934" t="n"/>
      <c r="AM129" s="3934" t="n"/>
      <c r="AN129" s="3934" t="n"/>
      <c r="AO129" s="3934" t="n"/>
      <c r="AP129" s="3934" t="n"/>
      <c r="AQ129" s="3934" t="n"/>
      <c r="AR129" s="3934" t="n"/>
    </row>
    <row r="130">
      <c r="A130" s="3941" t="n"/>
      <c r="B130" s="3944" t="n"/>
      <c r="C130" s="3944" t="n"/>
      <c r="D130" s="3944" t="n"/>
      <c r="E130" s="3944" t="n"/>
      <c r="F130" s="3944" t="n"/>
      <c r="G130" s="3944" t="n"/>
      <c r="H130" s="3944" t="n"/>
      <c r="I130" s="3944" t="n"/>
      <c r="J130" s="3944" t="n"/>
      <c r="K130" s="3942">
        <f>IF(A130="","",SUM(E130:J130))</f>
        <v/>
      </c>
      <c r="L130" s="3934" t="n"/>
      <c r="M130" s="3934" t="n"/>
      <c r="N130" s="3934" t="n"/>
      <c r="O130" s="3934" t="n"/>
      <c r="P130" s="3934" t="n"/>
      <c r="Q130" s="3934" t="n"/>
      <c r="R130" s="3934" t="n"/>
      <c r="S130" s="3934" t="n"/>
      <c r="T130" s="3934" t="n"/>
      <c r="U130" s="3934" t="n"/>
      <c r="V130" s="3934" t="n"/>
      <c r="W130" s="3934" t="n"/>
      <c r="X130" s="3934" t="n"/>
      <c r="Y130" s="3934" t="n"/>
      <c r="Z130" s="3934" t="n"/>
      <c r="AA130" s="3934" t="n"/>
      <c r="AB130" s="3934" t="n"/>
      <c r="AC130" s="3934" t="n"/>
      <c r="AD130" s="3934" t="n"/>
      <c r="AE130" s="3934" t="n"/>
      <c r="AF130" s="3934" t="n"/>
      <c r="AG130" s="3934" t="n"/>
      <c r="AH130" s="3934" t="n"/>
      <c r="AI130" s="3934" t="n"/>
      <c r="AJ130" s="3934" t="n"/>
      <c r="AK130" s="3934" t="n"/>
      <c r="AL130" s="3934" t="n"/>
      <c r="AM130" s="3934" t="n"/>
      <c r="AN130" s="3934" t="n"/>
      <c r="AO130" s="3934" t="n"/>
      <c r="AP130" s="3934" t="n"/>
      <c r="AQ130" s="3934" t="n"/>
      <c r="AR130" s="3934" t="n"/>
    </row>
    <row r="131">
      <c r="A131" s="3941" t="n"/>
      <c r="B131" s="3944" t="n"/>
      <c r="C131" s="3944" t="n"/>
      <c r="D131" s="3944" t="n"/>
      <c r="E131" s="3944" t="n"/>
      <c r="F131" s="3944" t="n"/>
      <c r="G131" s="3944" t="n"/>
      <c r="H131" s="3944" t="n"/>
      <c r="I131" s="3944" t="n"/>
      <c r="J131" s="3944" t="n"/>
      <c r="K131" s="3942">
        <f>IF(A131="","",SUM(E131:J131))</f>
        <v/>
      </c>
      <c r="L131" s="3934" t="n"/>
      <c r="M131" s="3934" t="n"/>
      <c r="N131" s="3934" t="n"/>
      <c r="O131" s="3934" t="n"/>
      <c r="P131" s="3934" t="n"/>
      <c r="Q131" s="3934" t="n"/>
      <c r="R131" s="3934" t="n"/>
      <c r="S131" s="3934" t="n"/>
      <c r="T131" s="3934" t="n"/>
      <c r="U131" s="3934" t="n"/>
      <c r="V131" s="3934" t="n"/>
      <c r="W131" s="3934" t="n"/>
      <c r="X131" s="3934" t="n"/>
      <c r="Y131" s="3934" t="n"/>
      <c r="Z131" s="3934" t="n"/>
      <c r="AA131" s="3934" t="n"/>
      <c r="AB131" s="3934" t="n"/>
      <c r="AC131" s="3934" t="n"/>
      <c r="AD131" s="3934" t="n"/>
      <c r="AE131" s="3934" t="n"/>
      <c r="AF131" s="3934" t="n"/>
      <c r="AG131" s="3934" t="n"/>
      <c r="AH131" s="3934" t="n"/>
      <c r="AI131" s="3934" t="n"/>
      <c r="AJ131" s="3934" t="n"/>
      <c r="AK131" s="3934" t="n"/>
      <c r="AL131" s="3934" t="n"/>
      <c r="AM131" s="3934" t="n"/>
      <c r="AN131" s="3934" t="n"/>
      <c r="AO131" s="3934" t="n"/>
      <c r="AP131" s="3934" t="n"/>
      <c r="AQ131" s="3934" t="n"/>
      <c r="AR131" s="3934" t="n"/>
    </row>
    <row r="132">
      <c r="A132" s="3941" t="n"/>
      <c r="B132" s="3944" t="n"/>
      <c r="C132" s="3944" t="n"/>
      <c r="D132" s="3944" t="n"/>
      <c r="E132" s="3944" t="n"/>
      <c r="F132" s="3944" t="n"/>
      <c r="G132" s="3944" t="n"/>
      <c r="H132" s="3944" t="n"/>
      <c r="I132" s="3944" t="n"/>
      <c r="J132" s="3944" t="n"/>
      <c r="K132" s="3942">
        <f>IF(A132="","",SUM(E132:J132))</f>
        <v/>
      </c>
      <c r="L132" s="3934" t="n"/>
      <c r="M132" s="3934" t="n"/>
      <c r="N132" s="3934" t="n"/>
      <c r="O132" s="3934" t="n"/>
      <c r="P132" s="3934" t="n"/>
      <c r="Q132" s="3934" t="n"/>
      <c r="R132" s="3934" t="n"/>
      <c r="S132" s="3934" t="n"/>
      <c r="T132" s="3934" t="n"/>
      <c r="U132" s="3934" t="n"/>
      <c r="V132" s="3934" t="n"/>
      <c r="W132" s="3934" t="n"/>
      <c r="X132" s="3934" t="n"/>
      <c r="Y132" s="3934" t="n"/>
      <c r="Z132" s="3934" t="n"/>
      <c r="AA132" s="3934" t="n"/>
      <c r="AB132" s="3934" t="n"/>
      <c r="AC132" s="3934" t="n"/>
      <c r="AD132" s="3934" t="n"/>
      <c r="AE132" s="3934" t="n"/>
      <c r="AF132" s="3934" t="n"/>
      <c r="AG132" s="3934" t="n"/>
      <c r="AH132" s="3934" t="n"/>
      <c r="AI132" s="3934" t="n"/>
      <c r="AJ132" s="3934" t="n"/>
      <c r="AK132" s="3934" t="n"/>
      <c r="AL132" s="3934" t="n"/>
      <c r="AM132" s="3934" t="n"/>
      <c r="AN132" s="3934" t="n"/>
      <c r="AO132" s="3934" t="n"/>
      <c r="AP132" s="3934" t="n"/>
      <c r="AQ132" s="3934" t="n"/>
      <c r="AR132" s="3934" t="n"/>
    </row>
    <row r="133">
      <c r="A133" s="3941" t="n"/>
      <c r="B133" s="3944" t="n"/>
      <c r="C133" s="3944" t="n"/>
      <c r="D133" s="3944" t="n"/>
      <c r="E133" s="3944" t="n"/>
      <c r="F133" s="3944" t="n"/>
      <c r="G133" s="3944" t="n"/>
      <c r="H133" s="3944" t="n"/>
      <c r="I133" s="3944" t="n"/>
      <c r="J133" s="3944" t="n"/>
      <c r="K133" s="3942">
        <f>IF(A133="","",SUM(E133:J133))</f>
        <v/>
      </c>
      <c r="L133" s="3934" t="n"/>
      <c r="M133" s="3934" t="n"/>
      <c r="N133" s="3934" t="n"/>
      <c r="O133" s="3934" t="n"/>
      <c r="P133" s="3934" t="n"/>
      <c r="Q133" s="3934" t="n"/>
      <c r="R133" s="3934" t="n"/>
      <c r="S133" s="3934" t="n"/>
      <c r="T133" s="3934" t="n"/>
      <c r="U133" s="3934" t="n"/>
      <c r="V133" s="3934" t="n"/>
      <c r="W133" s="3934" t="n"/>
      <c r="X133" s="3934" t="n"/>
      <c r="Y133" s="3934" t="n"/>
      <c r="Z133" s="3934" t="n"/>
      <c r="AA133" s="3934" t="n"/>
      <c r="AB133" s="3934" t="n"/>
      <c r="AC133" s="3934" t="n"/>
      <c r="AD133" s="3934" t="n"/>
      <c r="AE133" s="3934" t="n"/>
      <c r="AF133" s="3934" t="n"/>
      <c r="AG133" s="3934" t="n"/>
      <c r="AH133" s="3934" t="n"/>
      <c r="AI133" s="3934" t="n"/>
      <c r="AJ133" s="3934" t="n"/>
      <c r="AK133" s="3934" t="n"/>
      <c r="AL133" s="3934" t="n"/>
      <c r="AM133" s="3934" t="n"/>
      <c r="AN133" s="3934" t="n"/>
      <c r="AO133" s="3934" t="n"/>
      <c r="AP133" s="3934" t="n"/>
      <c r="AQ133" s="3934" t="n"/>
      <c r="AR133" s="3934" t="n"/>
    </row>
    <row r="134">
      <c r="A134" s="3941" t="n"/>
      <c r="B134" s="3944" t="n"/>
      <c r="C134" s="3944" t="n"/>
      <c r="D134" s="3944" t="n"/>
      <c r="E134" s="3944" t="n"/>
      <c r="F134" s="3944" t="n"/>
      <c r="G134" s="3944" t="n"/>
      <c r="H134" s="3944" t="n"/>
      <c r="I134" s="3944" t="n"/>
      <c r="J134" s="3944" t="n"/>
      <c r="K134" s="3942">
        <f>IF(A134="","",SUM(E134:J134))</f>
        <v/>
      </c>
      <c r="L134" s="3934" t="n"/>
      <c r="M134" s="3934" t="n"/>
      <c r="N134" s="3934" t="n"/>
      <c r="O134" s="3934" t="n"/>
      <c r="P134" s="3934" t="n"/>
      <c r="Q134" s="3934" t="n"/>
      <c r="R134" s="3934" t="n"/>
      <c r="S134" s="3934" t="n"/>
      <c r="T134" s="3934" t="n"/>
      <c r="U134" s="3934" t="n"/>
      <c r="V134" s="3934" t="n"/>
      <c r="W134" s="3934" t="n"/>
      <c r="X134" s="3934" t="n"/>
      <c r="Y134" s="3934" t="n"/>
      <c r="Z134" s="3934" t="n"/>
      <c r="AA134" s="3934" t="n"/>
      <c r="AB134" s="3934" t="n"/>
      <c r="AC134" s="3934" t="n"/>
      <c r="AD134" s="3934" t="n"/>
      <c r="AE134" s="3934" t="n"/>
      <c r="AF134" s="3934" t="n"/>
      <c r="AG134" s="3934" t="n"/>
      <c r="AH134" s="3934" t="n"/>
      <c r="AI134" s="3934" t="n"/>
      <c r="AJ134" s="3934" t="n"/>
      <c r="AK134" s="3934" t="n"/>
      <c r="AL134" s="3934" t="n"/>
      <c r="AM134" s="3934" t="n"/>
      <c r="AN134" s="3934" t="n"/>
      <c r="AO134" s="3934" t="n"/>
      <c r="AP134" s="3934" t="n"/>
      <c r="AQ134" s="3934" t="n"/>
      <c r="AR134" s="3934" t="n"/>
    </row>
    <row r="135">
      <c r="A135" s="3941" t="n"/>
      <c r="B135" s="3944" t="n"/>
      <c r="C135" s="3944" t="n"/>
      <c r="D135" s="3944" t="n"/>
      <c r="E135" s="3944" t="n"/>
      <c r="F135" s="3944" t="n"/>
      <c r="G135" s="3944" t="n"/>
      <c r="H135" s="3944" t="n"/>
      <c r="I135" s="3944" t="n"/>
      <c r="J135" s="3944" t="n"/>
      <c r="K135" s="3942">
        <f>IF(A135="","",SUM(E135:J135))</f>
        <v/>
      </c>
      <c r="L135" s="3934" t="n"/>
      <c r="M135" s="3934" t="n"/>
      <c r="N135" s="3934" t="n"/>
      <c r="O135" s="3934" t="n"/>
      <c r="P135" s="3934" t="n"/>
      <c r="Q135" s="3934" t="n"/>
      <c r="R135" s="3934" t="n"/>
      <c r="S135" s="3934" t="n"/>
      <c r="T135" s="3934" t="n"/>
      <c r="U135" s="3934" t="n"/>
      <c r="V135" s="3934" t="n"/>
      <c r="W135" s="3934" t="n"/>
      <c r="X135" s="3934" t="n"/>
      <c r="Y135" s="3934" t="n"/>
      <c r="Z135" s="3934" t="n"/>
      <c r="AA135" s="3934" t="n"/>
      <c r="AB135" s="3934" t="n"/>
      <c r="AC135" s="3934" t="n"/>
      <c r="AD135" s="3934" t="n"/>
      <c r="AE135" s="3934" t="n"/>
      <c r="AF135" s="3934" t="n"/>
      <c r="AG135" s="3934" t="n"/>
      <c r="AH135" s="3934" t="n"/>
      <c r="AI135" s="3934" t="n"/>
      <c r="AJ135" s="3934" t="n"/>
      <c r="AK135" s="3934" t="n"/>
      <c r="AL135" s="3934" t="n"/>
      <c r="AM135" s="3934" t="n"/>
      <c r="AN135" s="3934" t="n"/>
      <c r="AO135" s="3934" t="n"/>
      <c r="AP135" s="3934" t="n"/>
      <c r="AQ135" s="3934" t="n"/>
      <c r="AR135" s="3934" t="n"/>
    </row>
    <row r="136">
      <c r="A136" s="3941" t="n"/>
      <c r="B136" s="3944" t="n"/>
      <c r="C136" s="3944" t="n"/>
      <c r="D136" s="3944" t="n"/>
      <c r="E136" s="3944" t="n"/>
      <c r="F136" s="3944" t="n"/>
      <c r="G136" s="3944" t="n"/>
      <c r="H136" s="3944" t="n"/>
      <c r="I136" s="3944" t="n"/>
      <c r="J136" s="3944" t="n"/>
      <c r="K136" s="3942">
        <f>IF(A136="","",SUM(E136:J136))</f>
        <v/>
      </c>
      <c r="L136" s="3934" t="n"/>
      <c r="M136" s="3934" t="n"/>
      <c r="N136" s="3934" t="n"/>
      <c r="O136" s="3934" t="n"/>
      <c r="P136" s="3934" t="n"/>
      <c r="Q136" s="3934" t="n"/>
      <c r="R136" s="3934" t="n"/>
      <c r="S136" s="3934" t="n"/>
      <c r="T136" s="3934" t="n"/>
      <c r="U136" s="3934" t="n"/>
      <c r="V136" s="3934" t="n"/>
      <c r="W136" s="3934" t="n"/>
      <c r="X136" s="3934" t="n"/>
      <c r="Y136" s="3934" t="n"/>
      <c r="Z136" s="3934" t="n"/>
      <c r="AA136" s="3934" t="n"/>
      <c r="AB136" s="3934" t="n"/>
      <c r="AC136" s="3934" t="n"/>
      <c r="AD136" s="3934" t="n"/>
      <c r="AE136" s="3934" t="n"/>
      <c r="AF136" s="3934" t="n"/>
      <c r="AG136" s="3934" t="n"/>
      <c r="AH136" s="3934" t="n"/>
      <c r="AI136" s="3934" t="n"/>
      <c r="AJ136" s="3934" t="n"/>
      <c r="AK136" s="3934" t="n"/>
      <c r="AL136" s="3934" t="n"/>
      <c r="AM136" s="3934" t="n"/>
      <c r="AN136" s="3934" t="n"/>
      <c r="AO136" s="3934" t="n"/>
      <c r="AP136" s="3934" t="n"/>
      <c r="AQ136" s="3934" t="n"/>
      <c r="AR136" s="3934" t="n"/>
    </row>
    <row r="137">
      <c r="A137" s="3941" t="n"/>
      <c r="B137" s="3944" t="n"/>
      <c r="C137" s="3944" t="n"/>
      <c r="D137" s="3944" t="n"/>
      <c r="E137" s="3944" t="n"/>
      <c r="F137" s="3944" t="n"/>
      <c r="G137" s="3944" t="n"/>
      <c r="H137" s="3944" t="n"/>
      <c r="I137" s="3944" t="n"/>
      <c r="J137" s="3944" t="n"/>
      <c r="K137" s="3942">
        <f>IF(A137="","",SUM(E137:J137))</f>
        <v/>
      </c>
      <c r="L137" s="3934" t="n"/>
      <c r="M137" s="3934" t="n"/>
      <c r="N137" s="3934" t="n"/>
      <c r="O137" s="3934" t="n"/>
      <c r="P137" s="3934" t="n"/>
      <c r="Q137" s="3934" t="n"/>
      <c r="R137" s="3934" t="n"/>
      <c r="S137" s="3934" t="n"/>
      <c r="T137" s="3934" t="n"/>
      <c r="U137" s="3934" t="n"/>
      <c r="V137" s="3934" t="n"/>
      <c r="W137" s="3934" t="n"/>
      <c r="X137" s="3934" t="n"/>
      <c r="Y137" s="3934" t="n"/>
      <c r="Z137" s="3934" t="n"/>
      <c r="AA137" s="3934" t="n"/>
      <c r="AB137" s="3934" t="n"/>
      <c r="AC137" s="3934" t="n"/>
      <c r="AD137" s="3934" t="n"/>
      <c r="AE137" s="3934" t="n"/>
      <c r="AF137" s="3934" t="n"/>
      <c r="AG137" s="3934" t="n"/>
      <c r="AH137" s="3934" t="n"/>
      <c r="AI137" s="3934" t="n"/>
      <c r="AJ137" s="3934" t="n"/>
      <c r="AK137" s="3934" t="n"/>
      <c r="AL137" s="3934" t="n"/>
      <c r="AM137" s="3934" t="n"/>
      <c r="AN137" s="3934" t="n"/>
      <c r="AO137" s="3934" t="n"/>
      <c r="AP137" s="3934" t="n"/>
      <c r="AQ137" s="3934" t="n"/>
      <c r="AR137" s="3934" t="n"/>
    </row>
    <row r="138">
      <c r="A138" s="3941" t="n"/>
      <c r="B138" s="3944" t="n"/>
      <c r="C138" s="3944" t="n"/>
      <c r="D138" s="3944" t="n"/>
      <c r="E138" s="3944" t="n"/>
      <c r="F138" s="3944" t="n"/>
      <c r="G138" s="3944" t="n"/>
      <c r="H138" s="3944" t="n"/>
      <c r="I138" s="3944" t="n"/>
      <c r="J138" s="3944" t="n"/>
      <c r="K138" s="3942">
        <f>IF(A138="","",SUM(E138:J138))</f>
        <v/>
      </c>
      <c r="L138" s="3934" t="n"/>
      <c r="M138" s="3934" t="n"/>
      <c r="N138" s="3934" t="n"/>
      <c r="O138" s="3934" t="n"/>
      <c r="P138" s="3934" t="n"/>
      <c r="Q138" s="3934" t="n"/>
      <c r="R138" s="3934" t="n"/>
      <c r="S138" s="3934" t="n"/>
      <c r="T138" s="3934" t="n"/>
      <c r="U138" s="3934" t="n"/>
      <c r="V138" s="3934" t="n"/>
      <c r="W138" s="3934" t="n"/>
      <c r="X138" s="3934" t="n"/>
      <c r="Y138" s="3934" t="n"/>
      <c r="Z138" s="3934" t="n"/>
      <c r="AA138" s="3934" t="n"/>
      <c r="AB138" s="3934" t="n"/>
      <c r="AC138" s="3934" t="n"/>
      <c r="AD138" s="3934" t="n"/>
      <c r="AE138" s="3934" t="n"/>
      <c r="AF138" s="3934" t="n"/>
      <c r="AG138" s="3934" t="n"/>
      <c r="AH138" s="3934" t="n"/>
      <c r="AI138" s="3934" t="n"/>
      <c r="AJ138" s="3934" t="n"/>
      <c r="AK138" s="3934" t="n"/>
      <c r="AL138" s="3934" t="n"/>
      <c r="AM138" s="3934" t="n"/>
      <c r="AN138" s="3934" t="n"/>
      <c r="AO138" s="3934" t="n"/>
      <c r="AP138" s="3934" t="n"/>
      <c r="AQ138" s="3934" t="n"/>
      <c r="AR138" s="3934" t="n"/>
    </row>
    <row r="139">
      <c r="A139" s="3941" t="n"/>
      <c r="B139" s="3944" t="n"/>
      <c r="C139" s="3944" t="n"/>
      <c r="D139" s="3944" t="n"/>
      <c r="E139" s="3944" t="n"/>
      <c r="F139" s="3944" t="n"/>
      <c r="G139" s="3944" t="n"/>
      <c r="H139" s="3944" t="n"/>
      <c r="I139" s="3944" t="n"/>
      <c r="J139" s="3944" t="n"/>
      <c r="K139" s="3942">
        <f>IF(A139="","",SUM(E139:J139))</f>
        <v/>
      </c>
      <c r="L139" s="3934" t="n"/>
      <c r="M139" s="3934" t="n"/>
      <c r="N139" s="3934" t="n"/>
      <c r="O139" s="3934" t="n"/>
      <c r="P139" s="3934" t="n"/>
      <c r="Q139" s="3934" t="n"/>
      <c r="R139" s="3934" t="n"/>
      <c r="S139" s="3934" t="n"/>
      <c r="T139" s="3934" t="n"/>
      <c r="U139" s="3934" t="n"/>
      <c r="V139" s="3934" t="n"/>
      <c r="W139" s="3934" t="n"/>
      <c r="X139" s="3934" t="n"/>
      <c r="Y139" s="3934" t="n"/>
      <c r="Z139" s="3934" t="n"/>
      <c r="AA139" s="3934" t="n"/>
      <c r="AB139" s="3934" t="n"/>
      <c r="AC139" s="3934" t="n"/>
      <c r="AD139" s="3934" t="n"/>
      <c r="AE139" s="3934" t="n"/>
      <c r="AF139" s="3934" t="n"/>
      <c r="AG139" s="3934" t="n"/>
      <c r="AH139" s="3934" t="n"/>
      <c r="AI139" s="3934" t="n"/>
      <c r="AJ139" s="3934" t="n"/>
      <c r="AK139" s="3934" t="n"/>
      <c r="AL139" s="3934" t="n"/>
      <c r="AM139" s="3934" t="n"/>
      <c r="AN139" s="3934" t="n"/>
      <c r="AO139" s="3934" t="n"/>
      <c r="AP139" s="3934" t="n"/>
      <c r="AQ139" s="3934" t="n"/>
      <c r="AR139" s="3934" t="n"/>
    </row>
    <row r="140">
      <c r="A140" s="3941" t="n"/>
      <c r="B140" s="3944" t="n"/>
      <c r="C140" s="3944" t="n"/>
      <c r="D140" s="3944" t="n"/>
      <c r="E140" s="3944" t="n"/>
      <c r="F140" s="3944" t="n"/>
      <c r="G140" s="3944" t="n"/>
      <c r="H140" s="3944" t="n"/>
      <c r="I140" s="3944" t="n"/>
      <c r="J140" s="3944" t="n"/>
      <c r="K140" s="3942">
        <f>IF(A140="","",SUM(E140:J140))</f>
        <v/>
      </c>
      <c r="L140" s="3934" t="n"/>
      <c r="M140" s="3934" t="n"/>
      <c r="N140" s="3934" t="n"/>
      <c r="O140" s="3934" t="n"/>
      <c r="P140" s="3934" t="n"/>
      <c r="Q140" s="3934" t="n"/>
      <c r="R140" s="3934" t="n"/>
      <c r="S140" s="3934" t="n"/>
      <c r="T140" s="3934" t="n"/>
      <c r="U140" s="3934" t="n"/>
      <c r="V140" s="3934" t="n"/>
      <c r="W140" s="3934" t="n"/>
      <c r="X140" s="3934" t="n"/>
      <c r="Y140" s="3934" t="n"/>
      <c r="Z140" s="3934" t="n"/>
      <c r="AA140" s="3934" t="n"/>
      <c r="AB140" s="3934" t="n"/>
      <c r="AC140" s="3934" t="n"/>
      <c r="AD140" s="3934" t="n"/>
      <c r="AE140" s="3934" t="n"/>
      <c r="AF140" s="3934" t="n"/>
      <c r="AG140" s="3934" t="n"/>
      <c r="AH140" s="3934" t="n"/>
      <c r="AI140" s="3934" t="n"/>
      <c r="AJ140" s="3934" t="n"/>
      <c r="AK140" s="3934" t="n"/>
      <c r="AL140" s="3934" t="n"/>
      <c r="AM140" s="3934" t="n"/>
      <c r="AN140" s="3934" t="n"/>
      <c r="AO140" s="3934" t="n"/>
      <c r="AP140" s="3934" t="n"/>
      <c r="AQ140" s="3934" t="n"/>
      <c r="AR140" s="3934" t="n"/>
    </row>
    <row r="141">
      <c r="A141" s="3941" t="n"/>
      <c r="B141" s="3944" t="n"/>
      <c r="C141" s="3944" t="n"/>
      <c r="D141" s="3944" t="n"/>
      <c r="E141" s="3944" t="n"/>
      <c r="F141" s="3944" t="n"/>
      <c r="G141" s="3944" t="n"/>
      <c r="H141" s="3944" t="n"/>
      <c r="I141" s="3944" t="n"/>
      <c r="J141" s="3944" t="n"/>
      <c r="K141" s="3942">
        <f>IF(A141="","",SUM(E141:J141))</f>
        <v/>
      </c>
      <c r="L141" s="3934" t="n"/>
      <c r="M141" s="3934" t="n"/>
      <c r="N141" s="3934" t="n"/>
      <c r="O141" s="3934" t="n"/>
      <c r="P141" s="3934" t="n"/>
      <c r="Q141" s="3934" t="n"/>
      <c r="R141" s="3934" t="n"/>
      <c r="S141" s="3934" t="n"/>
      <c r="T141" s="3934" t="n"/>
      <c r="U141" s="3934" t="n"/>
      <c r="V141" s="3934" t="n"/>
      <c r="W141" s="3934" t="n"/>
      <c r="X141" s="3934" t="n"/>
      <c r="Y141" s="3934" t="n"/>
      <c r="Z141" s="3934" t="n"/>
      <c r="AA141" s="3934" t="n"/>
      <c r="AB141" s="3934" t="n"/>
      <c r="AC141" s="3934" t="n"/>
      <c r="AD141" s="3934" t="n"/>
      <c r="AE141" s="3934" t="n"/>
      <c r="AF141" s="3934" t="n"/>
      <c r="AG141" s="3934" t="n"/>
      <c r="AH141" s="3934" t="n"/>
      <c r="AI141" s="3934" t="n"/>
      <c r="AJ141" s="3934" t="n"/>
      <c r="AK141" s="3934" t="n"/>
      <c r="AL141" s="3934" t="n"/>
      <c r="AM141" s="3934" t="n"/>
      <c r="AN141" s="3934" t="n"/>
      <c r="AO141" s="3934" t="n"/>
      <c r="AP141" s="3934" t="n"/>
      <c r="AQ141" s="3934" t="n"/>
      <c r="AR141" s="3934" t="n"/>
    </row>
    <row r="142">
      <c r="A142" s="3941" t="n"/>
      <c r="B142" s="3944" t="n"/>
      <c r="C142" s="3944" t="n"/>
      <c r="D142" s="3944" t="n"/>
      <c r="E142" s="3944" t="n"/>
      <c r="F142" s="3944" t="n"/>
      <c r="G142" s="3944" t="n"/>
      <c r="H142" s="3944" t="n"/>
      <c r="I142" s="3944" t="n"/>
      <c r="J142" s="3944" t="n"/>
      <c r="K142" s="3942">
        <f>IF(A142="","",SUM(E142:J142))</f>
        <v/>
      </c>
      <c r="L142" s="3934" t="n"/>
      <c r="M142" s="3934" t="n"/>
      <c r="N142" s="3934" t="n"/>
      <c r="O142" s="3934" t="n"/>
      <c r="P142" s="3934" t="n"/>
      <c r="Q142" s="3934" t="n"/>
      <c r="R142" s="3934" t="n"/>
      <c r="S142" s="3934" t="n"/>
      <c r="T142" s="3934" t="n"/>
      <c r="U142" s="3934" t="n"/>
      <c r="V142" s="3934" t="n"/>
      <c r="W142" s="3934" t="n"/>
      <c r="X142" s="3934" t="n"/>
      <c r="Y142" s="3934" t="n"/>
      <c r="Z142" s="3934" t="n"/>
      <c r="AA142" s="3934" t="n"/>
      <c r="AB142" s="3934" t="n"/>
      <c r="AC142" s="3934" t="n"/>
      <c r="AD142" s="3934" t="n"/>
      <c r="AE142" s="3934" t="n"/>
      <c r="AF142" s="3934" t="n"/>
      <c r="AG142" s="3934" t="n"/>
      <c r="AH142" s="3934" t="n"/>
      <c r="AI142" s="3934" t="n"/>
      <c r="AJ142" s="3934" t="n"/>
      <c r="AK142" s="3934" t="n"/>
      <c r="AL142" s="3934" t="n"/>
      <c r="AM142" s="3934" t="n"/>
      <c r="AN142" s="3934" t="n"/>
      <c r="AO142" s="3934" t="n"/>
      <c r="AP142" s="3934" t="n"/>
      <c r="AQ142" s="3934" t="n"/>
      <c r="AR142" s="3934" t="n"/>
    </row>
    <row r="143">
      <c r="A143" s="3941" t="n"/>
      <c r="B143" s="3944" t="n"/>
      <c r="C143" s="3944" t="n"/>
      <c r="D143" s="3944" t="n"/>
      <c r="E143" s="3944" t="n"/>
      <c r="F143" s="3944" t="n"/>
      <c r="G143" s="3944" t="n"/>
      <c r="H143" s="3944" t="n"/>
      <c r="I143" s="3944" t="n"/>
      <c r="J143" s="3944" t="n"/>
      <c r="K143" s="3942">
        <f>IF(A143="","",SUM(E143:J143))</f>
        <v/>
      </c>
      <c r="L143" s="3934" t="n"/>
      <c r="M143" s="3934" t="n"/>
      <c r="N143" s="3934" t="n"/>
      <c r="O143" s="3934" t="n"/>
      <c r="P143" s="3934" t="n"/>
      <c r="Q143" s="3934" t="n"/>
      <c r="R143" s="3934" t="n"/>
      <c r="S143" s="3934" t="n"/>
      <c r="T143" s="3934" t="n"/>
      <c r="U143" s="3934" t="n"/>
      <c r="V143" s="3934" t="n"/>
      <c r="W143" s="3934" t="n"/>
      <c r="X143" s="3934" t="n"/>
      <c r="Y143" s="3934" t="n"/>
      <c r="Z143" s="3934" t="n"/>
      <c r="AA143" s="3934" t="n"/>
      <c r="AB143" s="3934" t="n"/>
      <c r="AC143" s="3934" t="n"/>
      <c r="AD143" s="3934" t="n"/>
      <c r="AE143" s="3934" t="n"/>
      <c r="AF143" s="3934" t="n"/>
      <c r="AG143" s="3934" t="n"/>
      <c r="AH143" s="3934" t="n"/>
      <c r="AI143" s="3934" t="n"/>
      <c r="AJ143" s="3934" t="n"/>
      <c r="AK143" s="3934" t="n"/>
      <c r="AL143" s="3934" t="n"/>
      <c r="AM143" s="3934" t="n"/>
      <c r="AN143" s="3934" t="n"/>
      <c r="AO143" s="3934" t="n"/>
      <c r="AP143" s="3934" t="n"/>
      <c r="AQ143" s="3934" t="n"/>
      <c r="AR143" s="3934" t="n"/>
    </row>
    <row r="144">
      <c r="A144" s="3941" t="n"/>
      <c r="B144" s="3944" t="n"/>
      <c r="C144" s="3944" t="n"/>
      <c r="D144" s="3944" t="n"/>
      <c r="E144" s="3944" t="n"/>
      <c r="F144" s="3944" t="n"/>
      <c r="G144" s="3944" t="n"/>
      <c r="H144" s="3944" t="n"/>
      <c r="I144" s="3944" t="n"/>
      <c r="J144" s="3944" t="n"/>
      <c r="K144" s="3942">
        <f>IF(A144="","",SUM(E144:J144))</f>
        <v/>
      </c>
      <c r="L144" s="3934" t="n"/>
      <c r="M144" s="3934" t="n"/>
      <c r="N144" s="3934" t="n"/>
      <c r="O144" s="3934" t="n"/>
      <c r="P144" s="3934" t="n"/>
      <c r="Q144" s="3934" t="n"/>
      <c r="R144" s="3934" t="n"/>
      <c r="S144" s="3934" t="n"/>
      <c r="T144" s="3934" t="n"/>
      <c r="U144" s="3934" t="n"/>
      <c r="V144" s="3934" t="n"/>
      <c r="W144" s="3934" t="n"/>
      <c r="X144" s="3934" t="n"/>
      <c r="Y144" s="3934" t="n"/>
      <c r="Z144" s="3934" t="n"/>
      <c r="AA144" s="3934" t="n"/>
      <c r="AB144" s="3934" t="n"/>
      <c r="AC144" s="3934" t="n"/>
      <c r="AD144" s="3934" t="n"/>
      <c r="AE144" s="3934" t="n"/>
      <c r="AF144" s="3934" t="n"/>
      <c r="AG144" s="3934" t="n"/>
      <c r="AH144" s="3934" t="n"/>
      <c r="AI144" s="3934" t="n"/>
      <c r="AJ144" s="3934" t="n"/>
      <c r="AK144" s="3934" t="n"/>
      <c r="AL144" s="3934" t="n"/>
      <c r="AM144" s="3934" t="n"/>
      <c r="AN144" s="3934" t="n"/>
      <c r="AO144" s="3934" t="n"/>
      <c r="AP144" s="3934" t="n"/>
      <c r="AQ144" s="3934" t="n"/>
      <c r="AR144" s="3934" t="n"/>
    </row>
    <row r="145">
      <c r="A145" s="3941" t="n"/>
      <c r="B145" s="3944" t="n"/>
      <c r="C145" s="3944" t="n"/>
      <c r="D145" s="3944" t="n"/>
      <c r="E145" s="3944" t="n"/>
      <c r="F145" s="3944" t="n"/>
      <c r="G145" s="3944" t="n"/>
      <c r="H145" s="3944" t="n"/>
      <c r="I145" s="3944" t="n"/>
      <c r="J145" s="3944" t="n"/>
      <c r="K145" s="3942">
        <f>IF(A145="","",SUM(E145:J145))</f>
        <v/>
      </c>
      <c r="L145" s="3934" t="n"/>
      <c r="M145" s="3934" t="n"/>
      <c r="N145" s="3934" t="n"/>
      <c r="O145" s="3934" t="n"/>
      <c r="P145" s="3934" t="n"/>
      <c r="Q145" s="3934" t="n"/>
      <c r="R145" s="3934" t="n"/>
      <c r="S145" s="3934" t="n"/>
      <c r="T145" s="3934" t="n"/>
      <c r="U145" s="3934" t="n"/>
      <c r="V145" s="3934" t="n"/>
      <c r="W145" s="3934" t="n"/>
      <c r="X145" s="3934" t="n"/>
      <c r="Y145" s="3934" t="n"/>
      <c r="Z145" s="3934" t="n"/>
      <c r="AA145" s="3934" t="n"/>
      <c r="AB145" s="3934" t="n"/>
      <c r="AC145" s="3934" t="n"/>
      <c r="AD145" s="3934" t="n"/>
      <c r="AE145" s="3934" t="n"/>
      <c r="AF145" s="3934" t="n"/>
      <c r="AG145" s="3934" t="n"/>
      <c r="AH145" s="3934" t="n"/>
      <c r="AI145" s="3934" t="n"/>
      <c r="AJ145" s="3934" t="n"/>
      <c r="AK145" s="3934" t="n"/>
      <c r="AL145" s="3934" t="n"/>
      <c r="AM145" s="3934" t="n"/>
      <c r="AN145" s="3934" t="n"/>
      <c r="AO145" s="3934" t="n"/>
      <c r="AP145" s="3934" t="n"/>
      <c r="AQ145" s="3934" t="n"/>
      <c r="AR145" s="3934" t="n"/>
    </row>
    <row r="146">
      <c r="A146" s="3941" t="n"/>
      <c r="B146" s="3944" t="n"/>
      <c r="C146" s="3944" t="n"/>
      <c r="D146" s="3944" t="n"/>
      <c r="E146" s="3944" t="n"/>
      <c r="F146" s="3944" t="n"/>
      <c r="G146" s="3944" t="n"/>
      <c r="H146" s="3944" t="n"/>
      <c r="I146" s="3944" t="n"/>
      <c r="J146" s="3944" t="n"/>
      <c r="K146" s="3942">
        <f>IF(A146="","",SUM(E146:J146))</f>
        <v/>
      </c>
      <c r="L146" s="3934" t="n"/>
      <c r="M146" s="3934" t="n"/>
      <c r="N146" s="3934" t="n"/>
      <c r="O146" s="3934" t="n"/>
      <c r="P146" s="3934" t="n"/>
      <c r="Q146" s="3934" t="n"/>
      <c r="R146" s="3934" t="n"/>
      <c r="S146" s="3934" t="n"/>
      <c r="T146" s="3934" t="n"/>
      <c r="U146" s="3934" t="n"/>
      <c r="V146" s="3934" t="n"/>
      <c r="W146" s="3934" t="n"/>
      <c r="X146" s="3934" t="n"/>
      <c r="Y146" s="3934" t="n"/>
      <c r="Z146" s="3934" t="n"/>
      <c r="AA146" s="3934" t="n"/>
      <c r="AB146" s="3934" t="n"/>
      <c r="AC146" s="3934" t="n"/>
      <c r="AD146" s="3934" t="n"/>
      <c r="AE146" s="3934" t="n"/>
      <c r="AF146" s="3934" t="n"/>
      <c r="AG146" s="3934" t="n"/>
      <c r="AH146" s="3934" t="n"/>
      <c r="AI146" s="3934" t="n"/>
      <c r="AJ146" s="3934" t="n"/>
      <c r="AK146" s="3934" t="n"/>
      <c r="AL146" s="3934" t="n"/>
      <c r="AM146" s="3934" t="n"/>
      <c r="AN146" s="3934" t="n"/>
      <c r="AO146" s="3934" t="n"/>
      <c r="AP146" s="3934" t="n"/>
      <c r="AQ146" s="3934" t="n"/>
      <c r="AR146" s="3934" t="n"/>
    </row>
    <row r="147">
      <c r="A147" s="3941" t="n"/>
      <c r="B147" s="3944" t="n"/>
      <c r="C147" s="3944" t="n"/>
      <c r="D147" s="3944" t="n"/>
      <c r="E147" s="3944" t="n"/>
      <c r="F147" s="3944" t="n"/>
      <c r="G147" s="3944" t="n"/>
      <c r="H147" s="3944" t="n"/>
      <c r="I147" s="3944" t="n"/>
      <c r="J147" s="3944" t="n"/>
      <c r="K147" s="3942">
        <f>IF(A147="","",SUM(E147:J147))</f>
        <v/>
      </c>
      <c r="L147" s="3934" t="n"/>
      <c r="M147" s="3934" t="n"/>
      <c r="N147" s="3934" t="n"/>
      <c r="O147" s="3934" t="n"/>
      <c r="P147" s="3934" t="n"/>
      <c r="Q147" s="3934" t="n"/>
      <c r="R147" s="3934" t="n"/>
      <c r="S147" s="3934" t="n"/>
      <c r="T147" s="3934" t="n"/>
      <c r="U147" s="3934" t="n"/>
      <c r="V147" s="3934" t="n"/>
      <c r="W147" s="3934" t="n"/>
      <c r="X147" s="3934" t="n"/>
      <c r="Y147" s="3934" t="n"/>
      <c r="Z147" s="3934" t="n"/>
      <c r="AA147" s="3934" t="n"/>
      <c r="AB147" s="3934" t="n"/>
      <c r="AC147" s="3934" t="n"/>
      <c r="AD147" s="3934" t="n"/>
      <c r="AE147" s="3934" t="n"/>
      <c r="AF147" s="3934" t="n"/>
      <c r="AG147" s="3934" t="n"/>
      <c r="AH147" s="3934" t="n"/>
      <c r="AI147" s="3934" t="n"/>
      <c r="AJ147" s="3934" t="n"/>
      <c r="AK147" s="3934" t="n"/>
      <c r="AL147" s="3934" t="n"/>
      <c r="AM147" s="3934" t="n"/>
      <c r="AN147" s="3934" t="n"/>
      <c r="AO147" s="3934" t="n"/>
      <c r="AP147" s="3934" t="n"/>
      <c r="AQ147" s="3934" t="n"/>
      <c r="AR147" s="3934" t="n"/>
    </row>
    <row r="148">
      <c r="A148" s="3941" t="n"/>
      <c r="B148" s="3944" t="n"/>
      <c r="C148" s="3944" t="n"/>
      <c r="D148" s="3944" t="n"/>
      <c r="E148" s="3944" t="n"/>
      <c r="F148" s="3944" t="n"/>
      <c r="G148" s="3944" t="n"/>
      <c r="H148" s="3944" t="n"/>
      <c r="I148" s="3944" t="n"/>
      <c r="J148" s="3944" t="n"/>
      <c r="K148" s="3942">
        <f>IF(A148="","",SUM(E148:J148))</f>
        <v/>
      </c>
      <c r="L148" s="3934" t="n"/>
      <c r="M148" s="3934" t="n"/>
      <c r="N148" s="3934" t="n"/>
      <c r="O148" s="3934" t="n"/>
      <c r="P148" s="3934" t="n"/>
      <c r="Q148" s="3934" t="n"/>
      <c r="R148" s="3934" t="n"/>
      <c r="S148" s="3934" t="n"/>
      <c r="T148" s="3934" t="n"/>
      <c r="U148" s="3934" t="n"/>
      <c r="V148" s="3934" t="n"/>
      <c r="W148" s="3934" t="n"/>
      <c r="X148" s="3934" t="n"/>
      <c r="Y148" s="3934" t="n"/>
      <c r="Z148" s="3934" t="n"/>
      <c r="AA148" s="3934" t="n"/>
      <c r="AB148" s="3934" t="n"/>
      <c r="AC148" s="3934" t="n"/>
      <c r="AD148" s="3934" t="n"/>
      <c r="AE148" s="3934" t="n"/>
      <c r="AF148" s="3934" t="n"/>
      <c r="AG148" s="3934" t="n"/>
      <c r="AH148" s="3934" t="n"/>
      <c r="AI148" s="3934" t="n"/>
      <c r="AJ148" s="3934" t="n"/>
      <c r="AK148" s="3934" t="n"/>
      <c r="AL148" s="3934" t="n"/>
      <c r="AM148" s="3934" t="n"/>
      <c r="AN148" s="3934" t="n"/>
      <c r="AO148" s="3934" t="n"/>
      <c r="AP148" s="3934" t="n"/>
      <c r="AQ148" s="3934" t="n"/>
      <c r="AR148" s="3934" t="n"/>
    </row>
    <row r="149">
      <c r="A149" s="3941" t="n"/>
      <c r="B149" s="3944" t="n"/>
      <c r="C149" s="3944" t="n"/>
      <c r="D149" s="3944" t="n"/>
      <c r="E149" s="3944" t="n"/>
      <c r="F149" s="3944" t="n"/>
      <c r="G149" s="3944" t="n"/>
      <c r="H149" s="3944" t="n"/>
      <c r="I149" s="3944" t="n"/>
      <c r="J149" s="3944" t="n"/>
      <c r="K149" s="3942">
        <f>IF(A149="","",SUM(E149:J149))</f>
        <v/>
      </c>
      <c r="L149" s="3934" t="n"/>
      <c r="M149" s="3934" t="n"/>
      <c r="N149" s="3934" t="n"/>
      <c r="O149" s="3934" t="n"/>
      <c r="P149" s="3934" t="n"/>
      <c r="Q149" s="3934" t="n"/>
      <c r="R149" s="3934" t="n"/>
      <c r="S149" s="3934" t="n"/>
      <c r="T149" s="3934" t="n"/>
      <c r="U149" s="3934" t="n"/>
      <c r="V149" s="3934" t="n"/>
      <c r="W149" s="3934" t="n"/>
      <c r="X149" s="3934" t="n"/>
      <c r="Y149" s="3934" t="n"/>
      <c r="Z149" s="3934" t="n"/>
      <c r="AA149" s="3934" t="n"/>
      <c r="AB149" s="3934" t="n"/>
      <c r="AC149" s="3934" t="n"/>
      <c r="AD149" s="3934" t="n"/>
      <c r="AE149" s="3934" t="n"/>
      <c r="AF149" s="3934" t="n"/>
      <c r="AG149" s="3934" t="n"/>
      <c r="AH149" s="3934" t="n"/>
      <c r="AI149" s="3934" t="n"/>
      <c r="AJ149" s="3934" t="n"/>
      <c r="AK149" s="3934" t="n"/>
      <c r="AL149" s="3934" t="n"/>
      <c r="AM149" s="3934" t="n"/>
      <c r="AN149" s="3934" t="n"/>
      <c r="AO149" s="3934" t="n"/>
      <c r="AP149" s="3934" t="n"/>
      <c r="AQ149" s="3934" t="n"/>
      <c r="AR149" s="3934" t="n"/>
    </row>
    <row r="150">
      <c r="A150" s="3941" t="n"/>
      <c r="B150" s="3944" t="n"/>
      <c r="C150" s="3944" t="n"/>
      <c r="D150" s="3944" t="n"/>
      <c r="E150" s="3944" t="n"/>
      <c r="F150" s="3944" t="n"/>
      <c r="G150" s="3944" t="n"/>
      <c r="H150" s="3944" t="n"/>
      <c r="I150" s="3944" t="n"/>
      <c r="J150" s="3944" t="n"/>
      <c r="K150" s="3942">
        <f>IF(A150="","",SUM(E150:J150))</f>
        <v/>
      </c>
      <c r="L150" s="3934" t="n"/>
      <c r="M150" s="3934" t="n"/>
      <c r="N150" s="3934" t="n"/>
      <c r="O150" s="3934" t="n"/>
      <c r="P150" s="3934" t="n"/>
      <c r="Q150" s="3934" t="n"/>
      <c r="R150" s="3934" t="n"/>
      <c r="S150" s="3934" t="n"/>
      <c r="T150" s="3934" t="n"/>
      <c r="U150" s="3934" t="n"/>
      <c r="V150" s="3934" t="n"/>
      <c r="W150" s="3934" t="n"/>
      <c r="X150" s="3934" t="n"/>
      <c r="Y150" s="3934" t="n"/>
      <c r="Z150" s="3934" t="n"/>
      <c r="AA150" s="3934" t="n"/>
      <c r="AB150" s="3934" t="n"/>
      <c r="AC150" s="3934" t="n"/>
      <c r="AD150" s="3934" t="n"/>
      <c r="AE150" s="3934" t="n"/>
      <c r="AF150" s="3934" t="n"/>
      <c r="AG150" s="3934" t="n"/>
      <c r="AH150" s="3934" t="n"/>
      <c r="AI150" s="3934" t="n"/>
      <c r="AJ150" s="3934" t="n"/>
      <c r="AK150" s="3934" t="n"/>
      <c r="AL150" s="3934" t="n"/>
      <c r="AM150" s="3934" t="n"/>
      <c r="AN150" s="3934" t="n"/>
      <c r="AO150" s="3934" t="n"/>
      <c r="AP150" s="3934" t="n"/>
      <c r="AQ150" s="3934" t="n"/>
      <c r="AR150" s="3934" t="n"/>
    </row>
    <row r="151">
      <c r="A151" s="3941" t="n"/>
      <c r="B151" s="3944" t="n"/>
      <c r="C151" s="3944" t="n"/>
      <c r="D151" s="3944" t="n"/>
      <c r="E151" s="3944" t="n"/>
      <c r="F151" s="3944" t="n"/>
      <c r="G151" s="3944" t="n"/>
      <c r="H151" s="3944" t="n"/>
      <c r="I151" s="3944" t="n"/>
      <c r="J151" s="3944" t="n"/>
      <c r="K151" s="3942">
        <f>IF(A151="","",SUM(E151:J151))</f>
        <v/>
      </c>
      <c r="L151" s="3934" t="n"/>
      <c r="M151" s="3934" t="n"/>
      <c r="N151" s="3934" t="n"/>
      <c r="O151" s="3934" t="n"/>
      <c r="P151" s="3934" t="n"/>
      <c r="Q151" s="3934" t="n"/>
      <c r="R151" s="3934" t="n"/>
      <c r="S151" s="3934" t="n"/>
      <c r="T151" s="3934" t="n"/>
      <c r="U151" s="3934" t="n"/>
      <c r="V151" s="3934" t="n"/>
      <c r="W151" s="3934" t="n"/>
      <c r="X151" s="3934" t="n"/>
      <c r="Y151" s="3934" t="n"/>
      <c r="Z151" s="3934" t="n"/>
      <c r="AA151" s="3934" t="n"/>
      <c r="AB151" s="3934" t="n"/>
      <c r="AC151" s="3934" t="n"/>
      <c r="AD151" s="3934" t="n"/>
      <c r="AE151" s="3934" t="n"/>
      <c r="AF151" s="3934" t="n"/>
      <c r="AG151" s="3934" t="n"/>
      <c r="AH151" s="3934" t="n"/>
      <c r="AI151" s="3934" t="n"/>
      <c r="AJ151" s="3934" t="n"/>
      <c r="AK151" s="3934" t="n"/>
      <c r="AL151" s="3934" t="n"/>
      <c r="AM151" s="3934" t="n"/>
      <c r="AN151" s="3934" t="n"/>
      <c r="AO151" s="3934" t="n"/>
      <c r="AP151" s="3934" t="n"/>
      <c r="AQ151" s="3934" t="n"/>
      <c r="AR151" s="3934" t="n"/>
    </row>
    <row r="152">
      <c r="A152" s="3941" t="n"/>
      <c r="B152" s="3944" t="n"/>
      <c r="C152" s="3944" t="n"/>
      <c r="D152" s="3944" t="n"/>
      <c r="E152" s="3944" t="n"/>
      <c r="F152" s="3944" t="n"/>
      <c r="G152" s="3944" t="n"/>
      <c r="H152" s="3944" t="n"/>
      <c r="I152" s="3944" t="n"/>
      <c r="J152" s="3944" t="n"/>
      <c r="K152" s="3942">
        <f>IF(A152="","",SUM(E152:J152))</f>
        <v/>
      </c>
      <c r="L152" s="3934" t="n"/>
      <c r="M152" s="3934" t="n"/>
      <c r="N152" s="3934" t="n"/>
      <c r="O152" s="3934" t="n"/>
      <c r="P152" s="3934" t="n"/>
      <c r="Q152" s="3934" t="n"/>
      <c r="R152" s="3934" t="n"/>
      <c r="S152" s="3934" t="n"/>
      <c r="T152" s="3934" t="n"/>
      <c r="U152" s="3934" t="n"/>
      <c r="V152" s="3934" t="n"/>
      <c r="W152" s="3934" t="n"/>
      <c r="X152" s="3934" t="n"/>
      <c r="Y152" s="3934" t="n"/>
      <c r="Z152" s="3934" t="n"/>
      <c r="AA152" s="3934" t="n"/>
      <c r="AB152" s="3934" t="n"/>
      <c r="AC152" s="3934" t="n"/>
      <c r="AD152" s="3934" t="n"/>
      <c r="AE152" s="3934" t="n"/>
      <c r="AF152" s="3934" t="n"/>
      <c r="AG152" s="3934" t="n"/>
      <c r="AH152" s="3934" t="n"/>
      <c r="AI152" s="3934" t="n"/>
      <c r="AJ152" s="3934" t="n"/>
      <c r="AK152" s="3934" t="n"/>
      <c r="AL152" s="3934" t="n"/>
      <c r="AM152" s="3934" t="n"/>
      <c r="AN152" s="3934" t="n"/>
      <c r="AO152" s="3934" t="n"/>
      <c r="AP152" s="3934" t="n"/>
      <c r="AQ152" s="3934" t="n"/>
      <c r="AR152" s="3934" t="n"/>
    </row>
    <row r="153">
      <c r="A153" s="3941" t="n"/>
      <c r="B153" s="3944" t="n"/>
      <c r="C153" s="3944" t="n"/>
      <c r="D153" s="3944" t="n"/>
      <c r="E153" s="3944" t="n"/>
      <c r="F153" s="3944" t="n"/>
      <c r="G153" s="3944" t="n"/>
      <c r="H153" s="3944" t="n"/>
      <c r="I153" s="3944" t="n"/>
      <c r="J153" s="3944" t="n"/>
      <c r="K153" s="3942">
        <f>IF(A153="","",SUM(E153:J153))</f>
        <v/>
      </c>
      <c r="L153" s="3934" t="n"/>
      <c r="M153" s="3934" t="n"/>
      <c r="N153" s="3934" t="n"/>
      <c r="O153" s="3934" t="n"/>
      <c r="P153" s="3934" t="n"/>
      <c r="Q153" s="3934" t="n"/>
      <c r="R153" s="3934" t="n"/>
      <c r="S153" s="3934" t="n"/>
      <c r="T153" s="3934" t="n"/>
      <c r="U153" s="3934" t="n"/>
      <c r="V153" s="3934" t="n"/>
      <c r="W153" s="3934" t="n"/>
      <c r="X153" s="3934" t="n"/>
      <c r="Y153" s="3934" t="n"/>
      <c r="Z153" s="3934" t="n"/>
      <c r="AA153" s="3934" t="n"/>
      <c r="AB153" s="3934" t="n"/>
      <c r="AC153" s="3934" t="n"/>
      <c r="AD153" s="3934" t="n"/>
      <c r="AE153" s="3934" t="n"/>
      <c r="AF153" s="3934" t="n"/>
      <c r="AG153" s="3934" t="n"/>
      <c r="AH153" s="3934" t="n"/>
      <c r="AI153" s="3934" t="n"/>
      <c r="AJ153" s="3934" t="n"/>
      <c r="AK153" s="3934" t="n"/>
      <c r="AL153" s="3934" t="n"/>
      <c r="AM153" s="3934" t="n"/>
      <c r="AN153" s="3934" t="n"/>
      <c r="AO153" s="3934" t="n"/>
      <c r="AP153" s="3934" t="n"/>
      <c r="AQ153" s="3934" t="n"/>
      <c r="AR153" s="3934" t="n"/>
    </row>
    <row r="154">
      <c r="A154" s="3941" t="n"/>
      <c r="B154" s="3944" t="n"/>
      <c r="C154" s="3944" t="n"/>
      <c r="D154" s="3944" t="n"/>
      <c r="E154" s="3944" t="n"/>
      <c r="F154" s="3944" t="n"/>
      <c r="G154" s="3944" t="n"/>
      <c r="H154" s="3944" t="n"/>
      <c r="I154" s="3944" t="n"/>
      <c r="J154" s="3944" t="n"/>
      <c r="K154" s="3942">
        <f>IF(A154="","",SUM(E154:J154))</f>
        <v/>
      </c>
      <c r="L154" s="3934" t="n"/>
      <c r="M154" s="3934" t="n"/>
      <c r="N154" s="3934" t="n"/>
      <c r="O154" s="3934" t="n"/>
      <c r="P154" s="3934" t="n"/>
      <c r="Q154" s="3934" t="n"/>
      <c r="R154" s="3934" t="n"/>
      <c r="S154" s="3934" t="n"/>
      <c r="T154" s="3934" t="n"/>
      <c r="U154" s="3934" t="n"/>
      <c r="V154" s="3934" t="n"/>
      <c r="W154" s="3934" t="n"/>
      <c r="X154" s="3934" t="n"/>
      <c r="Y154" s="3934" t="n"/>
      <c r="Z154" s="3934" t="n"/>
      <c r="AA154" s="3934" t="n"/>
      <c r="AB154" s="3934" t="n"/>
      <c r="AC154" s="3934" t="n"/>
      <c r="AD154" s="3934" t="n"/>
      <c r="AE154" s="3934" t="n"/>
      <c r="AF154" s="3934" t="n"/>
      <c r="AG154" s="3934" t="n"/>
      <c r="AH154" s="3934" t="n"/>
      <c r="AI154" s="3934" t="n"/>
      <c r="AJ154" s="3934" t="n"/>
      <c r="AK154" s="3934" t="n"/>
      <c r="AL154" s="3934" t="n"/>
      <c r="AM154" s="3934" t="n"/>
      <c r="AN154" s="3934" t="n"/>
      <c r="AO154" s="3934" t="n"/>
      <c r="AP154" s="3934" t="n"/>
      <c r="AQ154" s="3934" t="n"/>
      <c r="AR154" s="3934" t="n"/>
    </row>
    <row r="155">
      <c r="A155" s="3941" t="n"/>
      <c r="B155" s="3944" t="n"/>
      <c r="C155" s="3944" t="n"/>
      <c r="D155" s="3944" t="n"/>
      <c r="E155" s="3944" t="n"/>
      <c r="F155" s="3944" t="n"/>
      <c r="G155" s="3944" t="n"/>
      <c r="H155" s="3944" t="n"/>
      <c r="I155" s="3944" t="n"/>
      <c r="J155" s="3944" t="n"/>
      <c r="K155" s="3942">
        <f>IF(A155="","",SUM(E155:J155))</f>
        <v/>
      </c>
      <c r="L155" s="3934" t="n"/>
      <c r="M155" s="3934" t="n"/>
      <c r="N155" s="3934" t="n"/>
      <c r="O155" s="3934" t="n"/>
      <c r="P155" s="3934" t="n"/>
      <c r="Q155" s="3934" t="n"/>
      <c r="R155" s="3934" t="n"/>
      <c r="S155" s="3934" t="n"/>
      <c r="T155" s="3934" t="n"/>
      <c r="U155" s="3934" t="n"/>
      <c r="V155" s="3934" t="n"/>
      <c r="W155" s="3934" t="n"/>
      <c r="X155" s="3934" t="n"/>
      <c r="Y155" s="3934" t="n"/>
      <c r="Z155" s="3934" t="n"/>
      <c r="AA155" s="3934" t="n"/>
      <c r="AB155" s="3934" t="n"/>
      <c r="AC155" s="3934" t="n"/>
      <c r="AD155" s="3934" t="n"/>
      <c r="AE155" s="3934" t="n"/>
      <c r="AF155" s="3934" t="n"/>
      <c r="AG155" s="3934" t="n"/>
      <c r="AH155" s="3934" t="n"/>
      <c r="AI155" s="3934" t="n"/>
      <c r="AJ155" s="3934" t="n"/>
      <c r="AK155" s="3934" t="n"/>
      <c r="AL155" s="3934" t="n"/>
      <c r="AM155" s="3934" t="n"/>
      <c r="AN155" s="3934" t="n"/>
      <c r="AO155" s="3934" t="n"/>
      <c r="AP155" s="3934" t="n"/>
      <c r="AQ155" s="3934" t="n"/>
      <c r="AR155" s="3934" t="n"/>
    </row>
    <row r="156">
      <c r="A156" s="3941" t="n"/>
      <c r="B156" s="3944" t="n"/>
      <c r="C156" s="3944" t="n"/>
      <c r="D156" s="3944" t="n"/>
      <c r="E156" s="3944" t="n"/>
      <c r="F156" s="3944" t="n"/>
      <c r="G156" s="3944" t="n"/>
      <c r="H156" s="3944" t="n"/>
      <c r="I156" s="3944" t="n"/>
      <c r="J156" s="3944" t="n"/>
      <c r="K156" s="3942">
        <f>IF(A156="","",SUM(E156:J156))</f>
        <v/>
      </c>
      <c r="L156" s="3934" t="n"/>
      <c r="M156" s="3934" t="n"/>
      <c r="N156" s="3934" t="n"/>
      <c r="O156" s="3934" t="n"/>
      <c r="P156" s="3934" t="n"/>
      <c r="Q156" s="3934" t="n"/>
      <c r="R156" s="3934" t="n"/>
      <c r="S156" s="3934" t="n"/>
      <c r="T156" s="3934" t="n"/>
      <c r="U156" s="3934" t="n"/>
      <c r="V156" s="3934" t="n"/>
      <c r="W156" s="3934" t="n"/>
      <c r="X156" s="3934" t="n"/>
      <c r="Y156" s="3934" t="n"/>
      <c r="Z156" s="3934" t="n"/>
      <c r="AA156" s="3934" t="n"/>
      <c r="AB156" s="3934" t="n"/>
      <c r="AC156" s="3934" t="n"/>
      <c r="AD156" s="3934" t="n"/>
      <c r="AE156" s="3934" t="n"/>
      <c r="AF156" s="3934" t="n"/>
      <c r="AG156" s="3934" t="n"/>
      <c r="AH156" s="3934" t="n"/>
      <c r="AI156" s="3934" t="n"/>
      <c r="AJ156" s="3934" t="n"/>
      <c r="AK156" s="3934" t="n"/>
      <c r="AL156" s="3934" t="n"/>
      <c r="AM156" s="3934" t="n"/>
      <c r="AN156" s="3934" t="n"/>
      <c r="AO156" s="3934" t="n"/>
      <c r="AP156" s="3934" t="n"/>
      <c r="AQ156" s="3934" t="n"/>
      <c r="AR156" s="3934" t="n"/>
    </row>
    <row r="157">
      <c r="A157" s="3941" t="n"/>
      <c r="B157" s="3944" t="n"/>
      <c r="C157" s="3944" t="n"/>
      <c r="D157" s="3944" t="n"/>
      <c r="E157" s="3944" t="n"/>
      <c r="F157" s="3944" t="n"/>
      <c r="G157" s="3944" t="n"/>
      <c r="H157" s="3944" t="n"/>
      <c r="I157" s="3944" t="n"/>
      <c r="J157" s="3944" t="n"/>
      <c r="K157" s="3942">
        <f>IF(A157="","",SUM(E157:J157))</f>
        <v/>
      </c>
      <c r="L157" s="3934" t="n"/>
      <c r="M157" s="3934" t="n"/>
      <c r="N157" s="3934" t="n"/>
      <c r="O157" s="3934" t="n"/>
      <c r="P157" s="3934" t="n"/>
      <c r="Q157" s="3934" t="n"/>
      <c r="R157" s="3934" t="n"/>
      <c r="S157" s="3934" t="n"/>
      <c r="T157" s="3934" t="n"/>
      <c r="U157" s="3934" t="n"/>
      <c r="V157" s="3934" t="n"/>
      <c r="W157" s="3934" t="n"/>
      <c r="X157" s="3934" t="n"/>
      <c r="Y157" s="3934" t="n"/>
      <c r="Z157" s="3934" t="n"/>
      <c r="AA157" s="3934" t="n"/>
      <c r="AB157" s="3934" t="n"/>
      <c r="AC157" s="3934" t="n"/>
      <c r="AD157" s="3934" t="n"/>
      <c r="AE157" s="3934" t="n"/>
      <c r="AF157" s="3934" t="n"/>
      <c r="AG157" s="3934" t="n"/>
      <c r="AH157" s="3934" t="n"/>
      <c r="AI157" s="3934" t="n"/>
      <c r="AJ157" s="3934" t="n"/>
      <c r="AK157" s="3934" t="n"/>
      <c r="AL157" s="3934" t="n"/>
      <c r="AM157" s="3934" t="n"/>
      <c r="AN157" s="3934" t="n"/>
      <c r="AO157" s="3934" t="n"/>
      <c r="AP157" s="3934" t="n"/>
      <c r="AQ157" s="3934" t="n"/>
      <c r="AR157" s="3934" t="n"/>
    </row>
    <row r="158">
      <c r="A158" s="3941" t="n"/>
      <c r="B158" s="3944" t="n"/>
      <c r="C158" s="3944" t="n"/>
      <c r="D158" s="3944" t="n"/>
      <c r="E158" s="3944" t="n"/>
      <c r="F158" s="3944" t="n"/>
      <c r="G158" s="3944" t="n"/>
      <c r="H158" s="3944" t="n"/>
      <c r="I158" s="3944" t="n"/>
      <c r="J158" s="3944" t="n"/>
      <c r="K158" s="3942">
        <f>IF(A158="","",SUM(E158:J158))</f>
        <v/>
      </c>
      <c r="L158" s="3934" t="n"/>
      <c r="M158" s="3934" t="n"/>
      <c r="N158" s="3934" t="n"/>
      <c r="O158" s="3934" t="n"/>
      <c r="P158" s="3934" t="n"/>
      <c r="Q158" s="3934" t="n"/>
      <c r="R158" s="3934" t="n"/>
      <c r="S158" s="3934" t="n"/>
      <c r="T158" s="3934" t="n"/>
      <c r="U158" s="3934" t="n"/>
      <c r="V158" s="3934" t="n"/>
      <c r="W158" s="3934" t="n"/>
      <c r="X158" s="3934" t="n"/>
      <c r="Y158" s="3934" t="n"/>
      <c r="Z158" s="3934" t="n"/>
      <c r="AA158" s="3934" t="n"/>
      <c r="AB158" s="3934" t="n"/>
      <c r="AC158" s="3934" t="n"/>
      <c r="AD158" s="3934" t="n"/>
      <c r="AE158" s="3934" t="n"/>
      <c r="AF158" s="3934" t="n"/>
      <c r="AG158" s="3934" t="n"/>
      <c r="AH158" s="3934" t="n"/>
      <c r="AI158" s="3934" t="n"/>
      <c r="AJ158" s="3934" t="n"/>
      <c r="AK158" s="3934" t="n"/>
      <c r="AL158" s="3934" t="n"/>
      <c r="AM158" s="3934" t="n"/>
      <c r="AN158" s="3934" t="n"/>
      <c r="AO158" s="3934" t="n"/>
      <c r="AP158" s="3934" t="n"/>
      <c r="AQ158" s="3934" t="n"/>
      <c r="AR158" s="3934" t="n"/>
    </row>
    <row r="159">
      <c r="A159" s="3941" t="n"/>
      <c r="B159" s="3944" t="n"/>
      <c r="C159" s="3944" t="n"/>
      <c r="D159" s="3944" t="n"/>
      <c r="E159" s="3944" t="n"/>
      <c r="F159" s="3944" t="n"/>
      <c r="G159" s="3944" t="n"/>
      <c r="H159" s="3944" t="n"/>
      <c r="I159" s="3944" t="n"/>
      <c r="J159" s="3944" t="n"/>
      <c r="K159" s="3942">
        <f>IF(A159="","",SUM(E159:J159))</f>
        <v/>
      </c>
      <c r="L159" s="3934" t="n"/>
      <c r="M159" s="3934" t="n"/>
      <c r="N159" s="3934" t="n"/>
      <c r="O159" s="3934" t="n"/>
      <c r="P159" s="3934" t="n"/>
      <c r="Q159" s="3934" t="n"/>
      <c r="R159" s="3934" t="n"/>
      <c r="S159" s="3934" t="n"/>
      <c r="T159" s="3934" t="n"/>
      <c r="U159" s="3934" t="n"/>
      <c r="V159" s="3934" t="n"/>
      <c r="W159" s="3934" t="n"/>
      <c r="X159" s="3934" t="n"/>
      <c r="Y159" s="3934" t="n"/>
      <c r="Z159" s="3934" t="n"/>
      <c r="AA159" s="3934" t="n"/>
      <c r="AB159" s="3934" t="n"/>
      <c r="AC159" s="3934" t="n"/>
      <c r="AD159" s="3934" t="n"/>
      <c r="AE159" s="3934" t="n"/>
      <c r="AF159" s="3934" t="n"/>
      <c r="AG159" s="3934" t="n"/>
      <c r="AH159" s="3934" t="n"/>
      <c r="AI159" s="3934" t="n"/>
      <c r="AJ159" s="3934" t="n"/>
      <c r="AK159" s="3934" t="n"/>
      <c r="AL159" s="3934" t="n"/>
      <c r="AM159" s="3934" t="n"/>
      <c r="AN159" s="3934" t="n"/>
      <c r="AO159" s="3934" t="n"/>
      <c r="AP159" s="3934" t="n"/>
      <c r="AQ159" s="3934" t="n"/>
      <c r="AR159" s="3934" t="n"/>
    </row>
    <row r="160">
      <c r="A160" s="3941" t="n"/>
      <c r="B160" s="3944" t="n"/>
      <c r="C160" s="3944" t="n"/>
      <c r="D160" s="3944" t="n"/>
      <c r="E160" s="3944" t="n"/>
      <c r="F160" s="3944" t="n"/>
      <c r="G160" s="3944" t="n"/>
      <c r="H160" s="3944" t="n"/>
      <c r="I160" s="3944" t="n"/>
      <c r="J160" s="3944" t="n"/>
      <c r="K160" s="3942">
        <f>IF(A160="","",SUM(E160:J160))</f>
        <v/>
      </c>
      <c r="L160" s="3934" t="n"/>
      <c r="M160" s="3934" t="n"/>
      <c r="N160" s="3934" t="n"/>
      <c r="O160" s="3934" t="n"/>
      <c r="P160" s="3934" t="n"/>
      <c r="Q160" s="3934" t="n"/>
      <c r="R160" s="3934" t="n"/>
      <c r="S160" s="3934" t="n"/>
      <c r="T160" s="3934" t="n"/>
      <c r="U160" s="3934" t="n"/>
      <c r="V160" s="3934" t="n"/>
      <c r="W160" s="3934" t="n"/>
      <c r="X160" s="3934" t="n"/>
      <c r="Y160" s="3934" t="n"/>
      <c r="Z160" s="3934" t="n"/>
      <c r="AA160" s="3934" t="n"/>
      <c r="AB160" s="3934" t="n"/>
      <c r="AC160" s="3934" t="n"/>
      <c r="AD160" s="3934" t="n"/>
      <c r="AE160" s="3934" t="n"/>
      <c r="AF160" s="3934" t="n"/>
      <c r="AG160" s="3934" t="n"/>
      <c r="AH160" s="3934" t="n"/>
      <c r="AI160" s="3934" t="n"/>
      <c r="AJ160" s="3934" t="n"/>
      <c r="AK160" s="3934" t="n"/>
      <c r="AL160" s="3934" t="n"/>
      <c r="AM160" s="3934" t="n"/>
      <c r="AN160" s="3934" t="n"/>
      <c r="AO160" s="3934" t="n"/>
      <c r="AP160" s="3934" t="n"/>
      <c r="AQ160" s="3934" t="n"/>
      <c r="AR160" s="3934" t="n"/>
    </row>
    <row r="161">
      <c r="A161" s="3941" t="n"/>
      <c r="B161" s="3944" t="n"/>
      <c r="C161" s="3944" t="n"/>
      <c r="D161" s="3944" t="n"/>
      <c r="E161" s="3944" t="n"/>
      <c r="F161" s="3944" t="n"/>
      <c r="G161" s="3944" t="n"/>
      <c r="H161" s="3944" t="n"/>
      <c r="I161" s="3944" t="n"/>
      <c r="J161" s="3944" t="n"/>
      <c r="K161" s="3942">
        <f>IF(A161="","",SUM(E161:J161))</f>
        <v/>
      </c>
      <c r="L161" s="3934" t="n"/>
      <c r="M161" s="3934" t="n"/>
      <c r="N161" s="3934" t="n"/>
      <c r="O161" s="3934" t="n"/>
      <c r="P161" s="3934" t="n"/>
      <c r="Q161" s="3934" t="n"/>
      <c r="R161" s="3934" t="n"/>
      <c r="S161" s="3934" t="n"/>
      <c r="T161" s="3934" t="n"/>
      <c r="U161" s="3934" t="n"/>
      <c r="V161" s="3934" t="n"/>
      <c r="W161" s="3934" t="n"/>
      <c r="X161" s="3934" t="n"/>
      <c r="Y161" s="3934" t="n"/>
      <c r="Z161" s="3934" t="n"/>
      <c r="AA161" s="3934" t="n"/>
      <c r="AB161" s="3934" t="n"/>
      <c r="AC161" s="3934" t="n"/>
      <c r="AD161" s="3934" t="n"/>
      <c r="AE161" s="3934" t="n"/>
      <c r="AF161" s="3934" t="n"/>
      <c r="AG161" s="3934" t="n"/>
      <c r="AH161" s="3934" t="n"/>
      <c r="AI161" s="3934" t="n"/>
      <c r="AJ161" s="3934" t="n"/>
      <c r="AK161" s="3934" t="n"/>
      <c r="AL161" s="3934" t="n"/>
      <c r="AM161" s="3934" t="n"/>
      <c r="AN161" s="3934" t="n"/>
      <c r="AO161" s="3934" t="n"/>
      <c r="AP161" s="3934" t="n"/>
      <c r="AQ161" s="3934" t="n"/>
      <c r="AR161" s="3934" t="n"/>
    </row>
    <row r="162">
      <c r="A162" s="3941" t="n"/>
      <c r="B162" s="3944" t="n"/>
      <c r="C162" s="3944" t="n"/>
      <c r="D162" s="3944" t="n"/>
      <c r="E162" s="3944" t="n"/>
      <c r="F162" s="3944" t="n"/>
      <c r="G162" s="3944" t="n"/>
      <c r="H162" s="3944" t="n"/>
      <c r="I162" s="3944" t="n"/>
      <c r="J162" s="3944" t="n"/>
      <c r="K162" s="3942">
        <f>IF(A162="","",SUM(E162:J162))</f>
        <v/>
      </c>
      <c r="L162" s="3934" t="n"/>
      <c r="M162" s="3934" t="n"/>
      <c r="N162" s="3934" t="n"/>
      <c r="O162" s="3934" t="n"/>
      <c r="P162" s="3934" t="n"/>
      <c r="Q162" s="3934" t="n"/>
      <c r="R162" s="3934" t="n"/>
      <c r="S162" s="3934" t="n"/>
      <c r="T162" s="3934" t="n"/>
      <c r="U162" s="3934" t="n"/>
      <c r="V162" s="3934" t="n"/>
      <c r="W162" s="3934" t="n"/>
      <c r="X162" s="3934" t="n"/>
      <c r="Y162" s="3934" t="n"/>
      <c r="Z162" s="3934" t="n"/>
      <c r="AA162" s="3934" t="n"/>
      <c r="AB162" s="3934" t="n"/>
      <c r="AC162" s="3934" t="n"/>
      <c r="AD162" s="3934" t="n"/>
      <c r="AE162" s="3934" t="n"/>
      <c r="AF162" s="3934" t="n"/>
      <c r="AG162" s="3934" t="n"/>
      <c r="AH162" s="3934" t="n"/>
      <c r="AI162" s="3934" t="n"/>
      <c r="AJ162" s="3934" t="n"/>
      <c r="AK162" s="3934" t="n"/>
      <c r="AL162" s="3934" t="n"/>
      <c r="AM162" s="3934" t="n"/>
      <c r="AN162" s="3934" t="n"/>
      <c r="AO162" s="3934" t="n"/>
      <c r="AP162" s="3934" t="n"/>
      <c r="AQ162" s="3934" t="n"/>
      <c r="AR162" s="3934" t="n"/>
    </row>
    <row r="163">
      <c r="A163" s="3941" t="n"/>
      <c r="B163" s="3944" t="n"/>
      <c r="C163" s="3944" t="n"/>
      <c r="D163" s="3944" t="n"/>
      <c r="E163" s="3944" t="n"/>
      <c r="F163" s="3944" t="n"/>
      <c r="G163" s="3944" t="n"/>
      <c r="H163" s="3944" t="n"/>
      <c r="I163" s="3944" t="n"/>
      <c r="J163" s="3944" t="n"/>
      <c r="K163" s="3942">
        <f>IF(A163="","",SUM(E163:J163))</f>
        <v/>
      </c>
      <c r="L163" s="3934" t="n"/>
      <c r="M163" s="3934" t="n"/>
      <c r="N163" s="3934" t="n"/>
      <c r="O163" s="3934" t="n"/>
      <c r="P163" s="3934" t="n"/>
      <c r="Q163" s="3934" t="n"/>
      <c r="R163" s="3934" t="n"/>
      <c r="S163" s="3934" t="n"/>
      <c r="T163" s="3934" t="n"/>
      <c r="U163" s="3934" t="n"/>
      <c r="V163" s="3934" t="n"/>
      <c r="W163" s="3934" t="n"/>
      <c r="X163" s="3934" t="n"/>
      <c r="Y163" s="3934" t="n"/>
      <c r="Z163" s="3934" t="n"/>
      <c r="AA163" s="3934" t="n"/>
      <c r="AB163" s="3934" t="n"/>
      <c r="AC163" s="3934" t="n"/>
      <c r="AD163" s="3934" t="n"/>
      <c r="AE163" s="3934" t="n"/>
      <c r="AF163" s="3934" t="n"/>
      <c r="AG163" s="3934" t="n"/>
      <c r="AH163" s="3934" t="n"/>
      <c r="AI163" s="3934" t="n"/>
      <c r="AJ163" s="3934" t="n"/>
      <c r="AK163" s="3934" t="n"/>
      <c r="AL163" s="3934" t="n"/>
      <c r="AM163" s="3934" t="n"/>
      <c r="AN163" s="3934" t="n"/>
      <c r="AO163" s="3934" t="n"/>
      <c r="AP163" s="3934" t="n"/>
      <c r="AQ163" s="3934" t="n"/>
      <c r="AR163" s="3934" t="n"/>
    </row>
    <row r="164">
      <c r="A164" s="3941" t="n"/>
      <c r="B164" s="3944" t="n"/>
      <c r="C164" s="3944" t="n"/>
      <c r="D164" s="3944" t="n"/>
      <c r="E164" s="3944" t="n"/>
      <c r="F164" s="3944" t="n"/>
      <c r="G164" s="3944" t="n"/>
      <c r="H164" s="3944" t="n"/>
      <c r="I164" s="3944" t="n"/>
      <c r="J164" s="3944" t="n"/>
      <c r="K164" s="3942">
        <f>IF(A164="","",SUM(E164:J164))</f>
        <v/>
      </c>
      <c r="L164" s="3934" t="n"/>
      <c r="M164" s="3934" t="n"/>
      <c r="N164" s="3934" t="n"/>
      <c r="O164" s="3934" t="n"/>
      <c r="P164" s="3934" t="n"/>
      <c r="Q164" s="3934" t="n"/>
      <c r="R164" s="3934" t="n"/>
      <c r="S164" s="3934" t="n"/>
      <c r="T164" s="3934" t="n"/>
      <c r="U164" s="3934" t="n"/>
      <c r="V164" s="3934" t="n"/>
      <c r="W164" s="3934" t="n"/>
      <c r="X164" s="3934" t="n"/>
      <c r="Y164" s="3934" t="n"/>
      <c r="Z164" s="3934" t="n"/>
      <c r="AA164" s="3934" t="n"/>
      <c r="AB164" s="3934" t="n"/>
      <c r="AC164" s="3934" t="n"/>
      <c r="AD164" s="3934" t="n"/>
      <c r="AE164" s="3934" t="n"/>
      <c r="AF164" s="3934" t="n"/>
      <c r="AG164" s="3934" t="n"/>
      <c r="AH164" s="3934" t="n"/>
      <c r="AI164" s="3934" t="n"/>
      <c r="AJ164" s="3934" t="n"/>
      <c r="AK164" s="3934" t="n"/>
      <c r="AL164" s="3934" t="n"/>
      <c r="AM164" s="3934" t="n"/>
      <c r="AN164" s="3934" t="n"/>
      <c r="AO164" s="3934" t="n"/>
      <c r="AP164" s="3934" t="n"/>
      <c r="AQ164" s="3934" t="n"/>
      <c r="AR164" s="3934" t="n"/>
    </row>
    <row r="165">
      <c r="A165" s="3941" t="n"/>
      <c r="B165" s="3944" t="n"/>
      <c r="C165" s="3944" t="n"/>
      <c r="D165" s="3944" t="n"/>
      <c r="E165" s="3944" t="n"/>
      <c r="F165" s="3944" t="n"/>
      <c r="G165" s="3944" t="n"/>
      <c r="H165" s="3944" t="n"/>
      <c r="I165" s="3944" t="n"/>
      <c r="J165" s="3944" t="n"/>
      <c r="K165" s="3942">
        <f>IF(A165="","",SUM(E165:J165))</f>
        <v/>
      </c>
      <c r="L165" s="3934" t="n"/>
      <c r="M165" s="3934" t="n"/>
      <c r="N165" s="3934" t="n"/>
      <c r="O165" s="3934" t="n"/>
      <c r="P165" s="3934" t="n"/>
      <c r="Q165" s="3934" t="n"/>
      <c r="R165" s="3934" t="n"/>
      <c r="S165" s="3934" t="n"/>
      <c r="T165" s="3934" t="n"/>
      <c r="U165" s="3934" t="n"/>
      <c r="V165" s="3934" t="n"/>
      <c r="W165" s="3934" t="n"/>
      <c r="X165" s="3934" t="n"/>
      <c r="Y165" s="3934" t="n"/>
      <c r="Z165" s="3934" t="n"/>
      <c r="AA165" s="3934" t="n"/>
      <c r="AB165" s="3934" t="n"/>
      <c r="AC165" s="3934" t="n"/>
      <c r="AD165" s="3934" t="n"/>
      <c r="AE165" s="3934" t="n"/>
      <c r="AF165" s="3934" t="n"/>
      <c r="AG165" s="3934" t="n"/>
      <c r="AH165" s="3934" t="n"/>
      <c r="AI165" s="3934" t="n"/>
      <c r="AJ165" s="3934" t="n"/>
      <c r="AK165" s="3934" t="n"/>
      <c r="AL165" s="3934" t="n"/>
      <c r="AM165" s="3934" t="n"/>
      <c r="AN165" s="3934" t="n"/>
      <c r="AO165" s="3934" t="n"/>
      <c r="AP165" s="3934" t="n"/>
      <c r="AQ165" s="3934" t="n"/>
      <c r="AR165" s="3934" t="n"/>
    </row>
    <row r="166">
      <c r="A166" s="3941" t="n"/>
      <c r="B166" s="3944" t="n"/>
      <c r="C166" s="3944" t="n"/>
      <c r="D166" s="3944" t="n"/>
      <c r="E166" s="3944" t="n"/>
      <c r="F166" s="3944" t="n"/>
      <c r="G166" s="3944" t="n"/>
      <c r="H166" s="3944" t="n"/>
      <c r="I166" s="3944" t="n"/>
      <c r="J166" s="3944" t="n"/>
      <c r="K166" s="3942">
        <f>IF(A166="","",SUM(E166:J166))</f>
        <v/>
      </c>
      <c r="L166" s="3934" t="n"/>
      <c r="M166" s="3934" t="n"/>
      <c r="N166" s="3934" t="n"/>
      <c r="O166" s="3934" t="n"/>
      <c r="P166" s="3934" t="n"/>
      <c r="Q166" s="3934" t="n"/>
      <c r="R166" s="3934" t="n"/>
      <c r="S166" s="3934" t="n"/>
      <c r="T166" s="3934" t="n"/>
      <c r="U166" s="3934" t="n"/>
      <c r="V166" s="3934" t="n"/>
      <c r="W166" s="3934" t="n"/>
      <c r="X166" s="3934" t="n"/>
      <c r="Y166" s="3934" t="n"/>
      <c r="Z166" s="3934" t="n"/>
      <c r="AA166" s="3934" t="n"/>
      <c r="AB166" s="3934" t="n"/>
      <c r="AC166" s="3934" t="n"/>
      <c r="AD166" s="3934" t="n"/>
      <c r="AE166" s="3934" t="n"/>
      <c r="AF166" s="3934" t="n"/>
      <c r="AG166" s="3934" t="n"/>
      <c r="AH166" s="3934" t="n"/>
      <c r="AI166" s="3934" t="n"/>
      <c r="AJ166" s="3934" t="n"/>
      <c r="AK166" s="3934" t="n"/>
      <c r="AL166" s="3934" t="n"/>
      <c r="AM166" s="3934" t="n"/>
      <c r="AN166" s="3934" t="n"/>
      <c r="AO166" s="3934" t="n"/>
      <c r="AP166" s="3934" t="n"/>
      <c r="AQ166" s="3934" t="n"/>
      <c r="AR166" s="3934" t="n"/>
    </row>
    <row r="167">
      <c r="A167" s="3941" t="n"/>
      <c r="B167" s="3944" t="n"/>
      <c r="C167" s="3944" t="n"/>
      <c r="D167" s="3944" t="n"/>
      <c r="E167" s="3944" t="n"/>
      <c r="F167" s="3944" t="n"/>
      <c r="G167" s="3944" t="n"/>
      <c r="H167" s="3944" t="n"/>
      <c r="I167" s="3944" t="n"/>
      <c r="J167" s="3944" t="n"/>
      <c r="K167" s="3942">
        <f>IF(A167="","",SUM(E167:J167))</f>
        <v/>
      </c>
      <c r="L167" s="3934" t="n"/>
      <c r="M167" s="3934" t="n"/>
      <c r="N167" s="3934" t="n"/>
      <c r="O167" s="3934" t="n"/>
      <c r="P167" s="3934" t="n"/>
      <c r="Q167" s="3934" t="n"/>
      <c r="R167" s="3934" t="n"/>
      <c r="S167" s="3934" t="n"/>
      <c r="T167" s="3934" t="n"/>
      <c r="U167" s="3934" t="n"/>
      <c r="V167" s="3934" t="n"/>
      <c r="W167" s="3934" t="n"/>
      <c r="X167" s="3934" t="n"/>
      <c r="Y167" s="3934" t="n"/>
      <c r="Z167" s="3934" t="n"/>
      <c r="AA167" s="3934" t="n"/>
      <c r="AB167" s="3934" t="n"/>
      <c r="AC167" s="3934" t="n"/>
      <c r="AD167" s="3934" t="n"/>
      <c r="AE167" s="3934" t="n"/>
      <c r="AF167" s="3934" t="n"/>
      <c r="AG167" s="3934" t="n"/>
      <c r="AH167" s="3934" t="n"/>
      <c r="AI167" s="3934" t="n"/>
      <c r="AJ167" s="3934" t="n"/>
      <c r="AK167" s="3934" t="n"/>
      <c r="AL167" s="3934" t="n"/>
      <c r="AM167" s="3934" t="n"/>
      <c r="AN167" s="3934" t="n"/>
      <c r="AO167" s="3934" t="n"/>
      <c r="AP167" s="3934" t="n"/>
      <c r="AQ167" s="3934" t="n"/>
      <c r="AR167" s="3934" t="n"/>
    </row>
    <row r="168">
      <c r="A168" s="3941" t="n"/>
      <c r="B168" s="3944" t="n"/>
      <c r="C168" s="3944" t="n"/>
      <c r="D168" s="3944" t="n"/>
      <c r="E168" s="3944" t="n"/>
      <c r="F168" s="3944" t="n"/>
      <c r="G168" s="3944" t="n"/>
      <c r="H168" s="3944" t="n"/>
      <c r="I168" s="3944" t="n"/>
      <c r="J168" s="3944" t="n"/>
      <c r="K168" s="3942">
        <f>IF(A168="","",SUM(E168:J168))</f>
        <v/>
      </c>
      <c r="L168" s="3934" t="n"/>
      <c r="M168" s="3934" t="n"/>
      <c r="N168" s="3934" t="n"/>
      <c r="O168" s="3934" t="n"/>
      <c r="P168" s="3934" t="n"/>
      <c r="Q168" s="3934" t="n"/>
      <c r="R168" s="3934" t="n"/>
      <c r="S168" s="3934" t="n"/>
      <c r="T168" s="3934" t="n"/>
      <c r="U168" s="3934" t="n"/>
      <c r="V168" s="3934" t="n"/>
      <c r="W168" s="3934" t="n"/>
      <c r="X168" s="3934" t="n"/>
      <c r="Y168" s="3934" t="n"/>
      <c r="Z168" s="3934" t="n"/>
      <c r="AA168" s="3934" t="n"/>
      <c r="AB168" s="3934" t="n"/>
      <c r="AC168" s="3934" t="n"/>
      <c r="AD168" s="3934" t="n"/>
      <c r="AE168" s="3934" t="n"/>
      <c r="AF168" s="3934" t="n"/>
      <c r="AG168" s="3934" t="n"/>
      <c r="AH168" s="3934" t="n"/>
      <c r="AI168" s="3934" t="n"/>
      <c r="AJ168" s="3934" t="n"/>
      <c r="AK168" s="3934" t="n"/>
      <c r="AL168" s="3934" t="n"/>
      <c r="AM168" s="3934" t="n"/>
      <c r="AN168" s="3934" t="n"/>
      <c r="AO168" s="3934" t="n"/>
      <c r="AP168" s="3934" t="n"/>
      <c r="AQ168" s="3934" t="n"/>
      <c r="AR168" s="3934" t="n"/>
    </row>
    <row r="169">
      <c r="A169" s="3941" t="n"/>
      <c r="B169" s="3944" t="n"/>
      <c r="C169" s="3944" t="n"/>
      <c r="D169" s="3944" t="n"/>
      <c r="E169" s="3944" t="n"/>
      <c r="F169" s="3944" t="n"/>
      <c r="G169" s="3944" t="n"/>
      <c r="H169" s="3944" t="n"/>
      <c r="I169" s="3944" t="n"/>
      <c r="J169" s="3944" t="n"/>
      <c r="K169" s="3942">
        <f>IF(A169="","",SUM(E169:J169))</f>
        <v/>
      </c>
      <c r="L169" s="3934" t="n"/>
      <c r="M169" s="3934" t="n"/>
      <c r="N169" s="3934" t="n"/>
      <c r="O169" s="3934" t="n"/>
      <c r="P169" s="3934" t="n"/>
      <c r="Q169" s="3934" t="n"/>
      <c r="R169" s="3934" t="n"/>
      <c r="S169" s="3934" t="n"/>
      <c r="T169" s="3934" t="n"/>
      <c r="U169" s="3934" t="n"/>
      <c r="V169" s="3934" t="n"/>
      <c r="W169" s="3934" t="n"/>
      <c r="X169" s="3934" t="n"/>
      <c r="Y169" s="3934" t="n"/>
      <c r="Z169" s="3934" t="n"/>
      <c r="AA169" s="3934" t="n"/>
      <c r="AB169" s="3934" t="n"/>
      <c r="AC169" s="3934" t="n"/>
      <c r="AD169" s="3934" t="n"/>
      <c r="AE169" s="3934" t="n"/>
      <c r="AF169" s="3934" t="n"/>
      <c r="AG169" s="3934" t="n"/>
      <c r="AH169" s="3934" t="n"/>
      <c r="AI169" s="3934" t="n"/>
      <c r="AJ169" s="3934" t="n"/>
      <c r="AK169" s="3934" t="n"/>
      <c r="AL169" s="3934" t="n"/>
      <c r="AM169" s="3934" t="n"/>
      <c r="AN169" s="3934" t="n"/>
      <c r="AO169" s="3934" t="n"/>
      <c r="AP169" s="3934" t="n"/>
      <c r="AQ169" s="3934" t="n"/>
      <c r="AR169" s="3934" t="n"/>
    </row>
    <row r="170">
      <c r="A170" s="3941" t="n"/>
      <c r="B170" s="3944" t="n"/>
      <c r="C170" s="3944" t="n"/>
      <c r="D170" s="3944" t="n"/>
      <c r="E170" s="3944" t="n"/>
      <c r="F170" s="3944" t="n"/>
      <c r="G170" s="3944" t="n"/>
      <c r="H170" s="3944" t="n"/>
      <c r="I170" s="3944" t="n"/>
      <c r="J170" s="3944" t="n"/>
      <c r="K170" s="3942">
        <f>IF(A170="","",SUM(E170:J170))</f>
        <v/>
      </c>
      <c r="L170" s="3934" t="n"/>
      <c r="M170" s="3934" t="n"/>
      <c r="N170" s="3934" t="n"/>
      <c r="O170" s="3934" t="n"/>
      <c r="P170" s="3934" t="n"/>
      <c r="Q170" s="3934" t="n"/>
      <c r="R170" s="3934" t="n"/>
      <c r="S170" s="3934" t="n"/>
      <c r="T170" s="3934" t="n"/>
      <c r="U170" s="3934" t="n"/>
      <c r="V170" s="3934" t="n"/>
      <c r="W170" s="3934" t="n"/>
      <c r="X170" s="3934" t="n"/>
      <c r="Y170" s="3934" t="n"/>
      <c r="Z170" s="3934" t="n"/>
      <c r="AA170" s="3934" t="n"/>
      <c r="AB170" s="3934" t="n"/>
      <c r="AC170" s="3934" t="n"/>
      <c r="AD170" s="3934" t="n"/>
      <c r="AE170" s="3934" t="n"/>
      <c r="AF170" s="3934" t="n"/>
      <c r="AG170" s="3934" t="n"/>
      <c r="AH170" s="3934" t="n"/>
      <c r="AI170" s="3934" t="n"/>
      <c r="AJ170" s="3934" t="n"/>
      <c r="AK170" s="3934" t="n"/>
      <c r="AL170" s="3934" t="n"/>
      <c r="AM170" s="3934" t="n"/>
      <c r="AN170" s="3934" t="n"/>
      <c r="AO170" s="3934" t="n"/>
      <c r="AP170" s="3934" t="n"/>
      <c r="AQ170" s="3934" t="n"/>
      <c r="AR170" s="3934" t="n"/>
    </row>
    <row r="171">
      <c r="A171" s="3941" t="n"/>
      <c r="B171" s="3944" t="n"/>
      <c r="C171" s="3944" t="n"/>
      <c r="D171" s="3944" t="n"/>
      <c r="E171" s="3944" t="n"/>
      <c r="F171" s="3944" t="n"/>
      <c r="G171" s="3944" t="n"/>
      <c r="H171" s="3944" t="n"/>
      <c r="I171" s="3944" t="n"/>
      <c r="J171" s="3944" t="n"/>
      <c r="K171" s="3942">
        <f>IF(A171="","",SUM(E171:J171))</f>
        <v/>
      </c>
      <c r="L171" s="3934" t="n"/>
      <c r="M171" s="3934" t="n"/>
      <c r="N171" s="3934" t="n"/>
      <c r="O171" s="3934" t="n"/>
      <c r="P171" s="3934" t="n"/>
      <c r="Q171" s="3934" t="n"/>
      <c r="R171" s="3934" t="n"/>
      <c r="S171" s="3934" t="n"/>
      <c r="T171" s="3934" t="n"/>
      <c r="U171" s="3934" t="n"/>
      <c r="V171" s="3934" t="n"/>
      <c r="W171" s="3934" t="n"/>
      <c r="X171" s="3934" t="n"/>
      <c r="Y171" s="3934" t="n"/>
      <c r="Z171" s="3934" t="n"/>
      <c r="AA171" s="3934" t="n"/>
      <c r="AB171" s="3934" t="n"/>
      <c r="AC171" s="3934" t="n"/>
      <c r="AD171" s="3934" t="n"/>
      <c r="AE171" s="3934" t="n"/>
      <c r="AF171" s="3934" t="n"/>
      <c r="AG171" s="3934" t="n"/>
      <c r="AH171" s="3934" t="n"/>
      <c r="AI171" s="3934" t="n"/>
      <c r="AJ171" s="3934" t="n"/>
      <c r="AK171" s="3934" t="n"/>
      <c r="AL171" s="3934" t="n"/>
      <c r="AM171" s="3934" t="n"/>
      <c r="AN171" s="3934" t="n"/>
      <c r="AO171" s="3934" t="n"/>
      <c r="AP171" s="3934" t="n"/>
      <c r="AQ171" s="3934" t="n"/>
      <c r="AR171" s="3934" t="n"/>
    </row>
    <row r="172">
      <c r="A172" s="3941" t="n"/>
      <c r="B172" s="3944" t="n"/>
      <c r="C172" s="3944" t="n"/>
      <c r="D172" s="3944" t="n"/>
      <c r="E172" s="3944" t="n"/>
      <c r="F172" s="3944" t="n"/>
      <c r="G172" s="3944" t="n"/>
      <c r="H172" s="3944" t="n"/>
      <c r="I172" s="3944" t="n"/>
      <c r="J172" s="3944" t="n"/>
      <c r="K172" s="3942">
        <f>IF(A172="","",SUM(E172:J172))</f>
        <v/>
      </c>
      <c r="L172" s="3934" t="n"/>
      <c r="M172" s="3934" t="n"/>
      <c r="N172" s="3934" t="n"/>
      <c r="O172" s="3934" t="n"/>
      <c r="P172" s="3934" t="n"/>
      <c r="Q172" s="3934" t="n"/>
      <c r="R172" s="3934" t="n"/>
      <c r="S172" s="3934" t="n"/>
      <c r="T172" s="3934" t="n"/>
      <c r="U172" s="3934" t="n"/>
      <c r="V172" s="3934" t="n"/>
      <c r="W172" s="3934" t="n"/>
      <c r="X172" s="3934" t="n"/>
      <c r="Y172" s="3934" t="n"/>
      <c r="Z172" s="3934" t="n"/>
      <c r="AA172" s="3934" t="n"/>
      <c r="AB172" s="3934" t="n"/>
      <c r="AC172" s="3934" t="n"/>
      <c r="AD172" s="3934" t="n"/>
      <c r="AE172" s="3934" t="n"/>
      <c r="AF172" s="3934" t="n"/>
      <c r="AG172" s="3934" t="n"/>
      <c r="AH172" s="3934" t="n"/>
      <c r="AI172" s="3934" t="n"/>
      <c r="AJ172" s="3934" t="n"/>
      <c r="AK172" s="3934" t="n"/>
      <c r="AL172" s="3934" t="n"/>
      <c r="AM172" s="3934" t="n"/>
      <c r="AN172" s="3934" t="n"/>
      <c r="AO172" s="3934" t="n"/>
      <c r="AP172" s="3934" t="n"/>
      <c r="AQ172" s="3934" t="n"/>
      <c r="AR172" s="3934" t="n"/>
    </row>
    <row r="173">
      <c r="A173" s="3941" t="n"/>
      <c r="B173" s="3944" t="n"/>
      <c r="C173" s="3944" t="n"/>
      <c r="D173" s="3944" t="n"/>
      <c r="E173" s="3944" t="n"/>
      <c r="F173" s="3944" t="n"/>
      <c r="G173" s="3944" t="n"/>
      <c r="H173" s="3944" t="n"/>
      <c r="I173" s="3944" t="n"/>
      <c r="J173" s="3944" t="n"/>
      <c r="K173" s="3942">
        <f>IF(A173="","",SUM(E173:J173))</f>
        <v/>
      </c>
      <c r="L173" s="3934" t="n"/>
      <c r="M173" s="3934" t="n"/>
      <c r="N173" s="3934" t="n"/>
      <c r="O173" s="3934" t="n"/>
      <c r="P173" s="3934" t="n"/>
      <c r="Q173" s="3934" t="n"/>
      <c r="R173" s="3934" t="n"/>
      <c r="S173" s="3934" t="n"/>
      <c r="T173" s="3934" t="n"/>
      <c r="U173" s="3934" t="n"/>
      <c r="V173" s="3934" t="n"/>
      <c r="W173" s="3934" t="n"/>
      <c r="X173" s="3934" t="n"/>
      <c r="Y173" s="3934" t="n"/>
      <c r="Z173" s="3934" t="n"/>
      <c r="AA173" s="3934" t="n"/>
      <c r="AB173" s="3934" t="n"/>
      <c r="AC173" s="3934" t="n"/>
      <c r="AD173" s="3934" t="n"/>
      <c r="AE173" s="3934" t="n"/>
      <c r="AF173" s="3934" t="n"/>
      <c r="AG173" s="3934" t="n"/>
      <c r="AH173" s="3934" t="n"/>
      <c r="AI173" s="3934" t="n"/>
      <c r="AJ173" s="3934" t="n"/>
      <c r="AK173" s="3934" t="n"/>
      <c r="AL173" s="3934" t="n"/>
      <c r="AM173" s="3934" t="n"/>
      <c r="AN173" s="3934" t="n"/>
      <c r="AO173" s="3934" t="n"/>
      <c r="AP173" s="3934" t="n"/>
      <c r="AQ173" s="3934" t="n"/>
      <c r="AR173" s="3934" t="n"/>
    </row>
    <row r="174">
      <c r="A174" s="3941" t="n"/>
      <c r="B174" s="3944" t="n"/>
      <c r="C174" s="3944" t="n"/>
      <c r="D174" s="3944" t="n"/>
      <c r="E174" s="3944" t="n"/>
      <c r="F174" s="3944" t="n"/>
      <c r="G174" s="3944" t="n"/>
      <c r="H174" s="3944" t="n"/>
      <c r="I174" s="3944" t="n"/>
      <c r="J174" s="3944" t="n"/>
      <c r="K174" s="3942">
        <f>IF(A174="","",SUM(E174:J174))</f>
        <v/>
      </c>
      <c r="L174" s="3934" t="n"/>
      <c r="M174" s="3934" t="n"/>
      <c r="N174" s="3934" t="n"/>
      <c r="O174" s="3934" t="n"/>
      <c r="P174" s="3934" t="n"/>
      <c r="Q174" s="3934" t="n"/>
      <c r="R174" s="3934" t="n"/>
      <c r="S174" s="3934" t="n"/>
      <c r="T174" s="3934" t="n"/>
      <c r="U174" s="3934" t="n"/>
      <c r="V174" s="3934" t="n"/>
      <c r="W174" s="3934" t="n"/>
      <c r="X174" s="3934" t="n"/>
      <c r="Y174" s="3934" t="n"/>
      <c r="Z174" s="3934" t="n"/>
      <c r="AA174" s="3934" t="n"/>
      <c r="AB174" s="3934" t="n"/>
      <c r="AC174" s="3934" t="n"/>
      <c r="AD174" s="3934" t="n"/>
      <c r="AE174" s="3934" t="n"/>
      <c r="AF174" s="3934" t="n"/>
      <c r="AG174" s="3934" t="n"/>
      <c r="AH174" s="3934" t="n"/>
      <c r="AI174" s="3934" t="n"/>
      <c r="AJ174" s="3934" t="n"/>
      <c r="AK174" s="3934" t="n"/>
      <c r="AL174" s="3934" t="n"/>
      <c r="AM174" s="3934" t="n"/>
      <c r="AN174" s="3934" t="n"/>
      <c r="AO174" s="3934" t="n"/>
      <c r="AP174" s="3934" t="n"/>
      <c r="AQ174" s="3934" t="n"/>
      <c r="AR174" s="3934" t="n"/>
    </row>
    <row r="175">
      <c r="A175" s="3941" t="n"/>
      <c r="B175" s="3944" t="n"/>
      <c r="C175" s="3944" t="n"/>
      <c r="D175" s="3944" t="n"/>
      <c r="E175" s="3944" t="n"/>
      <c r="F175" s="3944" t="n"/>
      <c r="G175" s="3944" t="n"/>
      <c r="H175" s="3944" t="n"/>
      <c r="I175" s="3944" t="n"/>
      <c r="J175" s="3944" t="n"/>
      <c r="K175" s="3942">
        <f>IF(A175="","",SUM(E175:J175))</f>
        <v/>
      </c>
      <c r="L175" s="3934" t="n"/>
      <c r="M175" s="3934" t="n"/>
      <c r="N175" s="3934" t="n"/>
      <c r="O175" s="3934" t="n"/>
      <c r="P175" s="3934" t="n"/>
      <c r="Q175" s="3934" t="n"/>
      <c r="R175" s="3934" t="n"/>
      <c r="S175" s="3934" t="n"/>
      <c r="T175" s="3934" t="n"/>
      <c r="U175" s="3934" t="n"/>
      <c r="V175" s="3934" t="n"/>
      <c r="W175" s="3934" t="n"/>
      <c r="X175" s="3934" t="n"/>
      <c r="Y175" s="3934" t="n"/>
      <c r="Z175" s="3934" t="n"/>
      <c r="AA175" s="3934" t="n"/>
      <c r="AB175" s="3934" t="n"/>
      <c r="AC175" s="3934" t="n"/>
      <c r="AD175" s="3934" t="n"/>
      <c r="AE175" s="3934" t="n"/>
      <c r="AF175" s="3934" t="n"/>
      <c r="AG175" s="3934" t="n"/>
      <c r="AH175" s="3934" t="n"/>
      <c r="AI175" s="3934" t="n"/>
      <c r="AJ175" s="3934" t="n"/>
      <c r="AK175" s="3934" t="n"/>
      <c r="AL175" s="3934" t="n"/>
      <c r="AM175" s="3934" t="n"/>
      <c r="AN175" s="3934" t="n"/>
      <c r="AO175" s="3934" t="n"/>
      <c r="AP175" s="3934" t="n"/>
      <c r="AQ175" s="3934" t="n"/>
      <c r="AR175" s="3934" t="n"/>
    </row>
    <row r="176">
      <c r="A176" s="3941" t="n"/>
      <c r="B176" s="3944" t="n"/>
      <c r="C176" s="3944" t="n"/>
      <c r="D176" s="3944" t="n"/>
      <c r="E176" s="3944" t="n"/>
      <c r="F176" s="3944" t="n"/>
      <c r="G176" s="3944" t="n"/>
      <c r="H176" s="3944" t="n"/>
      <c r="I176" s="3944" t="n"/>
      <c r="J176" s="3944" t="n"/>
      <c r="K176" s="3942">
        <f>IF(A176="","",SUM(E176:J176))</f>
        <v/>
      </c>
      <c r="L176" s="3934" t="n"/>
      <c r="M176" s="3934" t="n"/>
      <c r="N176" s="3934" t="n"/>
      <c r="O176" s="3934" t="n"/>
      <c r="P176" s="3934" t="n"/>
      <c r="Q176" s="3934" t="n"/>
      <c r="R176" s="3934" t="n"/>
      <c r="S176" s="3934" t="n"/>
      <c r="T176" s="3934" t="n"/>
      <c r="U176" s="3934" t="n"/>
      <c r="V176" s="3934" t="n"/>
      <c r="W176" s="3934" t="n"/>
      <c r="X176" s="3934" t="n"/>
      <c r="Y176" s="3934" t="n"/>
      <c r="Z176" s="3934" t="n"/>
      <c r="AA176" s="3934" t="n"/>
      <c r="AB176" s="3934" t="n"/>
      <c r="AC176" s="3934" t="n"/>
      <c r="AD176" s="3934" t="n"/>
      <c r="AE176" s="3934" t="n"/>
      <c r="AF176" s="3934" t="n"/>
      <c r="AG176" s="3934" t="n"/>
      <c r="AH176" s="3934" t="n"/>
      <c r="AI176" s="3934" t="n"/>
      <c r="AJ176" s="3934" t="n"/>
      <c r="AK176" s="3934" t="n"/>
      <c r="AL176" s="3934" t="n"/>
      <c r="AM176" s="3934" t="n"/>
      <c r="AN176" s="3934" t="n"/>
      <c r="AO176" s="3934" t="n"/>
      <c r="AP176" s="3934" t="n"/>
      <c r="AQ176" s="3934" t="n"/>
      <c r="AR176" s="3934" t="n"/>
    </row>
    <row r="177">
      <c r="A177" s="3941" t="n"/>
      <c r="B177" s="3944" t="n"/>
      <c r="C177" s="3944" t="n"/>
      <c r="D177" s="3944" t="n"/>
      <c r="E177" s="3944" t="n"/>
      <c r="F177" s="3944" t="n"/>
      <c r="G177" s="3944" t="n"/>
      <c r="H177" s="3944" t="n"/>
      <c r="I177" s="3944" t="n"/>
      <c r="J177" s="3944" t="n"/>
      <c r="K177" s="3942">
        <f>IF(A177="","",SUM(E177:J177))</f>
        <v/>
      </c>
      <c r="L177" s="3934" t="n"/>
      <c r="M177" s="3934" t="n"/>
      <c r="N177" s="3934" t="n"/>
      <c r="O177" s="3934" t="n"/>
      <c r="P177" s="3934" t="n"/>
      <c r="Q177" s="3934" t="n"/>
      <c r="R177" s="3934" t="n"/>
      <c r="S177" s="3934" t="n"/>
      <c r="T177" s="3934" t="n"/>
      <c r="U177" s="3934" t="n"/>
      <c r="V177" s="3934" t="n"/>
      <c r="W177" s="3934" t="n"/>
      <c r="X177" s="3934" t="n"/>
      <c r="Y177" s="3934" t="n"/>
      <c r="Z177" s="3934" t="n"/>
      <c r="AA177" s="3934" t="n"/>
      <c r="AB177" s="3934" t="n"/>
      <c r="AC177" s="3934" t="n"/>
      <c r="AD177" s="3934" t="n"/>
      <c r="AE177" s="3934" t="n"/>
      <c r="AF177" s="3934" t="n"/>
      <c r="AG177" s="3934" t="n"/>
      <c r="AH177" s="3934" t="n"/>
      <c r="AI177" s="3934" t="n"/>
      <c r="AJ177" s="3934" t="n"/>
      <c r="AK177" s="3934" t="n"/>
      <c r="AL177" s="3934" t="n"/>
      <c r="AM177" s="3934" t="n"/>
      <c r="AN177" s="3934" t="n"/>
      <c r="AO177" s="3934" t="n"/>
      <c r="AP177" s="3934" t="n"/>
      <c r="AQ177" s="3934" t="n"/>
      <c r="AR177" s="3934" t="n"/>
    </row>
    <row r="178">
      <c r="A178" s="3941" t="n"/>
      <c r="B178" s="3944" t="n"/>
      <c r="C178" s="3944" t="n"/>
      <c r="D178" s="3944" t="n"/>
      <c r="E178" s="3944" t="n"/>
      <c r="F178" s="3944" t="n"/>
      <c r="G178" s="3944" t="n"/>
      <c r="H178" s="3944" t="n"/>
      <c r="I178" s="3944" t="n"/>
      <c r="J178" s="3944" t="n"/>
      <c r="K178" s="3942">
        <f>IF(A178="","",SUM(E178:J178))</f>
        <v/>
      </c>
      <c r="L178" s="3934" t="n"/>
      <c r="M178" s="3934" t="n"/>
      <c r="N178" s="3934" t="n"/>
      <c r="O178" s="3934" t="n"/>
      <c r="P178" s="3934" t="n"/>
      <c r="Q178" s="3934" t="n"/>
      <c r="R178" s="3934" t="n"/>
      <c r="S178" s="3934" t="n"/>
      <c r="T178" s="3934" t="n"/>
      <c r="U178" s="3934" t="n"/>
      <c r="V178" s="3934" t="n"/>
      <c r="W178" s="3934" t="n"/>
      <c r="X178" s="3934" t="n"/>
      <c r="Y178" s="3934" t="n"/>
      <c r="Z178" s="3934" t="n"/>
      <c r="AA178" s="3934" t="n"/>
      <c r="AB178" s="3934" t="n"/>
      <c r="AC178" s="3934" t="n"/>
      <c r="AD178" s="3934" t="n"/>
      <c r="AE178" s="3934" t="n"/>
      <c r="AF178" s="3934" t="n"/>
      <c r="AG178" s="3934" t="n"/>
      <c r="AH178" s="3934" t="n"/>
      <c r="AI178" s="3934" t="n"/>
      <c r="AJ178" s="3934" t="n"/>
      <c r="AK178" s="3934" t="n"/>
      <c r="AL178" s="3934" t="n"/>
      <c r="AM178" s="3934" t="n"/>
      <c r="AN178" s="3934" t="n"/>
      <c r="AO178" s="3934" t="n"/>
      <c r="AP178" s="3934" t="n"/>
      <c r="AQ178" s="3934" t="n"/>
      <c r="AR178" s="3934" t="n"/>
    </row>
    <row r="179">
      <c r="A179" s="3941" t="n"/>
      <c r="B179" s="3944" t="n"/>
      <c r="C179" s="3944" t="n"/>
      <c r="D179" s="3944" t="n"/>
      <c r="E179" s="3944" t="n"/>
      <c r="F179" s="3944" t="n"/>
      <c r="G179" s="3944" t="n"/>
      <c r="H179" s="3944" t="n"/>
      <c r="I179" s="3944" t="n"/>
      <c r="J179" s="3944" t="n"/>
      <c r="K179" s="3942">
        <f>IF(A179="","",SUM(E179:J179))</f>
        <v/>
      </c>
      <c r="L179" s="3934" t="n"/>
      <c r="M179" s="3934" t="n"/>
      <c r="N179" s="3934" t="n"/>
      <c r="O179" s="3934" t="n"/>
      <c r="P179" s="3934" t="n"/>
      <c r="Q179" s="3934" t="n"/>
      <c r="R179" s="3934" t="n"/>
      <c r="S179" s="3934" t="n"/>
      <c r="T179" s="3934" t="n"/>
      <c r="U179" s="3934" t="n"/>
      <c r="V179" s="3934" t="n"/>
      <c r="W179" s="3934" t="n"/>
      <c r="X179" s="3934" t="n"/>
      <c r="Y179" s="3934" t="n"/>
      <c r="Z179" s="3934" t="n"/>
      <c r="AA179" s="3934" t="n"/>
      <c r="AB179" s="3934" t="n"/>
      <c r="AC179" s="3934" t="n"/>
      <c r="AD179" s="3934" t="n"/>
      <c r="AE179" s="3934" t="n"/>
      <c r="AF179" s="3934" t="n"/>
      <c r="AG179" s="3934" t="n"/>
      <c r="AH179" s="3934" t="n"/>
      <c r="AI179" s="3934" t="n"/>
      <c r="AJ179" s="3934" t="n"/>
      <c r="AK179" s="3934" t="n"/>
      <c r="AL179" s="3934" t="n"/>
      <c r="AM179" s="3934" t="n"/>
      <c r="AN179" s="3934" t="n"/>
      <c r="AO179" s="3934" t="n"/>
      <c r="AP179" s="3934" t="n"/>
      <c r="AQ179" s="3934" t="n"/>
      <c r="AR179" s="3934" t="n"/>
    </row>
    <row r="180">
      <c r="A180" s="3941" t="n"/>
      <c r="B180" s="3944" t="n"/>
      <c r="C180" s="3944" t="n"/>
      <c r="D180" s="3944" t="n"/>
      <c r="E180" s="3944" t="n"/>
      <c r="F180" s="3944" t="n"/>
      <c r="G180" s="3944" t="n"/>
      <c r="H180" s="3944" t="n"/>
      <c r="I180" s="3944" t="n"/>
      <c r="J180" s="3944" t="n"/>
      <c r="K180" s="3942">
        <f>IF(A180="","",SUM(E180:J180))</f>
        <v/>
      </c>
      <c r="L180" s="3934" t="n"/>
      <c r="M180" s="3934" t="n"/>
      <c r="N180" s="3934" t="n"/>
      <c r="O180" s="3934" t="n"/>
      <c r="P180" s="3934" t="n"/>
      <c r="Q180" s="3934" t="n"/>
      <c r="R180" s="3934" t="n"/>
      <c r="S180" s="3934" t="n"/>
      <c r="T180" s="3934" t="n"/>
      <c r="U180" s="3934" t="n"/>
      <c r="V180" s="3934" t="n"/>
      <c r="W180" s="3934" t="n"/>
      <c r="X180" s="3934" t="n"/>
      <c r="Y180" s="3934" t="n"/>
      <c r="Z180" s="3934" t="n"/>
      <c r="AA180" s="3934" t="n"/>
      <c r="AB180" s="3934" t="n"/>
      <c r="AC180" s="3934" t="n"/>
      <c r="AD180" s="3934" t="n"/>
      <c r="AE180" s="3934" t="n"/>
      <c r="AF180" s="3934" t="n"/>
      <c r="AG180" s="3934" t="n"/>
      <c r="AH180" s="3934" t="n"/>
      <c r="AI180" s="3934" t="n"/>
      <c r="AJ180" s="3934" t="n"/>
      <c r="AK180" s="3934" t="n"/>
      <c r="AL180" s="3934" t="n"/>
      <c r="AM180" s="3934" t="n"/>
      <c r="AN180" s="3934" t="n"/>
      <c r="AO180" s="3934" t="n"/>
      <c r="AP180" s="3934" t="n"/>
      <c r="AQ180" s="3934" t="n"/>
      <c r="AR180" s="3934" t="n"/>
    </row>
    <row r="181">
      <c r="A181" s="3941" t="n"/>
      <c r="B181" s="3944" t="n"/>
      <c r="C181" s="3944" t="n"/>
      <c r="D181" s="3944" t="n"/>
      <c r="E181" s="3944" t="n"/>
      <c r="F181" s="3944" t="n"/>
      <c r="G181" s="3944" t="n"/>
      <c r="H181" s="3944" t="n"/>
      <c r="I181" s="3944" t="n"/>
      <c r="J181" s="3944" t="n"/>
      <c r="K181" s="3942">
        <f>IF(A181="","",SUM(E181:J181))</f>
        <v/>
      </c>
      <c r="L181" s="3934" t="n"/>
      <c r="M181" s="3934" t="n"/>
      <c r="N181" s="3934" t="n"/>
      <c r="O181" s="3934" t="n"/>
      <c r="P181" s="3934" t="n"/>
      <c r="Q181" s="3934" t="n"/>
      <c r="R181" s="3934" t="n"/>
      <c r="S181" s="3934" t="n"/>
      <c r="T181" s="3934" t="n"/>
      <c r="U181" s="3934" t="n"/>
      <c r="V181" s="3934" t="n"/>
      <c r="W181" s="3934" t="n"/>
      <c r="X181" s="3934" t="n"/>
      <c r="Y181" s="3934" t="n"/>
      <c r="Z181" s="3934" t="n"/>
      <c r="AA181" s="3934" t="n"/>
      <c r="AB181" s="3934" t="n"/>
      <c r="AC181" s="3934" t="n"/>
      <c r="AD181" s="3934" t="n"/>
      <c r="AE181" s="3934" t="n"/>
      <c r="AF181" s="3934" t="n"/>
      <c r="AG181" s="3934" t="n"/>
      <c r="AH181" s="3934" t="n"/>
      <c r="AI181" s="3934" t="n"/>
      <c r="AJ181" s="3934" t="n"/>
      <c r="AK181" s="3934" t="n"/>
      <c r="AL181" s="3934" t="n"/>
      <c r="AM181" s="3934" t="n"/>
      <c r="AN181" s="3934" t="n"/>
      <c r="AO181" s="3934" t="n"/>
      <c r="AP181" s="3934" t="n"/>
      <c r="AQ181" s="3934" t="n"/>
      <c r="AR181" s="3934" t="n"/>
    </row>
    <row r="182">
      <c r="A182" s="3941" t="n"/>
      <c r="B182" s="3944" t="n"/>
      <c r="C182" s="3944" t="n"/>
      <c r="D182" s="3944" t="n"/>
      <c r="E182" s="3944" t="n"/>
      <c r="F182" s="3944" t="n"/>
      <c r="G182" s="3944" t="n"/>
      <c r="H182" s="3944" t="n"/>
      <c r="I182" s="3944" t="n"/>
      <c r="J182" s="3944" t="n"/>
      <c r="K182" s="3942">
        <f>IF(A182="","",SUM(E182:J182))</f>
        <v/>
      </c>
      <c r="L182" s="3934" t="n"/>
      <c r="M182" s="3934" t="n"/>
      <c r="N182" s="3934" t="n"/>
      <c r="O182" s="3934" t="n"/>
      <c r="P182" s="3934" t="n"/>
      <c r="Q182" s="3934" t="n"/>
      <c r="R182" s="3934" t="n"/>
      <c r="S182" s="3934" t="n"/>
      <c r="T182" s="3934" t="n"/>
      <c r="U182" s="3934" t="n"/>
      <c r="V182" s="3934" t="n"/>
      <c r="W182" s="3934" t="n"/>
      <c r="X182" s="3934" t="n"/>
      <c r="Y182" s="3934" t="n"/>
      <c r="Z182" s="3934" t="n"/>
      <c r="AA182" s="3934" t="n"/>
      <c r="AB182" s="3934" t="n"/>
      <c r="AC182" s="3934" t="n"/>
      <c r="AD182" s="3934" t="n"/>
      <c r="AE182" s="3934" t="n"/>
      <c r="AF182" s="3934" t="n"/>
      <c r="AG182" s="3934" t="n"/>
      <c r="AH182" s="3934" t="n"/>
      <c r="AI182" s="3934" t="n"/>
      <c r="AJ182" s="3934" t="n"/>
      <c r="AK182" s="3934" t="n"/>
      <c r="AL182" s="3934" t="n"/>
      <c r="AM182" s="3934" t="n"/>
      <c r="AN182" s="3934" t="n"/>
      <c r="AO182" s="3934" t="n"/>
      <c r="AP182" s="3934" t="n"/>
      <c r="AQ182" s="3934" t="n"/>
      <c r="AR182" s="3934" t="n"/>
    </row>
    <row r="183">
      <c r="A183" s="3941" t="n"/>
      <c r="B183" s="3944" t="n"/>
      <c r="C183" s="3944" t="n"/>
      <c r="D183" s="3944" t="n"/>
      <c r="E183" s="3944" t="n"/>
      <c r="F183" s="3944" t="n"/>
      <c r="G183" s="3944" t="n"/>
      <c r="H183" s="3944" t="n"/>
      <c r="I183" s="3944" t="n"/>
      <c r="J183" s="3944" t="n"/>
      <c r="K183" s="3942">
        <f>IF(A183="","",SUM(E183:J183))</f>
        <v/>
      </c>
      <c r="L183" s="3934" t="n"/>
      <c r="M183" s="3934" t="n"/>
      <c r="N183" s="3934" t="n"/>
      <c r="O183" s="3934" t="n"/>
      <c r="P183" s="3934" t="n"/>
      <c r="Q183" s="3934" t="n"/>
      <c r="R183" s="3934" t="n"/>
      <c r="S183" s="3934" t="n"/>
      <c r="T183" s="3934" t="n"/>
      <c r="U183" s="3934" t="n"/>
      <c r="V183" s="3934" t="n"/>
      <c r="W183" s="3934" t="n"/>
      <c r="X183" s="3934" t="n"/>
      <c r="Y183" s="3934" t="n"/>
      <c r="Z183" s="3934" t="n"/>
      <c r="AA183" s="3934" t="n"/>
      <c r="AB183" s="3934" t="n"/>
      <c r="AC183" s="3934" t="n"/>
      <c r="AD183" s="3934" t="n"/>
      <c r="AE183" s="3934" t="n"/>
      <c r="AF183" s="3934" t="n"/>
      <c r="AG183" s="3934" t="n"/>
      <c r="AH183" s="3934" t="n"/>
      <c r="AI183" s="3934" t="n"/>
      <c r="AJ183" s="3934" t="n"/>
      <c r="AK183" s="3934" t="n"/>
      <c r="AL183" s="3934" t="n"/>
      <c r="AM183" s="3934" t="n"/>
      <c r="AN183" s="3934" t="n"/>
      <c r="AO183" s="3934" t="n"/>
      <c r="AP183" s="3934" t="n"/>
      <c r="AQ183" s="3934" t="n"/>
      <c r="AR183" s="3934" t="n"/>
    </row>
    <row r="184">
      <c r="A184" s="3941" t="n"/>
      <c r="B184" s="3944" t="n"/>
      <c r="C184" s="3944" t="n"/>
      <c r="D184" s="3944" t="n"/>
      <c r="E184" s="3944" t="n"/>
      <c r="F184" s="3944" t="n"/>
      <c r="G184" s="3944" t="n"/>
      <c r="H184" s="3944" t="n"/>
      <c r="I184" s="3944" t="n"/>
      <c r="J184" s="3944" t="n"/>
      <c r="K184" s="3942">
        <f>IF(A184="","",SUM(E184:J184))</f>
        <v/>
      </c>
      <c r="L184" s="3934" t="n"/>
      <c r="M184" s="3934" t="n"/>
      <c r="N184" s="3934" t="n"/>
      <c r="O184" s="3934" t="n"/>
      <c r="P184" s="3934" t="n"/>
      <c r="Q184" s="3934" t="n"/>
      <c r="R184" s="3934" t="n"/>
      <c r="S184" s="3934" t="n"/>
      <c r="T184" s="3934" t="n"/>
      <c r="U184" s="3934" t="n"/>
      <c r="V184" s="3934" t="n"/>
      <c r="W184" s="3934" t="n"/>
      <c r="X184" s="3934" t="n"/>
      <c r="Y184" s="3934" t="n"/>
      <c r="Z184" s="3934" t="n"/>
      <c r="AA184" s="3934" t="n"/>
      <c r="AB184" s="3934" t="n"/>
      <c r="AC184" s="3934" t="n"/>
      <c r="AD184" s="3934" t="n"/>
      <c r="AE184" s="3934" t="n"/>
      <c r="AF184" s="3934" t="n"/>
      <c r="AG184" s="3934" t="n"/>
      <c r="AH184" s="3934" t="n"/>
      <c r="AI184" s="3934" t="n"/>
      <c r="AJ184" s="3934" t="n"/>
      <c r="AK184" s="3934" t="n"/>
      <c r="AL184" s="3934" t="n"/>
      <c r="AM184" s="3934" t="n"/>
      <c r="AN184" s="3934" t="n"/>
      <c r="AO184" s="3934" t="n"/>
      <c r="AP184" s="3934" t="n"/>
      <c r="AQ184" s="3934" t="n"/>
      <c r="AR184" s="3934" t="n"/>
    </row>
    <row r="185">
      <c r="A185" s="3941" t="n"/>
      <c r="B185" s="3944" t="n"/>
      <c r="C185" s="3944" t="n"/>
      <c r="D185" s="3944" t="n"/>
      <c r="E185" s="3944" t="n"/>
      <c r="F185" s="3944" t="n"/>
      <c r="G185" s="3944" t="n"/>
      <c r="H185" s="3944" t="n"/>
      <c r="I185" s="3944" t="n"/>
      <c r="J185" s="3944" t="n"/>
      <c r="K185" s="3942">
        <f>IF(A185="","",SUM(E185:J185))</f>
        <v/>
      </c>
      <c r="L185" s="3934" t="n"/>
      <c r="M185" s="3934" t="n"/>
      <c r="N185" s="3934" t="n"/>
      <c r="O185" s="3934" t="n"/>
      <c r="P185" s="3934" t="n"/>
      <c r="Q185" s="3934" t="n"/>
      <c r="R185" s="3934" t="n"/>
      <c r="S185" s="3934" t="n"/>
      <c r="T185" s="3934" t="n"/>
      <c r="U185" s="3934" t="n"/>
      <c r="V185" s="3934" t="n"/>
      <c r="W185" s="3934" t="n"/>
      <c r="X185" s="3934" t="n"/>
      <c r="Y185" s="3934" t="n"/>
      <c r="Z185" s="3934" t="n"/>
      <c r="AA185" s="3934" t="n"/>
      <c r="AB185" s="3934" t="n"/>
      <c r="AC185" s="3934" t="n"/>
      <c r="AD185" s="3934" t="n"/>
      <c r="AE185" s="3934" t="n"/>
      <c r="AF185" s="3934" t="n"/>
      <c r="AG185" s="3934" t="n"/>
      <c r="AH185" s="3934" t="n"/>
      <c r="AI185" s="3934" t="n"/>
      <c r="AJ185" s="3934" t="n"/>
      <c r="AK185" s="3934" t="n"/>
      <c r="AL185" s="3934" t="n"/>
      <c r="AM185" s="3934" t="n"/>
      <c r="AN185" s="3934" t="n"/>
      <c r="AO185" s="3934" t="n"/>
      <c r="AP185" s="3934" t="n"/>
      <c r="AQ185" s="3934" t="n"/>
      <c r="AR185" s="3934" t="n"/>
    </row>
    <row r="186">
      <c r="A186" s="3941" t="n"/>
      <c r="B186" s="3944" t="n"/>
      <c r="C186" s="3944" t="n"/>
      <c r="D186" s="3944" t="n"/>
      <c r="E186" s="3944" t="n"/>
      <c r="F186" s="3944" t="n"/>
      <c r="G186" s="3944" t="n"/>
      <c r="H186" s="3944" t="n"/>
      <c r="I186" s="3944" t="n"/>
      <c r="J186" s="3944" t="n"/>
      <c r="K186" s="3942">
        <f>IF(A186="","",SUM(E186:J186))</f>
        <v/>
      </c>
      <c r="L186" s="3934" t="n"/>
      <c r="M186" s="3934" t="n"/>
      <c r="N186" s="3934" t="n"/>
      <c r="O186" s="3934" t="n"/>
      <c r="P186" s="3934" t="n"/>
      <c r="Q186" s="3934" t="n"/>
      <c r="R186" s="3934" t="n"/>
      <c r="S186" s="3934" t="n"/>
      <c r="T186" s="3934" t="n"/>
      <c r="U186" s="3934" t="n"/>
      <c r="V186" s="3934" t="n"/>
      <c r="W186" s="3934" t="n"/>
      <c r="X186" s="3934" t="n"/>
      <c r="Y186" s="3934" t="n"/>
      <c r="Z186" s="3934" t="n"/>
      <c r="AA186" s="3934" t="n"/>
      <c r="AB186" s="3934" t="n"/>
      <c r="AC186" s="3934" t="n"/>
      <c r="AD186" s="3934" t="n"/>
      <c r="AE186" s="3934" t="n"/>
      <c r="AF186" s="3934" t="n"/>
      <c r="AG186" s="3934" t="n"/>
      <c r="AH186" s="3934" t="n"/>
      <c r="AI186" s="3934" t="n"/>
      <c r="AJ186" s="3934" t="n"/>
      <c r="AK186" s="3934" t="n"/>
      <c r="AL186" s="3934" t="n"/>
      <c r="AM186" s="3934" t="n"/>
      <c r="AN186" s="3934" t="n"/>
      <c r="AO186" s="3934" t="n"/>
      <c r="AP186" s="3934" t="n"/>
      <c r="AQ186" s="3934" t="n"/>
      <c r="AR186" s="3934" t="n"/>
    </row>
    <row r="187">
      <c r="A187" s="3941" t="n"/>
      <c r="B187" s="3944" t="n"/>
      <c r="C187" s="3944" t="n"/>
      <c r="D187" s="3944" t="n"/>
      <c r="E187" s="3944" t="n"/>
      <c r="F187" s="3944" t="n"/>
      <c r="G187" s="3944" t="n"/>
      <c r="H187" s="3944" t="n"/>
      <c r="I187" s="3944" t="n"/>
      <c r="J187" s="3944" t="n"/>
      <c r="K187" s="3942">
        <f>IF(A187="","",SUM(E187:J187))</f>
        <v/>
      </c>
      <c r="L187" s="3934" t="n"/>
      <c r="M187" s="3934" t="n"/>
      <c r="N187" s="3934" t="n"/>
      <c r="O187" s="3934" t="n"/>
      <c r="P187" s="3934" t="n"/>
      <c r="Q187" s="3934" t="n"/>
      <c r="R187" s="3934" t="n"/>
      <c r="S187" s="3934" t="n"/>
      <c r="T187" s="3934" t="n"/>
      <c r="U187" s="3934" t="n"/>
      <c r="V187" s="3934" t="n"/>
      <c r="W187" s="3934" t="n"/>
      <c r="X187" s="3934" t="n"/>
      <c r="Y187" s="3934" t="n"/>
      <c r="Z187" s="3934" t="n"/>
      <c r="AA187" s="3934" t="n"/>
      <c r="AB187" s="3934" t="n"/>
      <c r="AC187" s="3934" t="n"/>
      <c r="AD187" s="3934" t="n"/>
      <c r="AE187" s="3934" t="n"/>
      <c r="AF187" s="3934" t="n"/>
      <c r="AG187" s="3934" t="n"/>
      <c r="AH187" s="3934" t="n"/>
      <c r="AI187" s="3934" t="n"/>
      <c r="AJ187" s="3934" t="n"/>
      <c r="AK187" s="3934" t="n"/>
      <c r="AL187" s="3934" t="n"/>
      <c r="AM187" s="3934" t="n"/>
      <c r="AN187" s="3934" t="n"/>
      <c r="AO187" s="3934" t="n"/>
      <c r="AP187" s="3934" t="n"/>
      <c r="AQ187" s="3934" t="n"/>
      <c r="AR187" s="3934" t="n"/>
    </row>
    <row r="188">
      <c r="A188" s="3941" t="n"/>
      <c r="B188" s="3944" t="n"/>
      <c r="C188" s="3944" t="n"/>
      <c r="D188" s="3944" t="n"/>
      <c r="E188" s="3944" t="n"/>
      <c r="F188" s="3944" t="n"/>
      <c r="G188" s="3944" t="n"/>
      <c r="H188" s="3944" t="n"/>
      <c r="I188" s="3944" t="n"/>
      <c r="J188" s="3944" t="n"/>
      <c r="K188" s="3942">
        <f>IF(A188="","",SUM(E188:J188))</f>
        <v/>
      </c>
      <c r="L188" s="3934" t="n"/>
      <c r="M188" s="3934" t="n"/>
      <c r="N188" s="3934" t="n"/>
      <c r="O188" s="3934" t="n"/>
      <c r="P188" s="3934" t="n"/>
      <c r="Q188" s="3934" t="n"/>
      <c r="R188" s="3934" t="n"/>
      <c r="S188" s="3934" t="n"/>
      <c r="T188" s="3934" t="n"/>
      <c r="U188" s="3934" t="n"/>
      <c r="V188" s="3934" t="n"/>
      <c r="W188" s="3934" t="n"/>
      <c r="X188" s="3934" t="n"/>
      <c r="Y188" s="3934" t="n"/>
      <c r="Z188" s="3934" t="n"/>
      <c r="AA188" s="3934" t="n"/>
      <c r="AB188" s="3934" t="n"/>
      <c r="AC188" s="3934" t="n"/>
      <c r="AD188" s="3934" t="n"/>
      <c r="AE188" s="3934" t="n"/>
      <c r="AF188" s="3934" t="n"/>
      <c r="AG188" s="3934" t="n"/>
      <c r="AH188" s="3934" t="n"/>
      <c r="AI188" s="3934" t="n"/>
      <c r="AJ188" s="3934" t="n"/>
      <c r="AK188" s="3934" t="n"/>
      <c r="AL188" s="3934" t="n"/>
      <c r="AM188" s="3934" t="n"/>
      <c r="AN188" s="3934" t="n"/>
      <c r="AO188" s="3934" t="n"/>
      <c r="AP188" s="3934" t="n"/>
      <c r="AQ188" s="3934" t="n"/>
      <c r="AR188" s="3934" t="n"/>
    </row>
    <row r="189">
      <c r="A189" s="3941" t="n"/>
      <c r="B189" s="3944" t="n"/>
      <c r="C189" s="3944" t="n"/>
      <c r="D189" s="3944" t="n"/>
      <c r="E189" s="3944" t="n"/>
      <c r="F189" s="3944" t="n"/>
      <c r="G189" s="3944" t="n"/>
      <c r="H189" s="3944" t="n"/>
      <c r="I189" s="3944" t="n"/>
      <c r="J189" s="3944" t="n"/>
      <c r="K189" s="3942">
        <f>IF(A189="","",SUM(E189:J189))</f>
        <v/>
      </c>
      <c r="L189" s="3934" t="n"/>
      <c r="M189" s="3934" t="n"/>
      <c r="N189" s="3934" t="n"/>
      <c r="O189" s="3934" t="n"/>
      <c r="P189" s="3934" t="n"/>
      <c r="Q189" s="3934" t="n"/>
      <c r="R189" s="3934" t="n"/>
      <c r="S189" s="3934" t="n"/>
      <c r="T189" s="3934" t="n"/>
      <c r="U189" s="3934" t="n"/>
      <c r="V189" s="3934" t="n"/>
      <c r="W189" s="3934" t="n"/>
      <c r="X189" s="3934" t="n"/>
      <c r="Y189" s="3934" t="n"/>
      <c r="Z189" s="3934" t="n"/>
      <c r="AA189" s="3934" t="n"/>
      <c r="AB189" s="3934" t="n"/>
      <c r="AC189" s="3934" t="n"/>
      <c r="AD189" s="3934" t="n"/>
      <c r="AE189" s="3934" t="n"/>
      <c r="AF189" s="3934" t="n"/>
      <c r="AG189" s="3934" t="n"/>
      <c r="AH189" s="3934" t="n"/>
      <c r="AI189" s="3934" t="n"/>
      <c r="AJ189" s="3934" t="n"/>
      <c r="AK189" s="3934" t="n"/>
      <c r="AL189" s="3934" t="n"/>
      <c r="AM189" s="3934" t="n"/>
      <c r="AN189" s="3934" t="n"/>
      <c r="AO189" s="3934" t="n"/>
      <c r="AP189" s="3934" t="n"/>
      <c r="AQ189" s="3934" t="n"/>
      <c r="AR189" s="3934" t="n"/>
    </row>
    <row r="190">
      <c r="A190" s="3941" t="n"/>
      <c r="B190" s="3944" t="n"/>
      <c r="C190" s="3944" t="n"/>
      <c r="D190" s="3944" t="n"/>
      <c r="E190" s="3944" t="n"/>
      <c r="F190" s="3944" t="n"/>
      <c r="G190" s="3944" t="n"/>
      <c r="H190" s="3944" t="n"/>
      <c r="I190" s="3944" t="n"/>
      <c r="J190" s="3944" t="n"/>
      <c r="K190" s="3942">
        <f>IF(A190="","",SUM(E190:J190))</f>
        <v/>
      </c>
      <c r="L190" s="3934" t="n"/>
      <c r="M190" s="3934" t="n"/>
      <c r="N190" s="3934" t="n"/>
      <c r="O190" s="3934" t="n"/>
      <c r="P190" s="3934" t="n"/>
      <c r="Q190" s="3934" t="n"/>
      <c r="R190" s="3934" t="n"/>
      <c r="S190" s="3934" t="n"/>
      <c r="T190" s="3934" t="n"/>
      <c r="U190" s="3934" t="n"/>
      <c r="V190" s="3934" t="n"/>
      <c r="W190" s="3934" t="n"/>
      <c r="X190" s="3934" t="n"/>
      <c r="Y190" s="3934" t="n"/>
      <c r="Z190" s="3934" t="n"/>
      <c r="AA190" s="3934" t="n"/>
      <c r="AB190" s="3934" t="n"/>
      <c r="AC190" s="3934" t="n"/>
      <c r="AD190" s="3934" t="n"/>
      <c r="AE190" s="3934" t="n"/>
      <c r="AF190" s="3934" t="n"/>
      <c r="AG190" s="3934" t="n"/>
      <c r="AH190" s="3934" t="n"/>
      <c r="AI190" s="3934" t="n"/>
      <c r="AJ190" s="3934" t="n"/>
      <c r="AK190" s="3934" t="n"/>
      <c r="AL190" s="3934" t="n"/>
      <c r="AM190" s="3934" t="n"/>
      <c r="AN190" s="3934" t="n"/>
      <c r="AO190" s="3934" t="n"/>
      <c r="AP190" s="3934" t="n"/>
      <c r="AQ190" s="3934" t="n"/>
      <c r="AR190" s="3934" t="n"/>
    </row>
    <row r="191">
      <c r="A191" s="3941" t="n"/>
      <c r="B191" s="3944" t="n"/>
      <c r="C191" s="3944" t="n"/>
      <c r="D191" s="3944" t="n"/>
      <c r="E191" s="3944" t="n"/>
      <c r="F191" s="3944" t="n"/>
      <c r="G191" s="3944" t="n"/>
      <c r="H191" s="3944" t="n"/>
      <c r="I191" s="3944" t="n"/>
      <c r="J191" s="3944" t="n"/>
      <c r="K191" s="3942">
        <f>IF(A191="","",SUM(E191:J191))</f>
        <v/>
      </c>
      <c r="L191" s="3934" t="n"/>
      <c r="M191" s="3934" t="n"/>
      <c r="N191" s="3934" t="n"/>
      <c r="O191" s="3934" t="n"/>
      <c r="P191" s="3934" t="n"/>
      <c r="Q191" s="3934" t="n"/>
      <c r="R191" s="3934" t="n"/>
      <c r="S191" s="3934" t="n"/>
      <c r="T191" s="3934" t="n"/>
      <c r="U191" s="3934" t="n"/>
      <c r="V191" s="3934" t="n"/>
      <c r="W191" s="3934" t="n"/>
      <c r="X191" s="3934" t="n"/>
      <c r="Y191" s="3934" t="n"/>
      <c r="Z191" s="3934" t="n"/>
      <c r="AA191" s="3934" t="n"/>
      <c r="AB191" s="3934" t="n"/>
      <c r="AC191" s="3934" t="n"/>
      <c r="AD191" s="3934" t="n"/>
      <c r="AE191" s="3934" t="n"/>
      <c r="AF191" s="3934" t="n"/>
      <c r="AG191" s="3934" t="n"/>
      <c r="AH191" s="3934" t="n"/>
      <c r="AI191" s="3934" t="n"/>
      <c r="AJ191" s="3934" t="n"/>
      <c r="AK191" s="3934" t="n"/>
      <c r="AL191" s="3934" t="n"/>
      <c r="AM191" s="3934" t="n"/>
      <c r="AN191" s="3934" t="n"/>
      <c r="AO191" s="3934" t="n"/>
      <c r="AP191" s="3934" t="n"/>
      <c r="AQ191" s="3934" t="n"/>
      <c r="AR191" s="3934" t="n"/>
    </row>
    <row r="192">
      <c r="A192" s="3941" t="n"/>
      <c r="B192" s="3944" t="n"/>
      <c r="C192" s="3944" t="n"/>
      <c r="D192" s="3944" t="n"/>
      <c r="E192" s="3944" t="n"/>
      <c r="F192" s="3944" t="n"/>
      <c r="G192" s="3944" t="n"/>
      <c r="H192" s="3944" t="n"/>
      <c r="I192" s="3944" t="n"/>
      <c r="J192" s="3944" t="n"/>
      <c r="K192" s="3942">
        <f>IF(A192="","",SUM(E192:J192))</f>
        <v/>
      </c>
      <c r="L192" s="3934" t="n"/>
      <c r="M192" s="3934" t="n"/>
      <c r="N192" s="3934" t="n"/>
      <c r="O192" s="3934" t="n"/>
      <c r="P192" s="3934" t="n"/>
      <c r="Q192" s="3934" t="n"/>
      <c r="R192" s="3934" t="n"/>
      <c r="S192" s="3934" t="n"/>
      <c r="T192" s="3934" t="n"/>
      <c r="U192" s="3934" t="n"/>
      <c r="V192" s="3934" t="n"/>
      <c r="W192" s="3934" t="n"/>
      <c r="X192" s="3934" t="n"/>
      <c r="Y192" s="3934" t="n"/>
      <c r="Z192" s="3934" t="n"/>
      <c r="AA192" s="3934" t="n"/>
      <c r="AB192" s="3934" t="n"/>
      <c r="AC192" s="3934" t="n"/>
      <c r="AD192" s="3934" t="n"/>
      <c r="AE192" s="3934" t="n"/>
      <c r="AF192" s="3934" t="n"/>
      <c r="AG192" s="3934" t="n"/>
      <c r="AH192" s="3934" t="n"/>
      <c r="AI192" s="3934" t="n"/>
      <c r="AJ192" s="3934" t="n"/>
      <c r="AK192" s="3934" t="n"/>
      <c r="AL192" s="3934" t="n"/>
      <c r="AM192" s="3934" t="n"/>
      <c r="AN192" s="3934" t="n"/>
      <c r="AO192" s="3934" t="n"/>
      <c r="AP192" s="3934" t="n"/>
      <c r="AQ192" s="3934" t="n"/>
      <c r="AR192" s="3934" t="n"/>
    </row>
    <row r="193">
      <c r="A193" s="3941" t="n"/>
      <c r="B193" s="3944" t="n"/>
      <c r="C193" s="3944" t="n"/>
      <c r="D193" s="3944" t="n"/>
      <c r="E193" s="3944" t="n"/>
      <c r="F193" s="3944" t="n"/>
      <c r="G193" s="3944" t="n"/>
      <c r="H193" s="3944" t="n"/>
      <c r="I193" s="3944" t="n"/>
      <c r="J193" s="3944" t="n"/>
      <c r="K193" s="3942">
        <f>IF(A193="","",SUM(E193:J193))</f>
        <v/>
      </c>
      <c r="L193" s="3934" t="n"/>
      <c r="M193" s="3934" t="n"/>
      <c r="N193" s="3934" t="n"/>
      <c r="O193" s="3934" t="n"/>
      <c r="P193" s="3934" t="n"/>
      <c r="Q193" s="3934" t="n"/>
      <c r="R193" s="3934" t="n"/>
      <c r="S193" s="3934" t="n"/>
      <c r="T193" s="3934" t="n"/>
      <c r="U193" s="3934" t="n"/>
      <c r="V193" s="3934" t="n"/>
      <c r="W193" s="3934" t="n"/>
      <c r="X193" s="3934" t="n"/>
      <c r="Y193" s="3934" t="n"/>
      <c r="Z193" s="3934" t="n"/>
      <c r="AA193" s="3934" t="n"/>
      <c r="AB193" s="3934" t="n"/>
      <c r="AC193" s="3934" t="n"/>
      <c r="AD193" s="3934" t="n"/>
      <c r="AE193" s="3934" t="n"/>
      <c r="AF193" s="3934" t="n"/>
      <c r="AG193" s="3934" t="n"/>
      <c r="AH193" s="3934" t="n"/>
      <c r="AI193" s="3934" t="n"/>
      <c r="AJ193" s="3934" t="n"/>
      <c r="AK193" s="3934" t="n"/>
      <c r="AL193" s="3934" t="n"/>
      <c r="AM193" s="3934" t="n"/>
      <c r="AN193" s="3934" t="n"/>
      <c r="AO193" s="3934" t="n"/>
      <c r="AP193" s="3934" t="n"/>
      <c r="AQ193" s="3934" t="n"/>
      <c r="AR193" s="3934" t="n"/>
    </row>
    <row r="194">
      <c r="A194" s="3941" t="n"/>
      <c r="B194" s="3944" t="n"/>
      <c r="C194" s="3944" t="n"/>
      <c r="D194" s="3944" t="n"/>
      <c r="E194" s="3944" t="n"/>
      <c r="F194" s="3944" t="n"/>
      <c r="G194" s="3944" t="n"/>
      <c r="H194" s="3944" t="n"/>
      <c r="I194" s="3944" t="n"/>
      <c r="J194" s="3944" t="n"/>
      <c r="K194" s="3942">
        <f>IF(A194="","",SUM(E194:J194))</f>
        <v/>
      </c>
      <c r="L194" s="3934" t="n"/>
      <c r="M194" s="3934" t="n"/>
      <c r="N194" s="3934" t="n"/>
      <c r="O194" s="3934" t="n"/>
      <c r="P194" s="3934" t="n"/>
      <c r="Q194" s="3934" t="n"/>
      <c r="R194" s="3934" t="n"/>
      <c r="S194" s="3934" t="n"/>
      <c r="T194" s="3934" t="n"/>
      <c r="U194" s="3934" t="n"/>
      <c r="V194" s="3934" t="n"/>
      <c r="W194" s="3934" t="n"/>
      <c r="X194" s="3934" t="n"/>
      <c r="Y194" s="3934" t="n"/>
      <c r="Z194" s="3934" t="n"/>
      <c r="AA194" s="3934" t="n"/>
      <c r="AB194" s="3934" t="n"/>
      <c r="AC194" s="3934" t="n"/>
      <c r="AD194" s="3934" t="n"/>
      <c r="AE194" s="3934" t="n"/>
      <c r="AF194" s="3934" t="n"/>
      <c r="AG194" s="3934" t="n"/>
      <c r="AH194" s="3934" t="n"/>
      <c r="AI194" s="3934" t="n"/>
      <c r="AJ194" s="3934" t="n"/>
      <c r="AK194" s="3934" t="n"/>
      <c r="AL194" s="3934" t="n"/>
      <c r="AM194" s="3934" t="n"/>
      <c r="AN194" s="3934" t="n"/>
      <c r="AO194" s="3934" t="n"/>
      <c r="AP194" s="3934" t="n"/>
      <c r="AQ194" s="3934" t="n"/>
      <c r="AR194" s="3934" t="n"/>
    </row>
    <row r="195">
      <c r="A195" s="3941" t="n"/>
      <c r="B195" s="3944" t="n"/>
      <c r="C195" s="3944" t="n"/>
      <c r="D195" s="3944" t="n"/>
      <c r="E195" s="3944" t="n"/>
      <c r="F195" s="3944" t="n"/>
      <c r="G195" s="3944" t="n"/>
      <c r="H195" s="3944" t="n"/>
      <c r="I195" s="3944" t="n"/>
      <c r="J195" s="3944" t="n"/>
      <c r="K195" s="3942">
        <f>IF(A195="","",SUM(E195:J195))</f>
        <v/>
      </c>
      <c r="L195" s="3934" t="n"/>
      <c r="M195" s="3934" t="n"/>
      <c r="N195" s="3934" t="n"/>
      <c r="O195" s="3934" t="n"/>
      <c r="P195" s="3934" t="n"/>
      <c r="Q195" s="3934" t="n"/>
      <c r="R195" s="3934" t="n"/>
      <c r="S195" s="3934" t="n"/>
      <c r="T195" s="3934" t="n"/>
      <c r="U195" s="3934" t="n"/>
      <c r="V195" s="3934" t="n"/>
      <c r="W195" s="3934" t="n"/>
      <c r="X195" s="3934" t="n"/>
      <c r="Y195" s="3934" t="n"/>
      <c r="Z195" s="3934" t="n"/>
      <c r="AA195" s="3934" t="n"/>
      <c r="AB195" s="3934" t="n"/>
      <c r="AC195" s="3934" t="n"/>
      <c r="AD195" s="3934" t="n"/>
      <c r="AE195" s="3934" t="n"/>
      <c r="AF195" s="3934" t="n"/>
      <c r="AG195" s="3934" t="n"/>
      <c r="AH195" s="3934" t="n"/>
      <c r="AI195" s="3934" t="n"/>
      <c r="AJ195" s="3934" t="n"/>
      <c r="AK195" s="3934" t="n"/>
      <c r="AL195" s="3934" t="n"/>
      <c r="AM195" s="3934" t="n"/>
      <c r="AN195" s="3934" t="n"/>
      <c r="AO195" s="3934" t="n"/>
      <c r="AP195" s="3934" t="n"/>
      <c r="AQ195" s="3934" t="n"/>
      <c r="AR195" s="3934" t="n"/>
    </row>
    <row r="196">
      <c r="A196" s="3941" t="n"/>
      <c r="B196" s="3944" t="n"/>
      <c r="C196" s="3944" t="n"/>
      <c r="D196" s="3944" t="n"/>
      <c r="E196" s="3944" t="n"/>
      <c r="F196" s="3944" t="n"/>
      <c r="G196" s="3944" t="n"/>
      <c r="H196" s="3944" t="n"/>
      <c r="I196" s="3944" t="n"/>
      <c r="J196" s="3944" t="n"/>
      <c r="K196" s="3942">
        <f>IF(A196="","",SUM(E196:J196))</f>
        <v/>
      </c>
      <c r="L196" s="3934" t="n"/>
      <c r="M196" s="3934" t="n"/>
      <c r="N196" s="3934" t="n"/>
      <c r="O196" s="3934" t="n"/>
      <c r="P196" s="3934" t="n"/>
      <c r="Q196" s="3934" t="n"/>
      <c r="R196" s="3934" t="n"/>
      <c r="S196" s="3934" t="n"/>
      <c r="T196" s="3934" t="n"/>
      <c r="U196" s="3934" t="n"/>
      <c r="V196" s="3934" t="n"/>
      <c r="W196" s="3934" t="n"/>
      <c r="X196" s="3934" t="n"/>
      <c r="Y196" s="3934" t="n"/>
      <c r="Z196" s="3934" t="n"/>
      <c r="AA196" s="3934" t="n"/>
      <c r="AB196" s="3934" t="n"/>
      <c r="AC196" s="3934" t="n"/>
      <c r="AD196" s="3934" t="n"/>
      <c r="AE196" s="3934" t="n"/>
      <c r="AF196" s="3934" t="n"/>
      <c r="AG196" s="3934" t="n"/>
      <c r="AH196" s="3934" t="n"/>
      <c r="AI196" s="3934" t="n"/>
      <c r="AJ196" s="3934" t="n"/>
      <c r="AK196" s="3934" t="n"/>
      <c r="AL196" s="3934" t="n"/>
      <c r="AM196" s="3934" t="n"/>
      <c r="AN196" s="3934" t="n"/>
      <c r="AO196" s="3934" t="n"/>
      <c r="AP196" s="3934" t="n"/>
      <c r="AQ196" s="3934" t="n"/>
      <c r="AR196" s="3934" t="n"/>
    </row>
    <row r="197">
      <c r="A197" s="3941" t="n"/>
      <c r="B197" s="3944" t="n"/>
      <c r="C197" s="3944" t="n"/>
      <c r="D197" s="3944" t="n"/>
      <c r="E197" s="3944" t="n"/>
      <c r="F197" s="3944" t="n"/>
      <c r="G197" s="3944" t="n"/>
      <c r="H197" s="3944" t="n"/>
      <c r="I197" s="3944" t="n"/>
      <c r="J197" s="3944" t="n"/>
      <c r="K197" s="3942">
        <f>IF(A197="","",SUM(E197:J197))</f>
        <v/>
      </c>
      <c r="L197" s="3934" t="n"/>
      <c r="M197" s="3934" t="n"/>
      <c r="N197" s="3934" t="n"/>
      <c r="O197" s="3934" t="n"/>
      <c r="P197" s="3934" t="n"/>
      <c r="Q197" s="3934" t="n"/>
      <c r="R197" s="3934" t="n"/>
      <c r="S197" s="3934" t="n"/>
      <c r="T197" s="3934" t="n"/>
      <c r="U197" s="3934" t="n"/>
      <c r="V197" s="3934" t="n"/>
      <c r="W197" s="3934" t="n"/>
      <c r="X197" s="3934" t="n"/>
      <c r="Y197" s="3934" t="n"/>
      <c r="Z197" s="3934" t="n"/>
      <c r="AA197" s="3934" t="n"/>
      <c r="AB197" s="3934" t="n"/>
      <c r="AC197" s="3934" t="n"/>
      <c r="AD197" s="3934" t="n"/>
      <c r="AE197" s="3934" t="n"/>
      <c r="AF197" s="3934" t="n"/>
      <c r="AG197" s="3934" t="n"/>
      <c r="AH197" s="3934" t="n"/>
      <c r="AI197" s="3934" t="n"/>
      <c r="AJ197" s="3934" t="n"/>
      <c r="AK197" s="3934" t="n"/>
      <c r="AL197" s="3934" t="n"/>
      <c r="AM197" s="3934" t="n"/>
      <c r="AN197" s="3934" t="n"/>
      <c r="AO197" s="3934" t="n"/>
      <c r="AP197" s="3934" t="n"/>
      <c r="AQ197" s="3934" t="n"/>
      <c r="AR197" s="3934" t="n"/>
    </row>
    <row r="198">
      <c r="A198" s="3941" t="n"/>
      <c r="B198" s="3944" t="n"/>
      <c r="C198" s="3944" t="n"/>
      <c r="D198" s="3944" t="n"/>
      <c r="E198" s="3944" t="n"/>
      <c r="F198" s="3944" t="n"/>
      <c r="G198" s="3944" t="n"/>
      <c r="H198" s="3944" t="n"/>
      <c r="I198" s="3944" t="n"/>
      <c r="J198" s="3944" t="n"/>
      <c r="K198" s="3942">
        <f>IF(A198="","",SUM(E198:J198))</f>
        <v/>
      </c>
      <c r="L198" s="3934" t="n"/>
      <c r="M198" s="3934" t="n"/>
      <c r="N198" s="3934" t="n"/>
      <c r="O198" s="3934" t="n"/>
      <c r="P198" s="3934" t="n"/>
      <c r="Q198" s="3934" t="n"/>
      <c r="R198" s="3934" t="n"/>
      <c r="S198" s="3934" t="n"/>
      <c r="T198" s="3934" t="n"/>
      <c r="U198" s="3934" t="n"/>
      <c r="V198" s="3934" t="n"/>
      <c r="W198" s="3934" t="n"/>
      <c r="X198" s="3934" t="n"/>
      <c r="Y198" s="3934" t="n"/>
      <c r="Z198" s="3934" t="n"/>
      <c r="AA198" s="3934" t="n"/>
      <c r="AB198" s="3934" t="n"/>
      <c r="AC198" s="3934" t="n"/>
      <c r="AD198" s="3934" t="n"/>
      <c r="AE198" s="3934" t="n"/>
      <c r="AF198" s="3934" t="n"/>
      <c r="AG198" s="3934" t="n"/>
      <c r="AH198" s="3934" t="n"/>
      <c r="AI198" s="3934" t="n"/>
      <c r="AJ198" s="3934" t="n"/>
      <c r="AK198" s="3934" t="n"/>
      <c r="AL198" s="3934" t="n"/>
      <c r="AM198" s="3934" t="n"/>
      <c r="AN198" s="3934" t="n"/>
      <c r="AO198" s="3934" t="n"/>
      <c r="AP198" s="3934" t="n"/>
      <c r="AQ198" s="3934" t="n"/>
      <c r="AR198" s="3934" t="n"/>
    </row>
    <row r="199">
      <c r="A199" s="3941" t="n"/>
      <c r="B199" s="3944" t="n"/>
      <c r="C199" s="3944" t="n"/>
      <c r="D199" s="3944" t="n"/>
      <c r="E199" s="3944" t="n"/>
      <c r="F199" s="3944" t="n"/>
      <c r="G199" s="3944" t="n"/>
      <c r="H199" s="3944" t="n"/>
      <c r="I199" s="3944" t="n"/>
      <c r="J199" s="3944" t="n"/>
      <c r="K199" s="3942">
        <f>IF(A199="","",SUM(E199:J199))</f>
        <v/>
      </c>
      <c r="L199" s="3934" t="n"/>
      <c r="M199" s="3934" t="n"/>
      <c r="N199" s="3934" t="n"/>
      <c r="O199" s="3934" t="n"/>
      <c r="P199" s="3934" t="n"/>
      <c r="Q199" s="3934" t="n"/>
      <c r="R199" s="3934" t="n"/>
      <c r="S199" s="3934" t="n"/>
      <c r="T199" s="3934" t="n"/>
      <c r="U199" s="3934" t="n"/>
      <c r="V199" s="3934" t="n"/>
      <c r="W199" s="3934" t="n"/>
      <c r="X199" s="3934" t="n"/>
      <c r="Y199" s="3934" t="n"/>
      <c r="Z199" s="3934" t="n"/>
      <c r="AA199" s="3934" t="n"/>
      <c r="AB199" s="3934" t="n"/>
      <c r="AC199" s="3934" t="n"/>
      <c r="AD199" s="3934" t="n"/>
      <c r="AE199" s="3934" t="n"/>
      <c r="AF199" s="3934" t="n"/>
      <c r="AG199" s="3934" t="n"/>
      <c r="AH199" s="3934" t="n"/>
      <c r="AI199" s="3934" t="n"/>
      <c r="AJ199" s="3934" t="n"/>
      <c r="AK199" s="3934" t="n"/>
      <c r="AL199" s="3934" t="n"/>
      <c r="AM199" s="3934" t="n"/>
      <c r="AN199" s="3934" t="n"/>
      <c r="AO199" s="3934" t="n"/>
      <c r="AP199" s="3934" t="n"/>
      <c r="AQ199" s="3934" t="n"/>
      <c r="AR199" s="3934" t="n"/>
    </row>
    <row r="200">
      <c r="A200" s="3941" t="n"/>
      <c r="B200" s="3944" t="n"/>
      <c r="C200" s="3944" t="n"/>
      <c r="D200" s="3944" t="n"/>
      <c r="E200" s="3944" t="n"/>
      <c r="F200" s="3944" t="n"/>
      <c r="G200" s="3944" t="n"/>
      <c r="H200" s="3944" t="n"/>
      <c r="I200" s="3944" t="n"/>
      <c r="J200" s="3944" t="n"/>
      <c r="K200" s="3942">
        <f>IF(A200="","",SUM(E200:J200))</f>
        <v/>
      </c>
      <c r="L200" s="3934" t="n"/>
      <c r="M200" s="3934" t="n"/>
      <c r="N200" s="3934" t="n"/>
      <c r="O200" s="3934" t="n"/>
      <c r="P200" s="3934" t="n"/>
      <c r="Q200" s="3934" t="n"/>
      <c r="R200" s="3934" t="n"/>
      <c r="S200" s="3934" t="n"/>
      <c r="T200" s="3934" t="n"/>
      <c r="U200" s="3934" t="n"/>
      <c r="V200" s="3934" t="n"/>
      <c r="W200" s="3934" t="n"/>
      <c r="X200" s="3934" t="n"/>
      <c r="Y200" s="3934" t="n"/>
      <c r="Z200" s="3934" t="n"/>
      <c r="AA200" s="3934" t="n"/>
      <c r="AB200" s="3934" t="n"/>
      <c r="AC200" s="3934" t="n"/>
      <c r="AD200" s="3934" t="n"/>
      <c r="AE200" s="3934" t="n"/>
      <c r="AF200" s="3934" t="n"/>
      <c r="AG200" s="3934" t="n"/>
      <c r="AH200" s="3934" t="n"/>
      <c r="AI200" s="3934" t="n"/>
      <c r="AJ200" s="3934" t="n"/>
      <c r="AK200" s="3934" t="n"/>
      <c r="AL200" s="3934" t="n"/>
      <c r="AM200" s="3934" t="n"/>
      <c r="AN200" s="3934" t="n"/>
      <c r="AO200" s="3934" t="n"/>
      <c r="AP200" s="3934" t="n"/>
      <c r="AQ200" s="3934" t="n"/>
      <c r="AR200" s="3934" t="n"/>
    </row>
    <row r="201">
      <c r="A201" s="3941" t="n"/>
      <c r="B201" s="3944" t="n"/>
      <c r="C201" s="3944" t="n"/>
      <c r="D201" s="3944" t="n"/>
      <c r="E201" s="3944" t="n"/>
      <c r="F201" s="3944" t="n"/>
      <c r="G201" s="3944" t="n"/>
      <c r="H201" s="3944" t="n"/>
      <c r="I201" s="3944" t="n"/>
      <c r="J201" s="3944" t="n"/>
      <c r="K201" s="3942">
        <f>IF(A201="","",SUM(E201:J201))</f>
        <v/>
      </c>
      <c r="L201" s="3934" t="n"/>
      <c r="M201" s="3934" t="n"/>
      <c r="N201" s="3934" t="n"/>
      <c r="O201" s="3934" t="n"/>
      <c r="P201" s="3934" t="n"/>
      <c r="Q201" s="3934" t="n"/>
      <c r="R201" s="3934" t="n"/>
      <c r="S201" s="3934" t="n"/>
      <c r="T201" s="3934" t="n"/>
      <c r="U201" s="3934" t="n"/>
      <c r="V201" s="3934" t="n"/>
      <c r="W201" s="3934" t="n"/>
      <c r="X201" s="3934" t="n"/>
      <c r="Y201" s="3934" t="n"/>
      <c r="Z201" s="3934" t="n"/>
      <c r="AA201" s="3934" t="n"/>
      <c r="AB201" s="3934" t="n"/>
      <c r="AC201" s="3934" t="n"/>
      <c r="AD201" s="3934" t="n"/>
      <c r="AE201" s="3934" t="n"/>
      <c r="AF201" s="3934" t="n"/>
      <c r="AG201" s="3934" t="n"/>
      <c r="AH201" s="3934" t="n"/>
      <c r="AI201" s="3934" t="n"/>
      <c r="AJ201" s="3934" t="n"/>
      <c r="AK201" s="3934" t="n"/>
      <c r="AL201" s="3934" t="n"/>
      <c r="AM201" s="3934" t="n"/>
      <c r="AN201" s="3934" t="n"/>
      <c r="AO201" s="3934" t="n"/>
      <c r="AP201" s="3934" t="n"/>
      <c r="AQ201" s="3934" t="n"/>
      <c r="AR201" s="3934" t="n"/>
    </row>
    <row r="202">
      <c r="A202" s="3941" t="n"/>
      <c r="B202" s="3944" t="n"/>
      <c r="C202" s="3944" t="n"/>
      <c r="D202" s="3944" t="n"/>
      <c r="E202" s="3944" t="n"/>
      <c r="F202" s="3944" t="n"/>
      <c r="G202" s="3944" t="n"/>
      <c r="H202" s="3944" t="n"/>
      <c r="I202" s="3944" t="n"/>
      <c r="J202" s="3944" t="n"/>
      <c r="K202" s="3942">
        <f>IF(A202="","",SUM(E202:J202))</f>
        <v/>
      </c>
      <c r="L202" s="3934" t="n"/>
      <c r="M202" s="3934" t="n"/>
      <c r="N202" s="3934" t="n"/>
      <c r="O202" s="3934" t="n"/>
      <c r="P202" s="3934" t="n"/>
      <c r="Q202" s="3934" t="n"/>
      <c r="R202" s="3934" t="n"/>
      <c r="S202" s="3934" t="n"/>
      <c r="T202" s="3934" t="n"/>
      <c r="U202" s="3934" t="n"/>
      <c r="V202" s="3934" t="n"/>
      <c r="W202" s="3934" t="n"/>
      <c r="X202" s="3934" t="n"/>
      <c r="Y202" s="3934" t="n"/>
      <c r="Z202" s="3934" t="n"/>
      <c r="AA202" s="3934" t="n"/>
      <c r="AB202" s="3934" t="n"/>
      <c r="AC202" s="3934" t="n"/>
      <c r="AD202" s="3934" t="n"/>
      <c r="AE202" s="3934" t="n"/>
      <c r="AF202" s="3934" t="n"/>
      <c r="AG202" s="3934" t="n"/>
      <c r="AH202" s="3934" t="n"/>
      <c r="AI202" s="3934" t="n"/>
      <c r="AJ202" s="3934" t="n"/>
      <c r="AK202" s="3934" t="n"/>
      <c r="AL202" s="3934" t="n"/>
      <c r="AM202" s="3934" t="n"/>
      <c r="AN202" s="3934" t="n"/>
      <c r="AO202" s="3934" t="n"/>
      <c r="AP202" s="3934" t="n"/>
      <c r="AQ202" s="3934" t="n"/>
      <c r="AR202" s="3934" t="n"/>
    </row>
    <row r="203">
      <c r="A203" s="3941" t="n"/>
      <c r="B203" s="3944" t="n"/>
      <c r="C203" s="3944" t="n"/>
      <c r="D203" s="3944" t="n"/>
      <c r="E203" s="3944" t="n"/>
      <c r="F203" s="3944" t="n"/>
      <c r="G203" s="3944" t="n"/>
      <c r="H203" s="3944" t="n"/>
      <c r="I203" s="3944" t="n"/>
      <c r="J203" s="3944" t="n"/>
      <c r="K203" s="3942">
        <f>IF(A203="","",SUM(E203:J203))</f>
        <v/>
      </c>
      <c r="L203" s="3934" t="n"/>
      <c r="M203" s="3934" t="n"/>
      <c r="N203" s="3934" t="n"/>
      <c r="O203" s="3934" t="n"/>
      <c r="P203" s="3934" t="n"/>
      <c r="Q203" s="3934" t="n"/>
      <c r="R203" s="3934" t="n"/>
      <c r="S203" s="3934" t="n"/>
      <c r="T203" s="3934" t="n"/>
      <c r="U203" s="3934" t="n"/>
      <c r="V203" s="3934" t="n"/>
      <c r="W203" s="3934" t="n"/>
      <c r="X203" s="3934" t="n"/>
      <c r="Y203" s="3934" t="n"/>
      <c r="Z203" s="3934" t="n"/>
      <c r="AA203" s="3934" t="n"/>
      <c r="AB203" s="3934" t="n"/>
      <c r="AC203" s="3934" t="n"/>
      <c r="AD203" s="3934" t="n"/>
      <c r="AE203" s="3934" t="n"/>
      <c r="AF203" s="3934" t="n"/>
      <c r="AG203" s="3934" t="n"/>
      <c r="AH203" s="3934" t="n"/>
      <c r="AI203" s="3934" t="n"/>
      <c r="AJ203" s="3934" t="n"/>
      <c r="AK203" s="3934" t="n"/>
      <c r="AL203" s="3934" t="n"/>
      <c r="AM203" s="3934" t="n"/>
      <c r="AN203" s="3934" t="n"/>
      <c r="AO203" s="3934" t="n"/>
      <c r="AP203" s="3934" t="n"/>
      <c r="AQ203" s="3934" t="n"/>
      <c r="AR203" s="3934" t="n"/>
    </row>
    <row r="204">
      <c r="A204" s="3941" t="n"/>
      <c r="B204" s="3944" t="n"/>
      <c r="C204" s="3944" t="n"/>
      <c r="D204" s="3944" t="n"/>
      <c r="E204" s="3944" t="n"/>
      <c r="F204" s="3944" t="n"/>
      <c r="G204" s="3944" t="n"/>
      <c r="H204" s="3944" t="n"/>
      <c r="I204" s="3944" t="n"/>
      <c r="J204" s="3944" t="n"/>
      <c r="K204" s="3942">
        <f>IF(A204="","",SUM(E204:J204))</f>
        <v/>
      </c>
      <c r="L204" s="3934" t="n"/>
      <c r="M204" s="3934" t="n"/>
      <c r="N204" s="3934" t="n"/>
      <c r="O204" s="3934" t="n"/>
      <c r="P204" s="3934" t="n"/>
      <c r="Q204" s="3934" t="n"/>
      <c r="R204" s="3934" t="n"/>
      <c r="S204" s="3934" t="n"/>
      <c r="T204" s="3934" t="n"/>
      <c r="U204" s="3934" t="n"/>
      <c r="V204" s="3934" t="n"/>
      <c r="W204" s="3934" t="n"/>
      <c r="X204" s="3934" t="n"/>
      <c r="Y204" s="3934" t="n"/>
      <c r="Z204" s="3934" t="n"/>
      <c r="AA204" s="3934" t="n"/>
      <c r="AB204" s="3934" t="n"/>
      <c r="AC204" s="3934" t="n"/>
      <c r="AD204" s="3934" t="n"/>
      <c r="AE204" s="3934" t="n"/>
      <c r="AF204" s="3934" t="n"/>
      <c r="AG204" s="3934" t="n"/>
      <c r="AH204" s="3934" t="n"/>
      <c r="AI204" s="3934" t="n"/>
      <c r="AJ204" s="3934" t="n"/>
      <c r="AK204" s="3934" t="n"/>
      <c r="AL204" s="3934" t="n"/>
      <c r="AM204" s="3934" t="n"/>
      <c r="AN204" s="3934" t="n"/>
      <c r="AO204" s="3934" t="n"/>
      <c r="AP204" s="3934" t="n"/>
      <c r="AQ204" s="3934" t="n"/>
      <c r="AR204" s="3934" t="n"/>
    </row>
    <row r="205">
      <c r="A205" s="3941" t="n"/>
      <c r="B205" s="3944" t="n"/>
      <c r="C205" s="3944" t="n"/>
      <c r="D205" s="3944" t="n"/>
      <c r="E205" s="3944" t="n"/>
      <c r="F205" s="3944" t="n"/>
      <c r="G205" s="3944" t="n"/>
      <c r="H205" s="3944" t="n"/>
      <c r="I205" s="3944" t="n"/>
      <c r="J205" s="3944" t="n"/>
      <c r="K205" s="3942">
        <f>IF(A205="","",SUM(E205:J205))</f>
        <v/>
      </c>
      <c r="L205" s="3934" t="n"/>
      <c r="M205" s="3934" t="n"/>
      <c r="N205" s="3934" t="n"/>
      <c r="O205" s="3934" t="n"/>
      <c r="P205" s="3934" t="n"/>
      <c r="Q205" s="3934" t="n"/>
      <c r="R205" s="3934" t="n"/>
      <c r="S205" s="3934" t="n"/>
      <c r="T205" s="3934" t="n"/>
      <c r="U205" s="3934" t="n"/>
      <c r="V205" s="3934" t="n"/>
      <c r="W205" s="3934" t="n"/>
      <c r="X205" s="3934" t="n"/>
      <c r="Y205" s="3934" t="n"/>
      <c r="Z205" s="3934" t="n"/>
      <c r="AA205" s="3934" t="n"/>
      <c r="AB205" s="3934" t="n"/>
      <c r="AC205" s="3934" t="n"/>
      <c r="AD205" s="3934" t="n"/>
      <c r="AE205" s="3934" t="n"/>
      <c r="AF205" s="3934" t="n"/>
      <c r="AG205" s="3934" t="n"/>
      <c r="AH205" s="3934" t="n"/>
      <c r="AI205" s="3934" t="n"/>
      <c r="AJ205" s="3934" t="n"/>
      <c r="AK205" s="3934" t="n"/>
      <c r="AL205" s="3934" t="n"/>
      <c r="AM205" s="3934" t="n"/>
      <c r="AN205" s="3934" t="n"/>
      <c r="AO205" s="3934" t="n"/>
      <c r="AP205" s="3934" t="n"/>
      <c r="AQ205" s="3934" t="n"/>
      <c r="AR205" s="3934" t="n"/>
    </row>
    <row r="206">
      <c r="A206" s="3941" t="n"/>
      <c r="B206" s="3944" t="n"/>
      <c r="C206" s="3944" t="n"/>
      <c r="D206" s="3944" t="n"/>
      <c r="E206" s="3944" t="n"/>
      <c r="F206" s="3944" t="n"/>
      <c r="G206" s="3944" t="n"/>
      <c r="H206" s="3944" t="n"/>
      <c r="I206" s="3944" t="n"/>
      <c r="J206" s="3944" t="n"/>
      <c r="K206" s="3942">
        <f>IF(A206="","",SUM(E206:J206))</f>
        <v/>
      </c>
      <c r="L206" s="3934" t="n"/>
      <c r="M206" s="3934" t="n"/>
      <c r="N206" s="3934" t="n"/>
      <c r="O206" s="3934" t="n"/>
      <c r="P206" s="3934" t="n"/>
      <c r="Q206" s="3934" t="n"/>
      <c r="R206" s="3934" t="n"/>
      <c r="S206" s="3934" t="n"/>
      <c r="T206" s="3934" t="n"/>
      <c r="U206" s="3934" t="n"/>
      <c r="V206" s="3934" t="n"/>
      <c r="W206" s="3934" t="n"/>
      <c r="X206" s="3934" t="n"/>
      <c r="Y206" s="3934" t="n"/>
      <c r="Z206" s="3934" t="n"/>
      <c r="AA206" s="3934" t="n"/>
      <c r="AB206" s="3934" t="n"/>
      <c r="AC206" s="3934" t="n"/>
      <c r="AD206" s="3934" t="n"/>
      <c r="AE206" s="3934" t="n"/>
      <c r="AF206" s="3934" t="n"/>
      <c r="AG206" s="3934" t="n"/>
      <c r="AH206" s="3934" t="n"/>
      <c r="AI206" s="3934" t="n"/>
      <c r="AJ206" s="3934" t="n"/>
      <c r="AK206" s="3934" t="n"/>
      <c r="AL206" s="3934" t="n"/>
      <c r="AM206" s="3934" t="n"/>
      <c r="AN206" s="3934" t="n"/>
      <c r="AO206" s="3934" t="n"/>
      <c r="AP206" s="3934" t="n"/>
      <c r="AQ206" s="3934" t="n"/>
      <c r="AR206" s="3934" t="n"/>
    </row>
    <row r="207">
      <c r="A207" s="3941" t="n"/>
      <c r="B207" s="3944" t="n"/>
      <c r="C207" s="3944" t="n"/>
      <c r="D207" s="3944" t="n"/>
      <c r="E207" s="3944" t="n"/>
      <c r="F207" s="3944" t="n"/>
      <c r="G207" s="3944" t="n"/>
      <c r="H207" s="3944" t="n"/>
      <c r="I207" s="3944" t="n"/>
      <c r="J207" s="3944" t="n"/>
      <c r="K207" s="3942">
        <f>IF(A207="","",SUM(E207:J207))</f>
        <v/>
      </c>
      <c r="L207" s="3934" t="n"/>
      <c r="M207" s="3934" t="n"/>
      <c r="N207" s="3934" t="n"/>
      <c r="O207" s="3934" t="n"/>
      <c r="P207" s="3934" t="n"/>
      <c r="Q207" s="3934" t="n"/>
      <c r="R207" s="3934" t="n"/>
      <c r="S207" s="3934" t="n"/>
      <c r="T207" s="3934" t="n"/>
      <c r="U207" s="3934" t="n"/>
      <c r="V207" s="3934" t="n"/>
      <c r="W207" s="3934" t="n"/>
      <c r="X207" s="3934" t="n"/>
      <c r="Y207" s="3934" t="n"/>
      <c r="Z207" s="3934" t="n"/>
      <c r="AA207" s="3934" t="n"/>
      <c r="AB207" s="3934" t="n"/>
      <c r="AC207" s="3934" t="n"/>
      <c r="AD207" s="3934" t="n"/>
      <c r="AE207" s="3934" t="n"/>
      <c r="AF207" s="3934" t="n"/>
      <c r="AG207" s="3934" t="n"/>
      <c r="AH207" s="3934" t="n"/>
      <c r="AI207" s="3934" t="n"/>
      <c r="AJ207" s="3934" t="n"/>
      <c r="AK207" s="3934" t="n"/>
      <c r="AL207" s="3934" t="n"/>
      <c r="AM207" s="3934" t="n"/>
      <c r="AN207" s="3934" t="n"/>
      <c r="AO207" s="3934" t="n"/>
      <c r="AP207" s="3934" t="n"/>
      <c r="AQ207" s="3934" t="n"/>
      <c r="AR207" s="3934" t="n"/>
    </row>
    <row r="208">
      <c r="A208" s="3941" t="n"/>
      <c r="B208" s="3944" t="n"/>
      <c r="C208" s="3944" t="n"/>
      <c r="D208" s="3944" t="n"/>
      <c r="E208" s="3944" t="n"/>
      <c r="F208" s="3944" t="n"/>
      <c r="G208" s="3944" t="n"/>
      <c r="H208" s="3944" t="n"/>
      <c r="I208" s="3944" t="n"/>
      <c r="J208" s="3944" t="n"/>
      <c r="K208" s="3942">
        <f>IF(A208="","",SUM(E208:J208))</f>
        <v/>
      </c>
      <c r="L208" s="3934" t="n"/>
      <c r="M208" s="3934" t="n"/>
      <c r="N208" s="3934" t="n"/>
      <c r="O208" s="3934" t="n"/>
      <c r="P208" s="3934" t="n"/>
      <c r="Q208" s="3934" t="n"/>
      <c r="R208" s="3934" t="n"/>
      <c r="S208" s="3934" t="n"/>
      <c r="T208" s="3934" t="n"/>
      <c r="U208" s="3934" t="n"/>
      <c r="V208" s="3934" t="n"/>
      <c r="W208" s="3934" t="n"/>
      <c r="X208" s="3934" t="n"/>
      <c r="Y208" s="3934" t="n"/>
      <c r="Z208" s="3934" t="n"/>
      <c r="AA208" s="3934" t="n"/>
      <c r="AB208" s="3934" t="n"/>
      <c r="AC208" s="3934" t="n"/>
      <c r="AD208" s="3934" t="n"/>
      <c r="AE208" s="3934" t="n"/>
      <c r="AF208" s="3934" t="n"/>
      <c r="AG208" s="3934" t="n"/>
      <c r="AH208" s="3934" t="n"/>
      <c r="AI208" s="3934" t="n"/>
      <c r="AJ208" s="3934" t="n"/>
      <c r="AK208" s="3934" t="n"/>
      <c r="AL208" s="3934" t="n"/>
      <c r="AM208" s="3934" t="n"/>
      <c r="AN208" s="3934" t="n"/>
      <c r="AO208" s="3934" t="n"/>
      <c r="AP208" s="3934" t="n"/>
      <c r="AQ208" s="3934" t="n"/>
      <c r="AR208" s="3934" t="n"/>
    </row>
    <row r="209">
      <c r="A209" s="3941" t="n"/>
      <c r="B209" s="3944" t="n"/>
      <c r="C209" s="3944" t="n"/>
      <c r="D209" s="3944" t="n"/>
      <c r="E209" s="3944" t="n"/>
      <c r="F209" s="3944" t="n"/>
      <c r="G209" s="3944" t="n"/>
      <c r="H209" s="3944" t="n"/>
      <c r="I209" s="3944" t="n"/>
      <c r="J209" s="3944" t="n"/>
      <c r="K209" s="3942">
        <f>IF(A209="","",SUM(E209:J209))</f>
        <v/>
      </c>
      <c r="L209" s="3934" t="n"/>
      <c r="M209" s="3934" t="n"/>
      <c r="N209" s="3934" t="n"/>
      <c r="O209" s="3934" t="n"/>
      <c r="P209" s="3934" t="n"/>
      <c r="Q209" s="3934" t="n"/>
      <c r="R209" s="3934" t="n"/>
      <c r="S209" s="3934" t="n"/>
      <c r="T209" s="3934" t="n"/>
      <c r="U209" s="3934" t="n"/>
      <c r="V209" s="3934" t="n"/>
      <c r="W209" s="3934" t="n"/>
      <c r="X209" s="3934" t="n"/>
      <c r="Y209" s="3934" t="n"/>
      <c r="Z209" s="3934" t="n"/>
      <c r="AA209" s="3934" t="n"/>
      <c r="AB209" s="3934" t="n"/>
      <c r="AC209" s="3934" t="n"/>
      <c r="AD209" s="3934" t="n"/>
      <c r="AE209" s="3934" t="n"/>
      <c r="AF209" s="3934" t="n"/>
      <c r="AG209" s="3934" t="n"/>
      <c r="AH209" s="3934" t="n"/>
      <c r="AI209" s="3934" t="n"/>
      <c r="AJ209" s="3934" t="n"/>
      <c r="AK209" s="3934" t="n"/>
      <c r="AL209" s="3934" t="n"/>
      <c r="AM209" s="3934" t="n"/>
      <c r="AN209" s="3934" t="n"/>
      <c r="AO209" s="3934" t="n"/>
      <c r="AP209" s="3934" t="n"/>
      <c r="AQ209" s="3934" t="n"/>
      <c r="AR209" s="3934" t="n"/>
    </row>
    <row r="210">
      <c r="A210" s="3941" t="n"/>
      <c r="B210" s="3944" t="n"/>
      <c r="C210" s="3944" t="n"/>
      <c r="D210" s="3944" t="n"/>
      <c r="E210" s="3944" t="n"/>
      <c r="F210" s="3944" t="n"/>
      <c r="G210" s="3944" t="n"/>
      <c r="H210" s="3944" t="n"/>
      <c r="I210" s="3944" t="n"/>
      <c r="J210" s="3944" t="n"/>
      <c r="K210" s="3942">
        <f>IF(A210="","",SUM(E210:J210))</f>
        <v/>
      </c>
      <c r="L210" s="3934" t="n"/>
      <c r="M210" s="3934" t="n"/>
      <c r="N210" s="3934" t="n"/>
      <c r="O210" s="3934" t="n"/>
      <c r="P210" s="3934" t="n"/>
      <c r="Q210" s="3934" t="n"/>
      <c r="R210" s="3934" t="n"/>
      <c r="S210" s="3934" t="n"/>
      <c r="T210" s="3934" t="n"/>
      <c r="U210" s="3934" t="n"/>
      <c r="V210" s="3934" t="n"/>
      <c r="W210" s="3934" t="n"/>
      <c r="X210" s="3934" t="n"/>
      <c r="Y210" s="3934" t="n"/>
      <c r="Z210" s="3934" t="n"/>
      <c r="AA210" s="3934" t="n"/>
      <c r="AB210" s="3934" t="n"/>
      <c r="AC210" s="3934" t="n"/>
      <c r="AD210" s="3934" t="n"/>
      <c r="AE210" s="3934" t="n"/>
      <c r="AF210" s="3934" t="n"/>
      <c r="AG210" s="3934" t="n"/>
      <c r="AH210" s="3934" t="n"/>
      <c r="AI210" s="3934" t="n"/>
      <c r="AJ210" s="3934" t="n"/>
      <c r="AK210" s="3934" t="n"/>
      <c r="AL210" s="3934" t="n"/>
      <c r="AM210" s="3934" t="n"/>
      <c r="AN210" s="3934" t="n"/>
      <c r="AO210" s="3934" t="n"/>
      <c r="AP210" s="3934" t="n"/>
      <c r="AQ210" s="3934" t="n"/>
      <c r="AR210" s="3934" t="n"/>
    </row>
    <row r="211">
      <c r="A211" s="3941" t="n"/>
      <c r="B211" s="3944" t="n"/>
      <c r="C211" s="3944" t="n"/>
      <c r="D211" s="3944" t="n"/>
      <c r="E211" s="3944" t="n"/>
      <c r="F211" s="3944" t="n"/>
      <c r="G211" s="3944" t="n"/>
      <c r="H211" s="3944" t="n"/>
      <c r="I211" s="3944" t="n"/>
      <c r="J211" s="3944" t="n"/>
      <c r="K211" s="3942">
        <f>IF(A211="","",SUM(E211:J211))</f>
        <v/>
      </c>
      <c r="L211" s="3934" t="n"/>
      <c r="M211" s="3934" t="n"/>
      <c r="N211" s="3934" t="n"/>
      <c r="O211" s="3934" t="n"/>
      <c r="P211" s="3934" t="n"/>
      <c r="Q211" s="3934" t="n"/>
      <c r="R211" s="3934" t="n"/>
      <c r="S211" s="3934" t="n"/>
      <c r="T211" s="3934" t="n"/>
      <c r="U211" s="3934" t="n"/>
      <c r="V211" s="3934" t="n"/>
      <c r="W211" s="3934" t="n"/>
      <c r="X211" s="3934" t="n"/>
      <c r="Y211" s="3934" t="n"/>
      <c r="Z211" s="3934" t="n"/>
      <c r="AA211" s="3934" t="n"/>
      <c r="AB211" s="3934" t="n"/>
      <c r="AC211" s="3934" t="n"/>
      <c r="AD211" s="3934" t="n"/>
      <c r="AE211" s="3934" t="n"/>
      <c r="AF211" s="3934" t="n"/>
      <c r="AG211" s="3934" t="n"/>
      <c r="AH211" s="3934" t="n"/>
      <c r="AI211" s="3934" t="n"/>
      <c r="AJ211" s="3934" t="n"/>
      <c r="AK211" s="3934" t="n"/>
      <c r="AL211" s="3934" t="n"/>
      <c r="AM211" s="3934" t="n"/>
      <c r="AN211" s="3934" t="n"/>
      <c r="AO211" s="3934" t="n"/>
      <c r="AP211" s="3934" t="n"/>
      <c r="AQ211" s="3934" t="n"/>
      <c r="AR211" s="3934" t="n"/>
    </row>
    <row r="212">
      <c r="A212" s="3941" t="n"/>
      <c r="B212" s="3944" t="n"/>
      <c r="C212" s="3944" t="n"/>
      <c r="D212" s="3944" t="n"/>
      <c r="E212" s="3944" t="n"/>
      <c r="F212" s="3944" t="n"/>
      <c r="G212" s="3944" t="n"/>
      <c r="H212" s="3944" t="n"/>
      <c r="I212" s="3944" t="n"/>
      <c r="J212" s="3944" t="n"/>
      <c r="K212" s="3942">
        <f>IF(A212="","",SUM(E212:J212))</f>
        <v/>
      </c>
      <c r="L212" s="3934" t="n"/>
      <c r="M212" s="3934" t="n"/>
      <c r="N212" s="3934" t="n"/>
      <c r="O212" s="3934" t="n"/>
      <c r="P212" s="3934" t="n"/>
      <c r="Q212" s="3934" t="n"/>
      <c r="R212" s="3934" t="n"/>
      <c r="S212" s="3934" t="n"/>
      <c r="T212" s="3934" t="n"/>
      <c r="U212" s="3934" t="n"/>
      <c r="V212" s="3934" t="n"/>
      <c r="W212" s="3934" t="n"/>
      <c r="X212" s="3934" t="n"/>
      <c r="Y212" s="3934" t="n"/>
      <c r="Z212" s="3934" t="n"/>
      <c r="AA212" s="3934" t="n"/>
      <c r="AB212" s="3934" t="n"/>
      <c r="AC212" s="3934" t="n"/>
      <c r="AD212" s="3934" t="n"/>
      <c r="AE212" s="3934" t="n"/>
      <c r="AF212" s="3934" t="n"/>
      <c r="AG212" s="3934" t="n"/>
      <c r="AH212" s="3934" t="n"/>
      <c r="AI212" s="3934" t="n"/>
      <c r="AJ212" s="3934" t="n"/>
      <c r="AK212" s="3934" t="n"/>
      <c r="AL212" s="3934" t="n"/>
      <c r="AM212" s="3934" t="n"/>
      <c r="AN212" s="3934" t="n"/>
      <c r="AO212" s="3934" t="n"/>
      <c r="AP212" s="3934" t="n"/>
      <c r="AQ212" s="3934" t="n"/>
      <c r="AR212" s="3934" t="n"/>
    </row>
    <row r="213">
      <c r="A213" s="3941" t="n"/>
      <c r="B213" s="3944" t="n"/>
      <c r="C213" s="3944" t="n"/>
      <c r="D213" s="3944" t="n"/>
      <c r="E213" s="3944" t="n"/>
      <c r="F213" s="3944" t="n"/>
      <c r="G213" s="3944" t="n"/>
      <c r="H213" s="3944" t="n"/>
      <c r="I213" s="3944" t="n"/>
      <c r="J213" s="3944" t="n"/>
      <c r="K213" s="3942">
        <f>IF(A213="","",SUM(E213:J213))</f>
        <v/>
      </c>
      <c r="L213" s="3934" t="n"/>
      <c r="M213" s="3934" t="n"/>
      <c r="N213" s="3934" t="n"/>
      <c r="O213" s="3934" t="n"/>
      <c r="P213" s="3934" t="n"/>
      <c r="Q213" s="3934" t="n"/>
      <c r="R213" s="3934" t="n"/>
      <c r="S213" s="3934" t="n"/>
      <c r="T213" s="3934" t="n"/>
      <c r="U213" s="3934" t="n"/>
      <c r="V213" s="3934" t="n"/>
      <c r="W213" s="3934" t="n"/>
      <c r="X213" s="3934" t="n"/>
      <c r="Y213" s="3934" t="n"/>
      <c r="Z213" s="3934" t="n"/>
      <c r="AA213" s="3934" t="n"/>
      <c r="AB213" s="3934" t="n"/>
      <c r="AC213" s="3934" t="n"/>
      <c r="AD213" s="3934" t="n"/>
      <c r="AE213" s="3934" t="n"/>
      <c r="AF213" s="3934" t="n"/>
      <c r="AG213" s="3934" t="n"/>
      <c r="AH213" s="3934" t="n"/>
      <c r="AI213" s="3934" t="n"/>
      <c r="AJ213" s="3934" t="n"/>
      <c r="AK213" s="3934" t="n"/>
      <c r="AL213" s="3934" t="n"/>
      <c r="AM213" s="3934" t="n"/>
      <c r="AN213" s="3934" t="n"/>
      <c r="AO213" s="3934" t="n"/>
      <c r="AP213" s="3934" t="n"/>
      <c r="AQ213" s="3934" t="n"/>
      <c r="AR213" s="3934" t="n"/>
    </row>
    <row r="214">
      <c r="A214" s="3941" t="n"/>
      <c r="B214" s="3944" t="n"/>
      <c r="C214" s="3944" t="n"/>
      <c r="D214" s="3944" t="n"/>
      <c r="E214" s="3944" t="n"/>
      <c r="F214" s="3944" t="n"/>
      <c r="G214" s="3944" t="n"/>
      <c r="H214" s="3944" t="n"/>
      <c r="I214" s="3944" t="n"/>
      <c r="J214" s="3944" t="n"/>
      <c r="K214" s="3942">
        <f>IF(A214="","",SUM(E214:J214))</f>
        <v/>
      </c>
      <c r="L214" s="3934" t="n"/>
      <c r="M214" s="3934" t="n"/>
      <c r="N214" s="3934" t="n"/>
      <c r="O214" s="3934" t="n"/>
      <c r="P214" s="3934" t="n"/>
      <c r="Q214" s="3934" t="n"/>
      <c r="R214" s="3934" t="n"/>
      <c r="S214" s="3934" t="n"/>
      <c r="T214" s="3934" t="n"/>
      <c r="U214" s="3934" t="n"/>
      <c r="V214" s="3934" t="n"/>
      <c r="W214" s="3934" t="n"/>
      <c r="X214" s="3934" t="n"/>
      <c r="Y214" s="3934" t="n"/>
      <c r="Z214" s="3934" t="n"/>
      <c r="AA214" s="3934" t="n"/>
      <c r="AB214" s="3934" t="n"/>
      <c r="AC214" s="3934" t="n"/>
      <c r="AD214" s="3934" t="n"/>
      <c r="AE214" s="3934" t="n"/>
      <c r="AF214" s="3934" t="n"/>
      <c r="AG214" s="3934" t="n"/>
      <c r="AH214" s="3934" t="n"/>
      <c r="AI214" s="3934" t="n"/>
      <c r="AJ214" s="3934" t="n"/>
      <c r="AK214" s="3934" t="n"/>
      <c r="AL214" s="3934" t="n"/>
      <c r="AM214" s="3934" t="n"/>
      <c r="AN214" s="3934" t="n"/>
      <c r="AO214" s="3934" t="n"/>
      <c r="AP214" s="3934" t="n"/>
      <c r="AQ214" s="3934" t="n"/>
      <c r="AR214" s="3934" t="n"/>
    </row>
    <row r="215">
      <c r="A215" s="3941" t="n"/>
      <c r="B215" s="3944" t="n"/>
      <c r="C215" s="3944" t="n"/>
      <c r="D215" s="3944" t="n"/>
      <c r="E215" s="3944" t="n"/>
      <c r="F215" s="3944" t="n"/>
      <c r="G215" s="3944" t="n"/>
      <c r="H215" s="3944" t="n"/>
      <c r="I215" s="3944" t="n"/>
      <c r="J215" s="3944" t="n"/>
      <c r="K215" s="3942">
        <f>IF(A215="","",SUM(E215:J215))</f>
        <v/>
      </c>
      <c r="L215" s="3934" t="n"/>
      <c r="M215" s="3934" t="n"/>
      <c r="N215" s="3934" t="n"/>
      <c r="O215" s="3934" t="n"/>
      <c r="P215" s="3934" t="n"/>
      <c r="Q215" s="3934" t="n"/>
      <c r="R215" s="3934" t="n"/>
      <c r="S215" s="3934" t="n"/>
      <c r="T215" s="3934" t="n"/>
      <c r="U215" s="3934" t="n"/>
      <c r="V215" s="3934" t="n"/>
      <c r="W215" s="3934" t="n"/>
      <c r="X215" s="3934" t="n"/>
      <c r="Y215" s="3934" t="n"/>
      <c r="Z215" s="3934" t="n"/>
      <c r="AA215" s="3934" t="n"/>
      <c r="AB215" s="3934" t="n"/>
      <c r="AC215" s="3934" t="n"/>
      <c r="AD215" s="3934" t="n"/>
      <c r="AE215" s="3934" t="n"/>
      <c r="AF215" s="3934" t="n"/>
      <c r="AG215" s="3934" t="n"/>
      <c r="AH215" s="3934" t="n"/>
      <c r="AI215" s="3934" t="n"/>
      <c r="AJ215" s="3934" t="n"/>
      <c r="AK215" s="3934" t="n"/>
      <c r="AL215" s="3934" t="n"/>
      <c r="AM215" s="3934" t="n"/>
      <c r="AN215" s="3934" t="n"/>
      <c r="AO215" s="3934" t="n"/>
      <c r="AP215" s="3934" t="n"/>
      <c r="AQ215" s="3934" t="n"/>
      <c r="AR215" s="3934" t="n"/>
    </row>
    <row r="216">
      <c r="A216" s="3941" t="n"/>
      <c r="B216" s="3944" t="n"/>
      <c r="C216" s="3944" t="n"/>
      <c r="D216" s="3944" t="n"/>
      <c r="E216" s="3944" t="n"/>
      <c r="F216" s="3944" t="n"/>
      <c r="G216" s="3944" t="n"/>
      <c r="H216" s="3944" t="n"/>
      <c r="I216" s="3944" t="n"/>
      <c r="J216" s="3944" t="n"/>
      <c r="K216" s="3942">
        <f>IF(A216="","",SUM(E216:J216))</f>
        <v/>
      </c>
      <c r="L216" s="3934" t="n"/>
      <c r="M216" s="3934" t="n"/>
      <c r="N216" s="3934" t="n"/>
      <c r="O216" s="3934" t="n"/>
      <c r="P216" s="3934" t="n"/>
      <c r="Q216" s="3934" t="n"/>
      <c r="R216" s="3934" t="n"/>
      <c r="S216" s="3934" t="n"/>
      <c r="T216" s="3934" t="n"/>
      <c r="U216" s="3934" t="n"/>
      <c r="V216" s="3934" t="n"/>
      <c r="W216" s="3934" t="n"/>
      <c r="X216" s="3934" t="n"/>
      <c r="Y216" s="3934" t="n"/>
      <c r="Z216" s="3934" t="n"/>
      <c r="AA216" s="3934" t="n"/>
      <c r="AB216" s="3934" t="n"/>
      <c r="AC216" s="3934" t="n"/>
      <c r="AD216" s="3934" t="n"/>
      <c r="AE216" s="3934" t="n"/>
      <c r="AF216" s="3934" t="n"/>
      <c r="AG216" s="3934" t="n"/>
      <c r="AH216" s="3934" t="n"/>
      <c r="AI216" s="3934" t="n"/>
      <c r="AJ216" s="3934" t="n"/>
      <c r="AK216" s="3934" t="n"/>
      <c r="AL216" s="3934" t="n"/>
      <c r="AM216" s="3934" t="n"/>
      <c r="AN216" s="3934" t="n"/>
      <c r="AO216" s="3934" t="n"/>
      <c r="AP216" s="3934" t="n"/>
      <c r="AQ216" s="3934" t="n"/>
      <c r="AR216" s="3934" t="n"/>
    </row>
    <row r="217">
      <c r="A217" s="3941" t="n"/>
      <c r="B217" s="3944" t="n"/>
      <c r="C217" s="3944" t="n"/>
      <c r="D217" s="3944" t="n"/>
      <c r="E217" s="3944" t="n"/>
      <c r="F217" s="3944" t="n"/>
      <c r="G217" s="3944" t="n"/>
      <c r="H217" s="3944" t="n"/>
      <c r="I217" s="3944" t="n"/>
      <c r="J217" s="3944" t="n"/>
      <c r="K217" s="3942">
        <f>IF(A217="","",SUM(E217:J217))</f>
        <v/>
      </c>
      <c r="L217" s="3934" t="n"/>
      <c r="M217" s="3934" t="n"/>
      <c r="N217" s="3934" t="n"/>
      <c r="O217" s="3934" t="n"/>
      <c r="P217" s="3934" t="n"/>
      <c r="Q217" s="3934" t="n"/>
      <c r="R217" s="3934" t="n"/>
      <c r="S217" s="3934" t="n"/>
      <c r="T217" s="3934" t="n"/>
      <c r="U217" s="3934" t="n"/>
      <c r="V217" s="3934" t="n"/>
      <c r="W217" s="3934" t="n"/>
      <c r="X217" s="3934" t="n"/>
      <c r="Y217" s="3934" t="n"/>
      <c r="Z217" s="3934" t="n"/>
      <c r="AA217" s="3934" t="n"/>
      <c r="AB217" s="3934" t="n"/>
      <c r="AC217" s="3934" t="n"/>
      <c r="AD217" s="3934" t="n"/>
      <c r="AE217" s="3934" t="n"/>
      <c r="AF217" s="3934" t="n"/>
      <c r="AG217" s="3934" t="n"/>
      <c r="AH217" s="3934" t="n"/>
      <c r="AI217" s="3934" t="n"/>
      <c r="AJ217" s="3934" t="n"/>
      <c r="AK217" s="3934" t="n"/>
      <c r="AL217" s="3934" t="n"/>
      <c r="AM217" s="3934" t="n"/>
      <c r="AN217" s="3934" t="n"/>
      <c r="AO217" s="3934" t="n"/>
      <c r="AP217" s="3934" t="n"/>
      <c r="AQ217" s="3934" t="n"/>
      <c r="AR217" s="3934" t="n"/>
    </row>
    <row r="218">
      <c r="A218" s="3941" t="n"/>
      <c r="B218" s="3944" t="n"/>
      <c r="C218" s="3944" t="n"/>
      <c r="D218" s="3944" t="n"/>
      <c r="E218" s="3944" t="n"/>
      <c r="F218" s="3944" t="n"/>
      <c r="G218" s="3944" t="n"/>
      <c r="H218" s="3944" t="n"/>
      <c r="I218" s="3944" t="n"/>
      <c r="J218" s="3944" t="n"/>
      <c r="K218" s="3942">
        <f>IF(A218="","",SUM(E218:J218))</f>
        <v/>
      </c>
      <c r="L218" s="3934" t="n"/>
      <c r="M218" s="3934" t="n"/>
      <c r="N218" s="3934" t="n"/>
      <c r="O218" s="3934" t="n"/>
      <c r="P218" s="3934" t="n"/>
      <c r="Q218" s="3934" t="n"/>
      <c r="R218" s="3934" t="n"/>
      <c r="S218" s="3934" t="n"/>
      <c r="T218" s="3934" t="n"/>
      <c r="U218" s="3934" t="n"/>
      <c r="V218" s="3934" t="n"/>
      <c r="W218" s="3934" t="n"/>
      <c r="X218" s="3934" t="n"/>
      <c r="Y218" s="3934" t="n"/>
      <c r="Z218" s="3934" t="n"/>
      <c r="AA218" s="3934" t="n"/>
      <c r="AB218" s="3934" t="n"/>
      <c r="AC218" s="3934" t="n"/>
      <c r="AD218" s="3934" t="n"/>
      <c r="AE218" s="3934" t="n"/>
      <c r="AF218" s="3934" t="n"/>
      <c r="AG218" s="3934" t="n"/>
      <c r="AH218" s="3934" t="n"/>
      <c r="AI218" s="3934" t="n"/>
      <c r="AJ218" s="3934" t="n"/>
      <c r="AK218" s="3934" t="n"/>
      <c r="AL218" s="3934" t="n"/>
      <c r="AM218" s="3934" t="n"/>
      <c r="AN218" s="3934" t="n"/>
      <c r="AO218" s="3934" t="n"/>
      <c r="AP218" s="3934" t="n"/>
      <c r="AQ218" s="3934" t="n"/>
      <c r="AR218" s="3934" t="n"/>
    </row>
    <row r="219">
      <c r="A219" s="3941" t="n"/>
      <c r="B219" s="3944" t="n"/>
      <c r="C219" s="3944" t="n"/>
      <c r="D219" s="3944" t="n"/>
      <c r="E219" s="3944" t="n"/>
      <c r="F219" s="3944" t="n"/>
      <c r="G219" s="3944" t="n"/>
      <c r="H219" s="3944" t="n"/>
      <c r="I219" s="3944" t="n"/>
      <c r="J219" s="3944" t="n"/>
      <c r="K219" s="3942">
        <f>IF(A219="","",SUM(E219:J219))</f>
        <v/>
      </c>
      <c r="L219" s="3934" t="n"/>
      <c r="M219" s="3934" t="n"/>
      <c r="N219" s="3934" t="n"/>
      <c r="O219" s="3934" t="n"/>
      <c r="P219" s="3934" t="n"/>
      <c r="Q219" s="3934" t="n"/>
      <c r="R219" s="3934" t="n"/>
      <c r="S219" s="3934" t="n"/>
      <c r="T219" s="3934" t="n"/>
      <c r="U219" s="3934" t="n"/>
      <c r="V219" s="3934" t="n"/>
      <c r="W219" s="3934" t="n"/>
      <c r="X219" s="3934" t="n"/>
      <c r="Y219" s="3934" t="n"/>
      <c r="Z219" s="3934" t="n"/>
      <c r="AA219" s="3934" t="n"/>
      <c r="AB219" s="3934" t="n"/>
      <c r="AC219" s="3934" t="n"/>
      <c r="AD219" s="3934" t="n"/>
      <c r="AE219" s="3934" t="n"/>
      <c r="AF219" s="3934" t="n"/>
      <c r="AG219" s="3934" t="n"/>
      <c r="AH219" s="3934" t="n"/>
      <c r="AI219" s="3934" t="n"/>
      <c r="AJ219" s="3934" t="n"/>
      <c r="AK219" s="3934" t="n"/>
      <c r="AL219" s="3934" t="n"/>
      <c r="AM219" s="3934" t="n"/>
      <c r="AN219" s="3934" t="n"/>
      <c r="AO219" s="3934" t="n"/>
      <c r="AP219" s="3934" t="n"/>
      <c r="AQ219" s="3934" t="n"/>
      <c r="AR219" s="3934" t="n"/>
    </row>
    <row r="220">
      <c r="A220" s="3941" t="n"/>
      <c r="B220" s="3944" t="n"/>
      <c r="C220" s="3944" t="n"/>
      <c r="D220" s="3944" t="n"/>
      <c r="E220" s="3944" t="n"/>
      <c r="F220" s="3944" t="n"/>
      <c r="G220" s="3944" t="n"/>
      <c r="H220" s="3944" t="n"/>
      <c r="I220" s="3944" t="n"/>
      <c r="J220" s="3944" t="n"/>
      <c r="K220" s="3942">
        <f>IF(A220="","",SUM(E220:J220))</f>
        <v/>
      </c>
      <c r="L220" s="3934" t="n"/>
      <c r="M220" s="3934" t="n"/>
      <c r="N220" s="3934" t="n"/>
      <c r="O220" s="3934" t="n"/>
      <c r="P220" s="3934" t="n"/>
      <c r="Q220" s="3934" t="n"/>
      <c r="R220" s="3934" t="n"/>
      <c r="S220" s="3934" t="n"/>
      <c r="T220" s="3934" t="n"/>
      <c r="U220" s="3934" t="n"/>
      <c r="V220" s="3934" t="n"/>
      <c r="W220" s="3934" t="n"/>
      <c r="X220" s="3934" t="n"/>
      <c r="Y220" s="3934" t="n"/>
      <c r="Z220" s="3934" t="n"/>
      <c r="AA220" s="3934" t="n"/>
      <c r="AB220" s="3934" t="n"/>
      <c r="AC220" s="3934" t="n"/>
      <c r="AD220" s="3934" t="n"/>
      <c r="AE220" s="3934" t="n"/>
      <c r="AF220" s="3934" t="n"/>
      <c r="AG220" s="3934" t="n"/>
      <c r="AH220" s="3934" t="n"/>
      <c r="AI220" s="3934" t="n"/>
      <c r="AJ220" s="3934" t="n"/>
      <c r="AK220" s="3934" t="n"/>
      <c r="AL220" s="3934" t="n"/>
      <c r="AM220" s="3934" t="n"/>
      <c r="AN220" s="3934" t="n"/>
      <c r="AO220" s="3934" t="n"/>
      <c r="AP220" s="3934" t="n"/>
      <c r="AQ220" s="3934" t="n"/>
      <c r="AR220" s="3934" t="n"/>
    </row>
    <row r="221">
      <c r="A221" s="3941" t="n"/>
      <c r="B221" s="3944" t="n"/>
      <c r="C221" s="3944" t="n"/>
      <c r="D221" s="3944" t="n"/>
      <c r="E221" s="3944" t="n"/>
      <c r="F221" s="3944" t="n"/>
      <c r="G221" s="3944" t="n"/>
      <c r="H221" s="3944" t="n"/>
      <c r="I221" s="3944" t="n"/>
      <c r="J221" s="3944" t="n"/>
      <c r="K221" s="3942">
        <f>IF(A221="","",SUM(E221:J221))</f>
        <v/>
      </c>
      <c r="L221" s="3934" t="n"/>
      <c r="M221" s="3934" t="n"/>
      <c r="N221" s="3934" t="n"/>
      <c r="O221" s="3934" t="n"/>
      <c r="P221" s="3934" t="n"/>
      <c r="Q221" s="3934" t="n"/>
      <c r="R221" s="3934" t="n"/>
      <c r="S221" s="3934" t="n"/>
      <c r="T221" s="3934" t="n"/>
      <c r="U221" s="3934" t="n"/>
      <c r="V221" s="3934" t="n"/>
      <c r="W221" s="3934" t="n"/>
      <c r="X221" s="3934" t="n"/>
      <c r="Y221" s="3934" t="n"/>
      <c r="Z221" s="3934" t="n"/>
      <c r="AA221" s="3934" t="n"/>
      <c r="AB221" s="3934" t="n"/>
      <c r="AC221" s="3934" t="n"/>
      <c r="AD221" s="3934" t="n"/>
      <c r="AE221" s="3934" t="n"/>
      <c r="AF221" s="3934" t="n"/>
      <c r="AG221" s="3934" t="n"/>
      <c r="AH221" s="3934" t="n"/>
      <c r="AI221" s="3934" t="n"/>
      <c r="AJ221" s="3934" t="n"/>
      <c r="AK221" s="3934" t="n"/>
      <c r="AL221" s="3934" t="n"/>
      <c r="AM221" s="3934" t="n"/>
      <c r="AN221" s="3934" t="n"/>
      <c r="AO221" s="3934" t="n"/>
      <c r="AP221" s="3934" t="n"/>
      <c r="AQ221" s="3934" t="n"/>
      <c r="AR221" s="3934" t="n"/>
    </row>
    <row r="222">
      <c r="A222" s="3941" t="n"/>
      <c r="B222" s="3944" t="n"/>
      <c r="C222" s="3944" t="n"/>
      <c r="D222" s="3944" t="n"/>
      <c r="E222" s="3944" t="n"/>
      <c r="F222" s="3944" t="n"/>
      <c r="G222" s="3944" t="n"/>
      <c r="H222" s="3944" t="n"/>
      <c r="I222" s="3944" t="n"/>
      <c r="J222" s="3944" t="n"/>
      <c r="K222" s="3942">
        <f>IF(A222="","",SUM(E222:J222))</f>
        <v/>
      </c>
      <c r="L222" s="3934" t="n"/>
      <c r="M222" s="3934" t="n"/>
      <c r="N222" s="3934" t="n"/>
      <c r="O222" s="3934" t="n"/>
      <c r="P222" s="3934" t="n"/>
      <c r="Q222" s="3934" t="n"/>
      <c r="R222" s="3934" t="n"/>
      <c r="S222" s="3934" t="n"/>
      <c r="T222" s="3934" t="n"/>
      <c r="U222" s="3934" t="n"/>
      <c r="V222" s="3934" t="n"/>
      <c r="W222" s="3934" t="n"/>
      <c r="X222" s="3934" t="n"/>
      <c r="Y222" s="3934" t="n"/>
      <c r="Z222" s="3934" t="n"/>
      <c r="AA222" s="3934" t="n"/>
      <c r="AB222" s="3934" t="n"/>
      <c r="AC222" s="3934" t="n"/>
      <c r="AD222" s="3934" t="n"/>
      <c r="AE222" s="3934" t="n"/>
      <c r="AF222" s="3934" t="n"/>
      <c r="AG222" s="3934" t="n"/>
      <c r="AH222" s="3934" t="n"/>
      <c r="AI222" s="3934" t="n"/>
      <c r="AJ222" s="3934" t="n"/>
      <c r="AK222" s="3934" t="n"/>
      <c r="AL222" s="3934" t="n"/>
      <c r="AM222" s="3934" t="n"/>
      <c r="AN222" s="3934" t="n"/>
      <c r="AO222" s="3934" t="n"/>
      <c r="AP222" s="3934" t="n"/>
      <c r="AQ222" s="3934" t="n"/>
      <c r="AR222" s="3934" t="n"/>
    </row>
    <row r="223">
      <c r="A223" s="3941" t="n"/>
      <c r="B223" s="3944" t="n"/>
      <c r="C223" s="3944" t="n"/>
      <c r="D223" s="3944" t="n"/>
      <c r="E223" s="3944" t="n"/>
      <c r="F223" s="3944" t="n"/>
      <c r="G223" s="3944" t="n"/>
      <c r="H223" s="3944" t="n"/>
      <c r="I223" s="3944" t="n"/>
      <c r="J223" s="3944" t="n"/>
      <c r="K223" s="3942">
        <f>IF(A223="","",SUM(E223:J223))</f>
        <v/>
      </c>
      <c r="L223" s="3934" t="n"/>
      <c r="M223" s="3934" t="n"/>
      <c r="N223" s="3934" t="n"/>
      <c r="O223" s="3934" t="n"/>
      <c r="P223" s="3934" t="n"/>
      <c r="Q223" s="3934" t="n"/>
      <c r="R223" s="3934" t="n"/>
      <c r="S223" s="3934" t="n"/>
      <c r="T223" s="3934" t="n"/>
      <c r="U223" s="3934" t="n"/>
      <c r="V223" s="3934" t="n"/>
      <c r="W223" s="3934" t="n"/>
      <c r="X223" s="3934" t="n"/>
      <c r="Y223" s="3934" t="n"/>
      <c r="Z223" s="3934" t="n"/>
      <c r="AA223" s="3934" t="n"/>
      <c r="AB223" s="3934" t="n"/>
      <c r="AC223" s="3934" t="n"/>
      <c r="AD223" s="3934" t="n"/>
      <c r="AE223" s="3934" t="n"/>
      <c r="AF223" s="3934" t="n"/>
      <c r="AG223" s="3934" t="n"/>
      <c r="AH223" s="3934" t="n"/>
      <c r="AI223" s="3934" t="n"/>
      <c r="AJ223" s="3934" t="n"/>
      <c r="AK223" s="3934" t="n"/>
      <c r="AL223" s="3934" t="n"/>
      <c r="AM223" s="3934" t="n"/>
      <c r="AN223" s="3934" t="n"/>
      <c r="AO223" s="3934" t="n"/>
      <c r="AP223" s="3934" t="n"/>
      <c r="AQ223" s="3934" t="n"/>
      <c r="AR223" s="3934" t="n"/>
    </row>
    <row r="224">
      <c r="A224" s="3941" t="n"/>
      <c r="B224" s="3944" t="n"/>
      <c r="C224" s="3944" t="n"/>
      <c r="D224" s="3944" t="n"/>
      <c r="E224" s="3944" t="n"/>
      <c r="F224" s="3944" t="n"/>
      <c r="G224" s="3944" t="n"/>
      <c r="H224" s="3944" t="n"/>
      <c r="I224" s="3944" t="n"/>
      <c r="J224" s="3944" t="n"/>
      <c r="K224" s="3942">
        <f>IF(A224="","",SUM(E224:J224))</f>
        <v/>
      </c>
      <c r="L224" s="3934" t="n"/>
      <c r="M224" s="3934" t="n"/>
      <c r="N224" s="3934" t="n"/>
      <c r="O224" s="3934" t="n"/>
      <c r="P224" s="3934" t="n"/>
      <c r="Q224" s="3934" t="n"/>
      <c r="R224" s="3934" t="n"/>
      <c r="S224" s="3934" t="n"/>
      <c r="T224" s="3934" t="n"/>
      <c r="U224" s="3934" t="n"/>
      <c r="V224" s="3934" t="n"/>
      <c r="W224" s="3934" t="n"/>
      <c r="X224" s="3934" t="n"/>
      <c r="Y224" s="3934" t="n"/>
      <c r="Z224" s="3934" t="n"/>
      <c r="AA224" s="3934" t="n"/>
      <c r="AB224" s="3934" t="n"/>
      <c r="AC224" s="3934" t="n"/>
      <c r="AD224" s="3934" t="n"/>
      <c r="AE224" s="3934" t="n"/>
      <c r="AF224" s="3934" t="n"/>
      <c r="AG224" s="3934" t="n"/>
      <c r="AH224" s="3934" t="n"/>
      <c r="AI224" s="3934" t="n"/>
      <c r="AJ224" s="3934" t="n"/>
      <c r="AK224" s="3934" t="n"/>
      <c r="AL224" s="3934" t="n"/>
      <c r="AM224" s="3934" t="n"/>
      <c r="AN224" s="3934" t="n"/>
      <c r="AO224" s="3934" t="n"/>
      <c r="AP224" s="3934" t="n"/>
      <c r="AQ224" s="3934" t="n"/>
      <c r="AR224" s="3934" t="n"/>
    </row>
    <row r="225">
      <c r="A225" s="3941" t="n"/>
      <c r="B225" s="3944" t="n"/>
      <c r="C225" s="3944" t="n"/>
      <c r="D225" s="3944" t="n"/>
      <c r="E225" s="3944" t="n"/>
      <c r="F225" s="3944" t="n"/>
      <c r="G225" s="3944" t="n"/>
      <c r="H225" s="3944" t="n"/>
      <c r="I225" s="3944" t="n"/>
      <c r="J225" s="3944" t="n"/>
      <c r="K225" s="3942">
        <f>IF(A225="","",SUM(E225:J225))</f>
        <v/>
      </c>
      <c r="L225" s="3934" t="n"/>
      <c r="M225" s="3934" t="n"/>
      <c r="N225" s="3934" t="n"/>
      <c r="O225" s="3934" t="n"/>
      <c r="P225" s="3934" t="n"/>
      <c r="Q225" s="3934" t="n"/>
      <c r="R225" s="3934" t="n"/>
      <c r="S225" s="3934" t="n"/>
      <c r="T225" s="3934" t="n"/>
      <c r="U225" s="3934" t="n"/>
      <c r="V225" s="3934" t="n"/>
      <c r="W225" s="3934" t="n"/>
      <c r="X225" s="3934" t="n"/>
      <c r="Y225" s="3934" t="n"/>
      <c r="Z225" s="3934" t="n"/>
      <c r="AA225" s="3934" t="n"/>
      <c r="AB225" s="3934" t="n"/>
      <c r="AC225" s="3934" t="n"/>
      <c r="AD225" s="3934" t="n"/>
      <c r="AE225" s="3934" t="n"/>
      <c r="AF225" s="3934" t="n"/>
      <c r="AG225" s="3934" t="n"/>
      <c r="AH225" s="3934" t="n"/>
      <c r="AI225" s="3934" t="n"/>
      <c r="AJ225" s="3934" t="n"/>
      <c r="AK225" s="3934" t="n"/>
      <c r="AL225" s="3934" t="n"/>
      <c r="AM225" s="3934" t="n"/>
      <c r="AN225" s="3934" t="n"/>
      <c r="AO225" s="3934" t="n"/>
      <c r="AP225" s="3934" t="n"/>
      <c r="AQ225" s="3934" t="n"/>
      <c r="AR225" s="3934" t="n"/>
    </row>
    <row r="226">
      <c r="A226" s="3941" t="n"/>
      <c r="B226" s="3944" t="n"/>
      <c r="C226" s="3944" t="n"/>
      <c r="D226" s="3944" t="n"/>
      <c r="E226" s="3944" t="n"/>
      <c r="F226" s="3944" t="n"/>
      <c r="G226" s="3944" t="n"/>
      <c r="H226" s="3944" t="n"/>
      <c r="I226" s="3944" t="n"/>
      <c r="J226" s="3944" t="n"/>
      <c r="K226" s="3942">
        <f>IF(A226="","",SUM(E226:J226))</f>
        <v/>
      </c>
      <c r="L226" s="3934" t="n"/>
      <c r="M226" s="3934" t="n"/>
      <c r="N226" s="3934" t="n"/>
      <c r="O226" s="3934" t="n"/>
      <c r="P226" s="3934" t="n"/>
      <c r="Q226" s="3934" t="n"/>
      <c r="R226" s="3934" t="n"/>
      <c r="S226" s="3934" t="n"/>
      <c r="T226" s="3934" t="n"/>
      <c r="U226" s="3934" t="n"/>
      <c r="V226" s="3934" t="n"/>
      <c r="W226" s="3934" t="n"/>
      <c r="X226" s="3934" t="n"/>
      <c r="Y226" s="3934" t="n"/>
      <c r="Z226" s="3934" t="n"/>
      <c r="AA226" s="3934" t="n"/>
      <c r="AB226" s="3934" t="n"/>
      <c r="AC226" s="3934" t="n"/>
      <c r="AD226" s="3934" t="n"/>
      <c r="AE226" s="3934" t="n"/>
      <c r="AF226" s="3934" t="n"/>
      <c r="AG226" s="3934" t="n"/>
      <c r="AH226" s="3934" t="n"/>
      <c r="AI226" s="3934" t="n"/>
      <c r="AJ226" s="3934" t="n"/>
      <c r="AK226" s="3934" t="n"/>
      <c r="AL226" s="3934" t="n"/>
      <c r="AM226" s="3934" t="n"/>
      <c r="AN226" s="3934" t="n"/>
      <c r="AO226" s="3934" t="n"/>
      <c r="AP226" s="3934" t="n"/>
      <c r="AQ226" s="3934" t="n"/>
      <c r="AR226" s="3934" t="n"/>
    </row>
    <row r="227">
      <c r="A227" s="3941" t="n"/>
      <c r="B227" s="3944" t="n"/>
      <c r="C227" s="3944" t="n"/>
      <c r="D227" s="3944" t="n"/>
      <c r="E227" s="3944" t="n"/>
      <c r="F227" s="3944" t="n"/>
      <c r="G227" s="3944" t="n"/>
      <c r="H227" s="3944" t="n"/>
      <c r="I227" s="3944" t="n"/>
      <c r="J227" s="3944" t="n"/>
      <c r="K227" s="3942">
        <f>IF(A227="","",SUM(E227:J227))</f>
        <v/>
      </c>
      <c r="L227" s="3934" t="n"/>
      <c r="M227" s="3934" t="n"/>
      <c r="N227" s="3934" t="n"/>
      <c r="O227" s="3934" t="n"/>
      <c r="P227" s="3934" t="n"/>
      <c r="Q227" s="3934" t="n"/>
      <c r="R227" s="3934" t="n"/>
      <c r="S227" s="3934" t="n"/>
      <c r="T227" s="3934" t="n"/>
      <c r="U227" s="3934" t="n"/>
      <c r="V227" s="3934" t="n"/>
      <c r="W227" s="3934" t="n"/>
      <c r="X227" s="3934" t="n"/>
      <c r="Y227" s="3934" t="n"/>
      <c r="Z227" s="3934" t="n"/>
      <c r="AA227" s="3934" t="n"/>
      <c r="AB227" s="3934" t="n"/>
      <c r="AC227" s="3934" t="n"/>
      <c r="AD227" s="3934" t="n"/>
      <c r="AE227" s="3934" t="n"/>
      <c r="AF227" s="3934" t="n"/>
      <c r="AG227" s="3934" t="n"/>
      <c r="AH227" s="3934" t="n"/>
      <c r="AI227" s="3934" t="n"/>
      <c r="AJ227" s="3934" t="n"/>
      <c r="AK227" s="3934" t="n"/>
      <c r="AL227" s="3934" t="n"/>
      <c r="AM227" s="3934" t="n"/>
      <c r="AN227" s="3934" t="n"/>
      <c r="AO227" s="3934" t="n"/>
      <c r="AP227" s="3934" t="n"/>
      <c r="AQ227" s="3934" t="n"/>
      <c r="AR227" s="3934" t="n"/>
    </row>
    <row r="228">
      <c r="A228" s="3941" t="n"/>
      <c r="B228" s="3944" t="n"/>
      <c r="C228" s="3944" t="n"/>
      <c r="D228" s="3944" t="n"/>
      <c r="E228" s="3944" t="n"/>
      <c r="F228" s="3944" t="n"/>
      <c r="G228" s="3944" t="n"/>
      <c r="H228" s="3944" t="n"/>
      <c r="I228" s="3944" t="n"/>
      <c r="J228" s="3944" t="n"/>
      <c r="K228" s="3942">
        <f>IF(A228="","",SUM(E228:J228))</f>
        <v/>
      </c>
      <c r="L228" s="3934" t="n"/>
      <c r="M228" s="3934" t="n"/>
      <c r="N228" s="3934" t="n"/>
      <c r="O228" s="3934" t="n"/>
      <c r="P228" s="3934" t="n"/>
      <c r="Q228" s="3934" t="n"/>
      <c r="R228" s="3934" t="n"/>
      <c r="S228" s="3934" t="n"/>
      <c r="T228" s="3934" t="n"/>
      <c r="U228" s="3934" t="n"/>
      <c r="V228" s="3934" t="n"/>
      <c r="W228" s="3934" t="n"/>
      <c r="X228" s="3934" t="n"/>
      <c r="Y228" s="3934" t="n"/>
      <c r="Z228" s="3934" t="n"/>
      <c r="AA228" s="3934" t="n"/>
      <c r="AB228" s="3934" t="n"/>
      <c r="AC228" s="3934" t="n"/>
      <c r="AD228" s="3934" t="n"/>
      <c r="AE228" s="3934" t="n"/>
      <c r="AF228" s="3934" t="n"/>
      <c r="AG228" s="3934" t="n"/>
      <c r="AH228" s="3934" t="n"/>
      <c r="AI228" s="3934" t="n"/>
      <c r="AJ228" s="3934" t="n"/>
      <c r="AK228" s="3934" t="n"/>
      <c r="AL228" s="3934" t="n"/>
      <c r="AM228" s="3934" t="n"/>
      <c r="AN228" s="3934" t="n"/>
      <c r="AO228" s="3934" t="n"/>
      <c r="AP228" s="3934" t="n"/>
      <c r="AQ228" s="3934" t="n"/>
      <c r="AR228" s="3934" t="n"/>
    </row>
    <row r="229">
      <c r="A229" s="3941" t="n"/>
      <c r="B229" s="3944" t="n"/>
      <c r="C229" s="3944" t="n"/>
      <c r="D229" s="3944" t="n"/>
      <c r="E229" s="3944" t="n"/>
      <c r="F229" s="3944" t="n"/>
      <c r="G229" s="3944" t="n"/>
      <c r="H229" s="3944" t="n"/>
      <c r="I229" s="3944" t="n"/>
      <c r="J229" s="3944" t="n"/>
      <c r="K229" s="3942">
        <f>IF(A229="","",SUM(E229:J229))</f>
        <v/>
      </c>
      <c r="L229" s="3934" t="n"/>
      <c r="M229" s="3934" t="n"/>
      <c r="N229" s="3934" t="n"/>
      <c r="O229" s="3934" t="n"/>
      <c r="P229" s="3934" t="n"/>
      <c r="Q229" s="3934" t="n"/>
      <c r="R229" s="3934" t="n"/>
      <c r="S229" s="3934" t="n"/>
      <c r="T229" s="3934" t="n"/>
      <c r="U229" s="3934" t="n"/>
      <c r="V229" s="3934" t="n"/>
      <c r="W229" s="3934" t="n"/>
      <c r="X229" s="3934" t="n"/>
      <c r="Y229" s="3934" t="n"/>
      <c r="Z229" s="3934" t="n"/>
      <c r="AA229" s="3934" t="n"/>
      <c r="AB229" s="3934" t="n"/>
      <c r="AC229" s="3934" t="n"/>
      <c r="AD229" s="3934" t="n"/>
      <c r="AE229" s="3934" t="n"/>
      <c r="AF229" s="3934" t="n"/>
      <c r="AG229" s="3934" t="n"/>
      <c r="AH229" s="3934" t="n"/>
      <c r="AI229" s="3934" t="n"/>
      <c r="AJ229" s="3934" t="n"/>
      <c r="AK229" s="3934" t="n"/>
      <c r="AL229" s="3934" t="n"/>
      <c r="AM229" s="3934" t="n"/>
      <c r="AN229" s="3934" t="n"/>
      <c r="AO229" s="3934" t="n"/>
      <c r="AP229" s="3934" t="n"/>
      <c r="AQ229" s="3934" t="n"/>
      <c r="AR229" s="3934" t="n"/>
    </row>
    <row r="230">
      <c r="A230" s="3941" t="n"/>
      <c r="B230" s="3944" t="n"/>
      <c r="C230" s="3944" t="n"/>
      <c r="D230" s="3944" t="n"/>
      <c r="E230" s="3944" t="n"/>
      <c r="F230" s="3944" t="n"/>
      <c r="G230" s="3944" t="n"/>
      <c r="H230" s="3944" t="n"/>
      <c r="I230" s="3944" t="n"/>
      <c r="J230" s="3944" t="n"/>
      <c r="K230" s="3942">
        <f>IF(A230="","",SUM(E230:J230))</f>
        <v/>
      </c>
      <c r="L230" s="3934" t="n"/>
      <c r="M230" s="3934" t="n"/>
      <c r="N230" s="3934" t="n"/>
      <c r="O230" s="3934" t="n"/>
      <c r="P230" s="3934" t="n"/>
      <c r="Q230" s="3934" t="n"/>
      <c r="R230" s="3934" t="n"/>
      <c r="S230" s="3934" t="n"/>
      <c r="T230" s="3934" t="n"/>
      <c r="U230" s="3934" t="n"/>
      <c r="V230" s="3934" t="n"/>
      <c r="W230" s="3934" t="n"/>
      <c r="X230" s="3934" t="n"/>
      <c r="Y230" s="3934" t="n"/>
      <c r="Z230" s="3934" t="n"/>
      <c r="AA230" s="3934" t="n"/>
      <c r="AB230" s="3934" t="n"/>
      <c r="AC230" s="3934" t="n"/>
      <c r="AD230" s="3934" t="n"/>
      <c r="AE230" s="3934" t="n"/>
      <c r="AF230" s="3934" t="n"/>
      <c r="AG230" s="3934" t="n"/>
      <c r="AH230" s="3934" t="n"/>
      <c r="AI230" s="3934" t="n"/>
      <c r="AJ230" s="3934" t="n"/>
      <c r="AK230" s="3934" t="n"/>
      <c r="AL230" s="3934" t="n"/>
      <c r="AM230" s="3934" t="n"/>
      <c r="AN230" s="3934" t="n"/>
      <c r="AO230" s="3934" t="n"/>
      <c r="AP230" s="3934" t="n"/>
      <c r="AQ230" s="3934" t="n"/>
      <c r="AR230" s="3934" t="n"/>
    </row>
    <row r="231">
      <c r="A231" s="3941" t="n"/>
      <c r="B231" s="3944" t="n"/>
      <c r="C231" s="3944" t="n"/>
      <c r="D231" s="3944" t="n"/>
      <c r="E231" s="3944" t="n"/>
      <c r="F231" s="3944" t="n"/>
      <c r="G231" s="3944" t="n"/>
      <c r="H231" s="3944" t="n"/>
      <c r="I231" s="3944" t="n"/>
      <c r="J231" s="3944" t="n"/>
      <c r="K231" s="3942">
        <f>IF(A231="","",SUM(E231:J231))</f>
        <v/>
      </c>
      <c r="L231" s="3934" t="n"/>
      <c r="M231" s="3934" t="n"/>
      <c r="N231" s="3934" t="n"/>
      <c r="O231" s="3934" t="n"/>
      <c r="P231" s="3934" t="n"/>
      <c r="Q231" s="3934" t="n"/>
      <c r="R231" s="3934" t="n"/>
      <c r="S231" s="3934" t="n"/>
      <c r="T231" s="3934" t="n"/>
      <c r="U231" s="3934" t="n"/>
      <c r="V231" s="3934" t="n"/>
      <c r="W231" s="3934" t="n"/>
      <c r="X231" s="3934" t="n"/>
      <c r="Y231" s="3934" t="n"/>
      <c r="Z231" s="3934" t="n"/>
      <c r="AA231" s="3934" t="n"/>
      <c r="AB231" s="3934" t="n"/>
      <c r="AC231" s="3934" t="n"/>
      <c r="AD231" s="3934" t="n"/>
      <c r="AE231" s="3934" t="n"/>
      <c r="AF231" s="3934" t="n"/>
      <c r="AG231" s="3934" t="n"/>
      <c r="AH231" s="3934" t="n"/>
      <c r="AI231" s="3934" t="n"/>
      <c r="AJ231" s="3934" t="n"/>
      <c r="AK231" s="3934" t="n"/>
      <c r="AL231" s="3934" t="n"/>
      <c r="AM231" s="3934" t="n"/>
      <c r="AN231" s="3934" t="n"/>
      <c r="AO231" s="3934" t="n"/>
      <c r="AP231" s="3934" t="n"/>
      <c r="AQ231" s="3934" t="n"/>
      <c r="AR231" s="3934" t="n"/>
    </row>
    <row r="232">
      <c r="A232" s="3941" t="n"/>
      <c r="B232" s="3944" t="n"/>
      <c r="C232" s="3944" t="n"/>
      <c r="D232" s="3944" t="n"/>
      <c r="E232" s="3944" t="n"/>
      <c r="F232" s="3944" t="n"/>
      <c r="G232" s="3944" t="n"/>
      <c r="H232" s="3944" t="n"/>
      <c r="I232" s="3944" t="n"/>
      <c r="J232" s="3944" t="n"/>
      <c r="K232" s="3942">
        <f>IF(A232="","",SUM(E232:J232))</f>
        <v/>
      </c>
      <c r="L232" s="3934" t="n"/>
      <c r="M232" s="3934" t="n"/>
      <c r="N232" s="3934" t="n"/>
      <c r="O232" s="3934" t="n"/>
      <c r="P232" s="3934" t="n"/>
      <c r="Q232" s="3934" t="n"/>
      <c r="R232" s="3934" t="n"/>
      <c r="S232" s="3934" t="n"/>
      <c r="T232" s="3934" t="n"/>
      <c r="U232" s="3934" t="n"/>
      <c r="V232" s="3934" t="n"/>
      <c r="W232" s="3934" t="n"/>
      <c r="X232" s="3934" t="n"/>
      <c r="Y232" s="3934" t="n"/>
      <c r="Z232" s="3934" t="n"/>
      <c r="AA232" s="3934" t="n"/>
      <c r="AB232" s="3934" t="n"/>
      <c r="AC232" s="3934" t="n"/>
      <c r="AD232" s="3934" t="n"/>
      <c r="AE232" s="3934" t="n"/>
      <c r="AF232" s="3934" t="n"/>
      <c r="AG232" s="3934" t="n"/>
      <c r="AH232" s="3934" t="n"/>
      <c r="AI232" s="3934" t="n"/>
      <c r="AJ232" s="3934" t="n"/>
      <c r="AK232" s="3934" t="n"/>
      <c r="AL232" s="3934" t="n"/>
      <c r="AM232" s="3934" t="n"/>
      <c r="AN232" s="3934" t="n"/>
      <c r="AO232" s="3934" t="n"/>
      <c r="AP232" s="3934" t="n"/>
      <c r="AQ232" s="3934" t="n"/>
      <c r="AR232" s="3934" t="n"/>
    </row>
    <row r="233">
      <c r="A233" s="3941" t="n"/>
      <c r="B233" s="3944" t="n"/>
      <c r="C233" s="3944" t="n"/>
      <c r="D233" s="3944" t="n"/>
      <c r="E233" s="3944" t="n"/>
      <c r="F233" s="3944" t="n"/>
      <c r="G233" s="3944" t="n"/>
      <c r="H233" s="3944" t="n"/>
      <c r="I233" s="3944" t="n"/>
      <c r="J233" s="3944" t="n"/>
      <c r="K233" s="3942">
        <f>IF(A233="","",SUM(E233:J233))</f>
        <v/>
      </c>
      <c r="L233" s="3934" t="n"/>
      <c r="M233" s="3934" t="n"/>
      <c r="N233" s="3934" t="n"/>
      <c r="O233" s="3934" t="n"/>
      <c r="P233" s="3934" t="n"/>
      <c r="Q233" s="3934" t="n"/>
      <c r="R233" s="3934" t="n"/>
      <c r="S233" s="3934" t="n"/>
      <c r="T233" s="3934" t="n"/>
      <c r="U233" s="3934" t="n"/>
      <c r="V233" s="3934" t="n"/>
      <c r="W233" s="3934" t="n"/>
      <c r="X233" s="3934" t="n"/>
      <c r="Y233" s="3934" t="n"/>
      <c r="Z233" s="3934" t="n"/>
      <c r="AA233" s="3934" t="n"/>
      <c r="AB233" s="3934" t="n"/>
      <c r="AC233" s="3934" t="n"/>
      <c r="AD233" s="3934" t="n"/>
      <c r="AE233" s="3934" t="n"/>
      <c r="AF233" s="3934" t="n"/>
      <c r="AG233" s="3934" t="n"/>
      <c r="AH233" s="3934" t="n"/>
      <c r="AI233" s="3934" t="n"/>
      <c r="AJ233" s="3934" t="n"/>
      <c r="AK233" s="3934" t="n"/>
      <c r="AL233" s="3934" t="n"/>
      <c r="AM233" s="3934" t="n"/>
      <c r="AN233" s="3934" t="n"/>
      <c r="AO233" s="3934" t="n"/>
      <c r="AP233" s="3934" t="n"/>
      <c r="AQ233" s="3934" t="n"/>
      <c r="AR233" s="3934" t="n"/>
    </row>
    <row r="234">
      <c r="A234" s="3941" t="n"/>
      <c r="B234" s="3944" t="n"/>
      <c r="C234" s="3944" t="n"/>
      <c r="D234" s="3944" t="n"/>
      <c r="E234" s="3944" t="n"/>
      <c r="F234" s="3944" t="n"/>
      <c r="G234" s="3944" t="n"/>
      <c r="H234" s="3944" t="n"/>
      <c r="I234" s="3944" t="n"/>
      <c r="J234" s="3944" t="n"/>
      <c r="K234" s="3942">
        <f>IF(A234="","",SUM(E234:J234))</f>
        <v/>
      </c>
      <c r="L234" s="3934" t="n"/>
      <c r="M234" s="3934" t="n"/>
      <c r="N234" s="3934" t="n"/>
      <c r="O234" s="3934" t="n"/>
      <c r="P234" s="3934" t="n"/>
      <c r="Q234" s="3934" t="n"/>
      <c r="R234" s="3934" t="n"/>
      <c r="S234" s="3934" t="n"/>
      <c r="T234" s="3934" t="n"/>
      <c r="U234" s="3934" t="n"/>
      <c r="V234" s="3934" t="n"/>
      <c r="W234" s="3934" t="n"/>
      <c r="X234" s="3934" t="n"/>
      <c r="Y234" s="3934" t="n"/>
      <c r="Z234" s="3934" t="n"/>
      <c r="AA234" s="3934" t="n"/>
      <c r="AB234" s="3934" t="n"/>
      <c r="AC234" s="3934" t="n"/>
      <c r="AD234" s="3934" t="n"/>
      <c r="AE234" s="3934" t="n"/>
      <c r="AF234" s="3934" t="n"/>
      <c r="AG234" s="3934" t="n"/>
      <c r="AH234" s="3934" t="n"/>
      <c r="AI234" s="3934" t="n"/>
      <c r="AJ234" s="3934" t="n"/>
      <c r="AK234" s="3934" t="n"/>
      <c r="AL234" s="3934" t="n"/>
      <c r="AM234" s="3934" t="n"/>
      <c r="AN234" s="3934" t="n"/>
      <c r="AO234" s="3934" t="n"/>
      <c r="AP234" s="3934" t="n"/>
      <c r="AQ234" s="3934" t="n"/>
      <c r="AR234" s="3934" t="n"/>
    </row>
    <row r="235">
      <c r="A235" s="3941" t="n"/>
      <c r="B235" s="3944" t="n"/>
      <c r="C235" s="3944" t="n"/>
      <c r="D235" s="3944" t="n"/>
      <c r="E235" s="3944" t="n"/>
      <c r="F235" s="3944" t="n"/>
      <c r="G235" s="3944" t="n"/>
      <c r="H235" s="3944" t="n"/>
      <c r="I235" s="3944" t="n"/>
      <c r="J235" s="3944" t="n"/>
      <c r="K235" s="3942">
        <f>IF(A235="","",SUM(E235:J235))</f>
        <v/>
      </c>
      <c r="L235" s="3934" t="n"/>
      <c r="M235" s="3934" t="n"/>
      <c r="N235" s="3934" t="n"/>
      <c r="O235" s="3934" t="n"/>
      <c r="P235" s="3934" t="n"/>
      <c r="Q235" s="3934" t="n"/>
      <c r="R235" s="3934" t="n"/>
      <c r="S235" s="3934" t="n"/>
      <c r="T235" s="3934" t="n"/>
      <c r="U235" s="3934" t="n"/>
      <c r="V235" s="3934" t="n"/>
      <c r="W235" s="3934" t="n"/>
      <c r="X235" s="3934" t="n"/>
      <c r="Y235" s="3934" t="n"/>
      <c r="Z235" s="3934" t="n"/>
      <c r="AA235" s="3934" t="n"/>
      <c r="AB235" s="3934" t="n"/>
      <c r="AC235" s="3934" t="n"/>
      <c r="AD235" s="3934" t="n"/>
      <c r="AE235" s="3934" t="n"/>
      <c r="AF235" s="3934" t="n"/>
      <c r="AG235" s="3934" t="n"/>
      <c r="AH235" s="3934" t="n"/>
      <c r="AI235" s="3934" t="n"/>
      <c r="AJ235" s="3934" t="n"/>
      <c r="AK235" s="3934" t="n"/>
      <c r="AL235" s="3934" t="n"/>
      <c r="AM235" s="3934" t="n"/>
      <c r="AN235" s="3934" t="n"/>
      <c r="AO235" s="3934" t="n"/>
      <c r="AP235" s="3934" t="n"/>
      <c r="AQ235" s="3934" t="n"/>
      <c r="AR235" s="3934" t="n"/>
    </row>
    <row r="236">
      <c r="A236" s="3941" t="n"/>
      <c r="B236" s="3944" t="n"/>
      <c r="C236" s="3944" t="n"/>
      <c r="D236" s="3944" t="n"/>
      <c r="E236" s="3944" t="n"/>
      <c r="F236" s="3944" t="n"/>
      <c r="G236" s="3944" t="n"/>
      <c r="H236" s="3944" t="n"/>
      <c r="I236" s="3944" t="n"/>
      <c r="J236" s="3944" t="n"/>
      <c r="K236" s="3942">
        <f>IF(A236="","",SUM(E236:J236))</f>
        <v/>
      </c>
      <c r="L236" s="3934" t="n"/>
      <c r="M236" s="3934" t="n"/>
      <c r="N236" s="3934" t="n"/>
      <c r="O236" s="3934" t="n"/>
      <c r="P236" s="3934" t="n"/>
      <c r="Q236" s="3934" t="n"/>
      <c r="R236" s="3934" t="n"/>
      <c r="S236" s="3934" t="n"/>
      <c r="T236" s="3934" t="n"/>
      <c r="U236" s="3934" t="n"/>
      <c r="V236" s="3934" t="n"/>
      <c r="W236" s="3934" t="n"/>
      <c r="X236" s="3934" t="n"/>
      <c r="Y236" s="3934" t="n"/>
      <c r="Z236" s="3934" t="n"/>
      <c r="AA236" s="3934" t="n"/>
      <c r="AB236" s="3934" t="n"/>
      <c r="AC236" s="3934" t="n"/>
      <c r="AD236" s="3934" t="n"/>
      <c r="AE236" s="3934" t="n"/>
      <c r="AF236" s="3934" t="n"/>
      <c r="AG236" s="3934" t="n"/>
      <c r="AH236" s="3934" t="n"/>
      <c r="AI236" s="3934" t="n"/>
      <c r="AJ236" s="3934" t="n"/>
      <c r="AK236" s="3934" t="n"/>
      <c r="AL236" s="3934" t="n"/>
      <c r="AM236" s="3934" t="n"/>
      <c r="AN236" s="3934" t="n"/>
      <c r="AO236" s="3934" t="n"/>
      <c r="AP236" s="3934" t="n"/>
      <c r="AQ236" s="3934" t="n"/>
      <c r="AR236" s="3934" t="n"/>
    </row>
    <row r="237">
      <c r="A237" s="3941" t="n"/>
      <c r="B237" s="3944" t="n"/>
      <c r="C237" s="3944" t="n"/>
      <c r="D237" s="3944" t="n"/>
      <c r="E237" s="3944" t="n"/>
      <c r="F237" s="3944" t="n"/>
      <c r="G237" s="3944" t="n"/>
      <c r="H237" s="3944" t="n"/>
      <c r="I237" s="3944" t="n"/>
      <c r="J237" s="3944" t="n"/>
      <c r="K237" s="3942">
        <f>IF(A237="","",SUM(E237:J237))</f>
        <v/>
      </c>
      <c r="L237" s="3934" t="n"/>
      <c r="M237" s="3934" t="n"/>
      <c r="N237" s="3934" t="n"/>
      <c r="O237" s="3934" t="n"/>
      <c r="P237" s="3934" t="n"/>
      <c r="Q237" s="3934" t="n"/>
      <c r="R237" s="3934" t="n"/>
      <c r="S237" s="3934" t="n"/>
      <c r="T237" s="3934" t="n"/>
      <c r="U237" s="3934" t="n"/>
      <c r="V237" s="3934" t="n"/>
      <c r="W237" s="3934" t="n"/>
      <c r="X237" s="3934" t="n"/>
      <c r="Y237" s="3934" t="n"/>
      <c r="Z237" s="3934" t="n"/>
      <c r="AA237" s="3934" t="n"/>
      <c r="AB237" s="3934" t="n"/>
      <c r="AC237" s="3934" t="n"/>
      <c r="AD237" s="3934" t="n"/>
      <c r="AE237" s="3934" t="n"/>
      <c r="AF237" s="3934" t="n"/>
      <c r="AG237" s="3934" t="n"/>
      <c r="AH237" s="3934" t="n"/>
      <c r="AI237" s="3934" t="n"/>
      <c r="AJ237" s="3934" t="n"/>
      <c r="AK237" s="3934" t="n"/>
      <c r="AL237" s="3934" t="n"/>
      <c r="AM237" s="3934" t="n"/>
      <c r="AN237" s="3934" t="n"/>
      <c r="AO237" s="3934" t="n"/>
      <c r="AP237" s="3934" t="n"/>
      <c r="AQ237" s="3934" t="n"/>
      <c r="AR237" s="3934" t="n"/>
    </row>
    <row r="238">
      <c r="A238" s="3941" t="n"/>
      <c r="B238" s="3944" t="n"/>
      <c r="C238" s="3944" t="n"/>
      <c r="D238" s="3944" t="n"/>
      <c r="E238" s="3944" t="n"/>
      <c r="F238" s="3944" t="n"/>
      <c r="G238" s="3944" t="n"/>
      <c r="H238" s="3944" t="n"/>
      <c r="I238" s="3944" t="n"/>
      <c r="J238" s="3944" t="n"/>
      <c r="K238" s="3942">
        <f>IF(A238="","",SUM(E238:J238))</f>
        <v/>
      </c>
      <c r="L238" s="3934" t="n"/>
      <c r="M238" s="3934" t="n"/>
      <c r="N238" s="3934" t="n"/>
      <c r="O238" s="3934" t="n"/>
      <c r="P238" s="3934" t="n"/>
      <c r="Q238" s="3934" t="n"/>
      <c r="R238" s="3934" t="n"/>
      <c r="S238" s="3934" t="n"/>
      <c r="T238" s="3934" t="n"/>
      <c r="U238" s="3934" t="n"/>
      <c r="V238" s="3934" t="n"/>
      <c r="W238" s="3934" t="n"/>
      <c r="X238" s="3934" t="n"/>
      <c r="Y238" s="3934" t="n"/>
      <c r="Z238" s="3934" t="n"/>
      <c r="AA238" s="3934" t="n"/>
      <c r="AB238" s="3934" t="n"/>
      <c r="AC238" s="3934" t="n"/>
      <c r="AD238" s="3934" t="n"/>
      <c r="AE238" s="3934" t="n"/>
      <c r="AF238" s="3934" t="n"/>
      <c r="AG238" s="3934" t="n"/>
      <c r="AH238" s="3934" t="n"/>
      <c r="AI238" s="3934" t="n"/>
      <c r="AJ238" s="3934" t="n"/>
      <c r="AK238" s="3934" t="n"/>
      <c r="AL238" s="3934" t="n"/>
      <c r="AM238" s="3934" t="n"/>
      <c r="AN238" s="3934" t="n"/>
      <c r="AO238" s="3934" t="n"/>
      <c r="AP238" s="3934" t="n"/>
      <c r="AQ238" s="3934" t="n"/>
      <c r="AR238" s="3934" t="n"/>
    </row>
    <row r="239">
      <c r="A239" s="3941" t="n"/>
      <c r="B239" s="3944" t="n"/>
      <c r="C239" s="3944" t="n"/>
      <c r="D239" s="3944" t="n"/>
      <c r="E239" s="3944" t="n"/>
      <c r="F239" s="3944" t="n"/>
      <c r="G239" s="3944" t="n"/>
      <c r="H239" s="3944" t="n"/>
      <c r="I239" s="3944" t="n"/>
      <c r="J239" s="3944" t="n"/>
      <c r="K239" s="3942">
        <f>IF(A239="","",SUM(E239:J239))</f>
        <v/>
      </c>
      <c r="L239" s="3934" t="n"/>
      <c r="M239" s="3934" t="n"/>
      <c r="N239" s="3934" t="n"/>
      <c r="O239" s="3934" t="n"/>
      <c r="P239" s="3934" t="n"/>
      <c r="Q239" s="3934" t="n"/>
      <c r="R239" s="3934" t="n"/>
      <c r="S239" s="3934" t="n"/>
      <c r="T239" s="3934" t="n"/>
      <c r="U239" s="3934" t="n"/>
      <c r="V239" s="3934" t="n"/>
      <c r="W239" s="3934" t="n"/>
      <c r="X239" s="3934" t="n"/>
      <c r="Y239" s="3934" t="n"/>
      <c r="Z239" s="3934" t="n"/>
      <c r="AA239" s="3934" t="n"/>
      <c r="AB239" s="3934" t="n"/>
      <c r="AC239" s="3934" t="n"/>
      <c r="AD239" s="3934" t="n"/>
      <c r="AE239" s="3934" t="n"/>
      <c r="AF239" s="3934" t="n"/>
      <c r="AG239" s="3934" t="n"/>
      <c r="AH239" s="3934" t="n"/>
      <c r="AI239" s="3934" t="n"/>
      <c r="AJ239" s="3934" t="n"/>
      <c r="AK239" s="3934" t="n"/>
      <c r="AL239" s="3934" t="n"/>
      <c r="AM239" s="3934" t="n"/>
      <c r="AN239" s="3934" t="n"/>
      <c r="AO239" s="3934" t="n"/>
      <c r="AP239" s="3934" t="n"/>
      <c r="AQ239" s="3934" t="n"/>
      <c r="AR239" s="3934" t="n"/>
    </row>
    <row r="240">
      <c r="A240" s="3941" t="n"/>
      <c r="B240" s="3944" t="n"/>
      <c r="C240" s="3944" t="n"/>
      <c r="D240" s="3944" t="n"/>
      <c r="E240" s="3944" t="n"/>
      <c r="F240" s="3944" t="n"/>
      <c r="G240" s="3944" t="n"/>
      <c r="H240" s="3944" t="n"/>
      <c r="I240" s="3944" t="n"/>
      <c r="J240" s="3944" t="n"/>
      <c r="K240" s="3942">
        <f>IF(A240="","",SUM(E240:J240))</f>
        <v/>
      </c>
      <c r="L240" s="3934" t="n"/>
      <c r="M240" s="3934" t="n"/>
      <c r="N240" s="3934" t="n"/>
      <c r="O240" s="3934" t="n"/>
      <c r="P240" s="3934" t="n"/>
      <c r="Q240" s="3934" t="n"/>
      <c r="R240" s="3934" t="n"/>
      <c r="S240" s="3934" t="n"/>
      <c r="T240" s="3934" t="n"/>
      <c r="U240" s="3934" t="n"/>
      <c r="V240" s="3934" t="n"/>
      <c r="W240" s="3934" t="n"/>
      <c r="X240" s="3934" t="n"/>
      <c r="Y240" s="3934" t="n"/>
      <c r="Z240" s="3934" t="n"/>
      <c r="AA240" s="3934" t="n"/>
      <c r="AB240" s="3934" t="n"/>
      <c r="AC240" s="3934" t="n"/>
      <c r="AD240" s="3934" t="n"/>
      <c r="AE240" s="3934" t="n"/>
      <c r="AF240" s="3934" t="n"/>
      <c r="AG240" s="3934" t="n"/>
      <c r="AH240" s="3934" t="n"/>
      <c r="AI240" s="3934" t="n"/>
      <c r="AJ240" s="3934" t="n"/>
      <c r="AK240" s="3934" t="n"/>
      <c r="AL240" s="3934" t="n"/>
      <c r="AM240" s="3934" t="n"/>
      <c r="AN240" s="3934" t="n"/>
      <c r="AO240" s="3934" t="n"/>
      <c r="AP240" s="3934" t="n"/>
      <c r="AQ240" s="3934" t="n"/>
      <c r="AR240" s="3934" t="n"/>
    </row>
    <row r="241">
      <c r="A241" s="3941" t="n"/>
      <c r="B241" s="3944" t="n"/>
      <c r="C241" s="3944" t="n"/>
      <c r="D241" s="3944" t="n"/>
      <c r="E241" s="3944" t="n"/>
      <c r="F241" s="3944" t="n"/>
      <c r="G241" s="3944" t="n"/>
      <c r="H241" s="3944" t="n"/>
      <c r="I241" s="3944" t="n"/>
      <c r="J241" s="3944" t="n"/>
      <c r="K241" s="3942">
        <f>IF(A241="","",SUM(E241:J241))</f>
        <v/>
      </c>
      <c r="L241" s="3934" t="n"/>
      <c r="M241" s="3934" t="n"/>
      <c r="N241" s="3934" t="n"/>
      <c r="O241" s="3934" t="n"/>
      <c r="P241" s="3934" t="n"/>
      <c r="Q241" s="3934" t="n"/>
      <c r="R241" s="3934" t="n"/>
      <c r="S241" s="3934" t="n"/>
      <c r="T241" s="3934" t="n"/>
      <c r="U241" s="3934" t="n"/>
      <c r="V241" s="3934" t="n"/>
      <c r="W241" s="3934" t="n"/>
      <c r="X241" s="3934" t="n"/>
      <c r="Y241" s="3934" t="n"/>
      <c r="Z241" s="3934" t="n"/>
      <c r="AA241" s="3934" t="n"/>
      <c r="AB241" s="3934" t="n"/>
      <c r="AC241" s="3934" t="n"/>
      <c r="AD241" s="3934" t="n"/>
      <c r="AE241" s="3934" t="n"/>
      <c r="AF241" s="3934" t="n"/>
      <c r="AG241" s="3934" t="n"/>
      <c r="AH241" s="3934" t="n"/>
      <c r="AI241" s="3934" t="n"/>
      <c r="AJ241" s="3934" t="n"/>
      <c r="AK241" s="3934" t="n"/>
      <c r="AL241" s="3934" t="n"/>
      <c r="AM241" s="3934" t="n"/>
      <c r="AN241" s="3934" t="n"/>
      <c r="AO241" s="3934" t="n"/>
      <c r="AP241" s="3934" t="n"/>
      <c r="AQ241" s="3934" t="n"/>
      <c r="AR241" s="3934" t="n"/>
    </row>
    <row r="242">
      <c r="A242" s="3941" t="n"/>
      <c r="B242" s="3944" t="n"/>
      <c r="C242" s="3944" t="n"/>
      <c r="D242" s="3944" t="n"/>
      <c r="E242" s="3944" t="n"/>
      <c r="F242" s="3944" t="n"/>
      <c r="G242" s="3944" t="n"/>
      <c r="H242" s="3944" t="n"/>
      <c r="I242" s="3944" t="n"/>
      <c r="J242" s="3944" t="n"/>
      <c r="K242" s="3942">
        <f>IF(A242="","",SUM(E242:J242))</f>
        <v/>
      </c>
      <c r="L242" s="3934" t="n"/>
      <c r="M242" s="3934" t="n"/>
      <c r="N242" s="3934" t="n"/>
      <c r="O242" s="3934" t="n"/>
      <c r="P242" s="3934" t="n"/>
      <c r="Q242" s="3934" t="n"/>
      <c r="R242" s="3934" t="n"/>
      <c r="S242" s="3934" t="n"/>
      <c r="T242" s="3934" t="n"/>
      <c r="U242" s="3934" t="n"/>
      <c r="V242" s="3934" t="n"/>
      <c r="W242" s="3934" t="n"/>
      <c r="X242" s="3934" t="n"/>
      <c r="Y242" s="3934" t="n"/>
      <c r="Z242" s="3934" t="n"/>
      <c r="AA242" s="3934" t="n"/>
      <c r="AB242" s="3934" t="n"/>
      <c r="AC242" s="3934" t="n"/>
      <c r="AD242" s="3934" t="n"/>
      <c r="AE242" s="3934" t="n"/>
      <c r="AF242" s="3934" t="n"/>
      <c r="AG242" s="3934" t="n"/>
      <c r="AH242" s="3934" t="n"/>
      <c r="AI242" s="3934" t="n"/>
      <c r="AJ242" s="3934" t="n"/>
      <c r="AK242" s="3934" t="n"/>
      <c r="AL242" s="3934" t="n"/>
      <c r="AM242" s="3934" t="n"/>
      <c r="AN242" s="3934" t="n"/>
      <c r="AO242" s="3934" t="n"/>
      <c r="AP242" s="3934" t="n"/>
      <c r="AQ242" s="3934" t="n"/>
      <c r="AR242" s="3934" t="n"/>
    </row>
    <row r="243">
      <c r="A243" s="3941" t="n"/>
      <c r="B243" s="3944" t="n"/>
      <c r="C243" s="3944" t="n"/>
      <c r="D243" s="3944" t="n"/>
      <c r="E243" s="3944" t="n"/>
      <c r="F243" s="3944" t="n"/>
      <c r="G243" s="3944" t="n"/>
      <c r="H243" s="3944" t="n"/>
      <c r="I243" s="3944" t="n"/>
      <c r="J243" s="3944" t="n"/>
      <c r="K243" s="3942">
        <f>IF(A243="","",SUM(E243:J243))</f>
        <v/>
      </c>
      <c r="L243" s="3934" t="n"/>
      <c r="M243" s="3934" t="n"/>
      <c r="N243" s="3934" t="n"/>
      <c r="O243" s="3934" t="n"/>
      <c r="P243" s="3934" t="n"/>
      <c r="Q243" s="3934" t="n"/>
      <c r="R243" s="3934" t="n"/>
      <c r="S243" s="3934" t="n"/>
      <c r="T243" s="3934" t="n"/>
      <c r="U243" s="3934" t="n"/>
      <c r="V243" s="3934" t="n"/>
      <c r="W243" s="3934" t="n"/>
      <c r="X243" s="3934" t="n"/>
      <c r="Y243" s="3934" t="n"/>
      <c r="Z243" s="3934" t="n"/>
      <c r="AA243" s="3934" t="n"/>
      <c r="AB243" s="3934" t="n"/>
      <c r="AC243" s="3934" t="n"/>
      <c r="AD243" s="3934" t="n"/>
      <c r="AE243" s="3934" t="n"/>
      <c r="AF243" s="3934" t="n"/>
      <c r="AG243" s="3934" t="n"/>
      <c r="AH243" s="3934" t="n"/>
      <c r="AI243" s="3934" t="n"/>
      <c r="AJ243" s="3934" t="n"/>
      <c r="AK243" s="3934" t="n"/>
      <c r="AL243" s="3934" t="n"/>
      <c r="AM243" s="3934" t="n"/>
      <c r="AN243" s="3934" t="n"/>
      <c r="AO243" s="3934" t="n"/>
      <c r="AP243" s="3934" t="n"/>
      <c r="AQ243" s="3934" t="n"/>
      <c r="AR243" s="3934" t="n"/>
    </row>
    <row r="244">
      <c r="A244" s="3941" t="n"/>
      <c r="B244" s="3944" t="n"/>
      <c r="C244" s="3944" t="n"/>
      <c r="D244" s="3944" t="n"/>
      <c r="E244" s="3944" t="n"/>
      <c r="F244" s="3944" t="n"/>
      <c r="G244" s="3944" t="n"/>
      <c r="H244" s="3944" t="n"/>
      <c r="I244" s="3944" t="n"/>
      <c r="J244" s="3944" t="n"/>
      <c r="K244" s="3942">
        <f>IF(A244="","",SUM(E244:J244))</f>
        <v/>
      </c>
      <c r="L244" s="3934" t="n"/>
      <c r="M244" s="3934" t="n"/>
      <c r="N244" s="3934" t="n"/>
      <c r="O244" s="3934" t="n"/>
      <c r="P244" s="3934" t="n"/>
      <c r="Q244" s="3934" t="n"/>
      <c r="R244" s="3934" t="n"/>
      <c r="S244" s="3934" t="n"/>
      <c r="T244" s="3934" t="n"/>
      <c r="U244" s="3934" t="n"/>
      <c r="V244" s="3934" t="n"/>
      <c r="W244" s="3934" t="n"/>
      <c r="X244" s="3934" t="n"/>
      <c r="Y244" s="3934" t="n"/>
      <c r="Z244" s="3934" t="n"/>
      <c r="AA244" s="3934" t="n"/>
      <c r="AB244" s="3934" t="n"/>
      <c r="AC244" s="3934" t="n"/>
      <c r="AD244" s="3934" t="n"/>
      <c r="AE244" s="3934" t="n"/>
      <c r="AF244" s="3934" t="n"/>
      <c r="AG244" s="3934" t="n"/>
      <c r="AH244" s="3934" t="n"/>
      <c r="AI244" s="3934" t="n"/>
      <c r="AJ244" s="3934" t="n"/>
      <c r="AK244" s="3934" t="n"/>
      <c r="AL244" s="3934" t="n"/>
      <c r="AM244" s="3934" t="n"/>
      <c r="AN244" s="3934" t="n"/>
      <c r="AO244" s="3934" t="n"/>
      <c r="AP244" s="3934" t="n"/>
      <c r="AQ244" s="3934" t="n"/>
      <c r="AR244" s="3934" t="n"/>
    </row>
    <row r="245">
      <c r="A245" s="3941" t="n"/>
      <c r="B245" s="3944" t="n"/>
      <c r="C245" s="3944" t="n"/>
      <c r="D245" s="3944" t="n"/>
      <c r="E245" s="3944" t="n"/>
      <c r="F245" s="3944" t="n"/>
      <c r="G245" s="3944" t="n"/>
      <c r="H245" s="3944" t="n"/>
      <c r="I245" s="3944" t="n"/>
      <c r="J245" s="3944" t="n"/>
      <c r="K245" s="3942">
        <f>IF(A245="","",SUM(E245:J245))</f>
        <v/>
      </c>
      <c r="L245" s="3934" t="n"/>
      <c r="M245" s="3934" t="n"/>
      <c r="N245" s="3934" t="n"/>
      <c r="O245" s="3934" t="n"/>
      <c r="P245" s="3934" t="n"/>
      <c r="Q245" s="3934" t="n"/>
      <c r="R245" s="3934" t="n"/>
      <c r="S245" s="3934" t="n"/>
      <c r="T245" s="3934" t="n"/>
      <c r="U245" s="3934" t="n"/>
      <c r="V245" s="3934" t="n"/>
      <c r="W245" s="3934" t="n"/>
      <c r="X245" s="3934" t="n"/>
      <c r="Y245" s="3934" t="n"/>
      <c r="Z245" s="3934" t="n"/>
      <c r="AA245" s="3934" t="n"/>
      <c r="AB245" s="3934" t="n"/>
      <c r="AC245" s="3934" t="n"/>
      <c r="AD245" s="3934" t="n"/>
      <c r="AE245" s="3934" t="n"/>
      <c r="AF245" s="3934" t="n"/>
      <c r="AG245" s="3934" t="n"/>
      <c r="AH245" s="3934" t="n"/>
      <c r="AI245" s="3934" t="n"/>
      <c r="AJ245" s="3934" t="n"/>
      <c r="AK245" s="3934" t="n"/>
      <c r="AL245" s="3934" t="n"/>
      <c r="AM245" s="3934" t="n"/>
      <c r="AN245" s="3934" t="n"/>
      <c r="AO245" s="3934" t="n"/>
      <c r="AP245" s="3934" t="n"/>
      <c r="AQ245" s="3934" t="n"/>
      <c r="AR245" s="3934" t="n"/>
    </row>
    <row r="246">
      <c r="A246" s="3941" t="n"/>
      <c r="B246" s="3944" t="n"/>
      <c r="C246" s="3944" t="n"/>
      <c r="D246" s="3944" t="n"/>
      <c r="E246" s="3944" t="n"/>
      <c r="F246" s="3944" t="n"/>
      <c r="G246" s="3944" t="n"/>
      <c r="H246" s="3944" t="n"/>
      <c r="I246" s="3944" t="n"/>
      <c r="J246" s="3944" t="n"/>
      <c r="K246" s="3942">
        <f>IF(A246="","",SUM(E246:J246))</f>
        <v/>
      </c>
      <c r="L246" s="3934" t="n"/>
      <c r="M246" s="3934" t="n"/>
      <c r="N246" s="3934" t="n"/>
      <c r="O246" s="3934" t="n"/>
      <c r="P246" s="3934" t="n"/>
      <c r="Q246" s="3934" t="n"/>
      <c r="R246" s="3934" t="n"/>
      <c r="S246" s="3934" t="n"/>
      <c r="T246" s="3934" t="n"/>
      <c r="U246" s="3934" t="n"/>
      <c r="V246" s="3934" t="n"/>
      <c r="W246" s="3934" t="n"/>
      <c r="X246" s="3934" t="n"/>
      <c r="Y246" s="3934" t="n"/>
      <c r="Z246" s="3934" t="n"/>
      <c r="AA246" s="3934" t="n"/>
      <c r="AB246" s="3934" t="n"/>
      <c r="AC246" s="3934" t="n"/>
      <c r="AD246" s="3934" t="n"/>
      <c r="AE246" s="3934" t="n"/>
      <c r="AF246" s="3934" t="n"/>
      <c r="AG246" s="3934" t="n"/>
      <c r="AH246" s="3934" t="n"/>
      <c r="AI246" s="3934" t="n"/>
      <c r="AJ246" s="3934" t="n"/>
      <c r="AK246" s="3934" t="n"/>
      <c r="AL246" s="3934" t="n"/>
      <c r="AM246" s="3934" t="n"/>
      <c r="AN246" s="3934" t="n"/>
      <c r="AO246" s="3934" t="n"/>
      <c r="AP246" s="3934" t="n"/>
      <c r="AQ246" s="3934" t="n"/>
      <c r="AR246" s="3934" t="n"/>
    </row>
    <row r="247">
      <c r="A247" s="3941" t="n"/>
      <c r="B247" s="3944" t="n"/>
      <c r="C247" s="3944" t="n"/>
      <c r="D247" s="3944" t="n"/>
      <c r="E247" s="3944" t="n"/>
      <c r="F247" s="3944" t="n"/>
      <c r="G247" s="3944" t="n"/>
      <c r="H247" s="3944" t="n"/>
      <c r="I247" s="3944" t="n"/>
      <c r="J247" s="3944" t="n"/>
      <c r="K247" s="3942">
        <f>IF(A247="","",SUM(E247:J247))</f>
        <v/>
      </c>
      <c r="L247" s="3934" t="n"/>
      <c r="M247" s="3934" t="n"/>
      <c r="N247" s="3934" t="n"/>
      <c r="O247" s="3934" t="n"/>
      <c r="P247" s="3934" t="n"/>
      <c r="Q247" s="3934" t="n"/>
      <c r="R247" s="3934" t="n"/>
      <c r="S247" s="3934" t="n"/>
      <c r="T247" s="3934" t="n"/>
      <c r="U247" s="3934" t="n"/>
      <c r="V247" s="3934" t="n"/>
      <c r="W247" s="3934" t="n"/>
      <c r="X247" s="3934" t="n"/>
      <c r="Y247" s="3934" t="n"/>
      <c r="Z247" s="3934" t="n"/>
      <c r="AA247" s="3934" t="n"/>
      <c r="AB247" s="3934" t="n"/>
      <c r="AC247" s="3934" t="n"/>
      <c r="AD247" s="3934" t="n"/>
      <c r="AE247" s="3934" t="n"/>
      <c r="AF247" s="3934" t="n"/>
      <c r="AG247" s="3934" t="n"/>
      <c r="AH247" s="3934" t="n"/>
      <c r="AI247" s="3934" t="n"/>
      <c r="AJ247" s="3934" t="n"/>
      <c r="AK247" s="3934" t="n"/>
      <c r="AL247" s="3934" t="n"/>
      <c r="AM247" s="3934" t="n"/>
      <c r="AN247" s="3934" t="n"/>
      <c r="AO247" s="3934" t="n"/>
      <c r="AP247" s="3934" t="n"/>
      <c r="AQ247" s="3934" t="n"/>
      <c r="AR247" s="3934" t="n"/>
    </row>
    <row r="248">
      <c r="A248" s="3941" t="n"/>
      <c r="B248" s="3944" t="n"/>
      <c r="C248" s="3944" t="n"/>
      <c r="D248" s="3944" t="n"/>
      <c r="E248" s="3944" t="n"/>
      <c r="F248" s="3944" t="n"/>
      <c r="G248" s="3944" t="n"/>
      <c r="H248" s="3944" t="n"/>
      <c r="I248" s="3944" t="n"/>
      <c r="J248" s="3944" t="n"/>
      <c r="K248" s="3942">
        <f>IF(A248="","",SUM(E248:J248))</f>
        <v/>
      </c>
      <c r="L248" s="3934" t="n"/>
      <c r="M248" s="3934" t="n"/>
      <c r="N248" s="3934" t="n"/>
      <c r="O248" s="3934" t="n"/>
      <c r="P248" s="3934" t="n"/>
      <c r="Q248" s="3934" t="n"/>
      <c r="R248" s="3934" t="n"/>
      <c r="S248" s="3934" t="n"/>
      <c r="T248" s="3934" t="n"/>
      <c r="U248" s="3934" t="n"/>
      <c r="V248" s="3934" t="n"/>
      <c r="W248" s="3934" t="n"/>
      <c r="X248" s="3934" t="n"/>
      <c r="Y248" s="3934" t="n"/>
      <c r="Z248" s="3934" t="n"/>
      <c r="AA248" s="3934" t="n"/>
      <c r="AB248" s="3934" t="n"/>
      <c r="AC248" s="3934" t="n"/>
      <c r="AD248" s="3934" t="n"/>
      <c r="AE248" s="3934" t="n"/>
      <c r="AF248" s="3934" t="n"/>
      <c r="AG248" s="3934" t="n"/>
      <c r="AH248" s="3934" t="n"/>
      <c r="AI248" s="3934" t="n"/>
      <c r="AJ248" s="3934" t="n"/>
      <c r="AK248" s="3934" t="n"/>
      <c r="AL248" s="3934" t="n"/>
      <c r="AM248" s="3934" t="n"/>
      <c r="AN248" s="3934" t="n"/>
      <c r="AO248" s="3934" t="n"/>
      <c r="AP248" s="3934" t="n"/>
      <c r="AQ248" s="3934" t="n"/>
      <c r="AR248" s="3934" t="n"/>
    </row>
    <row r="249">
      <c r="A249" s="3941" t="n"/>
      <c r="B249" s="3944" t="n"/>
      <c r="C249" s="3944" t="n"/>
      <c r="D249" s="3944" t="n"/>
      <c r="E249" s="3944" t="n"/>
      <c r="F249" s="3944" t="n"/>
      <c r="G249" s="3944" t="n"/>
      <c r="H249" s="3944" t="n"/>
      <c r="I249" s="3944" t="n"/>
      <c r="J249" s="3944" t="n"/>
      <c r="K249" s="3942">
        <f>IF(A249="","",SUM(E249:J249))</f>
        <v/>
      </c>
      <c r="L249" s="3934" t="n"/>
      <c r="M249" s="3934" t="n"/>
      <c r="N249" s="3934" t="n"/>
      <c r="O249" s="3934" t="n"/>
      <c r="P249" s="3934" t="n"/>
      <c r="Q249" s="3934" t="n"/>
      <c r="R249" s="3934" t="n"/>
      <c r="S249" s="3934" t="n"/>
      <c r="T249" s="3934" t="n"/>
      <c r="U249" s="3934" t="n"/>
      <c r="V249" s="3934" t="n"/>
      <c r="W249" s="3934" t="n"/>
      <c r="X249" s="3934" t="n"/>
      <c r="Y249" s="3934" t="n"/>
      <c r="Z249" s="3934" t="n"/>
      <c r="AA249" s="3934" t="n"/>
      <c r="AB249" s="3934" t="n"/>
      <c r="AC249" s="3934" t="n"/>
      <c r="AD249" s="3934" t="n"/>
      <c r="AE249" s="3934" t="n"/>
      <c r="AF249" s="3934" t="n"/>
      <c r="AG249" s="3934" t="n"/>
      <c r="AH249" s="3934" t="n"/>
      <c r="AI249" s="3934" t="n"/>
      <c r="AJ249" s="3934" t="n"/>
      <c r="AK249" s="3934" t="n"/>
      <c r="AL249" s="3934" t="n"/>
      <c r="AM249" s="3934" t="n"/>
      <c r="AN249" s="3934" t="n"/>
      <c r="AO249" s="3934" t="n"/>
      <c r="AP249" s="3934" t="n"/>
      <c r="AQ249" s="3934" t="n"/>
      <c r="AR249" s="3934" t="n"/>
    </row>
    <row r="250">
      <c r="A250" s="3941" t="n"/>
      <c r="B250" s="3944" t="n"/>
      <c r="C250" s="3944" t="n"/>
      <c r="D250" s="3944" t="n"/>
      <c r="E250" s="3944" t="n"/>
      <c r="F250" s="3944" t="n"/>
      <c r="G250" s="3944" t="n"/>
      <c r="H250" s="3944" t="n"/>
      <c r="I250" s="3944" t="n"/>
      <c r="J250" s="3944" t="n"/>
      <c r="K250" s="3942">
        <f>IF(A250="","",SUM(E250:J250))</f>
        <v/>
      </c>
      <c r="L250" s="3934" t="n"/>
      <c r="M250" s="3934" t="n"/>
      <c r="N250" s="3934" t="n"/>
      <c r="O250" s="3934" t="n"/>
      <c r="P250" s="3934" t="n"/>
      <c r="Q250" s="3934" t="n"/>
      <c r="R250" s="3934" t="n"/>
      <c r="S250" s="3934" t="n"/>
      <c r="T250" s="3934" t="n"/>
      <c r="U250" s="3934" t="n"/>
      <c r="V250" s="3934" t="n"/>
      <c r="W250" s="3934" t="n"/>
      <c r="X250" s="3934" t="n"/>
      <c r="Y250" s="3934" t="n"/>
      <c r="Z250" s="3934" t="n"/>
      <c r="AA250" s="3934" t="n"/>
      <c r="AB250" s="3934" t="n"/>
      <c r="AC250" s="3934" t="n"/>
      <c r="AD250" s="3934" t="n"/>
      <c r="AE250" s="3934" t="n"/>
      <c r="AF250" s="3934" t="n"/>
      <c r="AG250" s="3934" t="n"/>
      <c r="AH250" s="3934" t="n"/>
      <c r="AI250" s="3934" t="n"/>
      <c r="AJ250" s="3934" t="n"/>
      <c r="AK250" s="3934" t="n"/>
      <c r="AL250" s="3934" t="n"/>
      <c r="AM250" s="3934" t="n"/>
      <c r="AN250" s="3934" t="n"/>
      <c r="AO250" s="3934" t="n"/>
      <c r="AP250" s="3934" t="n"/>
      <c r="AQ250" s="3934" t="n"/>
      <c r="AR250" s="3934" t="n"/>
    </row>
    <row r="251">
      <c r="A251" s="3941" t="n"/>
      <c r="B251" s="3944" t="n"/>
      <c r="C251" s="3944" t="n"/>
      <c r="D251" s="3944" t="n"/>
      <c r="E251" s="3944" t="n"/>
      <c r="F251" s="3944" t="n"/>
      <c r="G251" s="3944" t="n"/>
      <c r="H251" s="3944" t="n"/>
      <c r="I251" s="3944" t="n"/>
      <c r="J251" s="3944" t="n"/>
      <c r="K251" s="3942">
        <f>IF(A251="","",SUM(E251:J251))</f>
        <v/>
      </c>
      <c r="L251" s="3934" t="n"/>
      <c r="M251" s="3934" t="n"/>
      <c r="N251" s="3934" t="n"/>
      <c r="O251" s="3934" t="n"/>
      <c r="P251" s="3934" t="n"/>
      <c r="Q251" s="3934" t="n"/>
      <c r="R251" s="3934" t="n"/>
      <c r="S251" s="3934" t="n"/>
      <c r="T251" s="3934" t="n"/>
      <c r="U251" s="3934" t="n"/>
      <c r="V251" s="3934" t="n"/>
      <c r="W251" s="3934" t="n"/>
      <c r="X251" s="3934" t="n"/>
      <c r="Y251" s="3934" t="n"/>
      <c r="Z251" s="3934" t="n"/>
      <c r="AA251" s="3934" t="n"/>
      <c r="AB251" s="3934" t="n"/>
      <c r="AC251" s="3934" t="n"/>
      <c r="AD251" s="3934" t="n"/>
      <c r="AE251" s="3934" t="n"/>
      <c r="AF251" s="3934" t="n"/>
      <c r="AG251" s="3934" t="n"/>
      <c r="AH251" s="3934" t="n"/>
      <c r="AI251" s="3934" t="n"/>
      <c r="AJ251" s="3934" t="n"/>
      <c r="AK251" s="3934" t="n"/>
      <c r="AL251" s="3934" t="n"/>
      <c r="AM251" s="3934" t="n"/>
      <c r="AN251" s="3934" t="n"/>
      <c r="AO251" s="3934" t="n"/>
      <c r="AP251" s="3934" t="n"/>
      <c r="AQ251" s="3934" t="n"/>
      <c r="AR251" s="3934" t="n"/>
    </row>
    <row r="252">
      <c r="A252" s="3941" t="n"/>
      <c r="B252" s="3944" t="n"/>
      <c r="C252" s="3944" t="n"/>
      <c r="D252" s="3944" t="n"/>
      <c r="E252" s="3944" t="n"/>
      <c r="F252" s="3944" t="n"/>
      <c r="G252" s="3944" t="n"/>
      <c r="H252" s="3944" t="n"/>
      <c r="I252" s="3944" t="n"/>
      <c r="J252" s="3944" t="n"/>
      <c r="K252" s="3942">
        <f>IF(A252="","",SUM(E252:J252))</f>
        <v/>
      </c>
      <c r="L252" s="3934" t="n"/>
      <c r="M252" s="3934" t="n"/>
      <c r="N252" s="3934" t="n"/>
      <c r="O252" s="3934" t="n"/>
      <c r="P252" s="3934" t="n"/>
      <c r="Q252" s="3934" t="n"/>
      <c r="R252" s="3934" t="n"/>
      <c r="S252" s="3934" t="n"/>
      <c r="T252" s="3934" t="n"/>
      <c r="U252" s="3934" t="n"/>
      <c r="V252" s="3934" t="n"/>
      <c r="W252" s="3934" t="n"/>
      <c r="X252" s="3934" t="n"/>
      <c r="Y252" s="3934" t="n"/>
      <c r="Z252" s="3934" t="n"/>
      <c r="AA252" s="3934" t="n"/>
      <c r="AB252" s="3934" t="n"/>
      <c r="AC252" s="3934" t="n"/>
      <c r="AD252" s="3934" t="n"/>
      <c r="AE252" s="3934" t="n"/>
      <c r="AF252" s="3934" t="n"/>
      <c r="AG252" s="3934" t="n"/>
      <c r="AH252" s="3934" t="n"/>
      <c r="AI252" s="3934" t="n"/>
      <c r="AJ252" s="3934" t="n"/>
      <c r="AK252" s="3934" t="n"/>
      <c r="AL252" s="3934" t="n"/>
      <c r="AM252" s="3934" t="n"/>
      <c r="AN252" s="3934" t="n"/>
      <c r="AO252" s="3934" t="n"/>
      <c r="AP252" s="3934" t="n"/>
      <c r="AQ252" s="3934" t="n"/>
      <c r="AR252" s="3934" t="n"/>
    </row>
    <row r="253">
      <c r="A253" s="3941" t="n"/>
      <c r="B253" s="3944" t="n"/>
      <c r="C253" s="3944" t="n"/>
      <c r="D253" s="3944" t="n"/>
      <c r="E253" s="3944" t="n"/>
      <c r="F253" s="3944" t="n"/>
      <c r="G253" s="3944" t="n"/>
      <c r="H253" s="3944" t="n"/>
      <c r="I253" s="3944" t="n"/>
      <c r="J253" s="3944" t="n"/>
      <c r="K253" s="3942">
        <f>IF(A253="","",SUM(E253:J253))</f>
        <v/>
      </c>
      <c r="L253" s="3934" t="n"/>
      <c r="M253" s="3934" t="n"/>
      <c r="N253" s="3934" t="n"/>
      <c r="O253" s="3934" t="n"/>
      <c r="P253" s="3934" t="n"/>
      <c r="Q253" s="3934" t="n"/>
      <c r="R253" s="3934" t="n"/>
      <c r="S253" s="3934" t="n"/>
      <c r="T253" s="3934" t="n"/>
      <c r="U253" s="3934" t="n"/>
      <c r="V253" s="3934" t="n"/>
      <c r="W253" s="3934" t="n"/>
      <c r="X253" s="3934" t="n"/>
      <c r="Y253" s="3934" t="n"/>
      <c r="Z253" s="3934" t="n"/>
      <c r="AA253" s="3934" t="n"/>
      <c r="AB253" s="3934" t="n"/>
      <c r="AC253" s="3934" t="n"/>
      <c r="AD253" s="3934" t="n"/>
      <c r="AE253" s="3934" t="n"/>
      <c r="AF253" s="3934" t="n"/>
      <c r="AG253" s="3934" t="n"/>
      <c r="AH253" s="3934" t="n"/>
      <c r="AI253" s="3934" t="n"/>
      <c r="AJ253" s="3934" t="n"/>
      <c r="AK253" s="3934" t="n"/>
      <c r="AL253" s="3934" t="n"/>
      <c r="AM253" s="3934" t="n"/>
      <c r="AN253" s="3934" t="n"/>
      <c r="AO253" s="3934" t="n"/>
      <c r="AP253" s="3934" t="n"/>
      <c r="AQ253" s="3934" t="n"/>
      <c r="AR253" s="3934" t="n"/>
    </row>
    <row r="254">
      <c r="A254" s="3941" t="n"/>
      <c r="B254" s="3944" t="n"/>
      <c r="C254" s="3944" t="n"/>
      <c r="D254" s="3944" t="n"/>
      <c r="E254" s="3944" t="n"/>
      <c r="F254" s="3944" t="n"/>
      <c r="G254" s="3944" t="n"/>
      <c r="H254" s="3944" t="n"/>
      <c r="I254" s="3944" t="n"/>
      <c r="J254" s="3944" t="n"/>
      <c r="K254" s="3942">
        <f>IF(A254="","",SUM(E254:J254))</f>
        <v/>
      </c>
      <c r="L254" s="3934" t="n"/>
      <c r="M254" s="3934" t="n"/>
      <c r="N254" s="3934" t="n"/>
      <c r="O254" s="3934" t="n"/>
      <c r="P254" s="3934" t="n"/>
      <c r="Q254" s="3934" t="n"/>
      <c r="R254" s="3934" t="n"/>
      <c r="S254" s="3934" t="n"/>
      <c r="T254" s="3934" t="n"/>
      <c r="U254" s="3934" t="n"/>
      <c r="V254" s="3934" t="n"/>
      <c r="W254" s="3934" t="n"/>
      <c r="X254" s="3934" t="n"/>
      <c r="Y254" s="3934" t="n"/>
      <c r="Z254" s="3934" t="n"/>
      <c r="AA254" s="3934" t="n"/>
      <c r="AB254" s="3934" t="n"/>
      <c r="AC254" s="3934" t="n"/>
      <c r="AD254" s="3934" t="n"/>
      <c r="AE254" s="3934" t="n"/>
      <c r="AF254" s="3934" t="n"/>
      <c r="AG254" s="3934" t="n"/>
      <c r="AH254" s="3934" t="n"/>
      <c r="AI254" s="3934" t="n"/>
      <c r="AJ254" s="3934" t="n"/>
      <c r="AK254" s="3934" t="n"/>
      <c r="AL254" s="3934" t="n"/>
      <c r="AM254" s="3934" t="n"/>
      <c r="AN254" s="3934" t="n"/>
      <c r="AO254" s="3934" t="n"/>
      <c r="AP254" s="3934" t="n"/>
      <c r="AQ254" s="3934" t="n"/>
      <c r="AR254" s="3934" t="n"/>
    </row>
    <row r="255">
      <c r="A255" s="3941" t="n"/>
      <c r="B255" s="3944" t="n"/>
      <c r="C255" s="3944" t="n"/>
      <c r="D255" s="3944" t="n"/>
      <c r="E255" s="3944" t="n"/>
      <c r="F255" s="3944" t="n"/>
      <c r="G255" s="3944" t="n"/>
      <c r="H255" s="3944" t="n"/>
      <c r="I255" s="3944" t="n"/>
      <c r="J255" s="3944" t="n"/>
      <c r="K255" s="3942">
        <f>IF(A255="","",SUM(E255:J255))</f>
        <v/>
      </c>
      <c r="L255" s="3934" t="n"/>
      <c r="M255" s="3934" t="n"/>
      <c r="N255" s="3934" t="n"/>
      <c r="O255" s="3934" t="n"/>
      <c r="P255" s="3934" t="n"/>
      <c r="Q255" s="3934" t="n"/>
      <c r="R255" s="3934" t="n"/>
      <c r="S255" s="3934" t="n"/>
      <c r="T255" s="3934" t="n"/>
      <c r="U255" s="3934" t="n"/>
      <c r="V255" s="3934" t="n"/>
      <c r="W255" s="3934" t="n"/>
      <c r="X255" s="3934" t="n"/>
      <c r="Y255" s="3934" t="n"/>
      <c r="Z255" s="3934" t="n"/>
      <c r="AA255" s="3934" t="n"/>
      <c r="AB255" s="3934" t="n"/>
      <c r="AC255" s="3934" t="n"/>
      <c r="AD255" s="3934" t="n"/>
      <c r="AE255" s="3934" t="n"/>
      <c r="AF255" s="3934" t="n"/>
      <c r="AG255" s="3934" t="n"/>
      <c r="AH255" s="3934" t="n"/>
      <c r="AI255" s="3934" t="n"/>
      <c r="AJ255" s="3934" t="n"/>
      <c r="AK255" s="3934" t="n"/>
      <c r="AL255" s="3934" t="n"/>
      <c r="AM255" s="3934" t="n"/>
      <c r="AN255" s="3934" t="n"/>
      <c r="AO255" s="3934" t="n"/>
      <c r="AP255" s="3934" t="n"/>
      <c r="AQ255" s="3934" t="n"/>
      <c r="AR255" s="3934" t="n"/>
    </row>
    <row r="256">
      <c r="A256" s="3941" t="n"/>
      <c r="B256" s="3944" t="n"/>
      <c r="C256" s="3944" t="n"/>
      <c r="D256" s="3944" t="n"/>
      <c r="E256" s="3944" t="n"/>
      <c r="F256" s="3944" t="n"/>
      <c r="G256" s="3944" t="n"/>
      <c r="H256" s="3944" t="n"/>
      <c r="I256" s="3944" t="n"/>
      <c r="J256" s="3944" t="n"/>
      <c r="K256" s="3942">
        <f>IF(A256="","",SUM(E256:J256))</f>
        <v/>
      </c>
      <c r="L256" s="3934" t="n"/>
      <c r="M256" s="3934" t="n"/>
      <c r="N256" s="3934" t="n"/>
      <c r="O256" s="3934" t="n"/>
      <c r="P256" s="3934" t="n"/>
      <c r="Q256" s="3934" t="n"/>
      <c r="R256" s="3934" t="n"/>
      <c r="S256" s="3934" t="n"/>
      <c r="T256" s="3934" t="n"/>
      <c r="U256" s="3934" t="n"/>
      <c r="V256" s="3934" t="n"/>
      <c r="W256" s="3934" t="n"/>
      <c r="X256" s="3934" t="n"/>
      <c r="Y256" s="3934" t="n"/>
      <c r="Z256" s="3934" t="n"/>
      <c r="AA256" s="3934" t="n"/>
      <c r="AB256" s="3934" t="n"/>
      <c r="AC256" s="3934" t="n"/>
      <c r="AD256" s="3934" t="n"/>
      <c r="AE256" s="3934" t="n"/>
      <c r="AF256" s="3934" t="n"/>
      <c r="AG256" s="3934" t="n"/>
      <c r="AH256" s="3934" t="n"/>
      <c r="AI256" s="3934" t="n"/>
      <c r="AJ256" s="3934" t="n"/>
      <c r="AK256" s="3934" t="n"/>
      <c r="AL256" s="3934" t="n"/>
      <c r="AM256" s="3934" t="n"/>
      <c r="AN256" s="3934" t="n"/>
      <c r="AO256" s="3934" t="n"/>
      <c r="AP256" s="3934" t="n"/>
      <c r="AQ256" s="3934" t="n"/>
      <c r="AR256" s="3934" t="n"/>
    </row>
    <row r="257">
      <c r="A257" s="3941" t="n"/>
      <c r="B257" s="3944" t="n"/>
      <c r="C257" s="3944" t="n"/>
      <c r="D257" s="3944" t="n"/>
      <c r="E257" s="3944" t="n"/>
      <c r="F257" s="3944" t="n"/>
      <c r="G257" s="3944" t="n"/>
      <c r="H257" s="3944" t="n"/>
      <c r="I257" s="3944" t="n"/>
      <c r="J257" s="3944" t="n"/>
      <c r="K257" s="3942">
        <f>IF(A257="","",SUM(E257:J257))</f>
        <v/>
      </c>
      <c r="L257" s="3934" t="n"/>
      <c r="M257" s="3934" t="n"/>
      <c r="N257" s="3934" t="n"/>
      <c r="O257" s="3934" t="n"/>
      <c r="P257" s="3934" t="n"/>
      <c r="Q257" s="3934" t="n"/>
      <c r="R257" s="3934" t="n"/>
      <c r="S257" s="3934" t="n"/>
      <c r="T257" s="3934" t="n"/>
      <c r="U257" s="3934" t="n"/>
      <c r="V257" s="3934" t="n"/>
      <c r="W257" s="3934" t="n"/>
      <c r="X257" s="3934" t="n"/>
      <c r="Y257" s="3934" t="n"/>
      <c r="Z257" s="3934" t="n"/>
      <c r="AA257" s="3934" t="n"/>
      <c r="AB257" s="3934" t="n"/>
      <c r="AC257" s="3934" t="n"/>
      <c r="AD257" s="3934" t="n"/>
      <c r="AE257" s="3934" t="n"/>
      <c r="AF257" s="3934" t="n"/>
      <c r="AG257" s="3934" t="n"/>
      <c r="AH257" s="3934" t="n"/>
      <c r="AI257" s="3934" t="n"/>
      <c r="AJ257" s="3934" t="n"/>
      <c r="AK257" s="3934" t="n"/>
      <c r="AL257" s="3934" t="n"/>
      <c r="AM257" s="3934" t="n"/>
      <c r="AN257" s="3934" t="n"/>
      <c r="AO257" s="3934" t="n"/>
      <c r="AP257" s="3934" t="n"/>
      <c r="AQ257" s="3934" t="n"/>
      <c r="AR257" s="3934" t="n"/>
    </row>
    <row r="258">
      <c r="A258" s="3941" t="n"/>
      <c r="B258" s="3944" t="n"/>
      <c r="C258" s="3944" t="n"/>
      <c r="D258" s="3944" t="n"/>
      <c r="E258" s="3944" t="n"/>
      <c r="F258" s="3944" t="n"/>
      <c r="G258" s="3944" t="n"/>
      <c r="H258" s="3944" t="n"/>
      <c r="I258" s="3944" t="n"/>
      <c r="J258" s="3944" t="n"/>
      <c r="K258" s="3942">
        <f>IF(A258="","",SUM(E258:J258))</f>
        <v/>
      </c>
      <c r="L258" s="3934" t="n"/>
      <c r="M258" s="3934" t="n"/>
      <c r="N258" s="3934" t="n"/>
      <c r="O258" s="3934" t="n"/>
      <c r="P258" s="3934" t="n"/>
      <c r="Q258" s="3934" t="n"/>
      <c r="R258" s="3934" t="n"/>
      <c r="S258" s="3934" t="n"/>
      <c r="T258" s="3934" t="n"/>
      <c r="U258" s="3934" t="n"/>
      <c r="V258" s="3934" t="n"/>
      <c r="W258" s="3934" t="n"/>
      <c r="X258" s="3934" t="n"/>
      <c r="Y258" s="3934" t="n"/>
      <c r="Z258" s="3934" t="n"/>
      <c r="AA258" s="3934" t="n"/>
      <c r="AB258" s="3934" t="n"/>
      <c r="AC258" s="3934" t="n"/>
      <c r="AD258" s="3934" t="n"/>
      <c r="AE258" s="3934" t="n"/>
      <c r="AF258" s="3934" t="n"/>
      <c r="AG258" s="3934" t="n"/>
      <c r="AH258" s="3934" t="n"/>
      <c r="AI258" s="3934" t="n"/>
      <c r="AJ258" s="3934" t="n"/>
      <c r="AK258" s="3934" t="n"/>
      <c r="AL258" s="3934" t="n"/>
      <c r="AM258" s="3934" t="n"/>
      <c r="AN258" s="3934" t="n"/>
      <c r="AO258" s="3934" t="n"/>
      <c r="AP258" s="3934" t="n"/>
      <c r="AQ258" s="3934" t="n"/>
      <c r="AR258" s="3934" t="n"/>
    </row>
    <row r="259">
      <c r="A259" s="3941" t="n"/>
      <c r="B259" s="3944" t="n"/>
      <c r="C259" s="3944" t="n"/>
      <c r="D259" s="3944" t="n"/>
      <c r="E259" s="3944" t="n"/>
      <c r="F259" s="3944" t="n"/>
      <c r="G259" s="3944" t="n"/>
      <c r="H259" s="3944" t="n"/>
      <c r="I259" s="3944" t="n"/>
      <c r="J259" s="3944" t="n"/>
      <c r="K259" s="3942">
        <f>IF(A259="","",SUM(E259:J259))</f>
        <v/>
      </c>
      <c r="L259" s="3934" t="n"/>
      <c r="M259" s="3934" t="n"/>
      <c r="N259" s="3934" t="n"/>
      <c r="O259" s="3934" t="n"/>
      <c r="P259" s="3934" t="n"/>
      <c r="Q259" s="3934" t="n"/>
      <c r="R259" s="3934" t="n"/>
      <c r="S259" s="3934" t="n"/>
      <c r="T259" s="3934" t="n"/>
      <c r="U259" s="3934" t="n"/>
      <c r="V259" s="3934" t="n"/>
      <c r="W259" s="3934" t="n"/>
      <c r="X259" s="3934" t="n"/>
      <c r="Y259" s="3934" t="n"/>
      <c r="Z259" s="3934" t="n"/>
      <c r="AA259" s="3934" t="n"/>
      <c r="AB259" s="3934" t="n"/>
      <c r="AC259" s="3934" t="n"/>
      <c r="AD259" s="3934" t="n"/>
      <c r="AE259" s="3934" t="n"/>
      <c r="AF259" s="3934" t="n"/>
      <c r="AG259" s="3934" t="n"/>
      <c r="AH259" s="3934" t="n"/>
      <c r="AI259" s="3934" t="n"/>
      <c r="AJ259" s="3934" t="n"/>
      <c r="AK259" s="3934" t="n"/>
      <c r="AL259" s="3934" t="n"/>
      <c r="AM259" s="3934" t="n"/>
      <c r="AN259" s="3934" t="n"/>
      <c r="AO259" s="3934" t="n"/>
      <c r="AP259" s="3934" t="n"/>
      <c r="AQ259" s="3934" t="n"/>
      <c r="AR259" s="3934" t="n"/>
    </row>
    <row r="260">
      <c r="A260" s="3941" t="n"/>
      <c r="B260" s="3944" t="n"/>
      <c r="C260" s="3944" t="n"/>
      <c r="D260" s="3944" t="n"/>
      <c r="E260" s="3944" t="n"/>
      <c r="F260" s="3944" t="n"/>
      <c r="G260" s="3944" t="n"/>
      <c r="H260" s="3944" t="n"/>
      <c r="I260" s="3944" t="n"/>
      <c r="J260" s="3944" t="n"/>
      <c r="K260" s="3942">
        <f>IF(A260="","",SUM(E260:J260))</f>
        <v/>
      </c>
      <c r="L260" s="3934" t="n"/>
      <c r="M260" s="3934" t="n"/>
      <c r="N260" s="3934" t="n"/>
      <c r="O260" s="3934" t="n"/>
      <c r="P260" s="3934" t="n"/>
      <c r="Q260" s="3934" t="n"/>
      <c r="R260" s="3934" t="n"/>
      <c r="S260" s="3934" t="n"/>
      <c r="T260" s="3934" t="n"/>
      <c r="U260" s="3934" t="n"/>
      <c r="V260" s="3934" t="n"/>
      <c r="W260" s="3934" t="n"/>
      <c r="X260" s="3934" t="n"/>
      <c r="Y260" s="3934" t="n"/>
      <c r="Z260" s="3934" t="n"/>
      <c r="AA260" s="3934" t="n"/>
      <c r="AB260" s="3934" t="n"/>
      <c r="AC260" s="3934" t="n"/>
      <c r="AD260" s="3934" t="n"/>
      <c r="AE260" s="3934" t="n"/>
      <c r="AF260" s="3934" t="n"/>
      <c r="AG260" s="3934" t="n"/>
      <c r="AH260" s="3934" t="n"/>
      <c r="AI260" s="3934" t="n"/>
      <c r="AJ260" s="3934" t="n"/>
      <c r="AK260" s="3934" t="n"/>
      <c r="AL260" s="3934" t="n"/>
      <c r="AM260" s="3934" t="n"/>
      <c r="AN260" s="3934" t="n"/>
      <c r="AO260" s="3934" t="n"/>
      <c r="AP260" s="3934" t="n"/>
      <c r="AQ260" s="3934" t="n"/>
      <c r="AR260" s="3934" t="n"/>
    </row>
    <row r="261">
      <c r="A261" s="3941" t="n"/>
      <c r="B261" s="3944" t="n"/>
      <c r="C261" s="3944" t="n"/>
      <c r="D261" s="3944" t="n"/>
      <c r="E261" s="3944" t="n"/>
      <c r="F261" s="3944" t="n"/>
      <c r="G261" s="3944" t="n"/>
      <c r="H261" s="3944" t="n"/>
      <c r="I261" s="3944" t="n"/>
      <c r="J261" s="3944" t="n"/>
      <c r="K261" s="3942">
        <f>IF(A261="","",SUM(E261:J261))</f>
        <v/>
      </c>
      <c r="L261" s="3934" t="n"/>
      <c r="M261" s="3934" t="n"/>
      <c r="N261" s="3934" t="n"/>
      <c r="O261" s="3934" t="n"/>
      <c r="P261" s="3934" t="n"/>
      <c r="Q261" s="3934" t="n"/>
      <c r="R261" s="3934" t="n"/>
      <c r="S261" s="3934" t="n"/>
      <c r="T261" s="3934" t="n"/>
      <c r="U261" s="3934" t="n"/>
      <c r="V261" s="3934" t="n"/>
      <c r="W261" s="3934" t="n"/>
      <c r="X261" s="3934" t="n"/>
      <c r="Y261" s="3934" t="n"/>
      <c r="Z261" s="3934" t="n"/>
      <c r="AA261" s="3934" t="n"/>
      <c r="AB261" s="3934" t="n"/>
      <c r="AC261" s="3934" t="n"/>
      <c r="AD261" s="3934" t="n"/>
      <c r="AE261" s="3934" t="n"/>
      <c r="AF261" s="3934" t="n"/>
      <c r="AG261" s="3934" t="n"/>
      <c r="AH261" s="3934" t="n"/>
      <c r="AI261" s="3934" t="n"/>
      <c r="AJ261" s="3934" t="n"/>
      <c r="AK261" s="3934" t="n"/>
      <c r="AL261" s="3934" t="n"/>
      <c r="AM261" s="3934" t="n"/>
      <c r="AN261" s="3934" t="n"/>
      <c r="AO261" s="3934" t="n"/>
      <c r="AP261" s="3934" t="n"/>
      <c r="AQ261" s="3934" t="n"/>
      <c r="AR261" s="3934" t="n"/>
    </row>
    <row r="262">
      <c r="A262" s="3941" t="n"/>
      <c r="B262" s="3944" t="n"/>
      <c r="C262" s="3944" t="n"/>
      <c r="D262" s="3944" t="n"/>
      <c r="E262" s="3944" t="n"/>
      <c r="F262" s="3944" t="n"/>
      <c r="G262" s="3944" t="n"/>
      <c r="H262" s="3944" t="n"/>
      <c r="I262" s="3944" t="n"/>
      <c r="J262" s="3944" t="n"/>
      <c r="K262" s="3942">
        <f>IF(A262="","",SUM(E262:J262))</f>
        <v/>
      </c>
      <c r="L262" s="3934" t="n"/>
      <c r="M262" s="3934" t="n"/>
      <c r="N262" s="3934" t="n"/>
      <c r="O262" s="3934" t="n"/>
      <c r="P262" s="3934" t="n"/>
      <c r="Q262" s="3934" t="n"/>
      <c r="R262" s="3934" t="n"/>
      <c r="S262" s="3934" t="n"/>
      <c r="T262" s="3934" t="n"/>
      <c r="U262" s="3934" t="n"/>
      <c r="V262" s="3934" t="n"/>
      <c r="W262" s="3934" t="n"/>
      <c r="X262" s="3934" t="n"/>
      <c r="Y262" s="3934" t="n"/>
      <c r="Z262" s="3934" t="n"/>
      <c r="AA262" s="3934" t="n"/>
      <c r="AB262" s="3934" t="n"/>
      <c r="AC262" s="3934" t="n"/>
      <c r="AD262" s="3934" t="n"/>
      <c r="AE262" s="3934" t="n"/>
      <c r="AF262" s="3934" t="n"/>
      <c r="AG262" s="3934" t="n"/>
      <c r="AH262" s="3934" t="n"/>
      <c r="AI262" s="3934" t="n"/>
      <c r="AJ262" s="3934" t="n"/>
      <c r="AK262" s="3934" t="n"/>
      <c r="AL262" s="3934" t="n"/>
      <c r="AM262" s="3934" t="n"/>
      <c r="AN262" s="3934" t="n"/>
      <c r="AO262" s="3934" t="n"/>
      <c r="AP262" s="3934" t="n"/>
      <c r="AQ262" s="3934" t="n"/>
      <c r="AR262" s="3934" t="n"/>
    </row>
    <row r="263">
      <c r="A263" s="3941" t="n"/>
      <c r="B263" s="3944" t="n"/>
      <c r="C263" s="3944" t="n"/>
      <c r="D263" s="3944" t="n"/>
      <c r="E263" s="3944" t="n"/>
      <c r="F263" s="3944" t="n"/>
      <c r="G263" s="3944" t="n"/>
      <c r="H263" s="3944" t="n"/>
      <c r="I263" s="3944" t="n"/>
      <c r="J263" s="3944" t="n"/>
      <c r="K263" s="3942">
        <f>IF(A263="","",SUM(E263:J263))</f>
        <v/>
      </c>
      <c r="L263" s="3934" t="n"/>
      <c r="M263" s="3934" t="n"/>
      <c r="N263" s="3934" t="n"/>
      <c r="O263" s="3934" t="n"/>
      <c r="P263" s="3934" t="n"/>
      <c r="Q263" s="3934" t="n"/>
      <c r="R263" s="3934" t="n"/>
      <c r="S263" s="3934" t="n"/>
      <c r="T263" s="3934" t="n"/>
      <c r="U263" s="3934" t="n"/>
      <c r="V263" s="3934" t="n"/>
      <c r="W263" s="3934" t="n"/>
      <c r="X263" s="3934" t="n"/>
      <c r="Y263" s="3934" t="n"/>
      <c r="Z263" s="3934" t="n"/>
      <c r="AA263" s="3934" t="n"/>
      <c r="AB263" s="3934" t="n"/>
      <c r="AC263" s="3934" t="n"/>
      <c r="AD263" s="3934" t="n"/>
      <c r="AE263" s="3934" t="n"/>
      <c r="AF263" s="3934" t="n"/>
      <c r="AG263" s="3934" t="n"/>
      <c r="AH263" s="3934" t="n"/>
      <c r="AI263" s="3934" t="n"/>
      <c r="AJ263" s="3934" t="n"/>
      <c r="AK263" s="3934" t="n"/>
      <c r="AL263" s="3934" t="n"/>
      <c r="AM263" s="3934" t="n"/>
      <c r="AN263" s="3934" t="n"/>
      <c r="AO263" s="3934" t="n"/>
      <c r="AP263" s="3934" t="n"/>
      <c r="AQ263" s="3934" t="n"/>
      <c r="AR263" s="3934" t="n"/>
    </row>
    <row r="264">
      <c r="A264" s="3941" t="n"/>
      <c r="B264" s="3944" t="n"/>
      <c r="C264" s="3944" t="n"/>
      <c r="D264" s="3944" t="n"/>
      <c r="E264" s="3944" t="n"/>
      <c r="F264" s="3944" t="n"/>
      <c r="G264" s="3944" t="n"/>
      <c r="H264" s="3944" t="n"/>
      <c r="I264" s="3944" t="n"/>
      <c r="J264" s="3944" t="n"/>
      <c r="K264" s="3942">
        <f>IF(A264="","",SUM(E264:J264))</f>
        <v/>
      </c>
      <c r="L264" s="3934" t="n"/>
      <c r="M264" s="3934" t="n"/>
      <c r="N264" s="3934" t="n"/>
      <c r="O264" s="3934" t="n"/>
      <c r="P264" s="3934" t="n"/>
      <c r="Q264" s="3934" t="n"/>
      <c r="R264" s="3934" t="n"/>
      <c r="S264" s="3934" t="n"/>
      <c r="T264" s="3934" t="n"/>
      <c r="U264" s="3934" t="n"/>
      <c r="V264" s="3934" t="n"/>
      <c r="W264" s="3934" t="n"/>
      <c r="X264" s="3934" t="n"/>
      <c r="Y264" s="3934" t="n"/>
      <c r="Z264" s="3934" t="n"/>
      <c r="AA264" s="3934" t="n"/>
      <c r="AB264" s="3934" t="n"/>
      <c r="AC264" s="3934" t="n"/>
      <c r="AD264" s="3934" t="n"/>
      <c r="AE264" s="3934" t="n"/>
      <c r="AF264" s="3934" t="n"/>
      <c r="AG264" s="3934" t="n"/>
      <c r="AH264" s="3934" t="n"/>
      <c r="AI264" s="3934" t="n"/>
      <c r="AJ264" s="3934" t="n"/>
      <c r="AK264" s="3934" t="n"/>
      <c r="AL264" s="3934" t="n"/>
      <c r="AM264" s="3934" t="n"/>
      <c r="AN264" s="3934" t="n"/>
      <c r="AO264" s="3934" t="n"/>
      <c r="AP264" s="3934" t="n"/>
      <c r="AQ264" s="3934" t="n"/>
      <c r="AR264" s="3934" t="n"/>
    </row>
    <row r="265">
      <c r="A265" s="3941" t="n"/>
      <c r="B265" s="3944" t="n"/>
      <c r="C265" s="3944" t="n"/>
      <c r="D265" s="3944" t="n"/>
      <c r="E265" s="3944" t="n"/>
      <c r="F265" s="3944" t="n"/>
      <c r="G265" s="3944" t="n"/>
      <c r="H265" s="3944" t="n"/>
      <c r="I265" s="3944" t="n"/>
      <c r="J265" s="3944" t="n"/>
      <c r="K265" s="3942">
        <f>IF(A265="","",SUM(E265:J265))</f>
        <v/>
      </c>
      <c r="L265" s="3934" t="n"/>
      <c r="M265" s="3934" t="n"/>
      <c r="N265" s="3934" t="n"/>
      <c r="O265" s="3934" t="n"/>
      <c r="P265" s="3934" t="n"/>
      <c r="Q265" s="3934" t="n"/>
      <c r="R265" s="3934" t="n"/>
      <c r="S265" s="3934" t="n"/>
      <c r="T265" s="3934" t="n"/>
      <c r="U265" s="3934" t="n"/>
      <c r="V265" s="3934" t="n"/>
      <c r="W265" s="3934" t="n"/>
      <c r="X265" s="3934" t="n"/>
      <c r="Y265" s="3934" t="n"/>
      <c r="Z265" s="3934" t="n"/>
      <c r="AA265" s="3934" t="n"/>
      <c r="AB265" s="3934" t="n"/>
      <c r="AC265" s="3934" t="n"/>
      <c r="AD265" s="3934" t="n"/>
      <c r="AE265" s="3934" t="n"/>
      <c r="AF265" s="3934" t="n"/>
      <c r="AG265" s="3934" t="n"/>
      <c r="AH265" s="3934" t="n"/>
      <c r="AI265" s="3934" t="n"/>
      <c r="AJ265" s="3934" t="n"/>
      <c r="AK265" s="3934" t="n"/>
      <c r="AL265" s="3934" t="n"/>
      <c r="AM265" s="3934" t="n"/>
      <c r="AN265" s="3934" t="n"/>
      <c r="AO265" s="3934" t="n"/>
      <c r="AP265" s="3934" t="n"/>
      <c r="AQ265" s="3934" t="n"/>
      <c r="AR265" s="3934" t="n"/>
    </row>
    <row r="266">
      <c r="A266" s="3941" t="n"/>
      <c r="B266" s="3944" t="n"/>
      <c r="C266" s="3944" t="n"/>
      <c r="D266" s="3944" t="n"/>
      <c r="E266" s="3944" t="n"/>
      <c r="F266" s="3944" t="n"/>
      <c r="G266" s="3944" t="n"/>
      <c r="H266" s="3944" t="n"/>
      <c r="I266" s="3944" t="n"/>
      <c r="J266" s="3944" t="n"/>
      <c r="K266" s="3942">
        <f>IF(A266="","",SUM(E266:J266))</f>
        <v/>
      </c>
      <c r="L266" s="3934" t="n"/>
      <c r="M266" s="3934" t="n"/>
      <c r="N266" s="3934" t="n"/>
      <c r="O266" s="3934" t="n"/>
      <c r="P266" s="3934" t="n"/>
      <c r="Q266" s="3934" t="n"/>
      <c r="R266" s="3934" t="n"/>
      <c r="S266" s="3934" t="n"/>
      <c r="T266" s="3934" t="n"/>
      <c r="U266" s="3934" t="n"/>
      <c r="V266" s="3934" t="n"/>
      <c r="W266" s="3934" t="n"/>
      <c r="X266" s="3934" t="n"/>
      <c r="Y266" s="3934" t="n"/>
      <c r="Z266" s="3934" t="n"/>
      <c r="AA266" s="3934" t="n"/>
      <c r="AB266" s="3934" t="n"/>
      <c r="AC266" s="3934" t="n"/>
      <c r="AD266" s="3934" t="n"/>
      <c r="AE266" s="3934" t="n"/>
      <c r="AF266" s="3934" t="n"/>
      <c r="AG266" s="3934" t="n"/>
      <c r="AH266" s="3934" t="n"/>
      <c r="AI266" s="3934" t="n"/>
      <c r="AJ266" s="3934" t="n"/>
      <c r="AK266" s="3934" t="n"/>
      <c r="AL266" s="3934" t="n"/>
      <c r="AM266" s="3934" t="n"/>
      <c r="AN266" s="3934" t="n"/>
      <c r="AO266" s="3934" t="n"/>
      <c r="AP266" s="3934" t="n"/>
      <c r="AQ266" s="3934" t="n"/>
      <c r="AR266" s="3934" t="n"/>
    </row>
    <row r="267">
      <c r="A267" s="3941" t="n"/>
      <c r="B267" s="3944" t="n"/>
      <c r="C267" s="3944" t="n"/>
      <c r="D267" s="3944" t="n"/>
      <c r="E267" s="3944" t="n"/>
      <c r="F267" s="3944" t="n"/>
      <c r="G267" s="3944" t="n"/>
      <c r="H267" s="3944" t="n"/>
      <c r="I267" s="3944" t="n"/>
      <c r="J267" s="3944" t="n"/>
      <c r="K267" s="3942">
        <f>IF(A267="","",SUM(E267:J267))</f>
        <v/>
      </c>
      <c r="L267" s="3934" t="n"/>
      <c r="M267" s="3934" t="n"/>
      <c r="N267" s="3934" t="n"/>
      <c r="O267" s="3934" t="n"/>
      <c r="P267" s="3934" t="n"/>
      <c r="Q267" s="3934" t="n"/>
      <c r="R267" s="3934" t="n"/>
      <c r="S267" s="3934" t="n"/>
      <c r="T267" s="3934" t="n"/>
      <c r="U267" s="3934" t="n"/>
      <c r="V267" s="3934" t="n"/>
      <c r="W267" s="3934" t="n"/>
      <c r="X267" s="3934" t="n"/>
      <c r="Y267" s="3934" t="n"/>
      <c r="Z267" s="3934" t="n"/>
      <c r="AA267" s="3934" t="n"/>
      <c r="AB267" s="3934" t="n"/>
      <c r="AC267" s="3934" t="n"/>
      <c r="AD267" s="3934" t="n"/>
      <c r="AE267" s="3934" t="n"/>
      <c r="AF267" s="3934" t="n"/>
      <c r="AG267" s="3934" t="n"/>
      <c r="AH267" s="3934" t="n"/>
      <c r="AI267" s="3934" t="n"/>
      <c r="AJ267" s="3934" t="n"/>
      <c r="AK267" s="3934" t="n"/>
      <c r="AL267" s="3934" t="n"/>
      <c r="AM267" s="3934" t="n"/>
      <c r="AN267" s="3934" t="n"/>
      <c r="AO267" s="3934" t="n"/>
      <c r="AP267" s="3934" t="n"/>
      <c r="AQ267" s="3934" t="n"/>
      <c r="AR267" s="3934" t="n"/>
    </row>
    <row r="268">
      <c r="A268" s="3941" t="n"/>
      <c r="B268" s="3944" t="n"/>
      <c r="C268" s="3944" t="n"/>
      <c r="D268" s="3944" t="n"/>
      <c r="E268" s="3944" t="n"/>
      <c r="F268" s="3944" t="n"/>
      <c r="G268" s="3944" t="n"/>
      <c r="H268" s="3944" t="n"/>
      <c r="I268" s="3944" t="n"/>
      <c r="J268" s="3944" t="n"/>
      <c r="K268" s="3942">
        <f>IF(A268="","",SUM(E268:J268))</f>
        <v/>
      </c>
      <c r="L268" s="3934" t="n"/>
      <c r="M268" s="3934" t="n"/>
      <c r="N268" s="3934" t="n"/>
      <c r="O268" s="3934" t="n"/>
      <c r="P268" s="3934" t="n"/>
      <c r="Q268" s="3934" t="n"/>
      <c r="R268" s="3934" t="n"/>
      <c r="S268" s="3934" t="n"/>
      <c r="T268" s="3934" t="n"/>
      <c r="U268" s="3934" t="n"/>
      <c r="V268" s="3934" t="n"/>
      <c r="W268" s="3934" t="n"/>
      <c r="X268" s="3934" t="n"/>
      <c r="Y268" s="3934" t="n"/>
      <c r="Z268" s="3934" t="n"/>
      <c r="AA268" s="3934" t="n"/>
      <c r="AB268" s="3934" t="n"/>
      <c r="AC268" s="3934" t="n"/>
      <c r="AD268" s="3934" t="n"/>
      <c r="AE268" s="3934" t="n"/>
      <c r="AF268" s="3934" t="n"/>
      <c r="AG268" s="3934" t="n"/>
      <c r="AH268" s="3934" t="n"/>
      <c r="AI268" s="3934" t="n"/>
      <c r="AJ268" s="3934" t="n"/>
      <c r="AK268" s="3934" t="n"/>
      <c r="AL268" s="3934" t="n"/>
      <c r="AM268" s="3934" t="n"/>
      <c r="AN268" s="3934" t="n"/>
      <c r="AO268" s="3934" t="n"/>
      <c r="AP268" s="3934" t="n"/>
      <c r="AQ268" s="3934" t="n"/>
      <c r="AR268" s="3934" t="n"/>
    </row>
    <row r="269">
      <c r="A269" s="3941" t="n"/>
      <c r="B269" s="3944" t="n"/>
      <c r="C269" s="3944" t="n"/>
      <c r="D269" s="3944" t="n"/>
      <c r="E269" s="3944" t="n"/>
      <c r="F269" s="3944" t="n"/>
      <c r="G269" s="3944" t="n"/>
      <c r="H269" s="3944" t="n"/>
      <c r="I269" s="3944" t="n"/>
      <c r="J269" s="3944" t="n"/>
      <c r="K269" s="3942">
        <f>IF(A269="","",SUM(E269:J269))</f>
        <v/>
      </c>
      <c r="L269" s="3934" t="n"/>
      <c r="M269" s="3934" t="n"/>
      <c r="N269" s="3934" t="n"/>
      <c r="O269" s="3934" t="n"/>
      <c r="P269" s="3934" t="n"/>
      <c r="Q269" s="3934" t="n"/>
      <c r="R269" s="3934" t="n"/>
      <c r="S269" s="3934" t="n"/>
      <c r="T269" s="3934" t="n"/>
      <c r="U269" s="3934" t="n"/>
      <c r="V269" s="3934" t="n"/>
      <c r="W269" s="3934" t="n"/>
      <c r="X269" s="3934" t="n"/>
      <c r="Y269" s="3934" t="n"/>
      <c r="Z269" s="3934" t="n"/>
      <c r="AA269" s="3934" t="n"/>
      <c r="AB269" s="3934" t="n"/>
      <c r="AC269" s="3934" t="n"/>
      <c r="AD269" s="3934" t="n"/>
      <c r="AE269" s="3934" t="n"/>
      <c r="AF269" s="3934" t="n"/>
      <c r="AG269" s="3934" t="n"/>
      <c r="AH269" s="3934" t="n"/>
      <c r="AI269" s="3934" t="n"/>
      <c r="AJ269" s="3934" t="n"/>
      <c r="AK269" s="3934" t="n"/>
      <c r="AL269" s="3934" t="n"/>
      <c r="AM269" s="3934" t="n"/>
      <c r="AN269" s="3934" t="n"/>
      <c r="AO269" s="3934" t="n"/>
      <c r="AP269" s="3934" t="n"/>
      <c r="AQ269" s="3934" t="n"/>
      <c r="AR269" s="3934" t="n"/>
    </row>
    <row r="270">
      <c r="A270" s="3941" t="n"/>
      <c r="B270" s="3944" t="n"/>
      <c r="C270" s="3944" t="n"/>
      <c r="D270" s="3944" t="n"/>
      <c r="E270" s="3944" t="n"/>
      <c r="F270" s="3944" t="n"/>
      <c r="G270" s="3944" t="n"/>
      <c r="H270" s="3944" t="n"/>
      <c r="I270" s="3944" t="n"/>
      <c r="J270" s="3944" t="n"/>
      <c r="K270" s="3942">
        <f>IF(A270="","",SUM(E270:J270))</f>
        <v/>
      </c>
      <c r="L270" s="3934" t="n"/>
      <c r="M270" s="3934" t="n"/>
      <c r="N270" s="3934" t="n"/>
      <c r="O270" s="3934" t="n"/>
      <c r="P270" s="3934" t="n"/>
      <c r="Q270" s="3934" t="n"/>
      <c r="R270" s="3934" t="n"/>
      <c r="S270" s="3934" t="n"/>
      <c r="T270" s="3934" t="n"/>
      <c r="U270" s="3934" t="n"/>
      <c r="V270" s="3934" t="n"/>
      <c r="W270" s="3934" t="n"/>
      <c r="X270" s="3934" t="n"/>
      <c r="Y270" s="3934" t="n"/>
      <c r="Z270" s="3934" t="n"/>
      <c r="AA270" s="3934" t="n"/>
      <c r="AB270" s="3934" t="n"/>
      <c r="AC270" s="3934" t="n"/>
      <c r="AD270" s="3934" t="n"/>
      <c r="AE270" s="3934" t="n"/>
      <c r="AF270" s="3934" t="n"/>
      <c r="AG270" s="3934" t="n"/>
      <c r="AH270" s="3934" t="n"/>
      <c r="AI270" s="3934" t="n"/>
      <c r="AJ270" s="3934" t="n"/>
      <c r="AK270" s="3934" t="n"/>
      <c r="AL270" s="3934" t="n"/>
      <c r="AM270" s="3934" t="n"/>
      <c r="AN270" s="3934" t="n"/>
      <c r="AO270" s="3934" t="n"/>
      <c r="AP270" s="3934" t="n"/>
      <c r="AQ270" s="3934" t="n"/>
      <c r="AR270" s="3934" t="n"/>
    </row>
    <row r="271">
      <c r="A271" s="3941" t="n"/>
      <c r="B271" s="3944" t="n"/>
      <c r="C271" s="3944" t="n"/>
      <c r="D271" s="3944" t="n"/>
      <c r="E271" s="3944" t="n"/>
      <c r="F271" s="3944" t="n"/>
      <c r="G271" s="3944" t="n"/>
      <c r="H271" s="3944" t="n"/>
      <c r="I271" s="3944" t="n"/>
      <c r="J271" s="3944" t="n"/>
      <c r="K271" s="3942">
        <f>IF(A271="","",SUM(E271:J271))</f>
        <v/>
      </c>
      <c r="L271" s="3934" t="n"/>
      <c r="M271" s="3934" t="n"/>
      <c r="N271" s="3934" t="n"/>
      <c r="O271" s="3934" t="n"/>
      <c r="P271" s="3934" t="n"/>
      <c r="Q271" s="3934" t="n"/>
      <c r="R271" s="3934" t="n"/>
      <c r="S271" s="3934" t="n"/>
      <c r="T271" s="3934" t="n"/>
      <c r="U271" s="3934" t="n"/>
      <c r="V271" s="3934" t="n"/>
      <c r="W271" s="3934" t="n"/>
      <c r="X271" s="3934" t="n"/>
      <c r="Y271" s="3934" t="n"/>
      <c r="Z271" s="3934" t="n"/>
      <c r="AA271" s="3934" t="n"/>
      <c r="AB271" s="3934" t="n"/>
      <c r="AC271" s="3934" t="n"/>
      <c r="AD271" s="3934" t="n"/>
      <c r="AE271" s="3934" t="n"/>
      <c r="AF271" s="3934" t="n"/>
      <c r="AG271" s="3934" t="n"/>
      <c r="AH271" s="3934" t="n"/>
      <c r="AI271" s="3934" t="n"/>
      <c r="AJ271" s="3934" t="n"/>
      <c r="AK271" s="3934" t="n"/>
      <c r="AL271" s="3934" t="n"/>
      <c r="AM271" s="3934" t="n"/>
      <c r="AN271" s="3934" t="n"/>
      <c r="AO271" s="3934" t="n"/>
      <c r="AP271" s="3934" t="n"/>
      <c r="AQ271" s="3934" t="n"/>
      <c r="AR271" s="3934" t="n"/>
    </row>
    <row r="272">
      <c r="A272" s="3941" t="n"/>
      <c r="B272" s="3944" t="n"/>
      <c r="C272" s="3944" t="n"/>
      <c r="D272" s="3944" t="n"/>
      <c r="E272" s="3944" t="n"/>
      <c r="F272" s="3944" t="n"/>
      <c r="G272" s="3944" t="n"/>
      <c r="H272" s="3944" t="n"/>
      <c r="I272" s="3944" t="n"/>
      <c r="J272" s="3944" t="n"/>
      <c r="K272" s="3942">
        <f>IF(A272="","",SUM(E272:J272))</f>
        <v/>
      </c>
      <c r="L272" s="3934" t="n"/>
      <c r="M272" s="3934" t="n"/>
      <c r="N272" s="3934" t="n"/>
      <c r="O272" s="3934" t="n"/>
      <c r="P272" s="3934" t="n"/>
      <c r="Q272" s="3934" t="n"/>
      <c r="R272" s="3934" t="n"/>
      <c r="S272" s="3934" t="n"/>
      <c r="T272" s="3934" t="n"/>
      <c r="U272" s="3934" t="n"/>
      <c r="V272" s="3934" t="n"/>
      <c r="W272" s="3934" t="n"/>
      <c r="X272" s="3934" t="n"/>
      <c r="Y272" s="3934" t="n"/>
      <c r="Z272" s="3934" t="n"/>
      <c r="AA272" s="3934" t="n"/>
      <c r="AB272" s="3934" t="n"/>
      <c r="AC272" s="3934" t="n"/>
      <c r="AD272" s="3934" t="n"/>
      <c r="AE272" s="3934" t="n"/>
      <c r="AF272" s="3934" t="n"/>
      <c r="AG272" s="3934" t="n"/>
      <c r="AH272" s="3934" t="n"/>
      <c r="AI272" s="3934" t="n"/>
      <c r="AJ272" s="3934" t="n"/>
      <c r="AK272" s="3934" t="n"/>
      <c r="AL272" s="3934" t="n"/>
      <c r="AM272" s="3934" t="n"/>
      <c r="AN272" s="3934" t="n"/>
      <c r="AO272" s="3934" t="n"/>
      <c r="AP272" s="3934" t="n"/>
      <c r="AQ272" s="3934" t="n"/>
      <c r="AR272" s="3934" t="n"/>
    </row>
    <row r="273">
      <c r="A273" s="3941" t="n"/>
      <c r="B273" s="3944" t="n"/>
      <c r="C273" s="3944" t="n"/>
      <c r="D273" s="3944" t="n"/>
      <c r="E273" s="3944" t="n"/>
      <c r="F273" s="3944" t="n"/>
      <c r="G273" s="3944" t="n"/>
      <c r="H273" s="3944" t="n"/>
      <c r="I273" s="3944" t="n"/>
      <c r="J273" s="3944" t="n"/>
      <c r="K273" s="3942">
        <f>IF(A273="","",SUM(E273:J273))</f>
        <v/>
      </c>
      <c r="L273" s="3934" t="n"/>
      <c r="M273" s="3934" t="n"/>
      <c r="N273" s="3934" t="n"/>
      <c r="O273" s="3934" t="n"/>
      <c r="P273" s="3934" t="n"/>
      <c r="Q273" s="3934" t="n"/>
      <c r="R273" s="3934" t="n"/>
      <c r="S273" s="3934" t="n"/>
      <c r="T273" s="3934" t="n"/>
      <c r="U273" s="3934" t="n"/>
      <c r="V273" s="3934" t="n"/>
      <c r="W273" s="3934" t="n"/>
      <c r="X273" s="3934" t="n"/>
      <c r="Y273" s="3934" t="n"/>
      <c r="Z273" s="3934" t="n"/>
      <c r="AA273" s="3934" t="n"/>
      <c r="AB273" s="3934" t="n"/>
      <c r="AC273" s="3934" t="n"/>
      <c r="AD273" s="3934" t="n"/>
      <c r="AE273" s="3934" t="n"/>
      <c r="AF273" s="3934" t="n"/>
      <c r="AG273" s="3934" t="n"/>
      <c r="AH273" s="3934" t="n"/>
      <c r="AI273" s="3934" t="n"/>
      <c r="AJ273" s="3934" t="n"/>
      <c r="AK273" s="3934" t="n"/>
      <c r="AL273" s="3934" t="n"/>
      <c r="AM273" s="3934" t="n"/>
      <c r="AN273" s="3934" t="n"/>
      <c r="AO273" s="3934" t="n"/>
      <c r="AP273" s="3934" t="n"/>
      <c r="AQ273" s="3934" t="n"/>
      <c r="AR273" s="3934" t="n"/>
    </row>
    <row r="274">
      <c r="A274" s="3941" t="n"/>
      <c r="B274" s="3944" t="n"/>
      <c r="C274" s="3944" t="n"/>
      <c r="D274" s="3944" t="n"/>
      <c r="E274" s="3944" t="n"/>
      <c r="F274" s="3944" t="n"/>
      <c r="G274" s="3944" t="n"/>
      <c r="H274" s="3944" t="n"/>
      <c r="I274" s="3944" t="n"/>
      <c r="J274" s="3944" t="n"/>
      <c r="K274" s="3942">
        <f>IF(A274="","",SUM(E274:J274))</f>
        <v/>
      </c>
      <c r="L274" s="3934" t="n"/>
      <c r="M274" s="3934" t="n"/>
      <c r="N274" s="3934" t="n"/>
      <c r="O274" s="3934" t="n"/>
      <c r="P274" s="3934" t="n"/>
      <c r="Q274" s="3934" t="n"/>
      <c r="R274" s="3934" t="n"/>
      <c r="S274" s="3934" t="n"/>
      <c r="T274" s="3934" t="n"/>
      <c r="U274" s="3934" t="n"/>
      <c r="V274" s="3934" t="n"/>
      <c r="W274" s="3934" t="n"/>
      <c r="X274" s="3934" t="n"/>
      <c r="Y274" s="3934" t="n"/>
      <c r="Z274" s="3934" t="n"/>
      <c r="AA274" s="3934" t="n"/>
      <c r="AB274" s="3934" t="n"/>
      <c r="AC274" s="3934" t="n"/>
      <c r="AD274" s="3934" t="n"/>
      <c r="AE274" s="3934" t="n"/>
      <c r="AF274" s="3934" t="n"/>
      <c r="AG274" s="3934" t="n"/>
      <c r="AH274" s="3934" t="n"/>
      <c r="AI274" s="3934" t="n"/>
      <c r="AJ274" s="3934" t="n"/>
      <c r="AK274" s="3934" t="n"/>
      <c r="AL274" s="3934" t="n"/>
      <c r="AM274" s="3934" t="n"/>
      <c r="AN274" s="3934" t="n"/>
      <c r="AO274" s="3934" t="n"/>
      <c r="AP274" s="3934" t="n"/>
      <c r="AQ274" s="3934" t="n"/>
      <c r="AR274" s="3934" t="n"/>
    </row>
    <row r="275">
      <c r="A275" s="3941" t="n"/>
      <c r="B275" s="3944" t="n"/>
      <c r="C275" s="3944" t="n"/>
      <c r="D275" s="3944" t="n"/>
      <c r="E275" s="3944" t="n"/>
      <c r="F275" s="3944" t="n"/>
      <c r="G275" s="3944" t="n"/>
      <c r="H275" s="3944" t="n"/>
      <c r="I275" s="3944" t="n"/>
      <c r="J275" s="3944" t="n"/>
      <c r="K275" s="3942">
        <f>IF(A275="","",SUM(E275:J275))</f>
        <v/>
      </c>
      <c r="L275" s="3934" t="n"/>
      <c r="M275" s="3934" t="n"/>
      <c r="N275" s="3934" t="n"/>
      <c r="O275" s="3934" t="n"/>
      <c r="P275" s="3934" t="n"/>
      <c r="Q275" s="3934" t="n"/>
      <c r="R275" s="3934" t="n"/>
      <c r="S275" s="3934" t="n"/>
      <c r="T275" s="3934" t="n"/>
      <c r="U275" s="3934" t="n"/>
      <c r="V275" s="3934" t="n"/>
      <c r="W275" s="3934" t="n"/>
      <c r="X275" s="3934" t="n"/>
      <c r="Y275" s="3934" t="n"/>
      <c r="Z275" s="3934" t="n"/>
      <c r="AA275" s="3934" t="n"/>
      <c r="AB275" s="3934" t="n"/>
      <c r="AC275" s="3934" t="n"/>
      <c r="AD275" s="3934" t="n"/>
      <c r="AE275" s="3934" t="n"/>
      <c r="AF275" s="3934" t="n"/>
      <c r="AG275" s="3934" t="n"/>
      <c r="AH275" s="3934" t="n"/>
      <c r="AI275" s="3934" t="n"/>
      <c r="AJ275" s="3934" t="n"/>
      <c r="AK275" s="3934" t="n"/>
      <c r="AL275" s="3934" t="n"/>
      <c r="AM275" s="3934" t="n"/>
      <c r="AN275" s="3934" t="n"/>
      <c r="AO275" s="3934" t="n"/>
      <c r="AP275" s="3934" t="n"/>
      <c r="AQ275" s="3934" t="n"/>
      <c r="AR275" s="3934" t="n"/>
    </row>
    <row r="276">
      <c r="A276" s="3941" t="n"/>
      <c r="B276" s="3944" t="n"/>
      <c r="C276" s="3944" t="n"/>
      <c r="D276" s="3944" t="n"/>
      <c r="E276" s="3944" t="n"/>
      <c r="F276" s="3944" t="n"/>
      <c r="G276" s="3944" t="n"/>
      <c r="H276" s="3944" t="n"/>
      <c r="I276" s="3944" t="n"/>
      <c r="J276" s="3944" t="n"/>
      <c r="K276" s="3942">
        <f>IF(A276="","",SUM(E276:J276))</f>
        <v/>
      </c>
      <c r="L276" s="3934" t="n"/>
      <c r="M276" s="3934" t="n"/>
      <c r="N276" s="3934" t="n"/>
      <c r="O276" s="3934" t="n"/>
      <c r="P276" s="3934" t="n"/>
      <c r="Q276" s="3934" t="n"/>
      <c r="R276" s="3934" t="n"/>
      <c r="S276" s="3934" t="n"/>
      <c r="T276" s="3934" t="n"/>
      <c r="U276" s="3934" t="n"/>
      <c r="V276" s="3934" t="n"/>
      <c r="W276" s="3934" t="n"/>
      <c r="X276" s="3934" t="n"/>
      <c r="Y276" s="3934" t="n"/>
      <c r="Z276" s="3934" t="n"/>
      <c r="AA276" s="3934" t="n"/>
      <c r="AB276" s="3934" t="n"/>
      <c r="AC276" s="3934" t="n"/>
      <c r="AD276" s="3934" t="n"/>
      <c r="AE276" s="3934" t="n"/>
      <c r="AF276" s="3934" t="n"/>
      <c r="AG276" s="3934" t="n"/>
      <c r="AH276" s="3934" t="n"/>
      <c r="AI276" s="3934" t="n"/>
      <c r="AJ276" s="3934" t="n"/>
      <c r="AK276" s="3934" t="n"/>
      <c r="AL276" s="3934" t="n"/>
      <c r="AM276" s="3934" t="n"/>
      <c r="AN276" s="3934" t="n"/>
      <c r="AO276" s="3934" t="n"/>
      <c r="AP276" s="3934" t="n"/>
      <c r="AQ276" s="3934" t="n"/>
      <c r="AR276" s="3934" t="n"/>
    </row>
    <row r="277">
      <c r="A277" s="3941" t="n"/>
      <c r="B277" s="3944" t="n"/>
      <c r="C277" s="3944" t="n"/>
      <c r="D277" s="3944" t="n"/>
      <c r="E277" s="3944" t="n"/>
      <c r="F277" s="3944" t="n"/>
      <c r="G277" s="3944" t="n"/>
      <c r="H277" s="3944" t="n"/>
      <c r="I277" s="3944" t="n"/>
      <c r="J277" s="3944" t="n"/>
      <c r="K277" s="3942">
        <f>IF(A277="","",SUM(E277:J277))</f>
        <v/>
      </c>
      <c r="L277" s="3934" t="n"/>
      <c r="M277" s="3934" t="n"/>
      <c r="N277" s="3934" t="n"/>
      <c r="O277" s="3934" t="n"/>
      <c r="P277" s="3934" t="n"/>
      <c r="Q277" s="3934" t="n"/>
      <c r="R277" s="3934" t="n"/>
      <c r="S277" s="3934" t="n"/>
      <c r="T277" s="3934" t="n"/>
      <c r="U277" s="3934" t="n"/>
      <c r="V277" s="3934" t="n"/>
      <c r="W277" s="3934" t="n"/>
      <c r="X277" s="3934" t="n"/>
      <c r="Y277" s="3934" t="n"/>
      <c r="Z277" s="3934" t="n"/>
      <c r="AA277" s="3934" t="n"/>
      <c r="AB277" s="3934" t="n"/>
      <c r="AC277" s="3934" t="n"/>
      <c r="AD277" s="3934" t="n"/>
      <c r="AE277" s="3934" t="n"/>
      <c r="AF277" s="3934" t="n"/>
      <c r="AG277" s="3934" t="n"/>
      <c r="AH277" s="3934" t="n"/>
      <c r="AI277" s="3934" t="n"/>
      <c r="AJ277" s="3934" t="n"/>
      <c r="AK277" s="3934" t="n"/>
      <c r="AL277" s="3934" t="n"/>
      <c r="AM277" s="3934" t="n"/>
      <c r="AN277" s="3934" t="n"/>
      <c r="AO277" s="3934" t="n"/>
      <c r="AP277" s="3934" t="n"/>
      <c r="AQ277" s="3934" t="n"/>
      <c r="AR277" s="3934" t="n"/>
    </row>
    <row r="278">
      <c r="A278" s="3941" t="n"/>
      <c r="B278" s="3944" t="n"/>
      <c r="C278" s="3944" t="n"/>
      <c r="D278" s="3944" t="n"/>
      <c r="E278" s="3944" t="n"/>
      <c r="F278" s="3944" t="n"/>
      <c r="G278" s="3944" t="n"/>
      <c r="H278" s="3944" t="n"/>
      <c r="I278" s="3944" t="n"/>
      <c r="J278" s="3944" t="n"/>
      <c r="K278" s="3942">
        <f>IF(A278="","",SUM(E278:J278))</f>
        <v/>
      </c>
      <c r="L278" s="3934" t="n"/>
      <c r="M278" s="3934" t="n"/>
      <c r="N278" s="3934" t="n"/>
      <c r="O278" s="3934" t="n"/>
      <c r="P278" s="3934" t="n"/>
      <c r="Q278" s="3934" t="n"/>
      <c r="R278" s="3934" t="n"/>
      <c r="S278" s="3934" t="n"/>
      <c r="T278" s="3934" t="n"/>
      <c r="U278" s="3934" t="n"/>
      <c r="V278" s="3934" t="n"/>
      <c r="W278" s="3934" t="n"/>
      <c r="X278" s="3934" t="n"/>
      <c r="Y278" s="3934" t="n"/>
      <c r="Z278" s="3934" t="n"/>
      <c r="AA278" s="3934" t="n"/>
      <c r="AB278" s="3934" t="n"/>
      <c r="AC278" s="3934" t="n"/>
      <c r="AD278" s="3934" t="n"/>
      <c r="AE278" s="3934" t="n"/>
      <c r="AF278" s="3934" t="n"/>
      <c r="AG278" s="3934" t="n"/>
      <c r="AH278" s="3934" t="n"/>
      <c r="AI278" s="3934" t="n"/>
      <c r="AJ278" s="3934" t="n"/>
      <c r="AK278" s="3934" t="n"/>
      <c r="AL278" s="3934" t="n"/>
      <c r="AM278" s="3934" t="n"/>
      <c r="AN278" s="3934" t="n"/>
      <c r="AO278" s="3934" t="n"/>
      <c r="AP278" s="3934" t="n"/>
      <c r="AQ278" s="3934" t="n"/>
      <c r="AR278" s="3934" t="n"/>
    </row>
    <row r="279">
      <c r="A279" s="3941" t="n"/>
      <c r="B279" s="3944" t="n"/>
      <c r="C279" s="3944" t="n"/>
      <c r="D279" s="3944" t="n"/>
      <c r="E279" s="3944" t="n"/>
      <c r="F279" s="3944" t="n"/>
      <c r="G279" s="3944" t="n"/>
      <c r="H279" s="3944" t="n"/>
      <c r="I279" s="3944" t="n"/>
      <c r="J279" s="3944" t="n"/>
      <c r="K279" s="3942">
        <f>IF(A279="","",SUM(E279:J279))</f>
        <v/>
      </c>
      <c r="L279" s="3934" t="n"/>
      <c r="M279" s="3934" t="n"/>
      <c r="N279" s="3934" t="n"/>
      <c r="O279" s="3934" t="n"/>
      <c r="P279" s="3934" t="n"/>
      <c r="Q279" s="3934" t="n"/>
      <c r="R279" s="3934" t="n"/>
      <c r="S279" s="3934" t="n"/>
      <c r="T279" s="3934" t="n"/>
      <c r="U279" s="3934" t="n"/>
      <c r="V279" s="3934" t="n"/>
      <c r="W279" s="3934" t="n"/>
      <c r="X279" s="3934" t="n"/>
      <c r="Y279" s="3934" t="n"/>
      <c r="Z279" s="3934" t="n"/>
      <c r="AA279" s="3934" t="n"/>
      <c r="AB279" s="3934" t="n"/>
      <c r="AC279" s="3934" t="n"/>
      <c r="AD279" s="3934" t="n"/>
      <c r="AE279" s="3934" t="n"/>
      <c r="AF279" s="3934" t="n"/>
      <c r="AG279" s="3934" t="n"/>
      <c r="AH279" s="3934" t="n"/>
      <c r="AI279" s="3934" t="n"/>
      <c r="AJ279" s="3934" t="n"/>
      <c r="AK279" s="3934" t="n"/>
      <c r="AL279" s="3934" t="n"/>
      <c r="AM279" s="3934" t="n"/>
      <c r="AN279" s="3934" t="n"/>
      <c r="AO279" s="3934" t="n"/>
      <c r="AP279" s="3934" t="n"/>
      <c r="AQ279" s="3934" t="n"/>
      <c r="AR279" s="3934" t="n"/>
    </row>
    <row r="280">
      <c r="A280" s="3941" t="n"/>
      <c r="B280" s="3944" t="n"/>
      <c r="C280" s="3944" t="n"/>
      <c r="D280" s="3944" t="n"/>
      <c r="E280" s="3944" t="n"/>
      <c r="F280" s="3944" t="n"/>
      <c r="G280" s="3944" t="n"/>
      <c r="H280" s="3944" t="n"/>
      <c r="I280" s="3944" t="n"/>
      <c r="J280" s="3944" t="n"/>
      <c r="K280" s="3942">
        <f>IF(A280="","",SUM(E280:J280))</f>
        <v/>
      </c>
      <c r="L280" s="3934" t="n"/>
      <c r="M280" s="3934" t="n"/>
      <c r="N280" s="3934" t="n"/>
      <c r="O280" s="3934" t="n"/>
      <c r="P280" s="3934" t="n"/>
      <c r="Q280" s="3934" t="n"/>
      <c r="R280" s="3934" t="n"/>
      <c r="S280" s="3934" t="n"/>
      <c r="T280" s="3934" t="n"/>
      <c r="U280" s="3934" t="n"/>
      <c r="V280" s="3934" t="n"/>
      <c r="W280" s="3934" t="n"/>
      <c r="X280" s="3934" t="n"/>
      <c r="Y280" s="3934" t="n"/>
      <c r="Z280" s="3934" t="n"/>
      <c r="AA280" s="3934" t="n"/>
      <c r="AB280" s="3934" t="n"/>
      <c r="AC280" s="3934" t="n"/>
      <c r="AD280" s="3934" t="n"/>
      <c r="AE280" s="3934" t="n"/>
      <c r="AF280" s="3934" t="n"/>
      <c r="AG280" s="3934" t="n"/>
      <c r="AH280" s="3934" t="n"/>
      <c r="AI280" s="3934" t="n"/>
      <c r="AJ280" s="3934" t="n"/>
      <c r="AK280" s="3934" t="n"/>
      <c r="AL280" s="3934" t="n"/>
      <c r="AM280" s="3934" t="n"/>
      <c r="AN280" s="3934" t="n"/>
      <c r="AO280" s="3934" t="n"/>
      <c r="AP280" s="3934" t="n"/>
      <c r="AQ280" s="3934" t="n"/>
      <c r="AR280" s="3934" t="n"/>
    </row>
    <row r="281">
      <c r="A281" s="3941" t="n"/>
      <c r="B281" s="3944" t="n"/>
      <c r="C281" s="3944" t="n"/>
      <c r="D281" s="3944" t="n"/>
      <c r="E281" s="3944" t="n"/>
      <c r="F281" s="3944" t="n"/>
      <c r="G281" s="3944" t="n"/>
      <c r="H281" s="3944" t="n"/>
      <c r="I281" s="3944" t="n"/>
      <c r="J281" s="3944" t="n"/>
      <c r="K281" s="3942">
        <f>IF(A281="","",SUM(E281:J281))</f>
        <v/>
      </c>
      <c r="L281" s="3934" t="n"/>
      <c r="M281" s="3934" t="n"/>
      <c r="N281" s="3934" t="n"/>
      <c r="O281" s="3934" t="n"/>
      <c r="P281" s="3934" t="n"/>
      <c r="Q281" s="3934" t="n"/>
      <c r="R281" s="3934" t="n"/>
      <c r="S281" s="3934" t="n"/>
      <c r="T281" s="3934" t="n"/>
      <c r="U281" s="3934" t="n"/>
      <c r="V281" s="3934" t="n"/>
      <c r="W281" s="3934" t="n"/>
      <c r="X281" s="3934" t="n"/>
      <c r="Y281" s="3934" t="n"/>
      <c r="Z281" s="3934" t="n"/>
      <c r="AA281" s="3934" t="n"/>
      <c r="AB281" s="3934" t="n"/>
      <c r="AC281" s="3934" t="n"/>
      <c r="AD281" s="3934" t="n"/>
      <c r="AE281" s="3934" t="n"/>
      <c r="AF281" s="3934" t="n"/>
      <c r="AG281" s="3934" t="n"/>
      <c r="AH281" s="3934" t="n"/>
      <c r="AI281" s="3934" t="n"/>
      <c r="AJ281" s="3934" t="n"/>
      <c r="AK281" s="3934" t="n"/>
      <c r="AL281" s="3934" t="n"/>
      <c r="AM281" s="3934" t="n"/>
      <c r="AN281" s="3934" t="n"/>
      <c r="AO281" s="3934" t="n"/>
      <c r="AP281" s="3934" t="n"/>
      <c r="AQ281" s="3934" t="n"/>
      <c r="AR281" s="3934" t="n"/>
    </row>
    <row r="282">
      <c r="A282" s="3941" t="n"/>
      <c r="B282" s="3944" t="n"/>
      <c r="C282" s="3944" t="n"/>
      <c r="D282" s="3944" t="n"/>
      <c r="E282" s="3944" t="n"/>
      <c r="F282" s="3944" t="n"/>
      <c r="G282" s="3944" t="n"/>
      <c r="H282" s="3944" t="n"/>
      <c r="I282" s="3944" t="n"/>
      <c r="J282" s="3944" t="n"/>
      <c r="K282" s="3942">
        <f>IF(A282="","",SUM(E282:J282))</f>
        <v/>
      </c>
      <c r="L282" s="3934" t="n"/>
      <c r="M282" s="3934" t="n"/>
      <c r="N282" s="3934" t="n"/>
      <c r="O282" s="3934" t="n"/>
      <c r="P282" s="3934" t="n"/>
      <c r="Q282" s="3934" t="n"/>
      <c r="R282" s="3934" t="n"/>
      <c r="S282" s="3934" t="n"/>
      <c r="T282" s="3934" t="n"/>
      <c r="U282" s="3934" t="n"/>
      <c r="V282" s="3934" t="n"/>
      <c r="W282" s="3934" t="n"/>
      <c r="X282" s="3934" t="n"/>
      <c r="Y282" s="3934" t="n"/>
      <c r="Z282" s="3934" t="n"/>
      <c r="AA282" s="3934" t="n"/>
      <c r="AB282" s="3934" t="n"/>
      <c r="AC282" s="3934" t="n"/>
      <c r="AD282" s="3934" t="n"/>
      <c r="AE282" s="3934" t="n"/>
      <c r="AF282" s="3934" t="n"/>
      <c r="AG282" s="3934" t="n"/>
      <c r="AH282" s="3934" t="n"/>
      <c r="AI282" s="3934" t="n"/>
      <c r="AJ282" s="3934" t="n"/>
      <c r="AK282" s="3934" t="n"/>
      <c r="AL282" s="3934" t="n"/>
      <c r="AM282" s="3934" t="n"/>
      <c r="AN282" s="3934" t="n"/>
      <c r="AO282" s="3934" t="n"/>
      <c r="AP282" s="3934" t="n"/>
      <c r="AQ282" s="3934" t="n"/>
      <c r="AR282" s="3934" t="n"/>
    </row>
    <row r="283">
      <c r="A283" s="3941" t="n"/>
      <c r="B283" s="3944" t="n"/>
      <c r="C283" s="3944" t="n"/>
      <c r="D283" s="3944" t="n"/>
      <c r="E283" s="3944" t="n"/>
      <c r="F283" s="3944" t="n"/>
      <c r="G283" s="3944" t="n"/>
      <c r="H283" s="3944" t="n"/>
      <c r="I283" s="3944" t="n"/>
      <c r="J283" s="3944" t="n"/>
      <c r="K283" s="3942">
        <f>IF(A283="","",SUM(E283:J283))</f>
        <v/>
      </c>
      <c r="L283" s="3934" t="n"/>
      <c r="M283" s="3934" t="n"/>
      <c r="N283" s="3934" t="n"/>
      <c r="O283" s="3934" t="n"/>
      <c r="P283" s="3934" t="n"/>
      <c r="Q283" s="3934" t="n"/>
      <c r="R283" s="3934" t="n"/>
      <c r="S283" s="3934" t="n"/>
      <c r="T283" s="3934" t="n"/>
      <c r="U283" s="3934" t="n"/>
      <c r="V283" s="3934" t="n"/>
      <c r="W283" s="3934" t="n"/>
      <c r="X283" s="3934" t="n"/>
      <c r="Y283" s="3934" t="n"/>
      <c r="Z283" s="3934" t="n"/>
      <c r="AA283" s="3934" t="n"/>
      <c r="AB283" s="3934" t="n"/>
      <c r="AC283" s="3934" t="n"/>
      <c r="AD283" s="3934" t="n"/>
      <c r="AE283" s="3934" t="n"/>
      <c r="AF283" s="3934" t="n"/>
      <c r="AG283" s="3934" t="n"/>
      <c r="AH283" s="3934" t="n"/>
      <c r="AI283" s="3934" t="n"/>
      <c r="AJ283" s="3934" t="n"/>
      <c r="AK283" s="3934" t="n"/>
      <c r="AL283" s="3934" t="n"/>
      <c r="AM283" s="3934" t="n"/>
      <c r="AN283" s="3934" t="n"/>
      <c r="AO283" s="3934" t="n"/>
      <c r="AP283" s="3934" t="n"/>
      <c r="AQ283" s="3934" t="n"/>
      <c r="AR283" s="3934" t="n"/>
    </row>
    <row r="284">
      <c r="A284" s="3941" t="n"/>
      <c r="B284" s="3944" t="n"/>
      <c r="C284" s="3944" t="n"/>
      <c r="D284" s="3944" t="n"/>
      <c r="E284" s="3944" t="n"/>
      <c r="F284" s="3944" t="n"/>
      <c r="G284" s="3944" t="n"/>
      <c r="H284" s="3944" t="n"/>
      <c r="I284" s="3944" t="n"/>
      <c r="J284" s="3944" t="n"/>
      <c r="K284" s="3942">
        <f>IF(A284="","",SUM(E284:J284))</f>
        <v/>
      </c>
      <c r="L284" s="3934" t="n"/>
      <c r="M284" s="3934" t="n"/>
      <c r="N284" s="3934" t="n"/>
      <c r="O284" s="3934" t="n"/>
      <c r="P284" s="3934" t="n"/>
      <c r="Q284" s="3934" t="n"/>
      <c r="R284" s="3934" t="n"/>
      <c r="S284" s="3934" t="n"/>
      <c r="T284" s="3934" t="n"/>
      <c r="U284" s="3934" t="n"/>
      <c r="V284" s="3934" t="n"/>
      <c r="W284" s="3934" t="n"/>
      <c r="X284" s="3934" t="n"/>
      <c r="Y284" s="3934" t="n"/>
      <c r="Z284" s="3934" t="n"/>
      <c r="AA284" s="3934" t="n"/>
      <c r="AB284" s="3934" t="n"/>
      <c r="AC284" s="3934" t="n"/>
      <c r="AD284" s="3934" t="n"/>
      <c r="AE284" s="3934" t="n"/>
      <c r="AF284" s="3934" t="n"/>
      <c r="AG284" s="3934" t="n"/>
      <c r="AH284" s="3934" t="n"/>
      <c r="AI284" s="3934" t="n"/>
      <c r="AJ284" s="3934" t="n"/>
      <c r="AK284" s="3934" t="n"/>
      <c r="AL284" s="3934" t="n"/>
      <c r="AM284" s="3934" t="n"/>
      <c r="AN284" s="3934" t="n"/>
      <c r="AO284" s="3934" t="n"/>
      <c r="AP284" s="3934" t="n"/>
      <c r="AQ284" s="3934" t="n"/>
      <c r="AR284" s="3934" t="n"/>
    </row>
    <row r="285">
      <c r="A285" s="3941" t="n"/>
      <c r="B285" s="3944" t="n"/>
      <c r="C285" s="3944" t="n"/>
      <c r="D285" s="3944" t="n"/>
      <c r="E285" s="3944" t="n"/>
      <c r="F285" s="3944" t="n"/>
      <c r="G285" s="3944" t="n"/>
      <c r="H285" s="3944" t="n"/>
      <c r="I285" s="3944" t="n"/>
      <c r="J285" s="3944" t="n"/>
      <c r="K285" s="3942">
        <f>IF(A285="","",SUM(E285:J285))</f>
        <v/>
      </c>
      <c r="L285" s="3934" t="n"/>
      <c r="M285" s="3934" t="n"/>
      <c r="N285" s="3934" t="n"/>
      <c r="O285" s="3934" t="n"/>
      <c r="P285" s="3934" t="n"/>
      <c r="Q285" s="3934" t="n"/>
      <c r="R285" s="3934" t="n"/>
      <c r="S285" s="3934" t="n"/>
      <c r="T285" s="3934" t="n"/>
      <c r="U285" s="3934" t="n"/>
      <c r="V285" s="3934" t="n"/>
      <c r="W285" s="3934" t="n"/>
      <c r="X285" s="3934" t="n"/>
      <c r="Y285" s="3934" t="n"/>
      <c r="Z285" s="3934" t="n"/>
      <c r="AA285" s="3934" t="n"/>
      <c r="AB285" s="3934" t="n"/>
      <c r="AC285" s="3934" t="n"/>
      <c r="AD285" s="3934" t="n"/>
      <c r="AE285" s="3934" t="n"/>
      <c r="AF285" s="3934" t="n"/>
      <c r="AG285" s="3934" t="n"/>
      <c r="AH285" s="3934" t="n"/>
      <c r="AI285" s="3934" t="n"/>
      <c r="AJ285" s="3934" t="n"/>
      <c r="AK285" s="3934" t="n"/>
      <c r="AL285" s="3934" t="n"/>
      <c r="AM285" s="3934" t="n"/>
      <c r="AN285" s="3934" t="n"/>
      <c r="AO285" s="3934" t="n"/>
      <c r="AP285" s="3934" t="n"/>
      <c r="AQ285" s="3934" t="n"/>
      <c r="AR285" s="3934" t="n"/>
    </row>
    <row r="286">
      <c r="A286" s="3941" t="n"/>
      <c r="B286" s="3944" t="n"/>
      <c r="C286" s="3944" t="n"/>
      <c r="D286" s="3944" t="n"/>
      <c r="E286" s="3944" t="n"/>
      <c r="F286" s="3944" t="n"/>
      <c r="G286" s="3944" t="n"/>
      <c r="H286" s="3944" t="n"/>
      <c r="I286" s="3944" t="n"/>
      <c r="J286" s="3944" t="n"/>
      <c r="K286" s="3942">
        <f>IF(A286="","",SUM(E286:J286))</f>
        <v/>
      </c>
      <c r="L286" s="3934" t="n"/>
      <c r="M286" s="3934" t="n"/>
      <c r="N286" s="3934" t="n"/>
      <c r="O286" s="3934" t="n"/>
      <c r="P286" s="3934" t="n"/>
      <c r="Q286" s="3934" t="n"/>
      <c r="R286" s="3934" t="n"/>
      <c r="S286" s="3934" t="n"/>
      <c r="T286" s="3934" t="n"/>
      <c r="U286" s="3934" t="n"/>
      <c r="V286" s="3934" t="n"/>
      <c r="W286" s="3934" t="n"/>
      <c r="X286" s="3934" t="n"/>
      <c r="Y286" s="3934" t="n"/>
      <c r="Z286" s="3934" t="n"/>
      <c r="AA286" s="3934" t="n"/>
      <c r="AB286" s="3934" t="n"/>
      <c r="AC286" s="3934" t="n"/>
      <c r="AD286" s="3934" t="n"/>
      <c r="AE286" s="3934" t="n"/>
      <c r="AF286" s="3934" t="n"/>
      <c r="AG286" s="3934" t="n"/>
      <c r="AH286" s="3934" t="n"/>
      <c r="AI286" s="3934" t="n"/>
      <c r="AJ286" s="3934" t="n"/>
      <c r="AK286" s="3934" t="n"/>
      <c r="AL286" s="3934" t="n"/>
      <c r="AM286" s="3934" t="n"/>
      <c r="AN286" s="3934" t="n"/>
      <c r="AO286" s="3934" t="n"/>
      <c r="AP286" s="3934" t="n"/>
      <c r="AQ286" s="3934" t="n"/>
      <c r="AR286" s="3934" t="n"/>
    </row>
    <row r="287">
      <c r="A287" s="3941" t="n"/>
      <c r="B287" s="3944" t="n"/>
      <c r="C287" s="3944" t="n"/>
      <c r="D287" s="3944" t="n"/>
      <c r="E287" s="3944" t="n"/>
      <c r="F287" s="3944" t="n"/>
      <c r="G287" s="3944" t="n"/>
      <c r="H287" s="3944" t="n"/>
      <c r="I287" s="3944" t="n"/>
      <c r="J287" s="3944" t="n"/>
      <c r="K287" s="3942">
        <f>IF(A287="","",SUM(E287:J287))</f>
        <v/>
      </c>
      <c r="L287" s="3934" t="n"/>
      <c r="M287" s="3934" t="n"/>
      <c r="N287" s="3934" t="n"/>
      <c r="O287" s="3934" t="n"/>
      <c r="P287" s="3934" t="n"/>
      <c r="Q287" s="3934" t="n"/>
      <c r="R287" s="3934" t="n"/>
      <c r="S287" s="3934" t="n"/>
      <c r="T287" s="3934" t="n"/>
      <c r="U287" s="3934" t="n"/>
      <c r="V287" s="3934" t="n"/>
      <c r="W287" s="3934" t="n"/>
      <c r="X287" s="3934" t="n"/>
      <c r="Y287" s="3934" t="n"/>
      <c r="Z287" s="3934" t="n"/>
      <c r="AA287" s="3934" t="n"/>
      <c r="AB287" s="3934" t="n"/>
      <c r="AC287" s="3934" t="n"/>
      <c r="AD287" s="3934" t="n"/>
      <c r="AE287" s="3934" t="n"/>
      <c r="AF287" s="3934" t="n"/>
      <c r="AG287" s="3934" t="n"/>
      <c r="AH287" s="3934" t="n"/>
      <c r="AI287" s="3934" t="n"/>
      <c r="AJ287" s="3934" t="n"/>
      <c r="AK287" s="3934" t="n"/>
      <c r="AL287" s="3934" t="n"/>
      <c r="AM287" s="3934" t="n"/>
      <c r="AN287" s="3934" t="n"/>
      <c r="AO287" s="3934" t="n"/>
      <c r="AP287" s="3934" t="n"/>
      <c r="AQ287" s="3934" t="n"/>
      <c r="AR287" s="3934" t="n"/>
    </row>
    <row r="288">
      <c r="A288" s="3941" t="n"/>
      <c r="B288" s="3944" t="n"/>
      <c r="C288" s="3944" t="n"/>
      <c r="D288" s="3944" t="n"/>
      <c r="E288" s="3944" t="n"/>
      <c r="F288" s="3944" t="n"/>
      <c r="G288" s="3944" t="n"/>
      <c r="H288" s="3944" t="n"/>
      <c r="I288" s="3944" t="n"/>
      <c r="J288" s="3944" t="n"/>
      <c r="K288" s="3942">
        <f>IF(A288="","",SUM(E288:J288))</f>
        <v/>
      </c>
      <c r="L288" s="3934" t="n"/>
      <c r="M288" s="3934" t="n"/>
      <c r="N288" s="3934" t="n"/>
      <c r="O288" s="3934" t="n"/>
      <c r="P288" s="3934" t="n"/>
      <c r="Q288" s="3934" t="n"/>
      <c r="R288" s="3934" t="n"/>
      <c r="S288" s="3934" t="n"/>
      <c r="T288" s="3934" t="n"/>
      <c r="U288" s="3934" t="n"/>
      <c r="V288" s="3934" t="n"/>
      <c r="W288" s="3934" t="n"/>
      <c r="X288" s="3934" t="n"/>
      <c r="Y288" s="3934" t="n"/>
      <c r="Z288" s="3934" t="n"/>
      <c r="AA288" s="3934" t="n"/>
      <c r="AB288" s="3934" t="n"/>
      <c r="AC288" s="3934" t="n"/>
      <c r="AD288" s="3934" t="n"/>
      <c r="AE288" s="3934" t="n"/>
      <c r="AF288" s="3934" t="n"/>
      <c r="AG288" s="3934" t="n"/>
      <c r="AH288" s="3934" t="n"/>
      <c r="AI288" s="3934" t="n"/>
      <c r="AJ288" s="3934" t="n"/>
      <c r="AK288" s="3934" t="n"/>
      <c r="AL288" s="3934" t="n"/>
      <c r="AM288" s="3934" t="n"/>
      <c r="AN288" s="3934" t="n"/>
      <c r="AO288" s="3934" t="n"/>
      <c r="AP288" s="3934" t="n"/>
      <c r="AQ288" s="3934" t="n"/>
      <c r="AR288" s="3934" t="n"/>
    </row>
    <row r="289">
      <c r="A289" s="3941" t="n"/>
      <c r="B289" s="3944" t="n"/>
      <c r="C289" s="3944" t="n"/>
      <c r="D289" s="3944" t="n"/>
      <c r="E289" s="3944" t="n"/>
      <c r="F289" s="3944" t="n"/>
      <c r="G289" s="3944" t="n"/>
      <c r="H289" s="3944" t="n"/>
      <c r="I289" s="3944" t="n"/>
      <c r="J289" s="3944" t="n"/>
      <c r="K289" s="3942">
        <f>IF(A289="","",SUM(E289:J289))</f>
        <v/>
      </c>
      <c r="L289" s="3934" t="n"/>
      <c r="M289" s="3934" t="n"/>
      <c r="N289" s="3934" t="n"/>
      <c r="O289" s="3934" t="n"/>
      <c r="P289" s="3934" t="n"/>
      <c r="Q289" s="3934" t="n"/>
      <c r="R289" s="3934" t="n"/>
      <c r="S289" s="3934" t="n"/>
      <c r="T289" s="3934" t="n"/>
      <c r="U289" s="3934" t="n"/>
      <c r="V289" s="3934" t="n"/>
      <c r="W289" s="3934" t="n"/>
      <c r="X289" s="3934" t="n"/>
      <c r="Y289" s="3934" t="n"/>
      <c r="Z289" s="3934" t="n"/>
      <c r="AA289" s="3934" t="n"/>
      <c r="AB289" s="3934" t="n"/>
      <c r="AC289" s="3934" t="n"/>
      <c r="AD289" s="3934" t="n"/>
      <c r="AE289" s="3934" t="n"/>
      <c r="AF289" s="3934" t="n"/>
      <c r="AG289" s="3934" t="n"/>
      <c r="AH289" s="3934" t="n"/>
      <c r="AI289" s="3934" t="n"/>
      <c r="AJ289" s="3934" t="n"/>
      <c r="AK289" s="3934" t="n"/>
      <c r="AL289" s="3934" t="n"/>
      <c r="AM289" s="3934" t="n"/>
      <c r="AN289" s="3934" t="n"/>
      <c r="AO289" s="3934" t="n"/>
      <c r="AP289" s="3934" t="n"/>
      <c r="AQ289" s="3934" t="n"/>
      <c r="AR289" s="3934" t="n"/>
    </row>
    <row r="290">
      <c r="A290" s="3941" t="n"/>
      <c r="B290" s="3944" t="n"/>
      <c r="C290" s="3944" t="n"/>
      <c r="D290" s="3944" t="n"/>
      <c r="E290" s="3944" t="n"/>
      <c r="F290" s="3944" t="n"/>
      <c r="G290" s="3944" t="n"/>
      <c r="H290" s="3944" t="n"/>
      <c r="I290" s="3944" t="n"/>
      <c r="J290" s="3944" t="n"/>
      <c r="K290" s="3942">
        <f>IF(A290="","",SUM(E290:J290))</f>
        <v/>
      </c>
      <c r="L290" s="3934" t="n"/>
      <c r="M290" s="3934" t="n"/>
      <c r="N290" s="3934" t="n"/>
      <c r="O290" s="3934" t="n"/>
      <c r="P290" s="3934" t="n"/>
      <c r="Q290" s="3934" t="n"/>
      <c r="R290" s="3934" t="n"/>
      <c r="S290" s="3934" t="n"/>
      <c r="T290" s="3934" t="n"/>
      <c r="U290" s="3934" t="n"/>
      <c r="V290" s="3934" t="n"/>
      <c r="W290" s="3934" t="n"/>
      <c r="X290" s="3934" t="n"/>
      <c r="Y290" s="3934" t="n"/>
      <c r="Z290" s="3934" t="n"/>
      <c r="AA290" s="3934" t="n"/>
      <c r="AB290" s="3934" t="n"/>
      <c r="AC290" s="3934" t="n"/>
      <c r="AD290" s="3934" t="n"/>
      <c r="AE290" s="3934" t="n"/>
      <c r="AF290" s="3934" t="n"/>
      <c r="AG290" s="3934" t="n"/>
      <c r="AH290" s="3934" t="n"/>
      <c r="AI290" s="3934" t="n"/>
      <c r="AJ290" s="3934" t="n"/>
      <c r="AK290" s="3934" t="n"/>
      <c r="AL290" s="3934" t="n"/>
      <c r="AM290" s="3934" t="n"/>
      <c r="AN290" s="3934" t="n"/>
      <c r="AO290" s="3934" t="n"/>
      <c r="AP290" s="3934" t="n"/>
      <c r="AQ290" s="3934" t="n"/>
      <c r="AR290" s="3934" t="n"/>
    </row>
    <row r="291">
      <c r="A291" s="3941" t="n"/>
      <c r="B291" s="3944" t="n"/>
      <c r="C291" s="3944" t="n"/>
      <c r="D291" s="3944" t="n"/>
      <c r="E291" s="3944" t="n"/>
      <c r="F291" s="3944" t="n"/>
      <c r="G291" s="3944" t="n"/>
      <c r="H291" s="3944" t="n"/>
      <c r="I291" s="3944" t="n"/>
      <c r="J291" s="3944" t="n"/>
      <c r="K291" s="3942">
        <f>IF(A291="","",SUM(E291:J291))</f>
        <v/>
      </c>
      <c r="L291" s="3934" t="n"/>
      <c r="M291" s="3934" t="n"/>
      <c r="N291" s="3934" t="n"/>
      <c r="O291" s="3934" t="n"/>
      <c r="P291" s="3934" t="n"/>
      <c r="Q291" s="3934" t="n"/>
      <c r="R291" s="3934" t="n"/>
      <c r="S291" s="3934" t="n"/>
      <c r="T291" s="3934" t="n"/>
      <c r="U291" s="3934" t="n"/>
      <c r="V291" s="3934" t="n"/>
      <c r="W291" s="3934" t="n"/>
      <c r="X291" s="3934" t="n"/>
      <c r="Y291" s="3934" t="n"/>
      <c r="Z291" s="3934" t="n"/>
      <c r="AA291" s="3934" t="n"/>
      <c r="AB291" s="3934" t="n"/>
      <c r="AC291" s="3934" t="n"/>
      <c r="AD291" s="3934" t="n"/>
      <c r="AE291" s="3934" t="n"/>
      <c r="AF291" s="3934" t="n"/>
      <c r="AG291" s="3934" t="n"/>
      <c r="AH291" s="3934" t="n"/>
      <c r="AI291" s="3934" t="n"/>
      <c r="AJ291" s="3934" t="n"/>
      <c r="AK291" s="3934" t="n"/>
      <c r="AL291" s="3934" t="n"/>
      <c r="AM291" s="3934" t="n"/>
      <c r="AN291" s="3934" t="n"/>
      <c r="AO291" s="3934" t="n"/>
      <c r="AP291" s="3934" t="n"/>
      <c r="AQ291" s="3934" t="n"/>
      <c r="AR291" s="3934" t="n"/>
    </row>
    <row r="292">
      <c r="A292" s="3941" t="n"/>
      <c r="B292" s="3944" t="n"/>
      <c r="C292" s="3944" t="n"/>
      <c r="D292" s="3944" t="n"/>
      <c r="E292" s="3944" t="n"/>
      <c r="F292" s="3944" t="n"/>
      <c r="G292" s="3944" t="n"/>
      <c r="H292" s="3944" t="n"/>
      <c r="I292" s="3944" t="n"/>
      <c r="J292" s="3944" t="n"/>
      <c r="K292" s="3942">
        <f>IF(A292="","",SUM(E292:J292))</f>
        <v/>
      </c>
      <c r="L292" s="3934" t="n"/>
      <c r="M292" s="3934" t="n"/>
      <c r="N292" s="3934" t="n"/>
      <c r="O292" s="3934" t="n"/>
      <c r="P292" s="3934" t="n"/>
      <c r="Q292" s="3934" t="n"/>
      <c r="R292" s="3934" t="n"/>
      <c r="S292" s="3934" t="n"/>
      <c r="T292" s="3934" t="n"/>
      <c r="U292" s="3934" t="n"/>
      <c r="V292" s="3934" t="n"/>
      <c r="W292" s="3934" t="n"/>
      <c r="X292" s="3934" t="n"/>
      <c r="Y292" s="3934" t="n"/>
      <c r="Z292" s="3934" t="n"/>
      <c r="AA292" s="3934" t="n"/>
      <c r="AB292" s="3934" t="n"/>
      <c r="AC292" s="3934" t="n"/>
      <c r="AD292" s="3934" t="n"/>
      <c r="AE292" s="3934" t="n"/>
      <c r="AF292" s="3934" t="n"/>
      <c r="AG292" s="3934" t="n"/>
      <c r="AH292" s="3934" t="n"/>
      <c r="AI292" s="3934" t="n"/>
      <c r="AJ292" s="3934" t="n"/>
      <c r="AK292" s="3934" t="n"/>
      <c r="AL292" s="3934" t="n"/>
      <c r="AM292" s="3934" t="n"/>
      <c r="AN292" s="3934" t="n"/>
      <c r="AO292" s="3934" t="n"/>
      <c r="AP292" s="3934" t="n"/>
      <c r="AQ292" s="3934" t="n"/>
      <c r="AR292" s="3934" t="n"/>
    </row>
    <row r="293">
      <c r="A293" s="3941" t="n"/>
      <c r="B293" s="3944" t="n"/>
      <c r="C293" s="3944" t="n"/>
      <c r="D293" s="3944" t="n"/>
      <c r="E293" s="3944" t="n"/>
      <c r="F293" s="3944" t="n"/>
      <c r="G293" s="3944" t="n"/>
      <c r="H293" s="3944" t="n"/>
      <c r="I293" s="3944" t="n"/>
      <c r="J293" s="3944" t="n"/>
      <c r="K293" s="3942">
        <f>IF(A293="","",SUM(E293:J293))</f>
        <v/>
      </c>
      <c r="L293" s="3934" t="n"/>
      <c r="M293" s="3934" t="n"/>
      <c r="N293" s="3934" t="n"/>
      <c r="O293" s="3934" t="n"/>
      <c r="P293" s="3934" t="n"/>
      <c r="Q293" s="3934" t="n"/>
      <c r="R293" s="3934" t="n"/>
      <c r="S293" s="3934" t="n"/>
      <c r="T293" s="3934" t="n"/>
      <c r="U293" s="3934" t="n"/>
      <c r="V293" s="3934" t="n"/>
      <c r="W293" s="3934" t="n"/>
      <c r="X293" s="3934" t="n"/>
      <c r="Y293" s="3934" t="n"/>
      <c r="Z293" s="3934" t="n"/>
      <c r="AA293" s="3934" t="n"/>
      <c r="AB293" s="3934" t="n"/>
      <c r="AC293" s="3934" t="n"/>
      <c r="AD293" s="3934" t="n"/>
      <c r="AE293" s="3934" t="n"/>
      <c r="AF293" s="3934" t="n"/>
      <c r="AG293" s="3934" t="n"/>
      <c r="AH293" s="3934" t="n"/>
      <c r="AI293" s="3934" t="n"/>
      <c r="AJ293" s="3934" t="n"/>
      <c r="AK293" s="3934" t="n"/>
      <c r="AL293" s="3934" t="n"/>
      <c r="AM293" s="3934" t="n"/>
      <c r="AN293" s="3934" t="n"/>
      <c r="AO293" s="3934" t="n"/>
      <c r="AP293" s="3934" t="n"/>
      <c r="AQ293" s="3934" t="n"/>
      <c r="AR293" s="3934" t="n"/>
    </row>
    <row r="294">
      <c r="A294" s="3941" t="n"/>
      <c r="B294" s="3944" t="n"/>
      <c r="C294" s="3944" t="n"/>
      <c r="D294" s="3944" t="n"/>
      <c r="E294" s="3944" t="n"/>
      <c r="F294" s="3944" t="n"/>
      <c r="G294" s="3944" t="n"/>
      <c r="H294" s="3944" t="n"/>
      <c r="I294" s="3944" t="n"/>
      <c r="J294" s="3944" t="n"/>
      <c r="K294" s="3942">
        <f>IF(A294="","",SUM(E294:J294))</f>
        <v/>
      </c>
      <c r="L294" s="3934" t="n"/>
      <c r="M294" s="3934" t="n"/>
      <c r="N294" s="3934" t="n"/>
      <c r="O294" s="3934" t="n"/>
      <c r="P294" s="3934" t="n"/>
      <c r="Q294" s="3934" t="n"/>
      <c r="R294" s="3934" t="n"/>
      <c r="S294" s="3934" t="n"/>
      <c r="T294" s="3934" t="n"/>
      <c r="U294" s="3934" t="n"/>
      <c r="V294" s="3934" t="n"/>
      <c r="W294" s="3934" t="n"/>
      <c r="X294" s="3934" t="n"/>
      <c r="Y294" s="3934" t="n"/>
      <c r="Z294" s="3934" t="n"/>
      <c r="AA294" s="3934" t="n"/>
      <c r="AB294" s="3934" t="n"/>
      <c r="AC294" s="3934" t="n"/>
      <c r="AD294" s="3934" t="n"/>
      <c r="AE294" s="3934" t="n"/>
      <c r="AF294" s="3934" t="n"/>
      <c r="AG294" s="3934" t="n"/>
      <c r="AH294" s="3934" t="n"/>
      <c r="AI294" s="3934" t="n"/>
      <c r="AJ294" s="3934" t="n"/>
      <c r="AK294" s="3934" t="n"/>
      <c r="AL294" s="3934" t="n"/>
      <c r="AM294" s="3934" t="n"/>
      <c r="AN294" s="3934" t="n"/>
      <c r="AO294" s="3934" t="n"/>
      <c r="AP294" s="3934" t="n"/>
      <c r="AQ294" s="3934" t="n"/>
      <c r="AR294" s="3934" t="n"/>
    </row>
    <row r="295">
      <c r="A295" s="3941" t="n"/>
      <c r="B295" s="3944" t="n"/>
      <c r="C295" s="3944" t="n"/>
      <c r="D295" s="3944" t="n"/>
      <c r="E295" s="3944" t="n"/>
      <c r="F295" s="3944" t="n"/>
      <c r="G295" s="3944" t="n"/>
      <c r="H295" s="3944" t="n"/>
      <c r="I295" s="3944" t="n"/>
      <c r="J295" s="3944" t="n"/>
      <c r="K295" s="3942">
        <f>IF(A295="","",SUM(E295:J295))</f>
        <v/>
      </c>
      <c r="L295" s="3934" t="n"/>
      <c r="M295" s="3934" t="n"/>
      <c r="N295" s="3934" t="n"/>
      <c r="O295" s="3934" t="n"/>
      <c r="P295" s="3934" t="n"/>
      <c r="Q295" s="3934" t="n"/>
      <c r="R295" s="3934" t="n"/>
      <c r="S295" s="3934" t="n"/>
      <c r="T295" s="3934" t="n"/>
      <c r="U295" s="3934" t="n"/>
      <c r="V295" s="3934" t="n"/>
      <c r="W295" s="3934" t="n"/>
      <c r="X295" s="3934" t="n"/>
      <c r="Y295" s="3934" t="n"/>
      <c r="Z295" s="3934" t="n"/>
      <c r="AA295" s="3934" t="n"/>
      <c r="AB295" s="3934" t="n"/>
      <c r="AC295" s="3934" t="n"/>
      <c r="AD295" s="3934" t="n"/>
      <c r="AE295" s="3934" t="n"/>
      <c r="AF295" s="3934" t="n"/>
      <c r="AG295" s="3934" t="n"/>
      <c r="AH295" s="3934" t="n"/>
      <c r="AI295" s="3934" t="n"/>
      <c r="AJ295" s="3934" t="n"/>
      <c r="AK295" s="3934" t="n"/>
      <c r="AL295" s="3934" t="n"/>
      <c r="AM295" s="3934" t="n"/>
      <c r="AN295" s="3934" t="n"/>
      <c r="AO295" s="3934" t="n"/>
      <c r="AP295" s="3934" t="n"/>
      <c r="AQ295" s="3934" t="n"/>
      <c r="AR295" s="3934" t="n"/>
    </row>
    <row r="296">
      <c r="A296" s="3941" t="n"/>
      <c r="B296" s="3944" t="n"/>
      <c r="C296" s="3944" t="n"/>
      <c r="D296" s="3944" t="n"/>
      <c r="E296" s="3944" t="n"/>
      <c r="F296" s="3944" t="n"/>
      <c r="G296" s="3944" t="n"/>
      <c r="H296" s="3944" t="n"/>
      <c r="I296" s="3944" t="n"/>
      <c r="J296" s="3944" t="n"/>
      <c r="K296" s="3942">
        <f>IF(A296="","",SUM(E296:J296))</f>
        <v/>
      </c>
      <c r="L296" s="3934" t="n"/>
      <c r="M296" s="3934" t="n"/>
      <c r="N296" s="3934" t="n"/>
      <c r="O296" s="3934" t="n"/>
      <c r="P296" s="3934" t="n"/>
      <c r="Q296" s="3934" t="n"/>
      <c r="R296" s="3934" t="n"/>
      <c r="S296" s="3934" t="n"/>
      <c r="T296" s="3934" t="n"/>
      <c r="U296" s="3934" t="n"/>
      <c r="V296" s="3934" t="n"/>
      <c r="W296" s="3934" t="n"/>
      <c r="X296" s="3934" t="n"/>
      <c r="Y296" s="3934" t="n"/>
      <c r="Z296" s="3934" t="n"/>
      <c r="AA296" s="3934" t="n"/>
      <c r="AB296" s="3934" t="n"/>
      <c r="AC296" s="3934" t="n"/>
      <c r="AD296" s="3934" t="n"/>
      <c r="AE296" s="3934" t="n"/>
      <c r="AF296" s="3934" t="n"/>
      <c r="AG296" s="3934" t="n"/>
      <c r="AH296" s="3934" t="n"/>
      <c r="AI296" s="3934" t="n"/>
      <c r="AJ296" s="3934" t="n"/>
      <c r="AK296" s="3934" t="n"/>
      <c r="AL296" s="3934" t="n"/>
      <c r="AM296" s="3934" t="n"/>
      <c r="AN296" s="3934" t="n"/>
      <c r="AO296" s="3934" t="n"/>
      <c r="AP296" s="3934" t="n"/>
      <c r="AQ296" s="3934" t="n"/>
      <c r="AR296" s="3934" t="n"/>
    </row>
    <row r="297">
      <c r="A297" s="3941" t="n"/>
      <c r="B297" s="3944" t="n"/>
      <c r="C297" s="3944" t="n"/>
      <c r="D297" s="3944" t="n"/>
      <c r="E297" s="3944" t="n"/>
      <c r="F297" s="3944" t="n"/>
      <c r="G297" s="3944" t="n"/>
      <c r="H297" s="3944" t="n"/>
      <c r="I297" s="3944" t="n"/>
      <c r="J297" s="3944" t="n"/>
      <c r="K297" s="3942">
        <f>IF(A297="","",SUM(E297:J297))</f>
        <v/>
      </c>
      <c r="L297" s="3934" t="n"/>
      <c r="M297" s="3934" t="n"/>
      <c r="N297" s="3934" t="n"/>
      <c r="O297" s="3934" t="n"/>
      <c r="P297" s="3934" t="n"/>
      <c r="Q297" s="3934" t="n"/>
      <c r="R297" s="3934" t="n"/>
      <c r="S297" s="3934" t="n"/>
      <c r="T297" s="3934" t="n"/>
      <c r="U297" s="3934" t="n"/>
      <c r="V297" s="3934" t="n"/>
      <c r="W297" s="3934" t="n"/>
      <c r="X297" s="3934" t="n"/>
      <c r="Y297" s="3934" t="n"/>
      <c r="Z297" s="3934" t="n"/>
      <c r="AA297" s="3934" t="n"/>
      <c r="AB297" s="3934" t="n"/>
      <c r="AC297" s="3934" t="n"/>
      <c r="AD297" s="3934" t="n"/>
      <c r="AE297" s="3934" t="n"/>
      <c r="AF297" s="3934" t="n"/>
      <c r="AG297" s="3934" t="n"/>
      <c r="AH297" s="3934" t="n"/>
      <c r="AI297" s="3934" t="n"/>
      <c r="AJ297" s="3934" t="n"/>
      <c r="AK297" s="3934" t="n"/>
      <c r="AL297" s="3934" t="n"/>
      <c r="AM297" s="3934" t="n"/>
      <c r="AN297" s="3934" t="n"/>
      <c r="AO297" s="3934" t="n"/>
      <c r="AP297" s="3934" t="n"/>
      <c r="AQ297" s="3934" t="n"/>
      <c r="AR297" s="3934" t="n"/>
    </row>
    <row r="298">
      <c r="A298" s="3941" t="n"/>
      <c r="B298" s="3944" t="n"/>
      <c r="C298" s="3944" t="n"/>
      <c r="D298" s="3944" t="n"/>
      <c r="E298" s="3944" t="n"/>
      <c r="F298" s="3944" t="n"/>
      <c r="G298" s="3944" t="n"/>
      <c r="H298" s="3944" t="n"/>
      <c r="I298" s="3944" t="n"/>
      <c r="J298" s="3944" t="n"/>
      <c r="K298" s="3942">
        <f>IF(A298="","",SUM(E298:J298))</f>
        <v/>
      </c>
      <c r="L298" s="3934" t="n"/>
      <c r="M298" s="3934" t="n"/>
      <c r="N298" s="3934" t="n"/>
      <c r="O298" s="3934" t="n"/>
      <c r="P298" s="3934" t="n"/>
      <c r="Q298" s="3934" t="n"/>
      <c r="R298" s="3934" t="n"/>
      <c r="S298" s="3934" t="n"/>
      <c r="T298" s="3934" t="n"/>
      <c r="U298" s="3934" t="n"/>
      <c r="V298" s="3934" t="n"/>
      <c r="W298" s="3934" t="n"/>
      <c r="X298" s="3934" t="n"/>
      <c r="Y298" s="3934" t="n"/>
      <c r="Z298" s="3934" t="n"/>
      <c r="AA298" s="3934" t="n"/>
      <c r="AB298" s="3934" t="n"/>
      <c r="AC298" s="3934" t="n"/>
      <c r="AD298" s="3934" t="n"/>
      <c r="AE298" s="3934" t="n"/>
      <c r="AF298" s="3934" t="n"/>
      <c r="AG298" s="3934" t="n"/>
      <c r="AH298" s="3934" t="n"/>
      <c r="AI298" s="3934" t="n"/>
      <c r="AJ298" s="3934" t="n"/>
      <c r="AK298" s="3934" t="n"/>
      <c r="AL298" s="3934" t="n"/>
      <c r="AM298" s="3934" t="n"/>
      <c r="AN298" s="3934" t="n"/>
      <c r="AO298" s="3934" t="n"/>
      <c r="AP298" s="3934" t="n"/>
      <c r="AQ298" s="3934" t="n"/>
      <c r="AR298" s="3934" t="n"/>
    </row>
    <row r="299">
      <c r="A299" s="3941" t="n"/>
      <c r="B299" s="3944" t="n"/>
      <c r="C299" s="3944" t="n"/>
      <c r="D299" s="3944" t="n"/>
      <c r="E299" s="3944" t="n"/>
      <c r="F299" s="3944" t="n"/>
      <c r="G299" s="3944" t="n"/>
      <c r="H299" s="3944" t="n"/>
      <c r="I299" s="3944" t="n"/>
      <c r="J299" s="3944" t="n"/>
      <c r="K299" s="3942">
        <f>IF(A299="","",SUM(E299:J299))</f>
        <v/>
      </c>
      <c r="L299" s="3934" t="n"/>
      <c r="M299" s="3934" t="n"/>
      <c r="N299" s="3934" t="n"/>
      <c r="O299" s="3934" t="n"/>
      <c r="P299" s="3934" t="n"/>
      <c r="Q299" s="3934" t="n"/>
      <c r="R299" s="3934" t="n"/>
      <c r="S299" s="3934" t="n"/>
      <c r="T299" s="3934" t="n"/>
      <c r="U299" s="3934" t="n"/>
      <c r="V299" s="3934" t="n"/>
      <c r="W299" s="3934" t="n"/>
      <c r="X299" s="3934" t="n"/>
      <c r="Y299" s="3934" t="n"/>
      <c r="Z299" s="3934" t="n"/>
      <c r="AA299" s="3934" t="n"/>
      <c r="AB299" s="3934" t="n"/>
      <c r="AC299" s="3934" t="n"/>
      <c r="AD299" s="3934" t="n"/>
      <c r="AE299" s="3934" t="n"/>
      <c r="AF299" s="3934" t="n"/>
      <c r="AG299" s="3934" t="n"/>
      <c r="AH299" s="3934" t="n"/>
      <c r="AI299" s="3934" t="n"/>
      <c r="AJ299" s="3934" t="n"/>
      <c r="AK299" s="3934" t="n"/>
      <c r="AL299" s="3934" t="n"/>
      <c r="AM299" s="3934" t="n"/>
      <c r="AN299" s="3934" t="n"/>
      <c r="AO299" s="3934" t="n"/>
      <c r="AP299" s="3934" t="n"/>
      <c r="AQ299" s="3934" t="n"/>
      <c r="AR299" s="3934" t="n"/>
    </row>
    <row r="300">
      <c r="A300" s="3941" t="n"/>
      <c r="B300" s="3944" t="n"/>
      <c r="C300" s="3944" t="n"/>
      <c r="D300" s="3944" t="n"/>
      <c r="E300" s="3944" t="n"/>
      <c r="F300" s="3944" t="n"/>
      <c r="G300" s="3944" t="n"/>
      <c r="H300" s="3944" t="n"/>
      <c r="I300" s="3944" t="n"/>
      <c r="J300" s="3944" t="n"/>
      <c r="K300" s="3942">
        <f>IF(A300="","",SUM(E300:J300))</f>
        <v/>
      </c>
      <c r="L300" s="3934" t="n"/>
      <c r="M300" s="3934" t="n"/>
      <c r="N300" s="3934" t="n"/>
      <c r="O300" s="3934" t="n"/>
      <c r="P300" s="3934" t="n"/>
      <c r="Q300" s="3934" t="n"/>
      <c r="R300" s="3934" t="n"/>
      <c r="S300" s="3934" t="n"/>
      <c r="T300" s="3934" t="n"/>
      <c r="U300" s="3934" t="n"/>
      <c r="V300" s="3934" t="n"/>
      <c r="W300" s="3934" t="n"/>
      <c r="X300" s="3934" t="n"/>
      <c r="Y300" s="3934" t="n"/>
      <c r="Z300" s="3934" t="n"/>
      <c r="AA300" s="3934" t="n"/>
      <c r="AB300" s="3934" t="n"/>
      <c r="AC300" s="3934" t="n"/>
      <c r="AD300" s="3934" t="n"/>
      <c r="AE300" s="3934" t="n"/>
      <c r="AF300" s="3934" t="n"/>
      <c r="AG300" s="3934" t="n"/>
      <c r="AH300" s="3934" t="n"/>
      <c r="AI300" s="3934" t="n"/>
      <c r="AJ300" s="3934" t="n"/>
      <c r="AK300" s="3934" t="n"/>
      <c r="AL300" s="3934" t="n"/>
      <c r="AM300" s="3934" t="n"/>
      <c r="AN300" s="3934" t="n"/>
      <c r="AO300" s="3934" t="n"/>
      <c r="AP300" s="3934" t="n"/>
      <c r="AQ300" s="3934" t="n"/>
      <c r="AR300" s="3934" t="n"/>
    </row>
    <row r="301">
      <c r="A301" s="3941" t="n"/>
      <c r="B301" s="3944" t="n"/>
      <c r="C301" s="3944" t="n"/>
      <c r="D301" s="3944" t="n"/>
      <c r="E301" s="3944" t="n"/>
      <c r="F301" s="3944" t="n"/>
      <c r="G301" s="3944" t="n"/>
      <c r="H301" s="3944" t="n"/>
      <c r="I301" s="3944" t="n"/>
      <c r="J301" s="3944" t="n"/>
      <c r="K301" s="3942">
        <f>IF(A301="","",SUM(E301:J301))</f>
        <v/>
      </c>
      <c r="L301" s="3934" t="n"/>
      <c r="M301" s="3934" t="n"/>
      <c r="N301" s="3934" t="n"/>
      <c r="O301" s="3934" t="n"/>
      <c r="P301" s="3934" t="n"/>
      <c r="Q301" s="3934" t="n"/>
      <c r="R301" s="3934" t="n"/>
      <c r="S301" s="3934" t="n"/>
      <c r="T301" s="3934" t="n"/>
      <c r="U301" s="3934" t="n"/>
      <c r="V301" s="3934" t="n"/>
      <c r="W301" s="3934" t="n"/>
      <c r="X301" s="3934" t="n"/>
      <c r="Y301" s="3934" t="n"/>
      <c r="Z301" s="3934" t="n"/>
      <c r="AA301" s="3934" t="n"/>
      <c r="AB301" s="3934" t="n"/>
      <c r="AC301" s="3934" t="n"/>
      <c r="AD301" s="3934" t="n"/>
      <c r="AE301" s="3934" t="n"/>
      <c r="AF301" s="3934" t="n"/>
      <c r="AG301" s="3934" t="n"/>
      <c r="AH301" s="3934" t="n"/>
      <c r="AI301" s="3934" t="n"/>
      <c r="AJ301" s="3934" t="n"/>
      <c r="AK301" s="3934" t="n"/>
      <c r="AL301" s="3934" t="n"/>
      <c r="AM301" s="3934" t="n"/>
      <c r="AN301" s="3934" t="n"/>
      <c r="AO301" s="3934" t="n"/>
      <c r="AP301" s="3934" t="n"/>
      <c r="AQ301" s="3934" t="n"/>
      <c r="AR301" s="3934" t="n"/>
    </row>
    <row r="302">
      <c r="A302" s="3941" t="n"/>
      <c r="B302" s="3944" t="n"/>
      <c r="C302" s="3944" t="n"/>
      <c r="D302" s="3944" t="n"/>
      <c r="E302" s="3944" t="n"/>
      <c r="F302" s="3944" t="n"/>
      <c r="G302" s="3944" t="n"/>
      <c r="H302" s="3944" t="n"/>
      <c r="I302" s="3944" t="n"/>
      <c r="J302" s="3944" t="n"/>
      <c r="K302" s="3942">
        <f>IF(A302="","",SUM(E302:J302))</f>
        <v/>
      </c>
      <c r="L302" s="3934" t="n"/>
      <c r="M302" s="3934" t="n"/>
      <c r="N302" s="3934" t="n"/>
      <c r="O302" s="3934" t="n"/>
      <c r="P302" s="3934" t="n"/>
      <c r="Q302" s="3934" t="n"/>
      <c r="R302" s="3934" t="n"/>
      <c r="S302" s="3934" t="n"/>
      <c r="T302" s="3934" t="n"/>
      <c r="U302" s="3934" t="n"/>
      <c r="V302" s="3934" t="n"/>
      <c r="W302" s="3934" t="n"/>
      <c r="X302" s="3934" t="n"/>
      <c r="Y302" s="3934" t="n"/>
      <c r="Z302" s="3934" t="n"/>
      <c r="AA302" s="3934" t="n"/>
      <c r="AB302" s="3934" t="n"/>
      <c r="AC302" s="3934" t="n"/>
      <c r="AD302" s="3934" t="n"/>
      <c r="AE302" s="3934" t="n"/>
      <c r="AF302" s="3934" t="n"/>
      <c r="AG302" s="3934" t="n"/>
      <c r="AH302" s="3934" t="n"/>
      <c r="AI302" s="3934" t="n"/>
      <c r="AJ302" s="3934" t="n"/>
      <c r="AK302" s="3934" t="n"/>
      <c r="AL302" s="3934" t="n"/>
      <c r="AM302" s="3934" t="n"/>
      <c r="AN302" s="3934" t="n"/>
      <c r="AO302" s="3934" t="n"/>
      <c r="AP302" s="3934" t="n"/>
      <c r="AQ302" s="3934" t="n"/>
      <c r="AR302" s="3934" t="n"/>
    </row>
    <row r="303">
      <c r="A303" s="3941" t="n"/>
      <c r="B303" s="3944" t="n"/>
      <c r="C303" s="3944" t="n"/>
      <c r="D303" s="3944" t="n"/>
      <c r="E303" s="3944" t="n"/>
      <c r="F303" s="3944" t="n"/>
      <c r="G303" s="3944" t="n"/>
      <c r="H303" s="3944" t="n"/>
      <c r="I303" s="3944" t="n"/>
      <c r="J303" s="3944" t="n"/>
      <c r="K303" s="3942">
        <f>IF(A303="","",SUM(E303:J303))</f>
        <v/>
      </c>
      <c r="L303" s="3934" t="n"/>
      <c r="M303" s="3934" t="n"/>
      <c r="N303" s="3934" t="n"/>
      <c r="O303" s="3934" t="n"/>
      <c r="P303" s="3934" t="n"/>
      <c r="Q303" s="3934" t="n"/>
      <c r="R303" s="3934" t="n"/>
      <c r="S303" s="3934" t="n"/>
      <c r="T303" s="3934" t="n"/>
      <c r="U303" s="3934" t="n"/>
      <c r="V303" s="3934" t="n"/>
      <c r="W303" s="3934" t="n"/>
      <c r="X303" s="3934" t="n"/>
      <c r="Y303" s="3934" t="n"/>
      <c r="Z303" s="3934" t="n"/>
      <c r="AA303" s="3934" t="n"/>
      <c r="AB303" s="3934" t="n"/>
      <c r="AC303" s="3934" t="n"/>
      <c r="AD303" s="3934" t="n"/>
      <c r="AE303" s="3934" t="n"/>
      <c r="AF303" s="3934" t="n"/>
      <c r="AG303" s="3934" t="n"/>
      <c r="AH303" s="3934" t="n"/>
      <c r="AI303" s="3934" t="n"/>
      <c r="AJ303" s="3934" t="n"/>
      <c r="AK303" s="3934" t="n"/>
      <c r="AL303" s="3934" t="n"/>
      <c r="AM303" s="3934" t="n"/>
      <c r="AN303" s="3934" t="n"/>
      <c r="AO303" s="3934" t="n"/>
      <c r="AP303" s="3934" t="n"/>
      <c r="AQ303" s="3934" t="n"/>
      <c r="AR303" s="3934" t="n"/>
    </row>
    <row r="304">
      <c r="A304" s="3941" t="n"/>
      <c r="B304" s="3944" t="n"/>
      <c r="C304" s="3944" t="n"/>
      <c r="D304" s="3944" t="n"/>
      <c r="E304" s="3944" t="n"/>
      <c r="F304" s="3944" t="n"/>
      <c r="G304" s="3944" t="n"/>
      <c r="H304" s="3944" t="n"/>
      <c r="I304" s="3944" t="n"/>
      <c r="J304" s="3944" t="n"/>
      <c r="K304" s="3942">
        <f>IF(A304="","",SUM(E304:J304))</f>
        <v/>
      </c>
      <c r="L304" s="3934" t="n"/>
      <c r="M304" s="3934" t="n"/>
      <c r="N304" s="3934" t="n"/>
      <c r="O304" s="3934" t="n"/>
      <c r="P304" s="3934" t="n"/>
      <c r="Q304" s="3934" t="n"/>
      <c r="R304" s="3934" t="n"/>
      <c r="S304" s="3934" t="n"/>
      <c r="T304" s="3934" t="n"/>
      <c r="U304" s="3934" t="n"/>
      <c r="V304" s="3934" t="n"/>
      <c r="W304" s="3934" t="n"/>
      <c r="X304" s="3934" t="n"/>
      <c r="Y304" s="3934" t="n"/>
      <c r="Z304" s="3934" t="n"/>
      <c r="AA304" s="3934" t="n"/>
      <c r="AB304" s="3934" t="n"/>
      <c r="AC304" s="3934" t="n"/>
      <c r="AD304" s="3934" t="n"/>
      <c r="AE304" s="3934" t="n"/>
      <c r="AF304" s="3934" t="n"/>
      <c r="AG304" s="3934" t="n"/>
      <c r="AH304" s="3934" t="n"/>
      <c r="AI304" s="3934" t="n"/>
      <c r="AJ304" s="3934" t="n"/>
      <c r="AK304" s="3934" t="n"/>
      <c r="AL304" s="3934" t="n"/>
      <c r="AM304" s="3934" t="n"/>
      <c r="AN304" s="3934" t="n"/>
      <c r="AO304" s="3934" t="n"/>
      <c r="AP304" s="3934" t="n"/>
      <c r="AQ304" s="3934" t="n"/>
      <c r="AR304" s="3934" t="n"/>
    </row>
    <row r="305">
      <c r="A305" s="3941" t="n"/>
      <c r="B305" s="3944" t="n"/>
      <c r="C305" s="3944" t="n"/>
      <c r="D305" s="3944" t="n"/>
      <c r="E305" s="3944" t="n"/>
      <c r="F305" s="3944" t="n"/>
      <c r="G305" s="3944" t="n"/>
      <c r="H305" s="3944" t="n"/>
      <c r="I305" s="3944" t="n"/>
      <c r="J305" s="3944" t="n"/>
      <c r="K305" s="3942">
        <f>IF(A305="","",SUM(E305:J305))</f>
        <v/>
      </c>
      <c r="L305" s="3934" t="n"/>
      <c r="M305" s="3934" t="n"/>
      <c r="N305" s="3934" t="n"/>
      <c r="O305" s="3934" t="n"/>
      <c r="P305" s="3934" t="n"/>
      <c r="Q305" s="3934" t="n"/>
      <c r="R305" s="3934" t="n"/>
      <c r="S305" s="3934" t="n"/>
      <c r="T305" s="3934" t="n"/>
      <c r="U305" s="3934" t="n"/>
      <c r="V305" s="3934" t="n"/>
      <c r="W305" s="3934" t="n"/>
      <c r="X305" s="3934" t="n"/>
      <c r="Y305" s="3934" t="n"/>
      <c r="Z305" s="3934" t="n"/>
      <c r="AA305" s="3934" t="n"/>
      <c r="AB305" s="3934" t="n"/>
      <c r="AC305" s="3934" t="n"/>
      <c r="AD305" s="3934" t="n"/>
      <c r="AE305" s="3934" t="n"/>
      <c r="AF305" s="3934" t="n"/>
      <c r="AG305" s="3934" t="n"/>
      <c r="AH305" s="3934" t="n"/>
      <c r="AI305" s="3934" t="n"/>
      <c r="AJ305" s="3934" t="n"/>
      <c r="AK305" s="3934" t="n"/>
      <c r="AL305" s="3934" t="n"/>
      <c r="AM305" s="3934" t="n"/>
      <c r="AN305" s="3934" t="n"/>
      <c r="AO305" s="3934" t="n"/>
      <c r="AP305" s="3934" t="n"/>
      <c r="AQ305" s="3934" t="n"/>
      <c r="AR305" s="3934" t="n"/>
    </row>
    <row r="306">
      <c r="A306" s="3941" t="n"/>
      <c r="B306" s="3944" t="n"/>
      <c r="C306" s="3944" t="n"/>
      <c r="D306" s="3944" t="n"/>
      <c r="E306" s="3944" t="n"/>
      <c r="F306" s="3944" t="n"/>
      <c r="G306" s="3944" t="n"/>
      <c r="H306" s="3944" t="n"/>
      <c r="I306" s="3944" t="n"/>
      <c r="J306" s="3944" t="n"/>
      <c r="K306" s="3942">
        <f>IF(A306="","",SUM(E306:J306))</f>
        <v/>
      </c>
      <c r="L306" s="3934" t="n"/>
      <c r="M306" s="3934" t="n"/>
      <c r="N306" s="3934" t="n"/>
      <c r="O306" s="3934" t="n"/>
      <c r="P306" s="3934" t="n"/>
      <c r="Q306" s="3934" t="n"/>
      <c r="R306" s="3934" t="n"/>
      <c r="S306" s="3934" t="n"/>
      <c r="T306" s="3934" t="n"/>
      <c r="U306" s="3934" t="n"/>
      <c r="V306" s="3934" t="n"/>
      <c r="W306" s="3934" t="n"/>
      <c r="X306" s="3934" t="n"/>
      <c r="Y306" s="3934" t="n"/>
      <c r="Z306" s="3934" t="n"/>
      <c r="AA306" s="3934" t="n"/>
      <c r="AB306" s="3934" t="n"/>
      <c r="AC306" s="3934" t="n"/>
      <c r="AD306" s="3934" t="n"/>
      <c r="AE306" s="3934" t="n"/>
      <c r="AF306" s="3934" t="n"/>
      <c r="AG306" s="3934" t="n"/>
      <c r="AH306" s="3934" t="n"/>
      <c r="AI306" s="3934" t="n"/>
      <c r="AJ306" s="3934" t="n"/>
      <c r="AK306" s="3934" t="n"/>
      <c r="AL306" s="3934" t="n"/>
      <c r="AM306" s="3934" t="n"/>
      <c r="AN306" s="3934" t="n"/>
      <c r="AO306" s="3934" t="n"/>
      <c r="AP306" s="3934" t="n"/>
      <c r="AQ306" s="3934" t="n"/>
      <c r="AR306" s="3934" t="n"/>
    </row>
    <row r="307">
      <c r="A307" s="3941" t="n"/>
      <c r="B307" s="3944" t="n"/>
      <c r="C307" s="3944" t="n"/>
      <c r="D307" s="3944" t="n"/>
      <c r="E307" s="3944" t="n"/>
      <c r="F307" s="3944" t="n"/>
      <c r="G307" s="3944" t="n"/>
      <c r="H307" s="3944" t="n"/>
      <c r="I307" s="3944" t="n"/>
      <c r="J307" s="3944" t="n"/>
      <c r="K307" s="3942">
        <f>IF(A307="","",SUM(E307:J307))</f>
        <v/>
      </c>
      <c r="L307" s="3934" t="n"/>
      <c r="M307" s="3934" t="n"/>
      <c r="N307" s="3934" t="n"/>
      <c r="O307" s="3934" t="n"/>
      <c r="P307" s="3934" t="n"/>
      <c r="Q307" s="3934" t="n"/>
      <c r="R307" s="3934" t="n"/>
      <c r="S307" s="3934" t="n"/>
      <c r="T307" s="3934" t="n"/>
      <c r="U307" s="3934" t="n"/>
      <c r="V307" s="3934" t="n"/>
      <c r="W307" s="3934" t="n"/>
      <c r="X307" s="3934" t="n"/>
      <c r="Y307" s="3934" t="n"/>
      <c r="Z307" s="3934" t="n"/>
      <c r="AA307" s="3934" t="n"/>
      <c r="AB307" s="3934" t="n"/>
      <c r="AC307" s="3934" t="n"/>
      <c r="AD307" s="3934" t="n"/>
      <c r="AE307" s="3934" t="n"/>
      <c r="AF307" s="3934" t="n"/>
      <c r="AG307" s="3934" t="n"/>
      <c r="AH307" s="3934" t="n"/>
      <c r="AI307" s="3934" t="n"/>
      <c r="AJ307" s="3934" t="n"/>
      <c r="AK307" s="3934" t="n"/>
      <c r="AL307" s="3934" t="n"/>
      <c r="AM307" s="3934" t="n"/>
      <c r="AN307" s="3934" t="n"/>
      <c r="AO307" s="3934" t="n"/>
      <c r="AP307" s="3934" t="n"/>
      <c r="AQ307" s="3934" t="n"/>
      <c r="AR307" s="3934" t="n"/>
    </row>
    <row r="308">
      <c r="A308" s="3941" t="n"/>
      <c r="B308" s="3944" t="n"/>
      <c r="C308" s="3944" t="n"/>
      <c r="D308" s="3944" t="n"/>
      <c r="E308" s="3944" t="n"/>
      <c r="F308" s="3944" t="n"/>
      <c r="G308" s="3944" t="n"/>
      <c r="H308" s="3944" t="n"/>
      <c r="I308" s="3944" t="n"/>
      <c r="J308" s="3944" t="n"/>
      <c r="K308" s="3942">
        <f>IF(A308="","",SUM(E308:J308))</f>
        <v/>
      </c>
      <c r="L308" s="3934" t="n"/>
      <c r="M308" s="3934" t="n"/>
      <c r="N308" s="3934" t="n"/>
      <c r="O308" s="3934" t="n"/>
      <c r="P308" s="3934" t="n"/>
      <c r="Q308" s="3934" t="n"/>
      <c r="R308" s="3934" t="n"/>
      <c r="S308" s="3934" t="n"/>
      <c r="T308" s="3934" t="n"/>
      <c r="U308" s="3934" t="n"/>
      <c r="V308" s="3934" t="n"/>
      <c r="W308" s="3934" t="n"/>
      <c r="X308" s="3934" t="n"/>
      <c r="Y308" s="3934" t="n"/>
      <c r="Z308" s="3934" t="n"/>
      <c r="AA308" s="3934" t="n"/>
      <c r="AB308" s="3934" t="n"/>
      <c r="AC308" s="3934" t="n"/>
      <c r="AD308" s="3934" t="n"/>
      <c r="AE308" s="3934" t="n"/>
      <c r="AF308" s="3934" t="n"/>
      <c r="AG308" s="3934" t="n"/>
      <c r="AH308" s="3934" t="n"/>
      <c r="AI308" s="3934" t="n"/>
      <c r="AJ308" s="3934" t="n"/>
      <c r="AK308" s="3934" t="n"/>
      <c r="AL308" s="3934" t="n"/>
      <c r="AM308" s="3934" t="n"/>
      <c r="AN308" s="3934" t="n"/>
      <c r="AO308" s="3934" t="n"/>
      <c r="AP308" s="3934" t="n"/>
      <c r="AQ308" s="3934" t="n"/>
      <c r="AR308" s="3934" t="n"/>
    </row>
    <row r="309">
      <c r="A309" s="3941" t="n"/>
      <c r="B309" s="3944" t="n"/>
      <c r="C309" s="3944" t="n"/>
      <c r="D309" s="3944" t="n"/>
      <c r="E309" s="3944" t="n"/>
      <c r="F309" s="3944" t="n"/>
      <c r="G309" s="3944" t="n"/>
      <c r="H309" s="3944" t="n"/>
      <c r="I309" s="3944" t="n"/>
      <c r="J309" s="3944" t="n"/>
      <c r="K309" s="3942">
        <f>IF(A309="","",SUM(E309:J309))</f>
        <v/>
      </c>
      <c r="L309" s="3934" t="n"/>
      <c r="M309" s="3934" t="n"/>
      <c r="N309" s="3934" t="n"/>
      <c r="O309" s="3934" t="n"/>
      <c r="P309" s="3934" t="n"/>
      <c r="Q309" s="3934" t="n"/>
      <c r="R309" s="3934" t="n"/>
      <c r="S309" s="3934" t="n"/>
      <c r="T309" s="3934" t="n"/>
      <c r="U309" s="3934" t="n"/>
      <c r="V309" s="3934" t="n"/>
      <c r="W309" s="3934" t="n"/>
      <c r="X309" s="3934" t="n"/>
      <c r="Y309" s="3934" t="n"/>
      <c r="Z309" s="3934" t="n"/>
      <c r="AA309" s="3934" t="n"/>
      <c r="AB309" s="3934" t="n"/>
      <c r="AC309" s="3934" t="n"/>
      <c r="AD309" s="3934" t="n"/>
      <c r="AE309" s="3934" t="n"/>
      <c r="AF309" s="3934" t="n"/>
      <c r="AG309" s="3934" t="n"/>
      <c r="AH309" s="3934" t="n"/>
      <c r="AI309" s="3934" t="n"/>
      <c r="AJ309" s="3934" t="n"/>
      <c r="AK309" s="3934" t="n"/>
      <c r="AL309" s="3934" t="n"/>
      <c r="AM309" s="3934" t="n"/>
      <c r="AN309" s="3934" t="n"/>
      <c r="AO309" s="3934" t="n"/>
      <c r="AP309" s="3934" t="n"/>
      <c r="AQ309" s="3934" t="n"/>
      <c r="AR309" s="3934" t="n"/>
    </row>
    <row r="310">
      <c r="A310" s="3941" t="n"/>
      <c r="B310" s="3944" t="n"/>
      <c r="C310" s="3944" t="n"/>
      <c r="D310" s="3944" t="n"/>
      <c r="E310" s="3944" t="n"/>
      <c r="F310" s="3944" t="n"/>
      <c r="G310" s="3944" t="n"/>
      <c r="H310" s="3944" t="n"/>
      <c r="I310" s="3944" t="n"/>
      <c r="J310" s="3944" t="n"/>
      <c r="K310" s="3942">
        <f>IF(A310="","",SUM(E310:J310))</f>
        <v/>
      </c>
      <c r="L310" s="3934" t="n"/>
      <c r="M310" s="3934" t="n"/>
      <c r="N310" s="3934" t="n"/>
      <c r="O310" s="3934" t="n"/>
      <c r="P310" s="3934" t="n"/>
      <c r="Q310" s="3934" t="n"/>
      <c r="R310" s="3934" t="n"/>
      <c r="S310" s="3934" t="n"/>
      <c r="T310" s="3934" t="n"/>
      <c r="U310" s="3934" t="n"/>
      <c r="V310" s="3934" t="n"/>
      <c r="W310" s="3934" t="n"/>
      <c r="X310" s="3934" t="n"/>
      <c r="Y310" s="3934" t="n"/>
      <c r="Z310" s="3934" t="n"/>
      <c r="AA310" s="3934" t="n"/>
      <c r="AB310" s="3934" t="n"/>
      <c r="AC310" s="3934" t="n"/>
      <c r="AD310" s="3934" t="n"/>
      <c r="AE310" s="3934" t="n"/>
      <c r="AF310" s="3934" t="n"/>
      <c r="AG310" s="3934" t="n"/>
      <c r="AH310" s="3934" t="n"/>
      <c r="AI310" s="3934" t="n"/>
      <c r="AJ310" s="3934" t="n"/>
      <c r="AK310" s="3934" t="n"/>
      <c r="AL310" s="3934" t="n"/>
      <c r="AM310" s="3934" t="n"/>
      <c r="AN310" s="3934" t="n"/>
      <c r="AO310" s="3934" t="n"/>
      <c r="AP310" s="3934" t="n"/>
      <c r="AQ310" s="3934" t="n"/>
      <c r="AR310" s="3934" t="n"/>
    </row>
    <row r="311">
      <c r="A311" s="3941" t="n"/>
      <c r="B311" s="3944" t="n"/>
      <c r="C311" s="3944" t="n"/>
      <c r="D311" s="3944" t="n"/>
      <c r="E311" s="3944" t="n"/>
      <c r="F311" s="3944" t="n"/>
      <c r="G311" s="3944" t="n"/>
      <c r="H311" s="3944" t="n"/>
      <c r="I311" s="3944" t="n"/>
      <c r="J311" s="3944" t="n"/>
      <c r="K311" s="3942">
        <f>IF(A311="","",SUM(E311:J311))</f>
        <v/>
      </c>
      <c r="L311" s="3934" t="n"/>
      <c r="M311" s="3934" t="n"/>
      <c r="N311" s="3934" t="n"/>
      <c r="O311" s="3934" t="n"/>
      <c r="P311" s="3934" t="n"/>
      <c r="Q311" s="3934" t="n"/>
      <c r="R311" s="3934" t="n"/>
      <c r="S311" s="3934" t="n"/>
      <c r="T311" s="3934" t="n"/>
      <c r="U311" s="3934" t="n"/>
      <c r="V311" s="3934" t="n"/>
      <c r="W311" s="3934" t="n"/>
      <c r="X311" s="3934" t="n"/>
      <c r="Y311" s="3934" t="n"/>
      <c r="Z311" s="3934" t="n"/>
      <c r="AA311" s="3934" t="n"/>
      <c r="AB311" s="3934" t="n"/>
      <c r="AC311" s="3934" t="n"/>
      <c r="AD311" s="3934" t="n"/>
      <c r="AE311" s="3934" t="n"/>
      <c r="AF311" s="3934" t="n"/>
      <c r="AG311" s="3934" t="n"/>
      <c r="AH311" s="3934" t="n"/>
      <c r="AI311" s="3934" t="n"/>
      <c r="AJ311" s="3934" t="n"/>
      <c r="AK311" s="3934" t="n"/>
      <c r="AL311" s="3934" t="n"/>
      <c r="AM311" s="3934" t="n"/>
      <c r="AN311" s="3934" t="n"/>
      <c r="AO311" s="3934" t="n"/>
      <c r="AP311" s="3934" t="n"/>
      <c r="AQ311" s="3934" t="n"/>
      <c r="AR311" s="3934" t="n"/>
    </row>
    <row r="312">
      <c r="A312" s="3941" t="n"/>
      <c r="B312" s="3944" t="n"/>
      <c r="C312" s="3944" t="n"/>
      <c r="D312" s="3944" t="n"/>
      <c r="E312" s="3944" t="n"/>
      <c r="F312" s="3944" t="n"/>
      <c r="G312" s="3944" t="n"/>
      <c r="H312" s="3944" t="n"/>
      <c r="I312" s="3944" t="n"/>
      <c r="J312" s="3944" t="n"/>
      <c r="K312" s="3942">
        <f>IF(A312="","",SUM(E312:J312))</f>
        <v/>
      </c>
      <c r="L312" s="3934" t="n"/>
      <c r="M312" s="3934" t="n"/>
      <c r="N312" s="3934" t="n"/>
      <c r="O312" s="3934" t="n"/>
      <c r="P312" s="3934" t="n"/>
      <c r="Q312" s="3934" t="n"/>
      <c r="R312" s="3934" t="n"/>
      <c r="S312" s="3934" t="n"/>
      <c r="T312" s="3934" t="n"/>
      <c r="U312" s="3934" t="n"/>
      <c r="V312" s="3934" t="n"/>
      <c r="W312" s="3934" t="n"/>
      <c r="X312" s="3934" t="n"/>
      <c r="Y312" s="3934" t="n"/>
      <c r="Z312" s="3934" t="n"/>
      <c r="AA312" s="3934" t="n"/>
      <c r="AB312" s="3934" t="n"/>
      <c r="AC312" s="3934" t="n"/>
      <c r="AD312" s="3934" t="n"/>
      <c r="AE312" s="3934" t="n"/>
      <c r="AF312" s="3934" t="n"/>
      <c r="AG312" s="3934" t="n"/>
      <c r="AH312" s="3934" t="n"/>
      <c r="AI312" s="3934" t="n"/>
      <c r="AJ312" s="3934" t="n"/>
      <c r="AK312" s="3934" t="n"/>
      <c r="AL312" s="3934" t="n"/>
      <c r="AM312" s="3934" t="n"/>
      <c r="AN312" s="3934" t="n"/>
      <c r="AO312" s="3934" t="n"/>
      <c r="AP312" s="3934" t="n"/>
      <c r="AQ312" s="3934" t="n"/>
      <c r="AR312" s="3934" t="n"/>
    </row>
    <row r="313">
      <c r="A313" s="3941" t="n"/>
      <c r="B313" s="3944" t="n"/>
      <c r="C313" s="3944" t="n"/>
      <c r="D313" s="3944" t="n"/>
      <c r="E313" s="3944" t="n"/>
      <c r="F313" s="3944" t="n"/>
      <c r="G313" s="3944" t="n"/>
      <c r="H313" s="3944" t="n"/>
      <c r="I313" s="3944" t="n"/>
      <c r="J313" s="3944" t="n"/>
      <c r="K313" s="3942">
        <f>IF(A313="","",SUM(E313:J313))</f>
        <v/>
      </c>
      <c r="L313" s="3934" t="n"/>
      <c r="M313" s="3934" t="n"/>
      <c r="N313" s="3934" t="n"/>
      <c r="O313" s="3934" t="n"/>
      <c r="P313" s="3934" t="n"/>
      <c r="Q313" s="3934" t="n"/>
      <c r="R313" s="3934" t="n"/>
      <c r="S313" s="3934" t="n"/>
      <c r="T313" s="3934" t="n"/>
      <c r="U313" s="3934" t="n"/>
      <c r="V313" s="3934" t="n"/>
      <c r="W313" s="3934" t="n"/>
      <c r="X313" s="3934" t="n"/>
      <c r="Y313" s="3934" t="n"/>
      <c r="Z313" s="3934" t="n"/>
      <c r="AA313" s="3934" t="n"/>
      <c r="AB313" s="3934" t="n"/>
      <c r="AC313" s="3934" t="n"/>
      <c r="AD313" s="3934" t="n"/>
      <c r="AE313" s="3934" t="n"/>
      <c r="AF313" s="3934" t="n"/>
      <c r="AG313" s="3934" t="n"/>
      <c r="AH313" s="3934" t="n"/>
      <c r="AI313" s="3934" t="n"/>
      <c r="AJ313" s="3934" t="n"/>
      <c r="AK313" s="3934" t="n"/>
      <c r="AL313" s="3934" t="n"/>
      <c r="AM313" s="3934" t="n"/>
      <c r="AN313" s="3934" t="n"/>
      <c r="AO313" s="3934" t="n"/>
      <c r="AP313" s="3934" t="n"/>
      <c r="AQ313" s="3934" t="n"/>
      <c r="AR313" s="3934" t="n"/>
    </row>
    <row r="314">
      <c r="A314" s="3941" t="n"/>
      <c r="B314" s="3944" t="n"/>
      <c r="C314" s="3944" t="n"/>
      <c r="D314" s="3944" t="n"/>
      <c r="E314" s="3944" t="n"/>
      <c r="F314" s="3944" t="n"/>
      <c r="G314" s="3944" t="n"/>
      <c r="H314" s="3944" t="n"/>
      <c r="I314" s="3944" t="n"/>
      <c r="J314" s="3944" t="n"/>
      <c r="K314" s="3942">
        <f>IF(A314="","",SUM(E314:J314))</f>
        <v/>
      </c>
      <c r="L314" s="3934" t="n"/>
      <c r="M314" s="3934" t="n"/>
      <c r="N314" s="3934" t="n"/>
      <c r="O314" s="3934" t="n"/>
      <c r="P314" s="3934" t="n"/>
      <c r="Q314" s="3934" t="n"/>
      <c r="R314" s="3934" t="n"/>
      <c r="S314" s="3934" t="n"/>
      <c r="T314" s="3934" t="n"/>
      <c r="U314" s="3934" t="n"/>
      <c r="V314" s="3934" t="n"/>
      <c r="W314" s="3934" t="n"/>
      <c r="X314" s="3934" t="n"/>
      <c r="Y314" s="3934" t="n"/>
      <c r="Z314" s="3934" t="n"/>
      <c r="AA314" s="3934" t="n"/>
      <c r="AB314" s="3934" t="n"/>
      <c r="AC314" s="3934" t="n"/>
      <c r="AD314" s="3934" t="n"/>
      <c r="AE314" s="3934" t="n"/>
      <c r="AF314" s="3934" t="n"/>
      <c r="AG314" s="3934" t="n"/>
      <c r="AH314" s="3934" t="n"/>
      <c r="AI314" s="3934" t="n"/>
      <c r="AJ314" s="3934" t="n"/>
      <c r="AK314" s="3934" t="n"/>
      <c r="AL314" s="3934" t="n"/>
      <c r="AM314" s="3934" t="n"/>
      <c r="AN314" s="3934" t="n"/>
      <c r="AO314" s="3934" t="n"/>
      <c r="AP314" s="3934" t="n"/>
      <c r="AQ314" s="3934" t="n"/>
      <c r="AR314" s="3934" t="n"/>
    </row>
    <row r="315">
      <c r="A315" s="3941" t="n"/>
      <c r="B315" s="3944" t="n"/>
      <c r="C315" s="3944" t="n"/>
      <c r="D315" s="3944" t="n"/>
      <c r="E315" s="3944" t="n"/>
      <c r="F315" s="3944" t="n"/>
      <c r="G315" s="3944" t="n"/>
      <c r="H315" s="3944" t="n"/>
      <c r="I315" s="3944" t="n"/>
      <c r="J315" s="3944" t="n"/>
      <c r="K315" s="3942">
        <f>IF(A315="","",SUM(E315:J315))</f>
        <v/>
      </c>
      <c r="L315" s="3934" t="n"/>
      <c r="M315" s="3934" t="n"/>
      <c r="N315" s="3934" t="n"/>
      <c r="O315" s="3934" t="n"/>
      <c r="P315" s="3934" t="n"/>
      <c r="Q315" s="3934" t="n"/>
      <c r="R315" s="3934" t="n"/>
      <c r="S315" s="3934" t="n"/>
      <c r="T315" s="3934" t="n"/>
      <c r="U315" s="3934" t="n"/>
      <c r="V315" s="3934" t="n"/>
      <c r="W315" s="3934" t="n"/>
      <c r="X315" s="3934" t="n"/>
      <c r="Y315" s="3934" t="n"/>
      <c r="Z315" s="3934" t="n"/>
      <c r="AA315" s="3934" t="n"/>
      <c r="AB315" s="3934" t="n"/>
      <c r="AC315" s="3934" t="n"/>
      <c r="AD315" s="3934" t="n"/>
      <c r="AE315" s="3934" t="n"/>
      <c r="AF315" s="3934" t="n"/>
      <c r="AG315" s="3934" t="n"/>
      <c r="AH315" s="3934" t="n"/>
      <c r="AI315" s="3934" t="n"/>
      <c r="AJ315" s="3934" t="n"/>
      <c r="AK315" s="3934" t="n"/>
      <c r="AL315" s="3934" t="n"/>
      <c r="AM315" s="3934" t="n"/>
      <c r="AN315" s="3934" t="n"/>
      <c r="AO315" s="3934" t="n"/>
      <c r="AP315" s="3934" t="n"/>
      <c r="AQ315" s="3934" t="n"/>
      <c r="AR315" s="3934" t="n"/>
    </row>
    <row r="316">
      <c r="A316" s="3941" t="n"/>
      <c r="B316" s="3944" t="n"/>
      <c r="C316" s="3944" t="n"/>
      <c r="D316" s="3944" t="n"/>
      <c r="E316" s="3944" t="n"/>
      <c r="F316" s="3944" t="n"/>
      <c r="G316" s="3944" t="n"/>
      <c r="H316" s="3944" t="n"/>
      <c r="I316" s="3944" t="n"/>
      <c r="J316" s="3944" t="n"/>
      <c r="K316" s="3942">
        <f>IF(A316="","",SUM(E316:J316))</f>
        <v/>
      </c>
      <c r="L316" s="3934" t="n"/>
      <c r="M316" s="3934" t="n"/>
      <c r="N316" s="3934" t="n"/>
      <c r="O316" s="3934" t="n"/>
      <c r="P316" s="3934" t="n"/>
      <c r="Q316" s="3934" t="n"/>
      <c r="R316" s="3934" t="n"/>
      <c r="S316" s="3934" t="n"/>
      <c r="T316" s="3934" t="n"/>
      <c r="U316" s="3934" t="n"/>
      <c r="V316" s="3934" t="n"/>
      <c r="W316" s="3934" t="n"/>
      <c r="X316" s="3934" t="n"/>
      <c r="Y316" s="3934" t="n"/>
      <c r="Z316" s="3934" t="n"/>
      <c r="AA316" s="3934" t="n"/>
      <c r="AB316" s="3934" t="n"/>
      <c r="AC316" s="3934" t="n"/>
      <c r="AD316" s="3934" t="n"/>
      <c r="AE316" s="3934" t="n"/>
      <c r="AF316" s="3934" t="n"/>
      <c r="AG316" s="3934" t="n"/>
      <c r="AH316" s="3934" t="n"/>
      <c r="AI316" s="3934" t="n"/>
      <c r="AJ316" s="3934" t="n"/>
      <c r="AK316" s="3934" t="n"/>
      <c r="AL316" s="3934" t="n"/>
      <c r="AM316" s="3934" t="n"/>
      <c r="AN316" s="3934" t="n"/>
      <c r="AO316" s="3934" t="n"/>
      <c r="AP316" s="3934" t="n"/>
      <c r="AQ316" s="3934" t="n"/>
      <c r="AR316" s="3934" t="n"/>
    </row>
    <row r="317">
      <c r="A317" s="3941" t="n"/>
      <c r="B317" s="3944" t="n"/>
      <c r="C317" s="3944" t="n"/>
      <c r="D317" s="3944" t="n"/>
      <c r="E317" s="3944" t="n"/>
      <c r="F317" s="3944" t="n"/>
      <c r="G317" s="3944" t="n"/>
      <c r="H317" s="3944" t="n"/>
      <c r="I317" s="3944" t="n"/>
      <c r="J317" s="3944" t="n"/>
      <c r="K317" s="3942">
        <f>IF(A317="","",SUM(E317:J317))</f>
        <v/>
      </c>
      <c r="L317" s="3934" t="n"/>
      <c r="M317" s="3934" t="n"/>
      <c r="N317" s="3934" t="n"/>
      <c r="O317" s="3934" t="n"/>
      <c r="P317" s="3934" t="n"/>
      <c r="Q317" s="3934" t="n"/>
      <c r="R317" s="3934" t="n"/>
      <c r="S317" s="3934" t="n"/>
      <c r="T317" s="3934" t="n"/>
      <c r="U317" s="3934" t="n"/>
      <c r="V317" s="3934" t="n"/>
      <c r="W317" s="3934" t="n"/>
      <c r="X317" s="3934" t="n"/>
      <c r="Y317" s="3934" t="n"/>
      <c r="Z317" s="3934" t="n"/>
      <c r="AA317" s="3934" t="n"/>
      <c r="AB317" s="3934" t="n"/>
      <c r="AC317" s="3934" t="n"/>
      <c r="AD317" s="3934" t="n"/>
      <c r="AE317" s="3934" t="n"/>
      <c r="AF317" s="3934" t="n"/>
      <c r="AG317" s="3934" t="n"/>
      <c r="AH317" s="3934" t="n"/>
      <c r="AI317" s="3934" t="n"/>
      <c r="AJ317" s="3934" t="n"/>
      <c r="AK317" s="3934" t="n"/>
      <c r="AL317" s="3934" t="n"/>
      <c r="AM317" s="3934" t="n"/>
      <c r="AN317" s="3934" t="n"/>
      <c r="AO317" s="3934" t="n"/>
      <c r="AP317" s="3934" t="n"/>
      <c r="AQ317" s="3934" t="n"/>
      <c r="AR317" s="3934" t="n"/>
    </row>
    <row r="318">
      <c r="A318" s="3941" t="n"/>
      <c r="B318" s="3944" t="n"/>
      <c r="C318" s="3944" t="n"/>
      <c r="D318" s="3944" t="n"/>
      <c r="E318" s="3944" t="n"/>
      <c r="F318" s="3944" t="n"/>
      <c r="G318" s="3944" t="n"/>
      <c r="H318" s="3944" t="n"/>
      <c r="I318" s="3944" t="n"/>
      <c r="J318" s="3944" t="n"/>
      <c r="K318" s="3942">
        <f>IF(A318="","",SUM(E318:J318))</f>
        <v/>
      </c>
      <c r="L318" s="3934" t="n"/>
      <c r="M318" s="3934" t="n"/>
      <c r="N318" s="3934" t="n"/>
      <c r="O318" s="3934" t="n"/>
      <c r="P318" s="3934" t="n"/>
      <c r="Q318" s="3934" t="n"/>
      <c r="R318" s="3934" t="n"/>
      <c r="S318" s="3934" t="n"/>
      <c r="T318" s="3934" t="n"/>
      <c r="U318" s="3934" t="n"/>
      <c r="V318" s="3934" t="n"/>
      <c r="W318" s="3934" t="n"/>
      <c r="X318" s="3934" t="n"/>
      <c r="Y318" s="3934" t="n"/>
      <c r="Z318" s="3934" t="n"/>
      <c r="AA318" s="3934" t="n"/>
      <c r="AB318" s="3934" t="n"/>
      <c r="AC318" s="3934" t="n"/>
      <c r="AD318" s="3934" t="n"/>
      <c r="AE318" s="3934" t="n"/>
      <c r="AF318" s="3934" t="n"/>
      <c r="AG318" s="3934" t="n"/>
      <c r="AH318" s="3934" t="n"/>
      <c r="AI318" s="3934" t="n"/>
      <c r="AJ318" s="3934" t="n"/>
      <c r="AK318" s="3934" t="n"/>
      <c r="AL318" s="3934" t="n"/>
      <c r="AM318" s="3934" t="n"/>
      <c r="AN318" s="3934" t="n"/>
      <c r="AO318" s="3934" t="n"/>
      <c r="AP318" s="3934" t="n"/>
      <c r="AQ318" s="3934" t="n"/>
      <c r="AR318" s="3934" t="n"/>
    </row>
    <row r="319">
      <c r="A319" s="3941" t="n"/>
      <c r="B319" s="3944" t="n"/>
      <c r="C319" s="3944" t="n"/>
      <c r="D319" s="3944" t="n"/>
      <c r="E319" s="3944" t="n"/>
      <c r="F319" s="3944" t="n"/>
      <c r="G319" s="3944" t="n"/>
      <c r="H319" s="3944" t="n"/>
      <c r="I319" s="3944" t="n"/>
      <c r="J319" s="3944" t="n"/>
      <c r="K319" s="3942">
        <f>IF(A319="","",SUM(E319:J319))</f>
        <v/>
      </c>
      <c r="L319" s="3934" t="n"/>
      <c r="M319" s="3934" t="n"/>
      <c r="N319" s="3934" t="n"/>
      <c r="O319" s="3934" t="n"/>
      <c r="P319" s="3934" t="n"/>
      <c r="Q319" s="3934" t="n"/>
      <c r="R319" s="3934" t="n"/>
      <c r="S319" s="3934" t="n"/>
      <c r="T319" s="3934" t="n"/>
      <c r="U319" s="3934" t="n"/>
      <c r="V319" s="3934" t="n"/>
      <c r="W319" s="3934" t="n"/>
      <c r="X319" s="3934" t="n"/>
      <c r="Y319" s="3934" t="n"/>
      <c r="Z319" s="3934" t="n"/>
      <c r="AA319" s="3934" t="n"/>
      <c r="AB319" s="3934" t="n"/>
      <c r="AC319" s="3934" t="n"/>
      <c r="AD319" s="3934" t="n"/>
      <c r="AE319" s="3934" t="n"/>
      <c r="AF319" s="3934" t="n"/>
      <c r="AG319" s="3934" t="n"/>
      <c r="AH319" s="3934" t="n"/>
      <c r="AI319" s="3934" t="n"/>
      <c r="AJ319" s="3934" t="n"/>
      <c r="AK319" s="3934" t="n"/>
      <c r="AL319" s="3934" t="n"/>
      <c r="AM319" s="3934" t="n"/>
      <c r="AN319" s="3934" t="n"/>
      <c r="AO319" s="3934" t="n"/>
      <c r="AP319" s="3934" t="n"/>
      <c r="AQ319" s="3934" t="n"/>
      <c r="AR319" s="3934" t="n"/>
    </row>
    <row r="320">
      <c r="A320" s="3941" t="n"/>
      <c r="B320" s="3944" t="n"/>
      <c r="C320" s="3944" t="n"/>
      <c r="D320" s="3944" t="n"/>
      <c r="E320" s="3944" t="n"/>
      <c r="F320" s="3944" t="n"/>
      <c r="G320" s="3944" t="n"/>
      <c r="H320" s="3944" t="n"/>
      <c r="I320" s="3944" t="n"/>
      <c r="J320" s="3944" t="n"/>
      <c r="K320" s="3942">
        <f>IF(A320="","",SUM(E320:J320))</f>
        <v/>
      </c>
      <c r="L320" s="3934" t="n"/>
      <c r="M320" s="3934" t="n"/>
      <c r="N320" s="3934" t="n"/>
      <c r="O320" s="3934" t="n"/>
      <c r="P320" s="3934" t="n"/>
      <c r="Q320" s="3934" t="n"/>
      <c r="R320" s="3934" t="n"/>
      <c r="S320" s="3934" t="n"/>
      <c r="T320" s="3934" t="n"/>
      <c r="U320" s="3934" t="n"/>
      <c r="V320" s="3934" t="n"/>
      <c r="W320" s="3934" t="n"/>
      <c r="X320" s="3934" t="n"/>
      <c r="Y320" s="3934" t="n"/>
      <c r="Z320" s="3934" t="n"/>
      <c r="AA320" s="3934" t="n"/>
      <c r="AB320" s="3934" t="n"/>
      <c r="AC320" s="3934" t="n"/>
      <c r="AD320" s="3934" t="n"/>
      <c r="AE320" s="3934" t="n"/>
      <c r="AF320" s="3934" t="n"/>
      <c r="AG320" s="3934" t="n"/>
      <c r="AH320" s="3934" t="n"/>
      <c r="AI320" s="3934" t="n"/>
      <c r="AJ320" s="3934" t="n"/>
      <c r="AK320" s="3934" t="n"/>
      <c r="AL320" s="3934" t="n"/>
      <c r="AM320" s="3934" t="n"/>
      <c r="AN320" s="3934" t="n"/>
      <c r="AO320" s="3934" t="n"/>
      <c r="AP320" s="3934" t="n"/>
      <c r="AQ320" s="3934" t="n"/>
      <c r="AR320" s="3934" t="n"/>
    </row>
    <row r="321">
      <c r="A321" s="3941" t="n"/>
      <c r="B321" s="3944" t="n"/>
      <c r="C321" s="3944" t="n"/>
      <c r="D321" s="3944" t="n"/>
      <c r="E321" s="3944" t="n"/>
      <c r="F321" s="3944" t="n"/>
      <c r="G321" s="3944" t="n"/>
      <c r="H321" s="3944" t="n"/>
      <c r="I321" s="3944" t="n"/>
      <c r="J321" s="3944" t="n"/>
      <c r="K321" s="3942">
        <f>IF(A321="","",SUM(E321:J321))</f>
        <v/>
      </c>
      <c r="L321" s="3934" t="n"/>
      <c r="M321" s="3934" t="n"/>
      <c r="N321" s="3934" t="n"/>
      <c r="O321" s="3934" t="n"/>
      <c r="P321" s="3934" t="n"/>
      <c r="Q321" s="3934" t="n"/>
      <c r="R321" s="3934" t="n"/>
      <c r="S321" s="3934" t="n"/>
      <c r="T321" s="3934" t="n"/>
      <c r="U321" s="3934" t="n"/>
      <c r="V321" s="3934" t="n"/>
      <c r="W321" s="3934" t="n"/>
      <c r="X321" s="3934" t="n"/>
      <c r="Y321" s="3934" t="n"/>
      <c r="Z321" s="3934" t="n"/>
      <c r="AA321" s="3934" t="n"/>
      <c r="AB321" s="3934" t="n"/>
      <c r="AC321" s="3934" t="n"/>
      <c r="AD321" s="3934" t="n"/>
      <c r="AE321" s="3934" t="n"/>
      <c r="AF321" s="3934" t="n"/>
      <c r="AG321" s="3934" t="n"/>
      <c r="AH321" s="3934" t="n"/>
      <c r="AI321" s="3934" t="n"/>
      <c r="AJ321" s="3934" t="n"/>
      <c r="AK321" s="3934" t="n"/>
      <c r="AL321" s="3934" t="n"/>
      <c r="AM321" s="3934" t="n"/>
      <c r="AN321" s="3934" t="n"/>
      <c r="AO321" s="3934" t="n"/>
      <c r="AP321" s="3934" t="n"/>
      <c r="AQ321" s="3934" t="n"/>
      <c r="AR321" s="3934" t="n"/>
    </row>
    <row r="322">
      <c r="A322" s="3941" t="n"/>
      <c r="B322" s="3944" t="n"/>
      <c r="C322" s="3944" t="n"/>
      <c r="D322" s="3944" t="n"/>
      <c r="E322" s="3944" t="n"/>
      <c r="F322" s="3944" t="n"/>
      <c r="G322" s="3944" t="n"/>
      <c r="H322" s="3944" t="n"/>
      <c r="I322" s="3944" t="n"/>
      <c r="J322" s="3944" t="n"/>
      <c r="K322" s="3942">
        <f>IF(A322="","",SUM(E322:J322))</f>
        <v/>
      </c>
      <c r="L322" s="3934" t="n"/>
      <c r="M322" s="3934" t="n"/>
      <c r="N322" s="3934" t="n"/>
      <c r="O322" s="3934" t="n"/>
      <c r="P322" s="3934" t="n"/>
      <c r="Q322" s="3934" t="n"/>
      <c r="R322" s="3934" t="n"/>
      <c r="S322" s="3934" t="n"/>
      <c r="T322" s="3934" t="n"/>
      <c r="U322" s="3934" t="n"/>
      <c r="V322" s="3934" t="n"/>
      <c r="W322" s="3934" t="n"/>
      <c r="X322" s="3934" t="n"/>
      <c r="Y322" s="3934" t="n"/>
      <c r="Z322" s="3934" t="n"/>
      <c r="AA322" s="3934" t="n"/>
      <c r="AB322" s="3934" t="n"/>
      <c r="AC322" s="3934" t="n"/>
      <c r="AD322" s="3934" t="n"/>
      <c r="AE322" s="3934" t="n"/>
      <c r="AF322" s="3934" t="n"/>
      <c r="AG322" s="3934" t="n"/>
      <c r="AH322" s="3934" t="n"/>
      <c r="AI322" s="3934" t="n"/>
      <c r="AJ322" s="3934" t="n"/>
      <c r="AK322" s="3934" t="n"/>
      <c r="AL322" s="3934" t="n"/>
      <c r="AM322" s="3934" t="n"/>
      <c r="AN322" s="3934" t="n"/>
      <c r="AO322" s="3934" t="n"/>
      <c r="AP322" s="3934" t="n"/>
      <c r="AQ322" s="3934" t="n"/>
      <c r="AR322" s="3934" t="n"/>
    </row>
    <row r="323">
      <c r="A323" s="3941" t="n"/>
      <c r="B323" s="3944" t="n"/>
      <c r="C323" s="3944" t="n"/>
      <c r="D323" s="3944" t="n"/>
      <c r="E323" s="3944" t="n"/>
      <c r="F323" s="3944" t="n"/>
      <c r="G323" s="3944" t="n"/>
      <c r="H323" s="3944" t="n"/>
      <c r="I323" s="3944" t="n"/>
      <c r="J323" s="3944" t="n"/>
      <c r="K323" s="3942">
        <f>IF(A323="","",SUM(E323:J323))</f>
        <v/>
      </c>
      <c r="L323" s="3934" t="n"/>
      <c r="M323" s="3934" t="n"/>
      <c r="N323" s="3934" t="n"/>
      <c r="O323" s="3934" t="n"/>
      <c r="P323" s="3934" t="n"/>
      <c r="Q323" s="3934" t="n"/>
      <c r="R323" s="3934" t="n"/>
      <c r="S323" s="3934" t="n"/>
      <c r="T323" s="3934" t="n"/>
      <c r="U323" s="3934" t="n"/>
      <c r="V323" s="3934" t="n"/>
      <c r="W323" s="3934" t="n"/>
      <c r="X323" s="3934" t="n"/>
      <c r="Y323" s="3934" t="n"/>
      <c r="Z323" s="3934" t="n"/>
      <c r="AA323" s="3934" t="n"/>
      <c r="AB323" s="3934" t="n"/>
      <c r="AC323" s="3934" t="n"/>
      <c r="AD323" s="3934" t="n"/>
      <c r="AE323" s="3934" t="n"/>
      <c r="AF323" s="3934" t="n"/>
      <c r="AG323" s="3934" t="n"/>
      <c r="AH323" s="3934" t="n"/>
      <c r="AI323" s="3934" t="n"/>
      <c r="AJ323" s="3934" t="n"/>
      <c r="AK323" s="3934" t="n"/>
      <c r="AL323" s="3934" t="n"/>
      <c r="AM323" s="3934" t="n"/>
      <c r="AN323" s="3934" t="n"/>
      <c r="AO323" s="3934" t="n"/>
      <c r="AP323" s="3934" t="n"/>
      <c r="AQ323" s="3934" t="n"/>
      <c r="AR323" s="3934" t="n"/>
    </row>
    <row r="324">
      <c r="A324" s="3941" t="n"/>
      <c r="B324" s="3944" t="n"/>
      <c r="C324" s="3944" t="n"/>
      <c r="D324" s="3944" t="n"/>
      <c r="E324" s="3944" t="n"/>
      <c r="F324" s="3944" t="n"/>
      <c r="G324" s="3944" t="n"/>
      <c r="H324" s="3944" t="n"/>
      <c r="I324" s="3944" t="n"/>
      <c r="J324" s="3944" t="n"/>
      <c r="K324" s="3942">
        <f>IF(A324="","",SUM(E324:J324))</f>
        <v/>
      </c>
      <c r="L324" s="3934" t="n"/>
      <c r="M324" s="3934" t="n"/>
      <c r="N324" s="3934" t="n"/>
      <c r="O324" s="3934" t="n"/>
      <c r="P324" s="3934" t="n"/>
      <c r="Q324" s="3934" t="n"/>
      <c r="R324" s="3934" t="n"/>
      <c r="S324" s="3934" t="n"/>
      <c r="T324" s="3934" t="n"/>
      <c r="U324" s="3934" t="n"/>
      <c r="V324" s="3934" t="n"/>
      <c r="W324" s="3934" t="n"/>
      <c r="X324" s="3934" t="n"/>
      <c r="Y324" s="3934" t="n"/>
      <c r="Z324" s="3934" t="n"/>
      <c r="AA324" s="3934" t="n"/>
      <c r="AB324" s="3934" t="n"/>
      <c r="AC324" s="3934" t="n"/>
      <c r="AD324" s="3934" t="n"/>
      <c r="AE324" s="3934" t="n"/>
      <c r="AF324" s="3934" t="n"/>
      <c r="AG324" s="3934" t="n"/>
      <c r="AH324" s="3934" t="n"/>
      <c r="AI324" s="3934" t="n"/>
      <c r="AJ324" s="3934" t="n"/>
      <c r="AK324" s="3934" t="n"/>
      <c r="AL324" s="3934" t="n"/>
      <c r="AM324" s="3934" t="n"/>
      <c r="AN324" s="3934" t="n"/>
      <c r="AO324" s="3934" t="n"/>
      <c r="AP324" s="3934" t="n"/>
      <c r="AQ324" s="3934" t="n"/>
      <c r="AR324" s="3934" t="n"/>
    </row>
    <row r="325">
      <c r="A325" s="3941" t="n"/>
      <c r="B325" s="3944" t="n"/>
      <c r="C325" s="3944" t="n"/>
      <c r="D325" s="3944" t="n"/>
      <c r="E325" s="3944" t="n"/>
      <c r="F325" s="3944" t="n"/>
      <c r="G325" s="3944" t="n"/>
      <c r="H325" s="3944" t="n"/>
      <c r="I325" s="3944" t="n"/>
      <c r="J325" s="3944" t="n"/>
      <c r="K325" s="3942">
        <f>IF(A325="","",SUM(E325:J325))</f>
        <v/>
      </c>
      <c r="L325" s="3934" t="n"/>
      <c r="M325" s="3934" t="n"/>
      <c r="N325" s="3934" t="n"/>
      <c r="O325" s="3934" t="n"/>
      <c r="P325" s="3934" t="n"/>
      <c r="Q325" s="3934" t="n"/>
      <c r="R325" s="3934" t="n"/>
      <c r="S325" s="3934" t="n"/>
      <c r="T325" s="3934" t="n"/>
      <c r="U325" s="3934" t="n"/>
      <c r="V325" s="3934" t="n"/>
      <c r="W325" s="3934" t="n"/>
      <c r="X325" s="3934" t="n"/>
      <c r="Y325" s="3934" t="n"/>
      <c r="Z325" s="3934" t="n"/>
      <c r="AA325" s="3934" t="n"/>
      <c r="AB325" s="3934" t="n"/>
      <c r="AC325" s="3934" t="n"/>
      <c r="AD325" s="3934" t="n"/>
      <c r="AE325" s="3934" t="n"/>
      <c r="AF325" s="3934" t="n"/>
      <c r="AG325" s="3934" t="n"/>
      <c r="AH325" s="3934" t="n"/>
      <c r="AI325" s="3934" t="n"/>
      <c r="AJ325" s="3934" t="n"/>
      <c r="AK325" s="3934" t="n"/>
      <c r="AL325" s="3934" t="n"/>
      <c r="AM325" s="3934" t="n"/>
      <c r="AN325" s="3934" t="n"/>
      <c r="AO325" s="3934" t="n"/>
      <c r="AP325" s="3934" t="n"/>
      <c r="AQ325" s="3934" t="n"/>
      <c r="AR325" s="3934" t="n"/>
    </row>
    <row r="326">
      <c r="A326" s="3941" t="n"/>
      <c r="B326" s="3944" t="n"/>
      <c r="C326" s="3944" t="n"/>
      <c r="D326" s="3944" t="n"/>
      <c r="E326" s="3944" t="n"/>
      <c r="F326" s="3944" t="n"/>
      <c r="G326" s="3944" t="n"/>
      <c r="H326" s="3944" t="n"/>
      <c r="I326" s="3944" t="n"/>
      <c r="J326" s="3944" t="n"/>
      <c r="K326" s="3942">
        <f>IF(A326="","",SUM(E326:J326))</f>
        <v/>
      </c>
      <c r="L326" s="3934" t="n"/>
      <c r="M326" s="3934" t="n"/>
      <c r="N326" s="3934" t="n"/>
      <c r="O326" s="3934" t="n"/>
      <c r="P326" s="3934" t="n"/>
      <c r="Q326" s="3934" t="n"/>
      <c r="R326" s="3934" t="n"/>
      <c r="S326" s="3934" t="n"/>
      <c r="T326" s="3934" t="n"/>
      <c r="U326" s="3934" t="n"/>
      <c r="V326" s="3934" t="n"/>
      <c r="W326" s="3934" t="n"/>
      <c r="X326" s="3934" t="n"/>
      <c r="Y326" s="3934" t="n"/>
      <c r="Z326" s="3934" t="n"/>
      <c r="AA326" s="3934" t="n"/>
      <c r="AB326" s="3934" t="n"/>
      <c r="AC326" s="3934" t="n"/>
      <c r="AD326" s="3934" t="n"/>
      <c r="AE326" s="3934" t="n"/>
      <c r="AF326" s="3934" t="n"/>
      <c r="AG326" s="3934" t="n"/>
      <c r="AH326" s="3934" t="n"/>
      <c r="AI326" s="3934" t="n"/>
      <c r="AJ326" s="3934" t="n"/>
      <c r="AK326" s="3934" t="n"/>
      <c r="AL326" s="3934" t="n"/>
      <c r="AM326" s="3934" t="n"/>
      <c r="AN326" s="3934" t="n"/>
      <c r="AO326" s="3934" t="n"/>
      <c r="AP326" s="3934" t="n"/>
      <c r="AQ326" s="3934" t="n"/>
      <c r="AR326" s="3934" t="n"/>
    </row>
    <row r="327">
      <c r="A327" s="3941" t="n"/>
      <c r="B327" s="3944" t="n"/>
      <c r="C327" s="3944" t="n"/>
      <c r="D327" s="3944" t="n"/>
      <c r="E327" s="3944" t="n"/>
      <c r="F327" s="3944" t="n"/>
      <c r="G327" s="3944" t="n"/>
      <c r="H327" s="3944" t="n"/>
      <c r="I327" s="3944" t="n"/>
      <c r="J327" s="3944" t="n"/>
      <c r="K327" s="3942">
        <f>IF(A327="","",SUM(E327:J327))</f>
        <v/>
      </c>
      <c r="L327" s="3934" t="n"/>
      <c r="M327" s="3934" t="n"/>
      <c r="N327" s="3934" t="n"/>
      <c r="O327" s="3934" t="n"/>
      <c r="P327" s="3934" t="n"/>
      <c r="Q327" s="3934" t="n"/>
      <c r="R327" s="3934" t="n"/>
      <c r="S327" s="3934" t="n"/>
      <c r="T327" s="3934" t="n"/>
      <c r="U327" s="3934" t="n"/>
      <c r="V327" s="3934" t="n"/>
      <c r="W327" s="3934" t="n"/>
      <c r="X327" s="3934" t="n"/>
      <c r="Y327" s="3934" t="n"/>
      <c r="Z327" s="3934" t="n"/>
      <c r="AA327" s="3934" t="n"/>
      <c r="AB327" s="3934" t="n"/>
      <c r="AC327" s="3934" t="n"/>
      <c r="AD327" s="3934" t="n"/>
      <c r="AE327" s="3934" t="n"/>
      <c r="AF327" s="3934" t="n"/>
      <c r="AG327" s="3934" t="n"/>
      <c r="AH327" s="3934" t="n"/>
      <c r="AI327" s="3934" t="n"/>
      <c r="AJ327" s="3934" t="n"/>
      <c r="AK327" s="3934" t="n"/>
      <c r="AL327" s="3934" t="n"/>
      <c r="AM327" s="3934" t="n"/>
      <c r="AN327" s="3934" t="n"/>
      <c r="AO327" s="3934" t="n"/>
      <c r="AP327" s="3934" t="n"/>
      <c r="AQ327" s="3934" t="n"/>
      <c r="AR327" s="3934" t="n"/>
    </row>
    <row r="328">
      <c r="A328" s="3941" t="n"/>
      <c r="B328" s="3944" t="n"/>
      <c r="C328" s="3944" t="n"/>
      <c r="D328" s="3944" t="n"/>
      <c r="E328" s="3944" t="n"/>
      <c r="F328" s="3944" t="n"/>
      <c r="G328" s="3944" t="n"/>
      <c r="H328" s="3944" t="n"/>
      <c r="I328" s="3944" t="n"/>
      <c r="J328" s="3944" t="n"/>
      <c r="K328" s="3942">
        <f>IF(A328="","",SUM(E328:J328))</f>
        <v/>
      </c>
      <c r="L328" s="3934" t="n"/>
      <c r="M328" s="3934" t="n"/>
      <c r="N328" s="3934" t="n"/>
      <c r="O328" s="3934" t="n"/>
      <c r="P328" s="3934" t="n"/>
      <c r="Q328" s="3934" t="n"/>
      <c r="R328" s="3934" t="n"/>
      <c r="S328" s="3934" t="n"/>
      <c r="T328" s="3934" t="n"/>
      <c r="U328" s="3934" t="n"/>
      <c r="V328" s="3934" t="n"/>
      <c r="W328" s="3934" t="n"/>
      <c r="X328" s="3934" t="n"/>
      <c r="Y328" s="3934" t="n"/>
      <c r="Z328" s="3934" t="n"/>
      <c r="AA328" s="3934" t="n"/>
      <c r="AB328" s="3934" t="n"/>
      <c r="AC328" s="3934" t="n"/>
      <c r="AD328" s="3934" t="n"/>
      <c r="AE328" s="3934" t="n"/>
      <c r="AF328" s="3934" t="n"/>
      <c r="AG328" s="3934" t="n"/>
      <c r="AH328" s="3934" t="n"/>
      <c r="AI328" s="3934" t="n"/>
      <c r="AJ328" s="3934" t="n"/>
      <c r="AK328" s="3934" t="n"/>
      <c r="AL328" s="3934" t="n"/>
      <c r="AM328" s="3934" t="n"/>
      <c r="AN328" s="3934" t="n"/>
      <c r="AO328" s="3934" t="n"/>
      <c r="AP328" s="3934" t="n"/>
      <c r="AQ328" s="3934" t="n"/>
      <c r="AR328" s="3934" t="n"/>
    </row>
    <row r="329">
      <c r="A329" s="3941" t="n"/>
      <c r="B329" s="3944" t="n"/>
      <c r="C329" s="3944" t="n"/>
      <c r="D329" s="3944" t="n"/>
      <c r="E329" s="3944" t="n"/>
      <c r="F329" s="3944" t="n"/>
      <c r="G329" s="3944" t="n"/>
      <c r="H329" s="3944" t="n"/>
      <c r="I329" s="3944" t="n"/>
      <c r="J329" s="3944" t="n"/>
      <c r="K329" s="3942">
        <f>IF(A329="","",SUM(E329:J329))</f>
        <v/>
      </c>
      <c r="L329" s="3934" t="n"/>
      <c r="M329" s="3934" t="n"/>
      <c r="N329" s="3934" t="n"/>
      <c r="O329" s="3934" t="n"/>
      <c r="P329" s="3934" t="n"/>
      <c r="Q329" s="3934" t="n"/>
      <c r="R329" s="3934" t="n"/>
      <c r="S329" s="3934" t="n"/>
      <c r="T329" s="3934" t="n"/>
      <c r="U329" s="3934" t="n"/>
      <c r="V329" s="3934" t="n"/>
      <c r="W329" s="3934" t="n"/>
      <c r="X329" s="3934" t="n"/>
      <c r="Y329" s="3934" t="n"/>
      <c r="Z329" s="3934" t="n"/>
      <c r="AA329" s="3934" t="n"/>
      <c r="AB329" s="3934" t="n"/>
      <c r="AC329" s="3934" t="n"/>
      <c r="AD329" s="3934" t="n"/>
      <c r="AE329" s="3934" t="n"/>
      <c r="AF329" s="3934" t="n"/>
      <c r="AG329" s="3934" t="n"/>
      <c r="AH329" s="3934" t="n"/>
      <c r="AI329" s="3934" t="n"/>
      <c r="AJ329" s="3934" t="n"/>
      <c r="AK329" s="3934" t="n"/>
      <c r="AL329" s="3934" t="n"/>
      <c r="AM329" s="3934" t="n"/>
      <c r="AN329" s="3934" t="n"/>
      <c r="AO329" s="3934" t="n"/>
      <c r="AP329" s="3934" t="n"/>
      <c r="AQ329" s="3934" t="n"/>
      <c r="AR329" s="3934" t="n"/>
    </row>
    <row r="330">
      <c r="A330" s="3941" t="n"/>
      <c r="B330" s="3944" t="n"/>
      <c r="C330" s="3944" t="n"/>
      <c r="D330" s="3944" t="n"/>
      <c r="E330" s="3944" t="n"/>
      <c r="F330" s="3944" t="n"/>
      <c r="G330" s="3944" t="n"/>
      <c r="H330" s="3944" t="n"/>
      <c r="I330" s="3944" t="n"/>
      <c r="J330" s="3944" t="n"/>
      <c r="K330" s="3942">
        <f>IF(A330="","",SUM(E330:J330))</f>
        <v/>
      </c>
      <c r="L330" s="3934" t="n"/>
      <c r="M330" s="3934" t="n"/>
      <c r="N330" s="3934" t="n"/>
      <c r="O330" s="3934" t="n"/>
      <c r="P330" s="3934" t="n"/>
      <c r="Q330" s="3934" t="n"/>
      <c r="R330" s="3934" t="n"/>
      <c r="S330" s="3934" t="n"/>
      <c r="T330" s="3934" t="n"/>
      <c r="U330" s="3934" t="n"/>
      <c r="V330" s="3934" t="n"/>
      <c r="W330" s="3934" t="n"/>
      <c r="X330" s="3934" t="n"/>
      <c r="Y330" s="3934" t="n"/>
      <c r="Z330" s="3934" t="n"/>
      <c r="AA330" s="3934" t="n"/>
      <c r="AB330" s="3934" t="n"/>
      <c r="AC330" s="3934" t="n"/>
      <c r="AD330" s="3934" t="n"/>
      <c r="AE330" s="3934" t="n"/>
      <c r="AF330" s="3934" t="n"/>
      <c r="AG330" s="3934" t="n"/>
      <c r="AH330" s="3934" t="n"/>
      <c r="AI330" s="3934" t="n"/>
      <c r="AJ330" s="3934" t="n"/>
      <c r="AK330" s="3934" t="n"/>
      <c r="AL330" s="3934" t="n"/>
      <c r="AM330" s="3934" t="n"/>
      <c r="AN330" s="3934" t="n"/>
      <c r="AO330" s="3934" t="n"/>
      <c r="AP330" s="3934" t="n"/>
      <c r="AQ330" s="3934" t="n"/>
      <c r="AR330" s="3934" t="n"/>
    </row>
    <row r="331">
      <c r="A331" s="3941" t="n"/>
      <c r="B331" s="3944" t="n"/>
      <c r="C331" s="3944" t="n"/>
      <c r="D331" s="3944" t="n"/>
      <c r="E331" s="3944" t="n"/>
      <c r="F331" s="3944" t="n"/>
      <c r="G331" s="3944" t="n"/>
      <c r="H331" s="3944" t="n"/>
      <c r="I331" s="3944" t="n"/>
      <c r="J331" s="3944" t="n"/>
      <c r="K331" s="3942">
        <f>IF(A331="","",SUM(E331:J331))</f>
        <v/>
      </c>
      <c r="L331" s="3934" t="n"/>
      <c r="M331" s="3934" t="n"/>
      <c r="N331" s="3934" t="n"/>
      <c r="O331" s="3934" t="n"/>
      <c r="P331" s="3934" t="n"/>
      <c r="Q331" s="3934" t="n"/>
      <c r="R331" s="3934" t="n"/>
      <c r="S331" s="3934" t="n"/>
      <c r="T331" s="3934" t="n"/>
      <c r="U331" s="3934" t="n"/>
      <c r="V331" s="3934" t="n"/>
      <c r="W331" s="3934" t="n"/>
      <c r="X331" s="3934" t="n"/>
      <c r="Y331" s="3934" t="n"/>
      <c r="Z331" s="3934" t="n"/>
      <c r="AA331" s="3934" t="n"/>
      <c r="AB331" s="3934" t="n"/>
      <c r="AC331" s="3934" t="n"/>
      <c r="AD331" s="3934" t="n"/>
      <c r="AE331" s="3934" t="n"/>
      <c r="AF331" s="3934" t="n"/>
      <c r="AG331" s="3934" t="n"/>
      <c r="AH331" s="3934" t="n"/>
      <c r="AI331" s="3934" t="n"/>
      <c r="AJ331" s="3934" t="n"/>
      <c r="AK331" s="3934" t="n"/>
      <c r="AL331" s="3934" t="n"/>
      <c r="AM331" s="3934" t="n"/>
      <c r="AN331" s="3934" t="n"/>
      <c r="AO331" s="3934" t="n"/>
      <c r="AP331" s="3934" t="n"/>
      <c r="AQ331" s="3934" t="n"/>
      <c r="AR331" s="3934" t="n"/>
    </row>
    <row r="332">
      <c r="A332" s="3941" t="n"/>
      <c r="B332" s="3944" t="n"/>
      <c r="C332" s="3944" t="n"/>
      <c r="D332" s="3944" t="n"/>
      <c r="E332" s="3944" t="n"/>
      <c r="F332" s="3944" t="n"/>
      <c r="G332" s="3944" t="n"/>
      <c r="H332" s="3944" t="n"/>
      <c r="I332" s="3944" t="n"/>
      <c r="J332" s="3944" t="n"/>
      <c r="K332" s="3942">
        <f>IF(A332="","",SUM(E332:J332))</f>
        <v/>
      </c>
      <c r="L332" s="3934" t="n"/>
      <c r="M332" s="3934" t="n"/>
      <c r="N332" s="3934" t="n"/>
      <c r="O332" s="3934" t="n"/>
      <c r="P332" s="3934" t="n"/>
      <c r="Q332" s="3934" t="n"/>
      <c r="R332" s="3934" t="n"/>
      <c r="S332" s="3934" t="n"/>
      <c r="T332" s="3934" t="n"/>
      <c r="U332" s="3934" t="n"/>
      <c r="V332" s="3934" t="n"/>
      <c r="W332" s="3934" t="n"/>
      <c r="X332" s="3934" t="n"/>
      <c r="Y332" s="3934" t="n"/>
      <c r="Z332" s="3934" t="n"/>
      <c r="AA332" s="3934" t="n"/>
      <c r="AB332" s="3934" t="n"/>
      <c r="AC332" s="3934" t="n"/>
      <c r="AD332" s="3934" t="n"/>
      <c r="AE332" s="3934" t="n"/>
      <c r="AF332" s="3934" t="n"/>
      <c r="AG332" s="3934" t="n"/>
      <c r="AH332" s="3934" t="n"/>
      <c r="AI332" s="3934" t="n"/>
      <c r="AJ332" s="3934" t="n"/>
      <c r="AK332" s="3934" t="n"/>
      <c r="AL332" s="3934" t="n"/>
      <c r="AM332" s="3934" t="n"/>
      <c r="AN332" s="3934" t="n"/>
      <c r="AO332" s="3934" t="n"/>
      <c r="AP332" s="3934" t="n"/>
      <c r="AQ332" s="3934" t="n"/>
      <c r="AR332" s="3934" t="n"/>
    </row>
    <row r="333">
      <c r="A333" s="3941" t="n"/>
      <c r="B333" s="3944" t="n"/>
      <c r="C333" s="3944" t="n"/>
      <c r="D333" s="3944" t="n"/>
      <c r="E333" s="3944" t="n"/>
      <c r="F333" s="3944" t="n"/>
      <c r="G333" s="3944" t="n"/>
      <c r="H333" s="3944" t="n"/>
      <c r="I333" s="3944" t="n"/>
      <c r="J333" s="3944" t="n"/>
      <c r="K333" s="3942">
        <f>IF(A333="","",SUM(E333:J333))</f>
        <v/>
      </c>
      <c r="L333" s="3934" t="n"/>
      <c r="M333" s="3934" t="n"/>
      <c r="N333" s="3934" t="n"/>
      <c r="O333" s="3934" t="n"/>
      <c r="P333" s="3934" t="n"/>
      <c r="Q333" s="3934" t="n"/>
      <c r="R333" s="3934" t="n"/>
      <c r="S333" s="3934" t="n"/>
      <c r="T333" s="3934" t="n"/>
      <c r="U333" s="3934" t="n"/>
      <c r="V333" s="3934" t="n"/>
      <c r="W333" s="3934" t="n"/>
      <c r="X333" s="3934" t="n"/>
      <c r="Y333" s="3934" t="n"/>
      <c r="Z333" s="3934" t="n"/>
      <c r="AA333" s="3934" t="n"/>
      <c r="AB333" s="3934" t="n"/>
      <c r="AC333" s="3934" t="n"/>
      <c r="AD333" s="3934" t="n"/>
      <c r="AE333" s="3934" t="n"/>
      <c r="AF333" s="3934" t="n"/>
      <c r="AG333" s="3934" t="n"/>
      <c r="AH333" s="3934" t="n"/>
      <c r="AI333" s="3934" t="n"/>
      <c r="AJ333" s="3934" t="n"/>
      <c r="AK333" s="3934" t="n"/>
      <c r="AL333" s="3934" t="n"/>
      <c r="AM333" s="3934" t="n"/>
      <c r="AN333" s="3934" t="n"/>
      <c r="AO333" s="3934" t="n"/>
      <c r="AP333" s="3934" t="n"/>
      <c r="AQ333" s="3934" t="n"/>
      <c r="AR333" s="3934" t="n"/>
    </row>
    <row r="334">
      <c r="A334" s="3941" t="n"/>
      <c r="B334" s="3944" t="n"/>
      <c r="C334" s="3944" t="n"/>
      <c r="D334" s="3944" t="n"/>
      <c r="E334" s="3944" t="n"/>
      <c r="F334" s="3944" t="n"/>
      <c r="G334" s="3944" t="n"/>
      <c r="H334" s="3944" t="n"/>
      <c r="I334" s="3944" t="n"/>
      <c r="J334" s="3944" t="n"/>
      <c r="K334" s="3942">
        <f>IF(A334="","",SUM(E334:J334))</f>
        <v/>
      </c>
      <c r="L334" s="3934" t="n"/>
      <c r="M334" s="3934" t="n"/>
      <c r="N334" s="3934" t="n"/>
      <c r="O334" s="3934" t="n"/>
      <c r="P334" s="3934" t="n"/>
      <c r="Q334" s="3934" t="n"/>
      <c r="R334" s="3934" t="n"/>
      <c r="S334" s="3934" t="n"/>
      <c r="T334" s="3934" t="n"/>
      <c r="U334" s="3934" t="n"/>
      <c r="V334" s="3934" t="n"/>
      <c r="W334" s="3934" t="n"/>
      <c r="X334" s="3934" t="n"/>
      <c r="Y334" s="3934" t="n"/>
      <c r="Z334" s="3934" t="n"/>
      <c r="AA334" s="3934" t="n"/>
      <c r="AB334" s="3934" t="n"/>
      <c r="AC334" s="3934" t="n"/>
      <c r="AD334" s="3934" t="n"/>
      <c r="AE334" s="3934" t="n"/>
      <c r="AF334" s="3934" t="n"/>
      <c r="AG334" s="3934" t="n"/>
      <c r="AH334" s="3934" t="n"/>
      <c r="AI334" s="3934" t="n"/>
      <c r="AJ334" s="3934" t="n"/>
      <c r="AK334" s="3934" t="n"/>
      <c r="AL334" s="3934" t="n"/>
      <c r="AM334" s="3934" t="n"/>
      <c r="AN334" s="3934" t="n"/>
      <c r="AO334" s="3934" t="n"/>
      <c r="AP334" s="3934" t="n"/>
      <c r="AQ334" s="3934" t="n"/>
      <c r="AR334" s="3934" t="n"/>
    </row>
    <row r="335">
      <c r="A335" s="3941" t="n"/>
      <c r="B335" s="3944" t="n"/>
      <c r="C335" s="3944" t="n"/>
      <c r="D335" s="3944" t="n"/>
      <c r="E335" s="3944" t="n"/>
      <c r="F335" s="3944" t="n"/>
      <c r="G335" s="3944" t="n"/>
      <c r="H335" s="3944" t="n"/>
      <c r="I335" s="3944" t="n"/>
      <c r="J335" s="3944" t="n"/>
      <c r="K335" s="3942">
        <f>IF(A335="","",SUM(E335:J335))</f>
        <v/>
      </c>
      <c r="L335" s="3934" t="n"/>
      <c r="M335" s="3934" t="n"/>
      <c r="N335" s="3934" t="n"/>
      <c r="O335" s="3934" t="n"/>
      <c r="P335" s="3934" t="n"/>
      <c r="Q335" s="3934" t="n"/>
      <c r="R335" s="3934" t="n"/>
      <c r="S335" s="3934" t="n"/>
      <c r="T335" s="3934" t="n"/>
      <c r="U335" s="3934" t="n"/>
      <c r="V335" s="3934" t="n"/>
      <c r="W335" s="3934" t="n"/>
      <c r="X335" s="3934" t="n"/>
      <c r="Y335" s="3934" t="n"/>
      <c r="Z335" s="3934" t="n"/>
      <c r="AA335" s="3934" t="n"/>
      <c r="AB335" s="3934" t="n"/>
      <c r="AC335" s="3934" t="n"/>
      <c r="AD335" s="3934" t="n"/>
      <c r="AE335" s="3934" t="n"/>
      <c r="AF335" s="3934" t="n"/>
      <c r="AG335" s="3934" t="n"/>
      <c r="AH335" s="3934" t="n"/>
      <c r="AI335" s="3934" t="n"/>
      <c r="AJ335" s="3934" t="n"/>
      <c r="AK335" s="3934" t="n"/>
      <c r="AL335" s="3934" t="n"/>
      <c r="AM335" s="3934" t="n"/>
      <c r="AN335" s="3934" t="n"/>
      <c r="AO335" s="3934" t="n"/>
      <c r="AP335" s="3934" t="n"/>
      <c r="AQ335" s="3934" t="n"/>
      <c r="AR335" s="3934" t="n"/>
    </row>
    <row r="336">
      <c r="A336" s="3941" t="n"/>
      <c r="B336" s="3944" t="n"/>
      <c r="C336" s="3944" t="n"/>
      <c r="D336" s="3944" t="n"/>
      <c r="E336" s="3944" t="n"/>
      <c r="F336" s="3944" t="n"/>
      <c r="G336" s="3944" t="n"/>
      <c r="H336" s="3944" t="n"/>
      <c r="I336" s="3944" t="n"/>
      <c r="J336" s="3944" t="n"/>
      <c r="K336" s="3942">
        <f>IF(A336="","",SUM(E336:J336))</f>
        <v/>
      </c>
      <c r="L336" s="3934" t="n"/>
      <c r="M336" s="3934" t="n"/>
      <c r="N336" s="3934" t="n"/>
      <c r="O336" s="3934" t="n"/>
      <c r="P336" s="3934" t="n"/>
      <c r="Q336" s="3934" t="n"/>
      <c r="R336" s="3934" t="n"/>
      <c r="S336" s="3934" t="n"/>
      <c r="T336" s="3934" t="n"/>
      <c r="U336" s="3934" t="n"/>
      <c r="V336" s="3934" t="n"/>
      <c r="W336" s="3934" t="n"/>
      <c r="X336" s="3934" t="n"/>
      <c r="Y336" s="3934" t="n"/>
      <c r="Z336" s="3934" t="n"/>
      <c r="AA336" s="3934" t="n"/>
      <c r="AB336" s="3934" t="n"/>
      <c r="AC336" s="3934" t="n"/>
      <c r="AD336" s="3934" t="n"/>
      <c r="AE336" s="3934" t="n"/>
      <c r="AF336" s="3934" t="n"/>
      <c r="AG336" s="3934" t="n"/>
      <c r="AH336" s="3934" t="n"/>
      <c r="AI336" s="3934" t="n"/>
      <c r="AJ336" s="3934" t="n"/>
      <c r="AK336" s="3934" t="n"/>
      <c r="AL336" s="3934" t="n"/>
      <c r="AM336" s="3934" t="n"/>
      <c r="AN336" s="3934" t="n"/>
      <c r="AO336" s="3934" t="n"/>
      <c r="AP336" s="3934" t="n"/>
      <c r="AQ336" s="3934" t="n"/>
      <c r="AR336" s="3934" t="n"/>
    </row>
    <row r="337">
      <c r="A337" s="3941" t="n"/>
      <c r="B337" s="3944" t="n"/>
      <c r="C337" s="3944" t="n"/>
      <c r="D337" s="3944" t="n"/>
      <c r="E337" s="3944" t="n"/>
      <c r="F337" s="3944" t="n"/>
      <c r="G337" s="3944" t="n"/>
      <c r="H337" s="3944" t="n"/>
      <c r="I337" s="3944" t="n"/>
      <c r="J337" s="3944" t="n"/>
      <c r="K337" s="3942">
        <f>IF(A337="","",SUM(E337:J337))</f>
        <v/>
      </c>
      <c r="L337" s="3934" t="n"/>
      <c r="M337" s="3934" t="n"/>
      <c r="N337" s="3934" t="n"/>
      <c r="O337" s="3934" t="n"/>
      <c r="P337" s="3934" t="n"/>
      <c r="Q337" s="3934" t="n"/>
      <c r="R337" s="3934" t="n"/>
      <c r="S337" s="3934" t="n"/>
      <c r="T337" s="3934" t="n"/>
      <c r="U337" s="3934" t="n"/>
      <c r="V337" s="3934" t="n"/>
      <c r="W337" s="3934" t="n"/>
      <c r="X337" s="3934" t="n"/>
      <c r="Y337" s="3934" t="n"/>
      <c r="Z337" s="3934" t="n"/>
      <c r="AA337" s="3934" t="n"/>
      <c r="AB337" s="3934" t="n"/>
      <c r="AC337" s="3934" t="n"/>
      <c r="AD337" s="3934" t="n"/>
      <c r="AE337" s="3934" t="n"/>
      <c r="AF337" s="3934" t="n"/>
      <c r="AG337" s="3934" t="n"/>
      <c r="AH337" s="3934" t="n"/>
      <c r="AI337" s="3934" t="n"/>
      <c r="AJ337" s="3934" t="n"/>
      <c r="AK337" s="3934" t="n"/>
      <c r="AL337" s="3934" t="n"/>
      <c r="AM337" s="3934" t="n"/>
      <c r="AN337" s="3934" t="n"/>
      <c r="AO337" s="3934" t="n"/>
      <c r="AP337" s="3934" t="n"/>
      <c r="AQ337" s="3934" t="n"/>
      <c r="AR337" s="3934" t="n"/>
    </row>
    <row r="338">
      <c r="A338" s="3941" t="n"/>
      <c r="B338" s="3944" t="n"/>
      <c r="C338" s="3944" t="n"/>
      <c r="D338" s="3944" t="n"/>
      <c r="E338" s="3944" t="n"/>
      <c r="F338" s="3944" t="n"/>
      <c r="G338" s="3944" t="n"/>
      <c r="H338" s="3944" t="n"/>
      <c r="I338" s="3944" t="n"/>
      <c r="J338" s="3944" t="n"/>
      <c r="K338" s="3942">
        <f>IF(A338="","",SUM(E338:J338))</f>
        <v/>
      </c>
      <c r="L338" s="3934" t="n"/>
      <c r="M338" s="3934" t="n"/>
      <c r="N338" s="3934" t="n"/>
      <c r="O338" s="3934" t="n"/>
      <c r="P338" s="3934" t="n"/>
      <c r="Q338" s="3934" t="n"/>
      <c r="R338" s="3934" t="n"/>
      <c r="S338" s="3934" t="n"/>
      <c r="T338" s="3934" t="n"/>
      <c r="U338" s="3934" t="n"/>
      <c r="V338" s="3934" t="n"/>
      <c r="W338" s="3934" t="n"/>
      <c r="X338" s="3934" t="n"/>
      <c r="Y338" s="3934" t="n"/>
      <c r="Z338" s="3934" t="n"/>
      <c r="AA338" s="3934" t="n"/>
      <c r="AB338" s="3934" t="n"/>
      <c r="AC338" s="3934" t="n"/>
      <c r="AD338" s="3934" t="n"/>
      <c r="AE338" s="3934" t="n"/>
      <c r="AF338" s="3934" t="n"/>
      <c r="AG338" s="3934" t="n"/>
      <c r="AH338" s="3934" t="n"/>
      <c r="AI338" s="3934" t="n"/>
      <c r="AJ338" s="3934" t="n"/>
      <c r="AK338" s="3934" t="n"/>
      <c r="AL338" s="3934" t="n"/>
      <c r="AM338" s="3934" t="n"/>
      <c r="AN338" s="3934" t="n"/>
      <c r="AO338" s="3934" t="n"/>
      <c r="AP338" s="3934" t="n"/>
      <c r="AQ338" s="3934" t="n"/>
      <c r="AR338" s="3934" t="n"/>
    </row>
    <row r="339">
      <c r="A339" s="3941" t="n"/>
      <c r="B339" s="3944" t="n"/>
      <c r="C339" s="3944" t="n"/>
      <c r="D339" s="3944" t="n"/>
      <c r="E339" s="3944" t="n"/>
      <c r="F339" s="3944" t="n"/>
      <c r="G339" s="3944" t="n"/>
      <c r="H339" s="3944" t="n"/>
      <c r="I339" s="3944" t="n"/>
      <c r="J339" s="3944" t="n"/>
      <c r="K339" s="3942">
        <f>IF(A339="","",SUM(E339:J339))</f>
        <v/>
      </c>
      <c r="L339" s="3934" t="n"/>
      <c r="M339" s="3934" t="n"/>
      <c r="N339" s="3934" t="n"/>
      <c r="O339" s="3934" t="n"/>
      <c r="P339" s="3934" t="n"/>
      <c r="Q339" s="3934" t="n"/>
      <c r="R339" s="3934" t="n"/>
      <c r="S339" s="3934" t="n"/>
      <c r="T339" s="3934" t="n"/>
      <c r="U339" s="3934" t="n"/>
      <c r="V339" s="3934" t="n"/>
      <c r="W339" s="3934" t="n"/>
      <c r="X339" s="3934" t="n"/>
      <c r="Y339" s="3934" t="n"/>
      <c r="Z339" s="3934" t="n"/>
      <c r="AA339" s="3934" t="n"/>
      <c r="AB339" s="3934" t="n"/>
      <c r="AC339" s="3934" t="n"/>
      <c r="AD339" s="3934" t="n"/>
      <c r="AE339" s="3934" t="n"/>
      <c r="AF339" s="3934" t="n"/>
      <c r="AG339" s="3934" t="n"/>
      <c r="AH339" s="3934" t="n"/>
      <c r="AI339" s="3934" t="n"/>
      <c r="AJ339" s="3934" t="n"/>
      <c r="AK339" s="3934" t="n"/>
      <c r="AL339" s="3934" t="n"/>
      <c r="AM339" s="3934" t="n"/>
      <c r="AN339" s="3934" t="n"/>
      <c r="AO339" s="3934" t="n"/>
      <c r="AP339" s="3934" t="n"/>
      <c r="AQ339" s="3934" t="n"/>
      <c r="AR339" s="3934" t="n"/>
    </row>
    <row r="340">
      <c r="A340" s="3941" t="n"/>
      <c r="B340" s="3944" t="n"/>
      <c r="C340" s="3944" t="n"/>
      <c r="D340" s="3944" t="n"/>
      <c r="E340" s="3944" t="n"/>
      <c r="F340" s="3944" t="n"/>
      <c r="G340" s="3944" t="n"/>
      <c r="H340" s="3944" t="n"/>
      <c r="I340" s="3944" t="n"/>
      <c r="J340" s="3944" t="n"/>
      <c r="K340" s="3942">
        <f>IF(A340="","",SUM(E340:J340))</f>
        <v/>
      </c>
      <c r="L340" s="3934" t="n"/>
      <c r="M340" s="3934" t="n"/>
      <c r="N340" s="3934" t="n"/>
      <c r="O340" s="3934" t="n"/>
      <c r="P340" s="3934" t="n"/>
      <c r="Q340" s="3934" t="n"/>
      <c r="R340" s="3934" t="n"/>
      <c r="S340" s="3934" t="n"/>
      <c r="T340" s="3934" t="n"/>
      <c r="U340" s="3934" t="n"/>
      <c r="V340" s="3934" t="n"/>
      <c r="W340" s="3934" t="n"/>
      <c r="X340" s="3934" t="n"/>
      <c r="Y340" s="3934" t="n"/>
      <c r="Z340" s="3934" t="n"/>
      <c r="AA340" s="3934" t="n"/>
      <c r="AB340" s="3934" t="n"/>
      <c r="AC340" s="3934" t="n"/>
      <c r="AD340" s="3934" t="n"/>
      <c r="AE340" s="3934" t="n"/>
      <c r="AF340" s="3934" t="n"/>
      <c r="AG340" s="3934" t="n"/>
      <c r="AH340" s="3934" t="n"/>
      <c r="AI340" s="3934" t="n"/>
      <c r="AJ340" s="3934" t="n"/>
      <c r="AK340" s="3934" t="n"/>
      <c r="AL340" s="3934" t="n"/>
      <c r="AM340" s="3934" t="n"/>
      <c r="AN340" s="3934" t="n"/>
      <c r="AO340" s="3934" t="n"/>
      <c r="AP340" s="3934" t="n"/>
      <c r="AQ340" s="3934" t="n"/>
      <c r="AR340" s="3934" t="n"/>
    </row>
    <row r="341">
      <c r="A341" s="3941" t="n"/>
      <c r="B341" s="3944" t="n"/>
      <c r="C341" s="3944" t="n"/>
      <c r="D341" s="3944" t="n"/>
      <c r="E341" s="3944" t="n"/>
      <c r="F341" s="3944" t="n"/>
      <c r="G341" s="3944" t="n"/>
      <c r="H341" s="3944" t="n"/>
      <c r="I341" s="3944" t="n"/>
      <c r="J341" s="3944" t="n"/>
      <c r="K341" s="3942">
        <f>IF(A341="","",SUM(E341:J341))</f>
        <v/>
      </c>
      <c r="L341" s="3934" t="n"/>
      <c r="M341" s="3934" t="n"/>
      <c r="N341" s="3934" t="n"/>
      <c r="O341" s="3934" t="n"/>
      <c r="P341" s="3934" t="n"/>
      <c r="Q341" s="3934" t="n"/>
      <c r="R341" s="3934" t="n"/>
      <c r="S341" s="3934" t="n"/>
      <c r="T341" s="3934" t="n"/>
      <c r="U341" s="3934" t="n"/>
      <c r="V341" s="3934" t="n"/>
      <c r="W341" s="3934" t="n"/>
      <c r="X341" s="3934" t="n"/>
      <c r="Y341" s="3934" t="n"/>
      <c r="Z341" s="3934" t="n"/>
      <c r="AA341" s="3934" t="n"/>
      <c r="AB341" s="3934" t="n"/>
      <c r="AC341" s="3934" t="n"/>
      <c r="AD341" s="3934" t="n"/>
      <c r="AE341" s="3934" t="n"/>
      <c r="AF341" s="3934" t="n"/>
      <c r="AG341" s="3934" t="n"/>
      <c r="AH341" s="3934" t="n"/>
      <c r="AI341" s="3934" t="n"/>
      <c r="AJ341" s="3934" t="n"/>
      <c r="AK341" s="3934" t="n"/>
      <c r="AL341" s="3934" t="n"/>
      <c r="AM341" s="3934" t="n"/>
      <c r="AN341" s="3934" t="n"/>
      <c r="AO341" s="3934" t="n"/>
      <c r="AP341" s="3934" t="n"/>
      <c r="AQ341" s="3934" t="n"/>
      <c r="AR341" s="3934" t="n"/>
    </row>
    <row r="342">
      <c r="A342" s="3941" t="n"/>
      <c r="B342" s="3944" t="n"/>
      <c r="C342" s="3944" t="n"/>
      <c r="D342" s="3944" t="n"/>
      <c r="E342" s="3944" t="n"/>
      <c r="F342" s="3944" t="n"/>
      <c r="G342" s="3944" t="n"/>
      <c r="H342" s="3944" t="n"/>
      <c r="I342" s="3944" t="n"/>
      <c r="J342" s="3944" t="n"/>
      <c r="K342" s="3942">
        <f>IF(A342="","",SUM(E342:J342))</f>
        <v/>
      </c>
      <c r="L342" s="3934" t="n"/>
      <c r="M342" s="3934" t="n"/>
      <c r="N342" s="3934" t="n"/>
      <c r="O342" s="3934" t="n"/>
      <c r="P342" s="3934" t="n"/>
      <c r="Q342" s="3934" t="n"/>
      <c r="R342" s="3934" t="n"/>
      <c r="S342" s="3934" t="n"/>
      <c r="T342" s="3934" t="n"/>
      <c r="U342" s="3934" t="n"/>
      <c r="V342" s="3934" t="n"/>
      <c r="W342" s="3934" t="n"/>
      <c r="X342" s="3934" t="n"/>
      <c r="Y342" s="3934" t="n"/>
      <c r="Z342" s="3934" t="n"/>
      <c r="AA342" s="3934" t="n"/>
      <c r="AB342" s="3934" t="n"/>
      <c r="AC342" s="3934" t="n"/>
      <c r="AD342" s="3934" t="n"/>
      <c r="AE342" s="3934" t="n"/>
      <c r="AF342" s="3934" t="n"/>
      <c r="AG342" s="3934" t="n"/>
      <c r="AH342" s="3934" t="n"/>
      <c r="AI342" s="3934" t="n"/>
      <c r="AJ342" s="3934" t="n"/>
      <c r="AK342" s="3934" t="n"/>
      <c r="AL342" s="3934" t="n"/>
      <c r="AM342" s="3934" t="n"/>
      <c r="AN342" s="3934" t="n"/>
      <c r="AO342" s="3934" t="n"/>
      <c r="AP342" s="3934" t="n"/>
      <c r="AQ342" s="3934" t="n"/>
      <c r="AR342" s="3934" t="n"/>
    </row>
    <row r="343">
      <c r="A343" s="3941" t="n"/>
      <c r="B343" s="3944" t="n"/>
      <c r="C343" s="3944" t="n"/>
      <c r="D343" s="3944" t="n"/>
      <c r="E343" s="3944" t="n"/>
      <c r="F343" s="3944" t="n"/>
      <c r="G343" s="3944" t="n"/>
      <c r="H343" s="3944" t="n"/>
      <c r="I343" s="3944" t="n"/>
      <c r="J343" s="3944" t="n"/>
      <c r="K343" s="3942">
        <f>IF(A343="","",SUM(E343:J343))</f>
        <v/>
      </c>
      <c r="L343" s="3934" t="n"/>
      <c r="M343" s="3934" t="n"/>
      <c r="N343" s="3934" t="n"/>
      <c r="O343" s="3934" t="n"/>
      <c r="P343" s="3934" t="n"/>
      <c r="Q343" s="3934" t="n"/>
      <c r="R343" s="3934" t="n"/>
      <c r="S343" s="3934" t="n"/>
      <c r="T343" s="3934" t="n"/>
      <c r="U343" s="3934" t="n"/>
      <c r="V343" s="3934" t="n"/>
      <c r="W343" s="3934" t="n"/>
      <c r="X343" s="3934" t="n"/>
      <c r="Y343" s="3934" t="n"/>
      <c r="Z343" s="3934" t="n"/>
      <c r="AA343" s="3934" t="n"/>
      <c r="AB343" s="3934" t="n"/>
      <c r="AC343" s="3934" t="n"/>
      <c r="AD343" s="3934" t="n"/>
      <c r="AE343" s="3934" t="n"/>
      <c r="AF343" s="3934" t="n"/>
      <c r="AG343" s="3934" t="n"/>
      <c r="AH343" s="3934" t="n"/>
      <c r="AI343" s="3934" t="n"/>
      <c r="AJ343" s="3934" t="n"/>
      <c r="AK343" s="3934" t="n"/>
      <c r="AL343" s="3934" t="n"/>
      <c r="AM343" s="3934" t="n"/>
      <c r="AN343" s="3934" t="n"/>
      <c r="AO343" s="3934" t="n"/>
      <c r="AP343" s="3934" t="n"/>
      <c r="AQ343" s="3934" t="n"/>
      <c r="AR343" s="3934" t="n"/>
    </row>
    <row r="344">
      <c r="A344" s="3941" t="n"/>
      <c r="B344" s="3944" t="n"/>
      <c r="C344" s="3944" t="n"/>
      <c r="D344" s="3944" t="n"/>
      <c r="E344" s="3944" t="n"/>
      <c r="F344" s="3944" t="n"/>
      <c r="G344" s="3944" t="n"/>
      <c r="H344" s="3944" t="n"/>
      <c r="I344" s="3944" t="n"/>
      <c r="J344" s="3944" t="n"/>
      <c r="K344" s="3942">
        <f>IF(A344="","",SUM(E344:J344))</f>
        <v/>
      </c>
      <c r="L344" s="3934" t="n"/>
      <c r="M344" s="3934" t="n"/>
      <c r="N344" s="3934" t="n"/>
      <c r="O344" s="3934" t="n"/>
      <c r="P344" s="3934" t="n"/>
      <c r="Q344" s="3934" t="n"/>
      <c r="R344" s="3934" t="n"/>
      <c r="S344" s="3934" t="n"/>
      <c r="T344" s="3934" t="n"/>
      <c r="U344" s="3934" t="n"/>
      <c r="V344" s="3934" t="n"/>
      <c r="W344" s="3934" t="n"/>
      <c r="X344" s="3934" t="n"/>
      <c r="Y344" s="3934" t="n"/>
      <c r="Z344" s="3934" t="n"/>
      <c r="AA344" s="3934" t="n"/>
      <c r="AB344" s="3934" t="n"/>
      <c r="AC344" s="3934" t="n"/>
      <c r="AD344" s="3934" t="n"/>
      <c r="AE344" s="3934" t="n"/>
      <c r="AF344" s="3934" t="n"/>
      <c r="AG344" s="3934" t="n"/>
      <c r="AH344" s="3934" t="n"/>
      <c r="AI344" s="3934" t="n"/>
      <c r="AJ344" s="3934" t="n"/>
      <c r="AK344" s="3934" t="n"/>
      <c r="AL344" s="3934" t="n"/>
      <c r="AM344" s="3934" t="n"/>
      <c r="AN344" s="3934" t="n"/>
      <c r="AO344" s="3934" t="n"/>
      <c r="AP344" s="3934" t="n"/>
      <c r="AQ344" s="3934" t="n"/>
      <c r="AR344" s="3934" t="n"/>
    </row>
    <row r="345">
      <c r="A345" s="3941" t="n"/>
      <c r="B345" s="3944" t="n"/>
      <c r="C345" s="3944" t="n"/>
      <c r="D345" s="3944" t="n"/>
      <c r="E345" s="3944" t="n"/>
      <c r="F345" s="3944" t="n"/>
      <c r="G345" s="3944" t="n"/>
      <c r="H345" s="3944" t="n"/>
      <c r="I345" s="3944" t="n"/>
      <c r="J345" s="3944" t="n"/>
      <c r="K345" s="3942">
        <f>IF(A345="","",SUM(E345:J345))</f>
        <v/>
      </c>
      <c r="L345" s="3934" t="n"/>
      <c r="M345" s="3934" t="n"/>
      <c r="N345" s="3934" t="n"/>
      <c r="O345" s="3934" t="n"/>
      <c r="P345" s="3934" t="n"/>
      <c r="Q345" s="3934" t="n"/>
      <c r="R345" s="3934" t="n"/>
      <c r="S345" s="3934" t="n"/>
      <c r="T345" s="3934" t="n"/>
      <c r="U345" s="3934" t="n"/>
      <c r="V345" s="3934" t="n"/>
      <c r="W345" s="3934" t="n"/>
      <c r="X345" s="3934" t="n"/>
      <c r="Y345" s="3934" t="n"/>
      <c r="Z345" s="3934" t="n"/>
      <c r="AA345" s="3934" t="n"/>
      <c r="AB345" s="3934" t="n"/>
      <c r="AC345" s="3934" t="n"/>
      <c r="AD345" s="3934" t="n"/>
      <c r="AE345" s="3934" t="n"/>
      <c r="AF345" s="3934" t="n"/>
      <c r="AG345" s="3934" t="n"/>
      <c r="AH345" s="3934" t="n"/>
      <c r="AI345" s="3934" t="n"/>
      <c r="AJ345" s="3934" t="n"/>
      <c r="AK345" s="3934" t="n"/>
      <c r="AL345" s="3934" t="n"/>
      <c r="AM345" s="3934" t="n"/>
      <c r="AN345" s="3934" t="n"/>
      <c r="AO345" s="3934" t="n"/>
      <c r="AP345" s="3934" t="n"/>
      <c r="AQ345" s="3934" t="n"/>
      <c r="AR345" s="3934" t="n"/>
    </row>
    <row r="346">
      <c r="A346" s="3941" t="n"/>
      <c r="B346" s="3944" t="n"/>
      <c r="C346" s="3944" t="n"/>
      <c r="D346" s="3944" t="n"/>
      <c r="E346" s="3944" t="n"/>
      <c r="F346" s="3944" t="n"/>
      <c r="G346" s="3944" t="n"/>
      <c r="H346" s="3944" t="n"/>
      <c r="I346" s="3944" t="n"/>
      <c r="J346" s="3944" t="n"/>
      <c r="K346" s="3942">
        <f>IF(A346="","",SUM(E346:J346))</f>
        <v/>
      </c>
      <c r="L346" s="3934" t="n"/>
      <c r="M346" s="3934" t="n"/>
      <c r="N346" s="3934" t="n"/>
      <c r="O346" s="3934" t="n"/>
      <c r="P346" s="3934" t="n"/>
      <c r="Q346" s="3934" t="n"/>
      <c r="R346" s="3934" t="n"/>
      <c r="S346" s="3934" t="n"/>
      <c r="T346" s="3934" t="n"/>
      <c r="U346" s="3934" t="n"/>
      <c r="V346" s="3934" t="n"/>
      <c r="W346" s="3934" t="n"/>
      <c r="X346" s="3934" t="n"/>
      <c r="Y346" s="3934" t="n"/>
      <c r="Z346" s="3934" t="n"/>
      <c r="AA346" s="3934" t="n"/>
      <c r="AB346" s="3934" t="n"/>
      <c r="AC346" s="3934" t="n"/>
      <c r="AD346" s="3934" t="n"/>
      <c r="AE346" s="3934" t="n"/>
      <c r="AF346" s="3934" t="n"/>
      <c r="AG346" s="3934" t="n"/>
      <c r="AH346" s="3934" t="n"/>
      <c r="AI346" s="3934" t="n"/>
      <c r="AJ346" s="3934" t="n"/>
      <c r="AK346" s="3934" t="n"/>
      <c r="AL346" s="3934" t="n"/>
      <c r="AM346" s="3934" t="n"/>
      <c r="AN346" s="3934" t="n"/>
      <c r="AO346" s="3934" t="n"/>
      <c r="AP346" s="3934" t="n"/>
      <c r="AQ346" s="3934" t="n"/>
      <c r="AR346" s="3934" t="n"/>
    </row>
    <row r="347">
      <c r="A347" s="3941" t="n"/>
      <c r="B347" s="3944" t="n"/>
      <c r="C347" s="3944" t="n"/>
      <c r="D347" s="3944" t="n"/>
      <c r="E347" s="3944" t="n"/>
      <c r="F347" s="3944" t="n"/>
      <c r="G347" s="3944" t="n"/>
      <c r="H347" s="3944" t="n"/>
      <c r="I347" s="3944" t="n"/>
      <c r="J347" s="3944" t="n"/>
      <c r="K347" s="3942">
        <f>IF(A347="","",SUM(E347:J347))</f>
        <v/>
      </c>
      <c r="L347" s="3934" t="n"/>
      <c r="M347" s="3934" t="n"/>
      <c r="N347" s="3934" t="n"/>
      <c r="O347" s="3934" t="n"/>
      <c r="P347" s="3934" t="n"/>
      <c r="Q347" s="3934" t="n"/>
      <c r="R347" s="3934" t="n"/>
      <c r="S347" s="3934" t="n"/>
      <c r="T347" s="3934" t="n"/>
      <c r="U347" s="3934" t="n"/>
      <c r="V347" s="3934" t="n"/>
      <c r="W347" s="3934" t="n"/>
      <c r="X347" s="3934" t="n"/>
      <c r="Y347" s="3934" t="n"/>
      <c r="Z347" s="3934" t="n"/>
      <c r="AA347" s="3934" t="n"/>
      <c r="AB347" s="3934" t="n"/>
      <c r="AC347" s="3934" t="n"/>
      <c r="AD347" s="3934" t="n"/>
      <c r="AE347" s="3934" t="n"/>
      <c r="AF347" s="3934" t="n"/>
      <c r="AG347" s="3934" t="n"/>
      <c r="AH347" s="3934" t="n"/>
      <c r="AI347" s="3934" t="n"/>
      <c r="AJ347" s="3934" t="n"/>
      <c r="AK347" s="3934" t="n"/>
      <c r="AL347" s="3934" t="n"/>
      <c r="AM347" s="3934" t="n"/>
      <c r="AN347" s="3934" t="n"/>
      <c r="AO347" s="3934" t="n"/>
      <c r="AP347" s="3934" t="n"/>
      <c r="AQ347" s="3934" t="n"/>
      <c r="AR347" s="3934" t="n"/>
    </row>
    <row r="348">
      <c r="A348" s="3941" t="n"/>
      <c r="B348" s="3944" t="n"/>
      <c r="C348" s="3944" t="n"/>
      <c r="D348" s="3944" t="n"/>
      <c r="E348" s="3944" t="n"/>
      <c r="F348" s="3944" t="n"/>
      <c r="G348" s="3944" t="n"/>
      <c r="H348" s="3944" t="n"/>
      <c r="I348" s="3944" t="n"/>
      <c r="J348" s="3944" t="n"/>
      <c r="K348" s="3942">
        <f>IF(A348="","",SUM(E348:J348))</f>
        <v/>
      </c>
      <c r="L348" s="3934" t="n"/>
      <c r="M348" s="3934" t="n"/>
      <c r="N348" s="3934" t="n"/>
      <c r="O348" s="3934" t="n"/>
      <c r="P348" s="3934" t="n"/>
      <c r="Q348" s="3934" t="n"/>
      <c r="R348" s="3934" t="n"/>
      <c r="S348" s="3934" t="n"/>
      <c r="T348" s="3934" t="n"/>
      <c r="U348" s="3934" t="n"/>
      <c r="V348" s="3934" t="n"/>
      <c r="W348" s="3934" t="n"/>
      <c r="X348" s="3934" t="n"/>
      <c r="Y348" s="3934" t="n"/>
      <c r="Z348" s="3934" t="n"/>
      <c r="AA348" s="3934" t="n"/>
      <c r="AB348" s="3934" t="n"/>
      <c r="AC348" s="3934" t="n"/>
      <c r="AD348" s="3934" t="n"/>
      <c r="AE348" s="3934" t="n"/>
      <c r="AF348" s="3934" t="n"/>
      <c r="AG348" s="3934" t="n"/>
      <c r="AH348" s="3934" t="n"/>
      <c r="AI348" s="3934" t="n"/>
      <c r="AJ348" s="3934" t="n"/>
      <c r="AK348" s="3934" t="n"/>
      <c r="AL348" s="3934" t="n"/>
      <c r="AM348" s="3934" t="n"/>
      <c r="AN348" s="3934" t="n"/>
      <c r="AO348" s="3934" t="n"/>
      <c r="AP348" s="3934" t="n"/>
      <c r="AQ348" s="3934" t="n"/>
      <c r="AR348" s="3934" t="n"/>
    </row>
    <row r="349">
      <c r="A349" s="3941" t="n"/>
      <c r="B349" s="3944" t="n"/>
      <c r="C349" s="3944" t="n"/>
      <c r="D349" s="3944" t="n"/>
      <c r="E349" s="3944" t="n"/>
      <c r="F349" s="3944" t="n"/>
      <c r="G349" s="3944" t="n"/>
      <c r="H349" s="3944" t="n"/>
      <c r="I349" s="3944" t="n"/>
      <c r="J349" s="3944" t="n"/>
      <c r="K349" s="3942">
        <f>IF(A349="","",SUM(E349:J349))</f>
        <v/>
      </c>
      <c r="L349" s="3934" t="n"/>
      <c r="M349" s="3934" t="n"/>
      <c r="N349" s="3934" t="n"/>
      <c r="O349" s="3934" t="n"/>
      <c r="P349" s="3934" t="n"/>
      <c r="Q349" s="3934" t="n"/>
      <c r="R349" s="3934" t="n"/>
      <c r="S349" s="3934" t="n"/>
      <c r="T349" s="3934" t="n"/>
      <c r="U349" s="3934" t="n"/>
      <c r="V349" s="3934" t="n"/>
      <c r="W349" s="3934" t="n"/>
      <c r="X349" s="3934" t="n"/>
      <c r="Y349" s="3934" t="n"/>
      <c r="Z349" s="3934" t="n"/>
      <c r="AA349" s="3934" t="n"/>
      <c r="AB349" s="3934" t="n"/>
      <c r="AC349" s="3934" t="n"/>
      <c r="AD349" s="3934" t="n"/>
      <c r="AE349" s="3934" t="n"/>
      <c r="AF349" s="3934" t="n"/>
      <c r="AG349" s="3934" t="n"/>
      <c r="AH349" s="3934" t="n"/>
      <c r="AI349" s="3934" t="n"/>
      <c r="AJ349" s="3934" t="n"/>
      <c r="AK349" s="3934" t="n"/>
      <c r="AL349" s="3934" t="n"/>
      <c r="AM349" s="3934" t="n"/>
      <c r="AN349" s="3934" t="n"/>
      <c r="AO349" s="3934" t="n"/>
      <c r="AP349" s="3934" t="n"/>
      <c r="AQ349" s="3934" t="n"/>
      <c r="AR349" s="3934" t="n"/>
    </row>
    <row r="350">
      <c r="A350" s="3941" t="n"/>
      <c r="B350" s="3944" t="n"/>
      <c r="C350" s="3944" t="n"/>
      <c r="D350" s="3944" t="n"/>
      <c r="E350" s="3944" t="n"/>
      <c r="F350" s="3944" t="n"/>
      <c r="G350" s="3944" t="n"/>
      <c r="H350" s="3944" t="n"/>
      <c r="I350" s="3944" t="n"/>
      <c r="J350" s="3944" t="n"/>
      <c r="K350" s="3942">
        <f>IF(A350="","",SUM(E350:J350))</f>
        <v/>
      </c>
      <c r="L350" s="3934" t="n"/>
      <c r="M350" s="3934" t="n"/>
      <c r="N350" s="3934" t="n"/>
      <c r="O350" s="3934" t="n"/>
      <c r="P350" s="3934" t="n"/>
      <c r="Q350" s="3934" t="n"/>
      <c r="R350" s="3934" t="n"/>
      <c r="S350" s="3934" t="n"/>
      <c r="T350" s="3934" t="n"/>
      <c r="U350" s="3934" t="n"/>
      <c r="V350" s="3934" t="n"/>
      <c r="W350" s="3934" t="n"/>
      <c r="X350" s="3934" t="n"/>
      <c r="Y350" s="3934" t="n"/>
      <c r="Z350" s="3934" t="n"/>
      <c r="AA350" s="3934" t="n"/>
      <c r="AB350" s="3934" t="n"/>
      <c r="AC350" s="3934" t="n"/>
      <c r="AD350" s="3934" t="n"/>
      <c r="AE350" s="3934" t="n"/>
      <c r="AF350" s="3934" t="n"/>
      <c r="AG350" s="3934" t="n"/>
      <c r="AH350" s="3934" t="n"/>
      <c r="AI350" s="3934" t="n"/>
      <c r="AJ350" s="3934" t="n"/>
      <c r="AK350" s="3934" t="n"/>
      <c r="AL350" s="3934" t="n"/>
      <c r="AM350" s="3934" t="n"/>
      <c r="AN350" s="3934" t="n"/>
      <c r="AO350" s="3934" t="n"/>
      <c r="AP350" s="3934" t="n"/>
      <c r="AQ350" s="3934" t="n"/>
      <c r="AR350" s="3934" t="n"/>
    </row>
    <row r="351">
      <c r="A351" s="3941" t="n"/>
      <c r="B351" s="3944" t="n"/>
      <c r="C351" s="3944" t="n"/>
      <c r="D351" s="3944" t="n"/>
      <c r="E351" s="3944" t="n"/>
      <c r="F351" s="3944" t="n"/>
      <c r="G351" s="3944" t="n"/>
      <c r="H351" s="3944" t="n"/>
      <c r="I351" s="3944" t="n"/>
      <c r="J351" s="3944" t="n"/>
      <c r="K351" s="3942">
        <f>IF(A351="","",SUM(E351:J351))</f>
        <v/>
      </c>
      <c r="L351" s="3934" t="n"/>
      <c r="M351" s="3934" t="n"/>
      <c r="N351" s="3934" t="n"/>
      <c r="O351" s="3934" t="n"/>
      <c r="P351" s="3934" t="n"/>
      <c r="Q351" s="3934" t="n"/>
      <c r="R351" s="3934" t="n"/>
      <c r="S351" s="3934" t="n"/>
      <c r="T351" s="3934" t="n"/>
      <c r="U351" s="3934" t="n"/>
      <c r="V351" s="3934" t="n"/>
      <c r="W351" s="3934" t="n"/>
      <c r="X351" s="3934" t="n"/>
      <c r="Y351" s="3934" t="n"/>
      <c r="Z351" s="3934" t="n"/>
      <c r="AA351" s="3934" t="n"/>
      <c r="AB351" s="3934" t="n"/>
      <c r="AC351" s="3934" t="n"/>
      <c r="AD351" s="3934" t="n"/>
      <c r="AE351" s="3934" t="n"/>
      <c r="AF351" s="3934" t="n"/>
      <c r="AG351" s="3934" t="n"/>
      <c r="AH351" s="3934" t="n"/>
      <c r="AI351" s="3934" t="n"/>
      <c r="AJ351" s="3934" t="n"/>
      <c r="AK351" s="3934" t="n"/>
      <c r="AL351" s="3934" t="n"/>
      <c r="AM351" s="3934" t="n"/>
      <c r="AN351" s="3934" t="n"/>
      <c r="AO351" s="3934" t="n"/>
      <c r="AP351" s="3934" t="n"/>
      <c r="AQ351" s="3934" t="n"/>
      <c r="AR351" s="3934" t="n"/>
    </row>
    <row r="352">
      <c r="A352" s="3941" t="n"/>
      <c r="B352" s="3944" t="n"/>
      <c r="C352" s="3944" t="n"/>
      <c r="D352" s="3944" t="n"/>
      <c r="E352" s="3944" t="n"/>
      <c r="F352" s="3944" t="n"/>
      <c r="G352" s="3944" t="n"/>
      <c r="H352" s="3944" t="n"/>
      <c r="I352" s="3944" t="n"/>
      <c r="J352" s="3944" t="n"/>
      <c r="K352" s="3942">
        <f>IF(A352="","",SUM(E352:J352))</f>
        <v/>
      </c>
      <c r="L352" s="3934" t="n"/>
      <c r="M352" s="3934" t="n"/>
      <c r="N352" s="3934" t="n"/>
      <c r="O352" s="3934" t="n"/>
      <c r="P352" s="3934" t="n"/>
      <c r="Q352" s="3934" t="n"/>
      <c r="R352" s="3934" t="n"/>
      <c r="S352" s="3934" t="n"/>
      <c r="T352" s="3934" t="n"/>
      <c r="U352" s="3934" t="n"/>
      <c r="V352" s="3934" t="n"/>
      <c r="W352" s="3934" t="n"/>
      <c r="X352" s="3934" t="n"/>
      <c r="Y352" s="3934" t="n"/>
      <c r="Z352" s="3934" t="n"/>
      <c r="AA352" s="3934" t="n"/>
      <c r="AB352" s="3934" t="n"/>
      <c r="AC352" s="3934" t="n"/>
      <c r="AD352" s="3934" t="n"/>
      <c r="AE352" s="3934" t="n"/>
      <c r="AF352" s="3934" t="n"/>
      <c r="AG352" s="3934" t="n"/>
      <c r="AH352" s="3934" t="n"/>
      <c r="AI352" s="3934" t="n"/>
      <c r="AJ352" s="3934" t="n"/>
      <c r="AK352" s="3934" t="n"/>
      <c r="AL352" s="3934" t="n"/>
      <c r="AM352" s="3934" t="n"/>
      <c r="AN352" s="3934" t="n"/>
      <c r="AO352" s="3934" t="n"/>
      <c r="AP352" s="3934" t="n"/>
      <c r="AQ352" s="3934" t="n"/>
      <c r="AR352" s="3934" t="n"/>
    </row>
    <row r="353">
      <c r="A353" s="3941" t="n"/>
      <c r="B353" s="3944" t="n"/>
      <c r="C353" s="3944" t="n"/>
      <c r="D353" s="3944" t="n"/>
      <c r="E353" s="3944" t="n"/>
      <c r="F353" s="3944" t="n"/>
      <c r="G353" s="3944" t="n"/>
      <c r="H353" s="3944" t="n"/>
      <c r="I353" s="3944" t="n"/>
      <c r="J353" s="3944" t="n"/>
      <c r="K353" s="3942">
        <f>IF(A353="","",SUM(E353:J353))</f>
        <v/>
      </c>
      <c r="L353" s="3934" t="n"/>
      <c r="M353" s="3934" t="n"/>
      <c r="N353" s="3934" t="n"/>
      <c r="O353" s="3934" t="n"/>
      <c r="P353" s="3934" t="n"/>
      <c r="Q353" s="3934" t="n"/>
      <c r="R353" s="3934" t="n"/>
      <c r="S353" s="3934" t="n"/>
      <c r="T353" s="3934" t="n"/>
      <c r="U353" s="3934" t="n"/>
      <c r="V353" s="3934" t="n"/>
      <c r="W353" s="3934" t="n"/>
      <c r="X353" s="3934" t="n"/>
      <c r="Y353" s="3934" t="n"/>
      <c r="Z353" s="3934" t="n"/>
      <c r="AA353" s="3934" t="n"/>
      <c r="AB353" s="3934" t="n"/>
      <c r="AC353" s="3934" t="n"/>
      <c r="AD353" s="3934" t="n"/>
      <c r="AE353" s="3934" t="n"/>
      <c r="AF353" s="3934" t="n"/>
      <c r="AG353" s="3934" t="n"/>
      <c r="AH353" s="3934" t="n"/>
      <c r="AI353" s="3934" t="n"/>
      <c r="AJ353" s="3934" t="n"/>
      <c r="AK353" s="3934" t="n"/>
      <c r="AL353" s="3934" t="n"/>
      <c r="AM353" s="3934" t="n"/>
      <c r="AN353" s="3934" t="n"/>
      <c r="AO353" s="3934" t="n"/>
      <c r="AP353" s="3934" t="n"/>
      <c r="AQ353" s="3934" t="n"/>
      <c r="AR353" s="3934" t="n"/>
    </row>
    <row r="354">
      <c r="A354" s="3941" t="n"/>
      <c r="B354" s="3944" t="n"/>
      <c r="C354" s="3944" t="n"/>
      <c r="D354" s="3944" t="n"/>
      <c r="E354" s="3944" t="n"/>
      <c r="F354" s="3944" t="n"/>
      <c r="G354" s="3944" t="n"/>
      <c r="H354" s="3944" t="n"/>
      <c r="I354" s="3944" t="n"/>
      <c r="J354" s="3944" t="n"/>
      <c r="K354" s="3942">
        <f>IF(A354="","",SUM(E354:J354))</f>
        <v/>
      </c>
      <c r="L354" s="3934" t="n"/>
      <c r="M354" s="3934" t="n"/>
      <c r="N354" s="3934" t="n"/>
      <c r="O354" s="3934" t="n"/>
      <c r="P354" s="3934" t="n"/>
      <c r="Q354" s="3934" t="n"/>
      <c r="R354" s="3934" t="n"/>
      <c r="S354" s="3934" t="n"/>
      <c r="T354" s="3934" t="n"/>
      <c r="U354" s="3934" t="n"/>
      <c r="V354" s="3934" t="n"/>
      <c r="W354" s="3934" t="n"/>
      <c r="X354" s="3934" t="n"/>
      <c r="Y354" s="3934" t="n"/>
      <c r="Z354" s="3934" t="n"/>
      <c r="AA354" s="3934" t="n"/>
      <c r="AB354" s="3934" t="n"/>
      <c r="AC354" s="3934" t="n"/>
      <c r="AD354" s="3934" t="n"/>
      <c r="AE354" s="3934" t="n"/>
      <c r="AF354" s="3934" t="n"/>
      <c r="AG354" s="3934" t="n"/>
      <c r="AH354" s="3934" t="n"/>
      <c r="AI354" s="3934" t="n"/>
      <c r="AJ354" s="3934" t="n"/>
      <c r="AK354" s="3934" t="n"/>
      <c r="AL354" s="3934" t="n"/>
      <c r="AM354" s="3934" t="n"/>
      <c r="AN354" s="3934" t="n"/>
      <c r="AO354" s="3934" t="n"/>
      <c r="AP354" s="3934" t="n"/>
      <c r="AQ354" s="3934" t="n"/>
      <c r="AR354" s="3934" t="n"/>
    </row>
    <row r="355">
      <c r="A355" s="3941" t="n"/>
      <c r="B355" s="3944" t="n"/>
      <c r="C355" s="3944" t="n"/>
      <c r="D355" s="3944" t="n"/>
      <c r="E355" s="3944" t="n"/>
      <c r="F355" s="3944" t="n"/>
      <c r="G355" s="3944" t="n"/>
      <c r="H355" s="3944" t="n"/>
      <c r="I355" s="3944" t="n"/>
      <c r="J355" s="3944" t="n"/>
      <c r="K355" s="3942">
        <f>IF(A355="","",SUM(E355:J355))</f>
        <v/>
      </c>
      <c r="L355" s="3934" t="n"/>
      <c r="M355" s="3934" t="n"/>
      <c r="N355" s="3934" t="n"/>
      <c r="O355" s="3934" t="n"/>
      <c r="P355" s="3934" t="n"/>
      <c r="Q355" s="3934" t="n"/>
      <c r="R355" s="3934" t="n"/>
      <c r="S355" s="3934" t="n"/>
      <c r="T355" s="3934" t="n"/>
      <c r="U355" s="3934" t="n"/>
      <c r="V355" s="3934" t="n"/>
      <c r="W355" s="3934" t="n"/>
      <c r="X355" s="3934" t="n"/>
      <c r="Y355" s="3934" t="n"/>
      <c r="Z355" s="3934" t="n"/>
      <c r="AA355" s="3934" t="n"/>
      <c r="AB355" s="3934" t="n"/>
      <c r="AC355" s="3934" t="n"/>
      <c r="AD355" s="3934" t="n"/>
      <c r="AE355" s="3934" t="n"/>
      <c r="AF355" s="3934" t="n"/>
      <c r="AG355" s="3934" t="n"/>
      <c r="AH355" s="3934" t="n"/>
      <c r="AI355" s="3934" t="n"/>
      <c r="AJ355" s="3934" t="n"/>
      <c r="AK355" s="3934" t="n"/>
      <c r="AL355" s="3934" t="n"/>
      <c r="AM355" s="3934" t="n"/>
      <c r="AN355" s="3934" t="n"/>
      <c r="AO355" s="3934" t="n"/>
      <c r="AP355" s="3934" t="n"/>
      <c r="AQ355" s="3934" t="n"/>
      <c r="AR355" s="3934" t="n"/>
    </row>
    <row r="356">
      <c r="A356" s="3941" t="n"/>
      <c r="B356" s="3944" t="n"/>
      <c r="C356" s="3944" t="n"/>
      <c r="D356" s="3944" t="n"/>
      <c r="E356" s="3944" t="n"/>
      <c r="F356" s="3944" t="n"/>
      <c r="G356" s="3944" t="n"/>
      <c r="H356" s="3944" t="n"/>
      <c r="I356" s="3944" t="n"/>
      <c r="J356" s="3944" t="n"/>
      <c r="K356" s="3942">
        <f>IF(A356="","",SUM(E356:J356))</f>
        <v/>
      </c>
      <c r="L356" s="3934" t="n"/>
      <c r="M356" s="3934" t="n"/>
      <c r="N356" s="3934" t="n"/>
      <c r="O356" s="3934" t="n"/>
      <c r="P356" s="3934" t="n"/>
      <c r="Q356" s="3934" t="n"/>
      <c r="R356" s="3934" t="n"/>
      <c r="S356" s="3934" t="n"/>
      <c r="T356" s="3934" t="n"/>
      <c r="U356" s="3934" t="n"/>
      <c r="V356" s="3934" t="n"/>
      <c r="W356" s="3934" t="n"/>
      <c r="X356" s="3934" t="n"/>
      <c r="Y356" s="3934" t="n"/>
      <c r="Z356" s="3934" t="n"/>
      <c r="AA356" s="3934" t="n"/>
      <c r="AB356" s="3934" t="n"/>
      <c r="AC356" s="3934" t="n"/>
      <c r="AD356" s="3934" t="n"/>
      <c r="AE356" s="3934" t="n"/>
      <c r="AF356" s="3934" t="n"/>
      <c r="AG356" s="3934" t="n"/>
      <c r="AH356" s="3934" t="n"/>
      <c r="AI356" s="3934" t="n"/>
      <c r="AJ356" s="3934" t="n"/>
      <c r="AK356" s="3934" t="n"/>
      <c r="AL356" s="3934" t="n"/>
      <c r="AM356" s="3934" t="n"/>
      <c r="AN356" s="3934" t="n"/>
      <c r="AO356" s="3934" t="n"/>
      <c r="AP356" s="3934" t="n"/>
      <c r="AQ356" s="3934" t="n"/>
      <c r="AR356" s="3934" t="n"/>
    </row>
    <row r="357">
      <c r="A357" s="3941" t="n"/>
      <c r="B357" s="3944" t="n"/>
      <c r="C357" s="3944" t="n"/>
      <c r="D357" s="3944" t="n"/>
      <c r="E357" s="3944" t="n"/>
      <c r="F357" s="3944" t="n"/>
      <c r="G357" s="3944" t="n"/>
      <c r="H357" s="3944" t="n"/>
      <c r="I357" s="3944" t="n"/>
      <c r="J357" s="3944" t="n"/>
      <c r="K357" s="3942">
        <f>IF(A357="","",SUM(E357:J357))</f>
        <v/>
      </c>
      <c r="L357" s="3934" t="n"/>
      <c r="M357" s="3934" t="n"/>
      <c r="N357" s="3934" t="n"/>
      <c r="O357" s="3934" t="n"/>
      <c r="P357" s="3934" t="n"/>
      <c r="Q357" s="3934" t="n"/>
      <c r="R357" s="3934" t="n"/>
      <c r="S357" s="3934" t="n"/>
      <c r="T357" s="3934" t="n"/>
      <c r="U357" s="3934" t="n"/>
      <c r="V357" s="3934" t="n"/>
      <c r="W357" s="3934" t="n"/>
      <c r="X357" s="3934" t="n"/>
      <c r="Y357" s="3934" t="n"/>
      <c r="Z357" s="3934" t="n"/>
      <c r="AA357" s="3934" t="n"/>
      <c r="AB357" s="3934" t="n"/>
      <c r="AC357" s="3934" t="n"/>
      <c r="AD357" s="3934" t="n"/>
      <c r="AE357" s="3934" t="n"/>
      <c r="AF357" s="3934" t="n"/>
      <c r="AG357" s="3934" t="n"/>
      <c r="AH357" s="3934" t="n"/>
      <c r="AI357" s="3934" t="n"/>
      <c r="AJ357" s="3934" t="n"/>
      <c r="AK357" s="3934" t="n"/>
      <c r="AL357" s="3934" t="n"/>
      <c r="AM357" s="3934" t="n"/>
      <c r="AN357" s="3934" t="n"/>
      <c r="AO357" s="3934" t="n"/>
      <c r="AP357" s="3934" t="n"/>
      <c r="AQ357" s="3934" t="n"/>
      <c r="AR357" s="3934" t="n"/>
    </row>
    <row r="358">
      <c r="A358" s="3941" t="n"/>
      <c r="B358" s="3944" t="n"/>
      <c r="C358" s="3944" t="n"/>
      <c r="D358" s="3944" t="n"/>
      <c r="E358" s="3944" t="n"/>
      <c r="F358" s="3944" t="n"/>
      <c r="G358" s="3944" t="n"/>
      <c r="H358" s="3944" t="n"/>
      <c r="I358" s="3944" t="n"/>
      <c r="J358" s="3944" t="n"/>
      <c r="K358" s="3942">
        <f>IF(A358="","",SUM(E358:J358))</f>
        <v/>
      </c>
      <c r="L358" s="3934" t="n"/>
      <c r="M358" s="3934" t="n"/>
      <c r="N358" s="3934" t="n"/>
      <c r="O358" s="3934" t="n"/>
      <c r="P358" s="3934" t="n"/>
      <c r="Q358" s="3934" t="n"/>
      <c r="R358" s="3934" t="n"/>
      <c r="S358" s="3934" t="n"/>
      <c r="T358" s="3934" t="n"/>
      <c r="U358" s="3934" t="n"/>
      <c r="V358" s="3934" t="n"/>
      <c r="W358" s="3934" t="n"/>
      <c r="X358" s="3934" t="n"/>
      <c r="Y358" s="3934" t="n"/>
      <c r="Z358" s="3934" t="n"/>
      <c r="AA358" s="3934" t="n"/>
      <c r="AB358" s="3934" t="n"/>
      <c r="AC358" s="3934" t="n"/>
      <c r="AD358" s="3934" t="n"/>
      <c r="AE358" s="3934" t="n"/>
      <c r="AF358" s="3934" t="n"/>
      <c r="AG358" s="3934" t="n"/>
      <c r="AH358" s="3934" t="n"/>
      <c r="AI358" s="3934" t="n"/>
      <c r="AJ358" s="3934" t="n"/>
      <c r="AK358" s="3934" t="n"/>
      <c r="AL358" s="3934" t="n"/>
      <c r="AM358" s="3934" t="n"/>
      <c r="AN358" s="3934" t="n"/>
      <c r="AO358" s="3934" t="n"/>
      <c r="AP358" s="3934" t="n"/>
      <c r="AQ358" s="3934" t="n"/>
      <c r="AR358" s="3934" t="n"/>
    </row>
    <row r="359">
      <c r="A359" s="3941" t="n"/>
      <c r="B359" s="3944" t="n"/>
      <c r="C359" s="3944" t="n"/>
      <c r="D359" s="3944" t="n"/>
      <c r="E359" s="3944" t="n"/>
      <c r="F359" s="3944" t="n"/>
      <c r="G359" s="3944" t="n"/>
      <c r="H359" s="3944" t="n"/>
      <c r="I359" s="3944" t="n"/>
      <c r="J359" s="3944" t="n"/>
      <c r="K359" s="3942">
        <f>IF(A359="","",SUM(E359:J359))</f>
        <v/>
      </c>
      <c r="L359" s="3934" t="n"/>
      <c r="M359" s="3934" t="n"/>
      <c r="N359" s="3934" t="n"/>
      <c r="O359" s="3934" t="n"/>
      <c r="P359" s="3934" t="n"/>
      <c r="Q359" s="3934" t="n"/>
      <c r="R359" s="3934" t="n"/>
      <c r="S359" s="3934" t="n"/>
      <c r="T359" s="3934" t="n"/>
      <c r="U359" s="3934" t="n"/>
      <c r="V359" s="3934" t="n"/>
      <c r="W359" s="3934" t="n"/>
      <c r="X359" s="3934" t="n"/>
      <c r="Y359" s="3934" t="n"/>
      <c r="Z359" s="3934" t="n"/>
      <c r="AA359" s="3934" t="n"/>
      <c r="AB359" s="3934" t="n"/>
      <c r="AC359" s="3934" t="n"/>
      <c r="AD359" s="3934" t="n"/>
      <c r="AE359" s="3934" t="n"/>
      <c r="AF359" s="3934" t="n"/>
      <c r="AG359" s="3934" t="n"/>
      <c r="AH359" s="3934" t="n"/>
      <c r="AI359" s="3934" t="n"/>
      <c r="AJ359" s="3934" t="n"/>
      <c r="AK359" s="3934" t="n"/>
      <c r="AL359" s="3934" t="n"/>
      <c r="AM359" s="3934" t="n"/>
      <c r="AN359" s="3934" t="n"/>
      <c r="AO359" s="3934" t="n"/>
      <c r="AP359" s="3934" t="n"/>
      <c r="AQ359" s="3934" t="n"/>
      <c r="AR359" s="3934" t="n"/>
    </row>
    <row r="360">
      <c r="A360" s="3941" t="n"/>
      <c r="B360" s="3944" t="n"/>
      <c r="C360" s="3944" t="n"/>
      <c r="D360" s="3944" t="n"/>
      <c r="E360" s="3944" t="n"/>
      <c r="F360" s="3944" t="n"/>
      <c r="G360" s="3944" t="n"/>
      <c r="H360" s="3944" t="n"/>
      <c r="I360" s="3944" t="n"/>
      <c r="J360" s="3944" t="n"/>
      <c r="K360" s="3942">
        <f>IF(A360="","",SUM(E360:J360))</f>
        <v/>
      </c>
      <c r="L360" s="3934" t="n"/>
      <c r="M360" s="3934" t="n"/>
      <c r="N360" s="3934" t="n"/>
      <c r="O360" s="3934" t="n"/>
      <c r="P360" s="3934" t="n"/>
      <c r="Q360" s="3934" t="n"/>
      <c r="R360" s="3934" t="n"/>
      <c r="S360" s="3934" t="n"/>
      <c r="T360" s="3934" t="n"/>
      <c r="U360" s="3934" t="n"/>
      <c r="V360" s="3934" t="n"/>
      <c r="W360" s="3934" t="n"/>
      <c r="X360" s="3934" t="n"/>
      <c r="Y360" s="3934" t="n"/>
      <c r="Z360" s="3934" t="n"/>
      <c r="AA360" s="3934" t="n"/>
      <c r="AB360" s="3934" t="n"/>
      <c r="AC360" s="3934" t="n"/>
      <c r="AD360" s="3934" t="n"/>
      <c r="AE360" s="3934" t="n"/>
      <c r="AF360" s="3934" t="n"/>
      <c r="AG360" s="3934" t="n"/>
      <c r="AH360" s="3934" t="n"/>
      <c r="AI360" s="3934" t="n"/>
      <c r="AJ360" s="3934" t="n"/>
      <c r="AK360" s="3934" t="n"/>
      <c r="AL360" s="3934" t="n"/>
      <c r="AM360" s="3934" t="n"/>
      <c r="AN360" s="3934" t="n"/>
      <c r="AO360" s="3934" t="n"/>
      <c r="AP360" s="3934" t="n"/>
      <c r="AQ360" s="3934" t="n"/>
      <c r="AR360" s="3934" t="n"/>
    </row>
    <row r="361">
      <c r="A361" s="3941" t="n"/>
      <c r="B361" s="3944" t="n"/>
      <c r="C361" s="3944" t="n"/>
      <c r="D361" s="3944" t="n"/>
      <c r="E361" s="3944" t="n"/>
      <c r="F361" s="3944" t="n"/>
      <c r="G361" s="3944" t="n"/>
      <c r="H361" s="3944" t="n"/>
      <c r="I361" s="3944" t="n"/>
      <c r="J361" s="3944" t="n"/>
      <c r="K361" s="3942">
        <f>IF(A361="","",SUM(E361:J361))</f>
        <v/>
      </c>
      <c r="L361" s="3934" t="n"/>
      <c r="M361" s="3934" t="n"/>
      <c r="N361" s="3934" t="n"/>
      <c r="O361" s="3934" t="n"/>
      <c r="P361" s="3934" t="n"/>
      <c r="Q361" s="3934" t="n"/>
      <c r="R361" s="3934" t="n"/>
      <c r="S361" s="3934" t="n"/>
      <c r="T361" s="3934" t="n"/>
      <c r="U361" s="3934" t="n"/>
      <c r="V361" s="3934" t="n"/>
      <c r="W361" s="3934" t="n"/>
      <c r="X361" s="3934" t="n"/>
      <c r="Y361" s="3934" t="n"/>
      <c r="Z361" s="3934" t="n"/>
      <c r="AA361" s="3934" t="n"/>
      <c r="AB361" s="3934" t="n"/>
      <c r="AC361" s="3934" t="n"/>
      <c r="AD361" s="3934" t="n"/>
      <c r="AE361" s="3934" t="n"/>
      <c r="AF361" s="3934" t="n"/>
      <c r="AG361" s="3934" t="n"/>
      <c r="AH361" s="3934" t="n"/>
      <c r="AI361" s="3934" t="n"/>
      <c r="AJ361" s="3934" t="n"/>
      <c r="AK361" s="3934" t="n"/>
      <c r="AL361" s="3934" t="n"/>
      <c r="AM361" s="3934" t="n"/>
      <c r="AN361" s="3934" t="n"/>
      <c r="AO361" s="3934" t="n"/>
      <c r="AP361" s="3934" t="n"/>
      <c r="AQ361" s="3934" t="n"/>
      <c r="AR361" s="3934" t="n"/>
    </row>
    <row r="362">
      <c r="A362" s="3941" t="n"/>
      <c r="B362" s="3944" t="n"/>
      <c r="C362" s="3944" t="n"/>
      <c r="D362" s="3944" t="n"/>
      <c r="E362" s="3944" t="n"/>
      <c r="F362" s="3944" t="n"/>
      <c r="G362" s="3944" t="n"/>
      <c r="H362" s="3944" t="n"/>
      <c r="I362" s="3944" t="n"/>
      <c r="J362" s="3944" t="n"/>
      <c r="K362" s="3942">
        <f>IF(A362="","",SUM(E362:J362))</f>
        <v/>
      </c>
      <c r="L362" s="3934" t="n"/>
      <c r="M362" s="3934" t="n"/>
      <c r="N362" s="3934" t="n"/>
      <c r="O362" s="3934" t="n"/>
      <c r="P362" s="3934" t="n"/>
      <c r="Q362" s="3934" t="n"/>
      <c r="R362" s="3934" t="n"/>
      <c r="S362" s="3934" t="n"/>
      <c r="T362" s="3934" t="n"/>
      <c r="U362" s="3934" t="n"/>
      <c r="V362" s="3934" t="n"/>
      <c r="W362" s="3934" t="n"/>
      <c r="X362" s="3934" t="n"/>
      <c r="Y362" s="3934" t="n"/>
      <c r="Z362" s="3934" t="n"/>
      <c r="AA362" s="3934" t="n"/>
      <c r="AB362" s="3934" t="n"/>
      <c r="AC362" s="3934" t="n"/>
      <c r="AD362" s="3934" t="n"/>
      <c r="AE362" s="3934" t="n"/>
      <c r="AF362" s="3934" t="n"/>
      <c r="AG362" s="3934" t="n"/>
      <c r="AH362" s="3934" t="n"/>
      <c r="AI362" s="3934" t="n"/>
      <c r="AJ362" s="3934" t="n"/>
      <c r="AK362" s="3934" t="n"/>
      <c r="AL362" s="3934" t="n"/>
      <c r="AM362" s="3934" t="n"/>
      <c r="AN362" s="3934" t="n"/>
      <c r="AO362" s="3934" t="n"/>
      <c r="AP362" s="3934" t="n"/>
      <c r="AQ362" s="3934" t="n"/>
      <c r="AR362" s="3934" t="n"/>
    </row>
    <row r="363">
      <c r="A363" s="3941" t="n"/>
      <c r="B363" s="3944" t="n"/>
      <c r="C363" s="3944" t="n"/>
      <c r="D363" s="3944" t="n"/>
      <c r="E363" s="3944" t="n"/>
      <c r="F363" s="3944" t="n"/>
      <c r="G363" s="3944" t="n"/>
      <c r="H363" s="3944" t="n"/>
      <c r="I363" s="3944" t="n"/>
      <c r="J363" s="3944" t="n"/>
      <c r="K363" s="3942">
        <f>IF(A363="","",SUM(E363:J363))</f>
        <v/>
      </c>
      <c r="L363" s="3934" t="n"/>
      <c r="M363" s="3934" t="n"/>
      <c r="N363" s="3934" t="n"/>
      <c r="O363" s="3934" t="n"/>
      <c r="P363" s="3934" t="n"/>
      <c r="Q363" s="3934" t="n"/>
      <c r="R363" s="3934" t="n"/>
      <c r="S363" s="3934" t="n"/>
      <c r="T363" s="3934" t="n"/>
      <c r="U363" s="3934" t="n"/>
      <c r="V363" s="3934" t="n"/>
      <c r="W363" s="3934" t="n"/>
      <c r="X363" s="3934" t="n"/>
      <c r="Y363" s="3934" t="n"/>
      <c r="Z363" s="3934" t="n"/>
      <c r="AA363" s="3934" t="n"/>
      <c r="AB363" s="3934" t="n"/>
      <c r="AC363" s="3934" t="n"/>
      <c r="AD363" s="3934" t="n"/>
      <c r="AE363" s="3934" t="n"/>
      <c r="AF363" s="3934" t="n"/>
      <c r="AG363" s="3934" t="n"/>
      <c r="AH363" s="3934" t="n"/>
      <c r="AI363" s="3934" t="n"/>
      <c r="AJ363" s="3934" t="n"/>
      <c r="AK363" s="3934" t="n"/>
      <c r="AL363" s="3934" t="n"/>
      <c r="AM363" s="3934" t="n"/>
      <c r="AN363" s="3934" t="n"/>
      <c r="AO363" s="3934" t="n"/>
      <c r="AP363" s="3934" t="n"/>
      <c r="AQ363" s="3934" t="n"/>
      <c r="AR363" s="3934" t="n"/>
    </row>
    <row r="364">
      <c r="A364" s="3941" t="n"/>
      <c r="B364" s="3944" t="n"/>
      <c r="C364" s="3944" t="n"/>
      <c r="D364" s="3944" t="n"/>
      <c r="E364" s="3944" t="n"/>
      <c r="F364" s="3944" t="n"/>
      <c r="G364" s="3944" t="n"/>
      <c r="H364" s="3944" t="n"/>
      <c r="I364" s="3944" t="n"/>
      <c r="J364" s="3944" t="n"/>
      <c r="K364" s="3942">
        <f>IF(A364="","",SUM(E364:J364))</f>
        <v/>
      </c>
      <c r="L364" s="3934" t="n"/>
      <c r="M364" s="3934" t="n"/>
      <c r="N364" s="3934" t="n"/>
      <c r="O364" s="3934" t="n"/>
      <c r="P364" s="3934" t="n"/>
      <c r="Q364" s="3934" t="n"/>
      <c r="R364" s="3934" t="n"/>
      <c r="S364" s="3934" t="n"/>
      <c r="T364" s="3934" t="n"/>
      <c r="U364" s="3934" t="n"/>
      <c r="V364" s="3934" t="n"/>
      <c r="W364" s="3934" t="n"/>
      <c r="X364" s="3934" t="n"/>
      <c r="Y364" s="3934" t="n"/>
      <c r="Z364" s="3934" t="n"/>
      <c r="AA364" s="3934" t="n"/>
      <c r="AB364" s="3934" t="n"/>
      <c r="AC364" s="3934" t="n"/>
      <c r="AD364" s="3934" t="n"/>
      <c r="AE364" s="3934" t="n"/>
      <c r="AF364" s="3934" t="n"/>
      <c r="AG364" s="3934" t="n"/>
      <c r="AH364" s="3934" t="n"/>
      <c r="AI364" s="3934" t="n"/>
      <c r="AJ364" s="3934" t="n"/>
      <c r="AK364" s="3934" t="n"/>
      <c r="AL364" s="3934" t="n"/>
      <c r="AM364" s="3934" t="n"/>
      <c r="AN364" s="3934" t="n"/>
      <c r="AO364" s="3934" t="n"/>
      <c r="AP364" s="3934" t="n"/>
      <c r="AQ364" s="3934" t="n"/>
      <c r="AR364" s="3934" t="n"/>
    </row>
    <row r="365">
      <c r="A365" s="3941" t="n"/>
      <c r="B365" s="3944" t="n"/>
      <c r="C365" s="3944" t="n"/>
      <c r="D365" s="3944" t="n"/>
      <c r="E365" s="3944" t="n"/>
      <c r="F365" s="3944" t="n"/>
      <c r="G365" s="3944" t="n"/>
      <c r="H365" s="3944" t="n"/>
      <c r="I365" s="3944" t="n"/>
      <c r="J365" s="3944" t="n"/>
      <c r="K365" s="3942">
        <f>IF(A365="","",SUM(E365:J365))</f>
        <v/>
      </c>
      <c r="L365" s="3934" t="n"/>
      <c r="M365" s="3934" t="n"/>
      <c r="N365" s="3934" t="n"/>
      <c r="O365" s="3934" t="n"/>
      <c r="P365" s="3934" t="n"/>
      <c r="Q365" s="3934" t="n"/>
      <c r="R365" s="3934" t="n"/>
      <c r="S365" s="3934" t="n"/>
      <c r="T365" s="3934" t="n"/>
      <c r="U365" s="3934" t="n"/>
      <c r="V365" s="3934" t="n"/>
      <c r="W365" s="3934" t="n"/>
      <c r="X365" s="3934" t="n"/>
      <c r="Y365" s="3934" t="n"/>
      <c r="Z365" s="3934" t="n"/>
      <c r="AA365" s="3934" t="n"/>
      <c r="AB365" s="3934" t="n"/>
      <c r="AC365" s="3934" t="n"/>
      <c r="AD365" s="3934" t="n"/>
      <c r="AE365" s="3934" t="n"/>
      <c r="AF365" s="3934" t="n"/>
      <c r="AG365" s="3934" t="n"/>
      <c r="AH365" s="3934" t="n"/>
      <c r="AI365" s="3934" t="n"/>
      <c r="AJ365" s="3934" t="n"/>
      <c r="AK365" s="3934" t="n"/>
      <c r="AL365" s="3934" t="n"/>
      <c r="AM365" s="3934" t="n"/>
      <c r="AN365" s="3934" t="n"/>
      <c r="AO365" s="3934" t="n"/>
      <c r="AP365" s="3934" t="n"/>
      <c r="AQ365" s="3934" t="n"/>
      <c r="AR365" s="3934" t="n"/>
    </row>
    <row r="366">
      <c r="A366" s="3941" t="n"/>
      <c r="B366" s="3944" t="n"/>
      <c r="C366" s="3944" t="n"/>
      <c r="D366" s="3944" t="n"/>
      <c r="E366" s="3944" t="n"/>
      <c r="F366" s="3944" t="n"/>
      <c r="G366" s="3944" t="n"/>
      <c r="H366" s="3944" t="n"/>
      <c r="I366" s="3944" t="n"/>
      <c r="J366" s="3944" t="n"/>
      <c r="K366" s="3942">
        <f>IF(A366="","",SUM(E366:J366))</f>
        <v/>
      </c>
      <c r="L366" s="3934" t="n"/>
      <c r="M366" s="3934" t="n"/>
      <c r="N366" s="3934" t="n"/>
      <c r="O366" s="3934" t="n"/>
      <c r="P366" s="3934" t="n"/>
      <c r="Q366" s="3934" t="n"/>
      <c r="R366" s="3934" t="n"/>
      <c r="S366" s="3934" t="n"/>
      <c r="T366" s="3934" t="n"/>
      <c r="U366" s="3934" t="n"/>
      <c r="V366" s="3934" t="n"/>
      <c r="W366" s="3934" t="n"/>
      <c r="X366" s="3934" t="n"/>
      <c r="Y366" s="3934" t="n"/>
      <c r="Z366" s="3934" t="n"/>
      <c r="AA366" s="3934" t="n"/>
      <c r="AB366" s="3934" t="n"/>
      <c r="AC366" s="3934" t="n"/>
      <c r="AD366" s="3934" t="n"/>
      <c r="AE366" s="3934" t="n"/>
      <c r="AF366" s="3934" t="n"/>
      <c r="AG366" s="3934" t="n"/>
      <c r="AH366" s="3934" t="n"/>
      <c r="AI366" s="3934" t="n"/>
      <c r="AJ366" s="3934" t="n"/>
      <c r="AK366" s="3934" t="n"/>
      <c r="AL366" s="3934" t="n"/>
      <c r="AM366" s="3934" t="n"/>
      <c r="AN366" s="3934" t="n"/>
      <c r="AO366" s="3934" t="n"/>
      <c r="AP366" s="3934" t="n"/>
      <c r="AQ366" s="3934" t="n"/>
      <c r="AR366" s="3934" t="n"/>
    </row>
    <row r="367">
      <c r="A367" s="3941" t="n"/>
      <c r="B367" s="3944" t="n"/>
      <c r="C367" s="3944" t="n"/>
      <c r="D367" s="3944" t="n"/>
      <c r="E367" s="3944" t="n"/>
      <c r="F367" s="3944" t="n"/>
      <c r="G367" s="3944" t="n"/>
      <c r="H367" s="3944" t="n"/>
      <c r="I367" s="3944" t="n"/>
      <c r="J367" s="3944" t="n"/>
      <c r="K367" s="3942">
        <f>IF(A367="","",SUM(E367:J367))</f>
        <v/>
      </c>
      <c r="L367" s="3934" t="n"/>
      <c r="M367" s="3934" t="n"/>
      <c r="N367" s="3934" t="n"/>
      <c r="O367" s="3934" t="n"/>
      <c r="P367" s="3934" t="n"/>
      <c r="Q367" s="3934" t="n"/>
      <c r="R367" s="3934" t="n"/>
      <c r="S367" s="3934" t="n"/>
      <c r="T367" s="3934" t="n"/>
      <c r="U367" s="3934" t="n"/>
      <c r="V367" s="3934" t="n"/>
      <c r="W367" s="3934" t="n"/>
      <c r="X367" s="3934" t="n"/>
      <c r="Y367" s="3934" t="n"/>
      <c r="Z367" s="3934" t="n"/>
      <c r="AA367" s="3934" t="n"/>
      <c r="AB367" s="3934" t="n"/>
      <c r="AC367" s="3934" t="n"/>
      <c r="AD367" s="3934" t="n"/>
      <c r="AE367" s="3934" t="n"/>
      <c r="AF367" s="3934" t="n"/>
      <c r="AG367" s="3934" t="n"/>
      <c r="AH367" s="3934" t="n"/>
      <c r="AI367" s="3934" t="n"/>
      <c r="AJ367" s="3934" t="n"/>
      <c r="AK367" s="3934" t="n"/>
      <c r="AL367" s="3934" t="n"/>
      <c r="AM367" s="3934" t="n"/>
      <c r="AN367" s="3934" t="n"/>
      <c r="AO367" s="3934" t="n"/>
      <c r="AP367" s="3934" t="n"/>
      <c r="AQ367" s="3934" t="n"/>
      <c r="AR367" s="3934" t="n"/>
    </row>
    <row r="368">
      <c r="A368" s="3941" t="n"/>
      <c r="B368" s="3944" t="n"/>
      <c r="C368" s="3944" t="n"/>
      <c r="D368" s="3944" t="n"/>
      <c r="E368" s="3944" t="n"/>
      <c r="F368" s="3944" t="n"/>
      <c r="G368" s="3944" t="n"/>
      <c r="H368" s="3944" t="n"/>
      <c r="I368" s="3944" t="n"/>
      <c r="J368" s="3944" t="n"/>
      <c r="K368" s="3942">
        <f>IF(A368="","",SUM(E368:J368))</f>
        <v/>
      </c>
      <c r="L368" s="3934" t="n"/>
      <c r="M368" s="3934" t="n"/>
      <c r="N368" s="3934" t="n"/>
      <c r="O368" s="3934" t="n"/>
      <c r="P368" s="3934" t="n"/>
      <c r="Q368" s="3934" t="n"/>
      <c r="R368" s="3934" t="n"/>
      <c r="S368" s="3934" t="n"/>
      <c r="T368" s="3934" t="n"/>
      <c r="U368" s="3934" t="n"/>
      <c r="V368" s="3934" t="n"/>
      <c r="W368" s="3934" t="n"/>
      <c r="X368" s="3934" t="n"/>
      <c r="Y368" s="3934" t="n"/>
      <c r="Z368" s="3934" t="n"/>
      <c r="AA368" s="3934" t="n"/>
      <c r="AB368" s="3934" t="n"/>
      <c r="AC368" s="3934" t="n"/>
      <c r="AD368" s="3934" t="n"/>
      <c r="AE368" s="3934" t="n"/>
      <c r="AF368" s="3934" t="n"/>
      <c r="AG368" s="3934" t="n"/>
      <c r="AH368" s="3934" t="n"/>
      <c r="AI368" s="3934" t="n"/>
      <c r="AJ368" s="3934" t="n"/>
      <c r="AK368" s="3934" t="n"/>
      <c r="AL368" s="3934" t="n"/>
      <c r="AM368" s="3934" t="n"/>
      <c r="AN368" s="3934" t="n"/>
      <c r="AO368" s="3934" t="n"/>
      <c r="AP368" s="3934" t="n"/>
      <c r="AQ368" s="3934" t="n"/>
      <c r="AR368" s="3934" t="n"/>
    </row>
    <row r="369">
      <c r="A369" s="3941" t="n"/>
      <c r="B369" s="3944" t="n"/>
      <c r="C369" s="3944" t="n"/>
      <c r="D369" s="3944" t="n"/>
      <c r="E369" s="3944" t="n"/>
      <c r="F369" s="3944" t="n"/>
      <c r="G369" s="3944" t="n"/>
      <c r="H369" s="3944" t="n"/>
      <c r="I369" s="3944" t="n"/>
      <c r="J369" s="3944" t="n"/>
      <c r="K369" s="3942">
        <f>IF(A369="","",SUM(E369:J369))</f>
        <v/>
      </c>
      <c r="L369" s="3934" t="n"/>
      <c r="M369" s="3934" t="n"/>
      <c r="N369" s="3934" t="n"/>
      <c r="O369" s="3934" t="n"/>
      <c r="P369" s="3934" t="n"/>
      <c r="Q369" s="3934" t="n"/>
      <c r="R369" s="3934" t="n"/>
      <c r="S369" s="3934" t="n"/>
      <c r="T369" s="3934" t="n"/>
      <c r="U369" s="3934" t="n"/>
      <c r="V369" s="3934" t="n"/>
      <c r="W369" s="3934" t="n"/>
      <c r="X369" s="3934" t="n"/>
      <c r="Y369" s="3934" t="n"/>
      <c r="Z369" s="3934" t="n"/>
      <c r="AA369" s="3934" t="n"/>
      <c r="AB369" s="3934" t="n"/>
      <c r="AC369" s="3934" t="n"/>
      <c r="AD369" s="3934" t="n"/>
      <c r="AE369" s="3934" t="n"/>
      <c r="AF369" s="3934" t="n"/>
      <c r="AG369" s="3934" t="n"/>
      <c r="AH369" s="3934" t="n"/>
      <c r="AI369" s="3934" t="n"/>
      <c r="AJ369" s="3934" t="n"/>
      <c r="AK369" s="3934" t="n"/>
      <c r="AL369" s="3934" t="n"/>
      <c r="AM369" s="3934" t="n"/>
      <c r="AN369" s="3934" t="n"/>
      <c r="AO369" s="3934" t="n"/>
      <c r="AP369" s="3934" t="n"/>
      <c r="AQ369" s="3934" t="n"/>
      <c r="AR369" s="3934" t="n"/>
    </row>
    <row r="370">
      <c r="A370" s="3941" t="n"/>
      <c r="B370" s="3944" t="n"/>
      <c r="C370" s="3944" t="n"/>
      <c r="D370" s="3944" t="n"/>
      <c r="E370" s="3944" t="n"/>
      <c r="F370" s="3944" t="n"/>
      <c r="G370" s="3944" t="n"/>
      <c r="H370" s="3944" t="n"/>
      <c r="I370" s="3944" t="n"/>
      <c r="J370" s="3944" t="n"/>
      <c r="K370" s="3942">
        <f>IF(A370="","",SUM(E370:J370))</f>
        <v/>
      </c>
      <c r="L370" s="3934" t="n"/>
      <c r="M370" s="3934" t="n"/>
      <c r="N370" s="3934" t="n"/>
      <c r="O370" s="3934" t="n"/>
      <c r="P370" s="3934" t="n"/>
      <c r="Q370" s="3934" t="n"/>
      <c r="R370" s="3934" t="n"/>
      <c r="S370" s="3934" t="n"/>
      <c r="T370" s="3934" t="n"/>
      <c r="U370" s="3934" t="n"/>
      <c r="V370" s="3934" t="n"/>
      <c r="W370" s="3934" t="n"/>
      <c r="X370" s="3934" t="n"/>
      <c r="Y370" s="3934" t="n"/>
      <c r="Z370" s="3934" t="n"/>
      <c r="AA370" s="3934" t="n"/>
      <c r="AB370" s="3934" t="n"/>
      <c r="AC370" s="3934" t="n"/>
      <c r="AD370" s="3934" t="n"/>
      <c r="AE370" s="3934" t="n"/>
      <c r="AF370" s="3934" t="n"/>
      <c r="AG370" s="3934" t="n"/>
      <c r="AH370" s="3934" t="n"/>
      <c r="AI370" s="3934" t="n"/>
      <c r="AJ370" s="3934" t="n"/>
      <c r="AK370" s="3934" t="n"/>
      <c r="AL370" s="3934" t="n"/>
      <c r="AM370" s="3934" t="n"/>
      <c r="AN370" s="3934" t="n"/>
      <c r="AO370" s="3934" t="n"/>
      <c r="AP370" s="3934" t="n"/>
      <c r="AQ370" s="3934" t="n"/>
      <c r="AR370" s="3934" t="n"/>
    </row>
    <row r="371">
      <c r="A371" s="3941" t="n"/>
      <c r="B371" s="3944" t="n"/>
      <c r="C371" s="3944" t="n"/>
      <c r="D371" s="3944" t="n"/>
      <c r="E371" s="3944" t="n"/>
      <c r="F371" s="3944" t="n"/>
      <c r="G371" s="3944" t="n"/>
      <c r="H371" s="3944" t="n"/>
      <c r="I371" s="3944" t="n"/>
      <c r="J371" s="3944" t="n"/>
      <c r="K371" s="3942">
        <f>IF(A371="","",SUM(E371:J371))</f>
        <v/>
      </c>
      <c r="L371" s="3934" t="n"/>
      <c r="M371" s="3934" t="n"/>
      <c r="N371" s="3934" t="n"/>
      <c r="O371" s="3934" t="n"/>
      <c r="P371" s="3934" t="n"/>
      <c r="Q371" s="3934" t="n"/>
      <c r="R371" s="3934" t="n"/>
      <c r="S371" s="3934" t="n"/>
      <c r="T371" s="3934" t="n"/>
      <c r="U371" s="3934" t="n"/>
      <c r="V371" s="3934" t="n"/>
      <c r="W371" s="3934" t="n"/>
      <c r="X371" s="3934" t="n"/>
      <c r="Y371" s="3934" t="n"/>
      <c r="Z371" s="3934" t="n"/>
      <c r="AA371" s="3934" t="n"/>
      <c r="AB371" s="3934" t="n"/>
      <c r="AC371" s="3934" t="n"/>
      <c r="AD371" s="3934" t="n"/>
      <c r="AE371" s="3934" t="n"/>
      <c r="AF371" s="3934" t="n"/>
      <c r="AG371" s="3934" t="n"/>
      <c r="AH371" s="3934" t="n"/>
      <c r="AI371" s="3934" t="n"/>
      <c r="AJ371" s="3934" t="n"/>
      <c r="AK371" s="3934" t="n"/>
      <c r="AL371" s="3934" t="n"/>
      <c r="AM371" s="3934" t="n"/>
      <c r="AN371" s="3934" t="n"/>
      <c r="AO371" s="3934" t="n"/>
      <c r="AP371" s="3934" t="n"/>
      <c r="AQ371" s="3934" t="n"/>
      <c r="AR371" s="3934" t="n"/>
    </row>
    <row r="372">
      <c r="A372" s="3941" t="n"/>
      <c r="B372" s="3944" t="n"/>
      <c r="C372" s="3944" t="n"/>
      <c r="D372" s="3944" t="n"/>
      <c r="E372" s="3944" t="n"/>
      <c r="F372" s="3944" t="n"/>
      <c r="G372" s="3944" t="n"/>
      <c r="H372" s="3944" t="n"/>
      <c r="I372" s="3944" t="n"/>
      <c r="J372" s="3944" t="n"/>
      <c r="K372" s="3942">
        <f>IF(A372="","",SUM(E372:J372))</f>
        <v/>
      </c>
      <c r="L372" s="3934" t="n"/>
      <c r="M372" s="3934" t="n"/>
      <c r="N372" s="3934" t="n"/>
      <c r="O372" s="3934" t="n"/>
      <c r="P372" s="3934" t="n"/>
      <c r="Q372" s="3934" t="n"/>
      <c r="R372" s="3934" t="n"/>
      <c r="S372" s="3934" t="n"/>
      <c r="T372" s="3934" t="n"/>
      <c r="U372" s="3934" t="n"/>
      <c r="V372" s="3934" t="n"/>
      <c r="W372" s="3934" t="n"/>
      <c r="X372" s="3934" t="n"/>
      <c r="Y372" s="3934" t="n"/>
      <c r="Z372" s="3934" t="n"/>
      <c r="AA372" s="3934" t="n"/>
      <c r="AB372" s="3934" t="n"/>
      <c r="AC372" s="3934" t="n"/>
      <c r="AD372" s="3934" t="n"/>
      <c r="AE372" s="3934" t="n"/>
      <c r="AF372" s="3934" t="n"/>
      <c r="AG372" s="3934" t="n"/>
      <c r="AH372" s="3934" t="n"/>
      <c r="AI372" s="3934" t="n"/>
      <c r="AJ372" s="3934" t="n"/>
      <c r="AK372" s="3934" t="n"/>
      <c r="AL372" s="3934" t="n"/>
      <c r="AM372" s="3934" t="n"/>
      <c r="AN372" s="3934" t="n"/>
      <c r="AO372" s="3934" t="n"/>
      <c r="AP372" s="3934" t="n"/>
      <c r="AQ372" s="3934" t="n"/>
      <c r="AR372" s="3934" t="n"/>
    </row>
    <row r="373">
      <c r="A373" s="3941" t="n"/>
      <c r="B373" s="3944" t="n"/>
      <c r="C373" s="3944" t="n"/>
      <c r="D373" s="3944" t="n"/>
      <c r="E373" s="3944" t="n"/>
      <c r="F373" s="3944" t="n"/>
      <c r="G373" s="3944" t="n"/>
      <c r="H373" s="3944" t="n"/>
      <c r="I373" s="3944" t="n"/>
      <c r="J373" s="3944" t="n"/>
      <c r="K373" s="3942">
        <f>IF(A373="","",SUM(E373:J373))</f>
        <v/>
      </c>
      <c r="L373" s="3934" t="n"/>
      <c r="M373" s="3934" t="n"/>
      <c r="N373" s="3934" t="n"/>
      <c r="O373" s="3934" t="n"/>
      <c r="P373" s="3934" t="n"/>
      <c r="Q373" s="3934" t="n"/>
      <c r="R373" s="3934" t="n"/>
      <c r="S373" s="3934" t="n"/>
      <c r="T373" s="3934" t="n"/>
      <c r="U373" s="3934" t="n"/>
      <c r="V373" s="3934" t="n"/>
      <c r="W373" s="3934" t="n"/>
      <c r="X373" s="3934" t="n"/>
      <c r="Y373" s="3934" t="n"/>
      <c r="Z373" s="3934" t="n"/>
      <c r="AA373" s="3934" t="n"/>
      <c r="AB373" s="3934" t="n"/>
      <c r="AC373" s="3934" t="n"/>
      <c r="AD373" s="3934" t="n"/>
      <c r="AE373" s="3934" t="n"/>
      <c r="AF373" s="3934" t="n"/>
      <c r="AG373" s="3934" t="n"/>
      <c r="AH373" s="3934" t="n"/>
      <c r="AI373" s="3934" t="n"/>
      <c r="AJ373" s="3934" t="n"/>
      <c r="AK373" s="3934" t="n"/>
      <c r="AL373" s="3934" t="n"/>
      <c r="AM373" s="3934" t="n"/>
      <c r="AN373" s="3934" t="n"/>
      <c r="AO373" s="3934" t="n"/>
      <c r="AP373" s="3934" t="n"/>
      <c r="AQ373" s="3934" t="n"/>
      <c r="AR373" s="3934" t="n"/>
    </row>
    <row r="374">
      <c r="A374" s="3941" t="n"/>
      <c r="B374" s="3944" t="n"/>
      <c r="C374" s="3944" t="n"/>
      <c r="D374" s="3944" t="n"/>
      <c r="E374" s="3944" t="n"/>
      <c r="F374" s="3944" t="n"/>
      <c r="G374" s="3944" t="n"/>
      <c r="H374" s="3944" t="n"/>
      <c r="I374" s="3944" t="n"/>
      <c r="J374" s="3944" t="n"/>
      <c r="K374" s="3942">
        <f>IF(A374="","",SUM(E374:J374))</f>
        <v/>
      </c>
      <c r="L374" s="3934" t="n"/>
      <c r="M374" s="3934" t="n"/>
      <c r="N374" s="3934" t="n"/>
      <c r="O374" s="3934" t="n"/>
      <c r="P374" s="3934" t="n"/>
      <c r="Q374" s="3934" t="n"/>
      <c r="R374" s="3934" t="n"/>
      <c r="S374" s="3934" t="n"/>
      <c r="T374" s="3934" t="n"/>
      <c r="U374" s="3934" t="n"/>
      <c r="V374" s="3934" t="n"/>
      <c r="W374" s="3934" t="n"/>
      <c r="X374" s="3934" t="n"/>
      <c r="Y374" s="3934" t="n"/>
      <c r="Z374" s="3934" t="n"/>
      <c r="AA374" s="3934" t="n"/>
      <c r="AB374" s="3934" t="n"/>
      <c r="AC374" s="3934" t="n"/>
      <c r="AD374" s="3934" t="n"/>
      <c r="AE374" s="3934" t="n"/>
      <c r="AF374" s="3934" t="n"/>
      <c r="AG374" s="3934" t="n"/>
      <c r="AH374" s="3934" t="n"/>
      <c r="AI374" s="3934" t="n"/>
      <c r="AJ374" s="3934" t="n"/>
      <c r="AK374" s="3934" t="n"/>
      <c r="AL374" s="3934" t="n"/>
      <c r="AM374" s="3934" t="n"/>
      <c r="AN374" s="3934" t="n"/>
      <c r="AO374" s="3934" t="n"/>
      <c r="AP374" s="3934" t="n"/>
      <c r="AQ374" s="3934" t="n"/>
      <c r="AR374" s="3934" t="n"/>
    </row>
    <row r="375">
      <c r="A375" s="3941" t="n"/>
      <c r="B375" s="3944" t="n"/>
      <c r="C375" s="3944" t="n"/>
      <c r="D375" s="3944" t="n"/>
      <c r="E375" s="3944" t="n"/>
      <c r="F375" s="3944" t="n"/>
      <c r="G375" s="3944" t="n"/>
      <c r="H375" s="3944" t="n"/>
      <c r="I375" s="3944" t="n"/>
      <c r="J375" s="3944" t="n"/>
      <c r="K375" s="3942">
        <f>IF(A375="","",SUM(E375:J375))</f>
        <v/>
      </c>
      <c r="L375" s="3934" t="n"/>
      <c r="M375" s="3934" t="n"/>
      <c r="N375" s="3934" t="n"/>
      <c r="O375" s="3934" t="n"/>
      <c r="P375" s="3934" t="n"/>
      <c r="Q375" s="3934" t="n"/>
      <c r="R375" s="3934" t="n"/>
      <c r="S375" s="3934" t="n"/>
      <c r="T375" s="3934" t="n"/>
      <c r="U375" s="3934" t="n"/>
      <c r="V375" s="3934" t="n"/>
      <c r="W375" s="3934" t="n"/>
      <c r="X375" s="3934" t="n"/>
      <c r="Y375" s="3934" t="n"/>
      <c r="Z375" s="3934" t="n"/>
      <c r="AA375" s="3934" t="n"/>
      <c r="AB375" s="3934" t="n"/>
      <c r="AC375" s="3934" t="n"/>
      <c r="AD375" s="3934" t="n"/>
      <c r="AE375" s="3934" t="n"/>
      <c r="AF375" s="3934" t="n"/>
      <c r="AG375" s="3934" t="n"/>
      <c r="AH375" s="3934" t="n"/>
      <c r="AI375" s="3934" t="n"/>
      <c r="AJ375" s="3934" t="n"/>
      <c r="AK375" s="3934" t="n"/>
      <c r="AL375" s="3934" t="n"/>
      <c r="AM375" s="3934" t="n"/>
      <c r="AN375" s="3934" t="n"/>
      <c r="AO375" s="3934" t="n"/>
      <c r="AP375" s="3934" t="n"/>
      <c r="AQ375" s="3934" t="n"/>
      <c r="AR375" s="3934" t="n"/>
    </row>
    <row r="376">
      <c r="A376" s="3941" t="n"/>
      <c r="B376" s="3944" t="n"/>
      <c r="C376" s="3944" t="n"/>
      <c r="D376" s="3944" t="n"/>
      <c r="E376" s="3944" t="n"/>
      <c r="F376" s="3944" t="n"/>
      <c r="G376" s="3944" t="n"/>
      <c r="H376" s="3944" t="n"/>
      <c r="I376" s="3944" t="n"/>
      <c r="J376" s="3944" t="n"/>
      <c r="K376" s="3942">
        <f>IF(A376="","",SUM(E376:J376))</f>
        <v/>
      </c>
      <c r="L376" s="3934" t="n"/>
      <c r="M376" s="3934" t="n"/>
      <c r="N376" s="3934" t="n"/>
      <c r="O376" s="3934" t="n"/>
      <c r="P376" s="3934" t="n"/>
      <c r="Q376" s="3934" t="n"/>
      <c r="R376" s="3934" t="n"/>
      <c r="S376" s="3934" t="n"/>
      <c r="T376" s="3934" t="n"/>
      <c r="U376" s="3934" t="n"/>
      <c r="V376" s="3934" t="n"/>
      <c r="W376" s="3934" t="n"/>
      <c r="X376" s="3934" t="n"/>
      <c r="Y376" s="3934" t="n"/>
      <c r="Z376" s="3934" t="n"/>
      <c r="AA376" s="3934" t="n"/>
      <c r="AB376" s="3934" t="n"/>
      <c r="AC376" s="3934" t="n"/>
      <c r="AD376" s="3934" t="n"/>
      <c r="AE376" s="3934" t="n"/>
      <c r="AF376" s="3934" t="n"/>
      <c r="AG376" s="3934" t="n"/>
      <c r="AH376" s="3934" t="n"/>
      <c r="AI376" s="3934" t="n"/>
      <c r="AJ376" s="3934" t="n"/>
      <c r="AK376" s="3934" t="n"/>
      <c r="AL376" s="3934" t="n"/>
      <c r="AM376" s="3934" t="n"/>
      <c r="AN376" s="3934" t="n"/>
      <c r="AO376" s="3934" t="n"/>
      <c r="AP376" s="3934" t="n"/>
      <c r="AQ376" s="3934" t="n"/>
      <c r="AR376" s="3934" t="n"/>
    </row>
    <row r="377">
      <c r="A377" s="3941" t="n"/>
      <c r="B377" s="3944" t="n"/>
      <c r="C377" s="3944" t="n"/>
      <c r="D377" s="3944" t="n"/>
      <c r="E377" s="3944" t="n"/>
      <c r="F377" s="3944" t="n"/>
      <c r="G377" s="3944" t="n"/>
      <c r="H377" s="3944" t="n"/>
      <c r="I377" s="3944" t="n"/>
      <c r="J377" s="3944" t="n"/>
      <c r="K377" s="3942">
        <f>IF(A377="","",SUM(E377:J377))</f>
        <v/>
      </c>
      <c r="L377" s="3934" t="n"/>
      <c r="M377" s="3934" t="n"/>
      <c r="N377" s="3934" t="n"/>
      <c r="O377" s="3934" t="n"/>
      <c r="P377" s="3934" t="n"/>
      <c r="Q377" s="3934" t="n"/>
      <c r="R377" s="3934" t="n"/>
      <c r="S377" s="3934" t="n"/>
      <c r="T377" s="3934" t="n"/>
      <c r="U377" s="3934" t="n"/>
      <c r="V377" s="3934" t="n"/>
      <c r="W377" s="3934" t="n"/>
      <c r="X377" s="3934" t="n"/>
      <c r="Y377" s="3934" t="n"/>
      <c r="Z377" s="3934" t="n"/>
      <c r="AA377" s="3934" t="n"/>
      <c r="AB377" s="3934" t="n"/>
      <c r="AC377" s="3934" t="n"/>
      <c r="AD377" s="3934" t="n"/>
      <c r="AE377" s="3934" t="n"/>
      <c r="AF377" s="3934" t="n"/>
      <c r="AG377" s="3934" t="n"/>
      <c r="AH377" s="3934" t="n"/>
      <c r="AI377" s="3934" t="n"/>
      <c r="AJ377" s="3934" t="n"/>
      <c r="AK377" s="3934" t="n"/>
      <c r="AL377" s="3934" t="n"/>
      <c r="AM377" s="3934" t="n"/>
      <c r="AN377" s="3934" t="n"/>
      <c r="AO377" s="3934" t="n"/>
      <c r="AP377" s="3934" t="n"/>
      <c r="AQ377" s="3934" t="n"/>
      <c r="AR377" s="3934" t="n"/>
    </row>
    <row r="378">
      <c r="A378" s="3941" t="n"/>
      <c r="B378" s="3944" t="n"/>
      <c r="C378" s="3944" t="n"/>
      <c r="D378" s="3944" t="n"/>
      <c r="E378" s="3944" t="n"/>
      <c r="F378" s="3944" t="n"/>
      <c r="G378" s="3944" t="n"/>
      <c r="H378" s="3944" t="n"/>
      <c r="I378" s="3944" t="n"/>
      <c r="J378" s="3944" t="n"/>
      <c r="K378" s="3942">
        <f>IF(A378="","",SUM(E378:J378))</f>
        <v/>
      </c>
      <c r="L378" s="3934" t="n"/>
      <c r="M378" s="3934" t="n"/>
      <c r="N378" s="3934" t="n"/>
      <c r="O378" s="3934" t="n"/>
      <c r="P378" s="3934" t="n"/>
      <c r="Q378" s="3934" t="n"/>
      <c r="R378" s="3934" t="n"/>
      <c r="S378" s="3934" t="n"/>
      <c r="T378" s="3934" t="n"/>
      <c r="U378" s="3934" t="n"/>
      <c r="V378" s="3934" t="n"/>
      <c r="W378" s="3934" t="n"/>
      <c r="X378" s="3934" t="n"/>
      <c r="Y378" s="3934" t="n"/>
      <c r="Z378" s="3934" t="n"/>
      <c r="AA378" s="3934" t="n"/>
      <c r="AB378" s="3934" t="n"/>
      <c r="AC378" s="3934" t="n"/>
      <c r="AD378" s="3934" t="n"/>
      <c r="AE378" s="3934" t="n"/>
      <c r="AF378" s="3934" t="n"/>
      <c r="AG378" s="3934" t="n"/>
      <c r="AH378" s="3934" t="n"/>
      <c r="AI378" s="3934" t="n"/>
      <c r="AJ378" s="3934" t="n"/>
      <c r="AK378" s="3934" t="n"/>
      <c r="AL378" s="3934" t="n"/>
      <c r="AM378" s="3934" t="n"/>
      <c r="AN378" s="3934" t="n"/>
      <c r="AO378" s="3934" t="n"/>
      <c r="AP378" s="3934" t="n"/>
      <c r="AQ378" s="3934" t="n"/>
      <c r="AR378" s="3934" t="n"/>
    </row>
    <row r="379">
      <c r="A379" s="3941" t="n"/>
      <c r="B379" s="3944" t="n"/>
      <c r="C379" s="3944" t="n"/>
      <c r="D379" s="3944" t="n"/>
      <c r="E379" s="3944" t="n"/>
      <c r="F379" s="3944" t="n"/>
      <c r="G379" s="3944" t="n"/>
      <c r="H379" s="3944" t="n"/>
      <c r="I379" s="3944" t="n"/>
      <c r="J379" s="3944" t="n"/>
      <c r="K379" s="3942">
        <f>IF(A379="","",SUM(E379:J379))</f>
        <v/>
      </c>
      <c r="L379" s="3934" t="n"/>
      <c r="M379" s="3934" t="n"/>
      <c r="N379" s="3934" t="n"/>
      <c r="O379" s="3934" t="n"/>
      <c r="P379" s="3934" t="n"/>
      <c r="Q379" s="3934" t="n"/>
      <c r="R379" s="3934" t="n"/>
      <c r="S379" s="3934" t="n"/>
      <c r="T379" s="3934" t="n"/>
      <c r="U379" s="3934" t="n"/>
      <c r="V379" s="3934" t="n"/>
      <c r="W379" s="3934" t="n"/>
      <c r="X379" s="3934" t="n"/>
      <c r="Y379" s="3934" t="n"/>
      <c r="Z379" s="3934" t="n"/>
      <c r="AA379" s="3934" t="n"/>
      <c r="AB379" s="3934" t="n"/>
      <c r="AC379" s="3934" t="n"/>
      <c r="AD379" s="3934" t="n"/>
      <c r="AE379" s="3934" t="n"/>
      <c r="AF379" s="3934" t="n"/>
      <c r="AG379" s="3934" t="n"/>
      <c r="AH379" s="3934" t="n"/>
      <c r="AI379" s="3934" t="n"/>
      <c r="AJ379" s="3934" t="n"/>
      <c r="AK379" s="3934" t="n"/>
      <c r="AL379" s="3934" t="n"/>
      <c r="AM379" s="3934" t="n"/>
      <c r="AN379" s="3934" t="n"/>
      <c r="AO379" s="3934" t="n"/>
      <c r="AP379" s="3934" t="n"/>
      <c r="AQ379" s="3934" t="n"/>
      <c r="AR379" s="3934" t="n"/>
    </row>
    <row r="380">
      <c r="A380" s="3941" t="n"/>
      <c r="B380" s="3944" t="n"/>
      <c r="C380" s="3944" t="n"/>
      <c r="D380" s="3944" t="n"/>
      <c r="E380" s="3944" t="n"/>
      <c r="F380" s="3944" t="n"/>
      <c r="G380" s="3944" t="n"/>
      <c r="H380" s="3944" t="n"/>
      <c r="I380" s="3944" t="n"/>
      <c r="J380" s="3944" t="n"/>
      <c r="K380" s="3942">
        <f>IF(A380="","",SUM(E380:J380))</f>
        <v/>
      </c>
      <c r="L380" s="3934" t="n"/>
      <c r="M380" s="3934" t="n"/>
      <c r="N380" s="3934" t="n"/>
      <c r="O380" s="3934" t="n"/>
      <c r="P380" s="3934" t="n"/>
      <c r="Q380" s="3934" t="n"/>
      <c r="R380" s="3934" t="n"/>
      <c r="S380" s="3934" t="n"/>
      <c r="T380" s="3934" t="n"/>
      <c r="U380" s="3934" t="n"/>
      <c r="V380" s="3934" t="n"/>
      <c r="W380" s="3934" t="n"/>
      <c r="X380" s="3934" t="n"/>
      <c r="Y380" s="3934" t="n"/>
      <c r="Z380" s="3934" t="n"/>
      <c r="AA380" s="3934" t="n"/>
      <c r="AB380" s="3934" t="n"/>
      <c r="AC380" s="3934" t="n"/>
      <c r="AD380" s="3934" t="n"/>
      <c r="AE380" s="3934" t="n"/>
      <c r="AF380" s="3934" t="n"/>
      <c r="AG380" s="3934" t="n"/>
      <c r="AH380" s="3934" t="n"/>
      <c r="AI380" s="3934" t="n"/>
      <c r="AJ380" s="3934" t="n"/>
      <c r="AK380" s="3934" t="n"/>
      <c r="AL380" s="3934" t="n"/>
      <c r="AM380" s="3934" t="n"/>
      <c r="AN380" s="3934" t="n"/>
      <c r="AO380" s="3934" t="n"/>
      <c r="AP380" s="3934" t="n"/>
      <c r="AQ380" s="3934" t="n"/>
      <c r="AR380" s="3934" t="n"/>
    </row>
    <row r="381">
      <c r="A381" s="3941" t="n"/>
      <c r="B381" s="3944" t="n"/>
      <c r="C381" s="3944" t="n"/>
      <c r="D381" s="3944" t="n"/>
      <c r="E381" s="3944" t="n"/>
      <c r="F381" s="3944" t="n"/>
      <c r="G381" s="3944" t="n"/>
      <c r="H381" s="3944" t="n"/>
      <c r="I381" s="3944" t="n"/>
      <c r="J381" s="3944" t="n"/>
      <c r="K381" s="3942">
        <f>IF(A381="","",SUM(E381:J381))</f>
        <v/>
      </c>
      <c r="L381" s="3934" t="n"/>
      <c r="M381" s="3934" t="n"/>
      <c r="N381" s="3934" t="n"/>
      <c r="O381" s="3934" t="n"/>
      <c r="P381" s="3934" t="n"/>
      <c r="Q381" s="3934" t="n"/>
      <c r="R381" s="3934" t="n"/>
      <c r="S381" s="3934" t="n"/>
      <c r="T381" s="3934" t="n"/>
      <c r="U381" s="3934" t="n"/>
      <c r="V381" s="3934" t="n"/>
      <c r="W381" s="3934" t="n"/>
      <c r="X381" s="3934" t="n"/>
      <c r="Y381" s="3934" t="n"/>
      <c r="Z381" s="3934" t="n"/>
      <c r="AA381" s="3934" t="n"/>
      <c r="AB381" s="3934" t="n"/>
      <c r="AC381" s="3934" t="n"/>
      <c r="AD381" s="3934" t="n"/>
      <c r="AE381" s="3934" t="n"/>
      <c r="AF381" s="3934" t="n"/>
      <c r="AG381" s="3934" t="n"/>
      <c r="AH381" s="3934" t="n"/>
      <c r="AI381" s="3934" t="n"/>
      <c r="AJ381" s="3934" t="n"/>
      <c r="AK381" s="3934" t="n"/>
      <c r="AL381" s="3934" t="n"/>
      <c r="AM381" s="3934" t="n"/>
      <c r="AN381" s="3934" t="n"/>
      <c r="AO381" s="3934" t="n"/>
      <c r="AP381" s="3934" t="n"/>
      <c r="AQ381" s="3934" t="n"/>
      <c r="AR381" s="3934" t="n"/>
    </row>
    <row r="382">
      <c r="A382" s="3941" t="n"/>
      <c r="B382" s="3944" t="n"/>
      <c r="C382" s="3944" t="n"/>
      <c r="D382" s="3944" t="n"/>
      <c r="E382" s="3944" t="n"/>
      <c r="F382" s="3944" t="n"/>
      <c r="G382" s="3944" t="n"/>
      <c r="H382" s="3944" t="n"/>
      <c r="I382" s="3944" t="n"/>
      <c r="J382" s="3944" t="n"/>
      <c r="K382" s="3942">
        <f>IF(A382="","",SUM(E382:J382))</f>
        <v/>
      </c>
      <c r="L382" s="3934" t="n"/>
      <c r="M382" s="3934" t="n"/>
      <c r="N382" s="3934" t="n"/>
      <c r="O382" s="3934" t="n"/>
      <c r="P382" s="3934" t="n"/>
      <c r="Q382" s="3934" t="n"/>
      <c r="R382" s="3934" t="n"/>
      <c r="S382" s="3934" t="n"/>
      <c r="T382" s="3934" t="n"/>
      <c r="U382" s="3934" t="n"/>
      <c r="V382" s="3934" t="n"/>
      <c r="W382" s="3934" t="n"/>
      <c r="X382" s="3934" t="n"/>
      <c r="Y382" s="3934" t="n"/>
      <c r="Z382" s="3934" t="n"/>
      <c r="AA382" s="3934" t="n"/>
      <c r="AB382" s="3934" t="n"/>
      <c r="AC382" s="3934" t="n"/>
      <c r="AD382" s="3934" t="n"/>
      <c r="AE382" s="3934" t="n"/>
      <c r="AF382" s="3934" t="n"/>
      <c r="AG382" s="3934" t="n"/>
      <c r="AH382" s="3934" t="n"/>
      <c r="AI382" s="3934" t="n"/>
      <c r="AJ382" s="3934" t="n"/>
      <c r="AK382" s="3934" t="n"/>
      <c r="AL382" s="3934" t="n"/>
      <c r="AM382" s="3934" t="n"/>
      <c r="AN382" s="3934" t="n"/>
      <c r="AO382" s="3934" t="n"/>
      <c r="AP382" s="3934" t="n"/>
      <c r="AQ382" s="3934" t="n"/>
      <c r="AR382" s="3934" t="n"/>
    </row>
    <row r="383">
      <c r="A383" s="3941" t="n"/>
      <c r="B383" s="3944" t="n"/>
      <c r="C383" s="3944" t="n"/>
      <c r="D383" s="3944" t="n"/>
      <c r="E383" s="3944" t="n"/>
      <c r="F383" s="3944" t="n"/>
      <c r="G383" s="3944" t="n"/>
      <c r="H383" s="3944" t="n"/>
      <c r="I383" s="3944" t="n"/>
      <c r="J383" s="3944" t="n"/>
      <c r="K383" s="3942">
        <f>IF(A383="","",SUM(E383:J383))</f>
        <v/>
      </c>
      <c r="L383" s="3934" t="n"/>
      <c r="M383" s="3934" t="n"/>
      <c r="N383" s="3934" t="n"/>
      <c r="O383" s="3934" t="n"/>
      <c r="P383" s="3934" t="n"/>
      <c r="Q383" s="3934" t="n"/>
      <c r="R383" s="3934" t="n"/>
      <c r="S383" s="3934" t="n"/>
      <c r="T383" s="3934" t="n"/>
      <c r="U383" s="3934" t="n"/>
      <c r="V383" s="3934" t="n"/>
      <c r="W383" s="3934" t="n"/>
      <c r="X383" s="3934" t="n"/>
      <c r="Y383" s="3934" t="n"/>
      <c r="Z383" s="3934" t="n"/>
      <c r="AA383" s="3934" t="n"/>
      <c r="AB383" s="3934" t="n"/>
      <c r="AC383" s="3934" t="n"/>
      <c r="AD383" s="3934" t="n"/>
      <c r="AE383" s="3934" t="n"/>
      <c r="AF383" s="3934" t="n"/>
      <c r="AG383" s="3934" t="n"/>
      <c r="AH383" s="3934" t="n"/>
      <c r="AI383" s="3934" t="n"/>
      <c r="AJ383" s="3934" t="n"/>
      <c r="AK383" s="3934" t="n"/>
      <c r="AL383" s="3934" t="n"/>
      <c r="AM383" s="3934" t="n"/>
      <c r="AN383" s="3934" t="n"/>
      <c r="AO383" s="3934" t="n"/>
      <c r="AP383" s="3934" t="n"/>
      <c r="AQ383" s="3934" t="n"/>
      <c r="AR383" s="3934" t="n"/>
    </row>
    <row r="384">
      <c r="A384" s="3941" t="n"/>
      <c r="B384" s="3944" t="n"/>
      <c r="C384" s="3944" t="n"/>
      <c r="D384" s="3944" t="n"/>
      <c r="E384" s="3944" t="n"/>
      <c r="F384" s="3944" t="n"/>
      <c r="G384" s="3944" t="n"/>
      <c r="H384" s="3944" t="n"/>
      <c r="I384" s="3944" t="n"/>
      <c r="J384" s="3944" t="n"/>
      <c r="K384" s="3942">
        <f>IF(A384="","",SUM(E384:J384))</f>
        <v/>
      </c>
      <c r="L384" s="3934" t="n"/>
      <c r="M384" s="3934" t="n"/>
      <c r="N384" s="3934" t="n"/>
      <c r="O384" s="3934" t="n"/>
      <c r="P384" s="3934" t="n"/>
      <c r="Q384" s="3934" t="n"/>
      <c r="R384" s="3934" t="n"/>
      <c r="S384" s="3934" t="n"/>
      <c r="T384" s="3934" t="n"/>
      <c r="U384" s="3934" t="n"/>
      <c r="V384" s="3934" t="n"/>
      <c r="W384" s="3934" t="n"/>
      <c r="X384" s="3934" t="n"/>
      <c r="Y384" s="3934" t="n"/>
      <c r="Z384" s="3934" t="n"/>
      <c r="AA384" s="3934" t="n"/>
      <c r="AB384" s="3934" t="n"/>
      <c r="AC384" s="3934" t="n"/>
      <c r="AD384" s="3934" t="n"/>
      <c r="AE384" s="3934" t="n"/>
      <c r="AF384" s="3934" t="n"/>
      <c r="AG384" s="3934" t="n"/>
      <c r="AH384" s="3934" t="n"/>
      <c r="AI384" s="3934" t="n"/>
      <c r="AJ384" s="3934" t="n"/>
      <c r="AK384" s="3934" t="n"/>
      <c r="AL384" s="3934" t="n"/>
      <c r="AM384" s="3934" t="n"/>
      <c r="AN384" s="3934" t="n"/>
      <c r="AO384" s="3934" t="n"/>
      <c r="AP384" s="3934" t="n"/>
      <c r="AQ384" s="3934" t="n"/>
      <c r="AR384" s="3934" t="n"/>
    </row>
    <row r="385">
      <c r="A385" s="3941" t="n"/>
      <c r="B385" s="3944" t="n"/>
      <c r="C385" s="3944" t="n"/>
      <c r="D385" s="3944" t="n"/>
      <c r="E385" s="3944" t="n"/>
      <c r="F385" s="3944" t="n"/>
      <c r="G385" s="3944" t="n"/>
      <c r="H385" s="3944" t="n"/>
      <c r="I385" s="3944" t="n"/>
      <c r="J385" s="3944" t="n"/>
      <c r="K385" s="3942">
        <f>IF(A385="","",SUM(E385:J385))</f>
        <v/>
      </c>
      <c r="L385" s="3934" t="n"/>
      <c r="M385" s="3934" t="n"/>
      <c r="N385" s="3934" t="n"/>
      <c r="O385" s="3934" t="n"/>
      <c r="P385" s="3934" t="n"/>
      <c r="Q385" s="3934" t="n"/>
      <c r="R385" s="3934" t="n"/>
      <c r="S385" s="3934" t="n"/>
      <c r="T385" s="3934" t="n"/>
      <c r="U385" s="3934" t="n"/>
      <c r="V385" s="3934" t="n"/>
      <c r="W385" s="3934" t="n"/>
      <c r="X385" s="3934" t="n"/>
      <c r="Y385" s="3934" t="n"/>
      <c r="Z385" s="3934" t="n"/>
      <c r="AA385" s="3934" t="n"/>
      <c r="AB385" s="3934" t="n"/>
      <c r="AC385" s="3934" t="n"/>
      <c r="AD385" s="3934" t="n"/>
      <c r="AE385" s="3934" t="n"/>
      <c r="AF385" s="3934" t="n"/>
      <c r="AG385" s="3934" t="n"/>
      <c r="AH385" s="3934" t="n"/>
      <c r="AI385" s="3934" t="n"/>
      <c r="AJ385" s="3934" t="n"/>
      <c r="AK385" s="3934" t="n"/>
      <c r="AL385" s="3934" t="n"/>
      <c r="AM385" s="3934" t="n"/>
      <c r="AN385" s="3934" t="n"/>
      <c r="AO385" s="3934" t="n"/>
      <c r="AP385" s="3934" t="n"/>
      <c r="AQ385" s="3934" t="n"/>
      <c r="AR385" s="3934" t="n"/>
    </row>
    <row r="386">
      <c r="A386" s="3941" t="n"/>
      <c r="B386" s="3944" t="n"/>
      <c r="C386" s="3944" t="n"/>
      <c r="D386" s="3944" t="n"/>
      <c r="E386" s="3944" t="n"/>
      <c r="F386" s="3944" t="n"/>
      <c r="G386" s="3944" t="n"/>
      <c r="H386" s="3944" t="n"/>
      <c r="I386" s="3944" t="n"/>
      <c r="J386" s="3944" t="n"/>
      <c r="K386" s="3942">
        <f>IF(A386="","",SUM(E386:J386))</f>
        <v/>
      </c>
      <c r="L386" s="3934" t="n"/>
      <c r="M386" s="3934" t="n"/>
      <c r="N386" s="3934" t="n"/>
      <c r="O386" s="3934" t="n"/>
      <c r="P386" s="3934" t="n"/>
      <c r="Q386" s="3934" t="n"/>
      <c r="R386" s="3934" t="n"/>
      <c r="S386" s="3934" t="n"/>
      <c r="T386" s="3934" t="n"/>
      <c r="U386" s="3934" t="n"/>
      <c r="V386" s="3934" t="n"/>
      <c r="W386" s="3934" t="n"/>
      <c r="X386" s="3934" t="n"/>
      <c r="Y386" s="3934" t="n"/>
      <c r="Z386" s="3934" t="n"/>
      <c r="AA386" s="3934" t="n"/>
      <c r="AB386" s="3934" t="n"/>
      <c r="AC386" s="3934" t="n"/>
      <c r="AD386" s="3934" t="n"/>
      <c r="AE386" s="3934" t="n"/>
      <c r="AF386" s="3934" t="n"/>
      <c r="AG386" s="3934" t="n"/>
      <c r="AH386" s="3934" t="n"/>
      <c r="AI386" s="3934" t="n"/>
      <c r="AJ386" s="3934" t="n"/>
      <c r="AK386" s="3934" t="n"/>
      <c r="AL386" s="3934" t="n"/>
      <c r="AM386" s="3934" t="n"/>
      <c r="AN386" s="3934" t="n"/>
      <c r="AO386" s="3934" t="n"/>
      <c r="AP386" s="3934" t="n"/>
      <c r="AQ386" s="3934" t="n"/>
      <c r="AR386" s="3934" t="n"/>
    </row>
    <row r="387">
      <c r="A387" s="3941" t="n"/>
      <c r="B387" s="3944" t="n"/>
      <c r="C387" s="3944" t="n"/>
      <c r="D387" s="3944" t="n"/>
      <c r="E387" s="3944" t="n"/>
      <c r="F387" s="3944" t="n"/>
      <c r="G387" s="3944" t="n"/>
      <c r="H387" s="3944" t="n"/>
      <c r="I387" s="3944" t="n"/>
      <c r="J387" s="3944" t="n"/>
      <c r="K387" s="3942">
        <f>IF(A387="","",SUM(E387:J387))</f>
        <v/>
      </c>
      <c r="L387" s="3934" t="n"/>
      <c r="M387" s="3934" t="n"/>
      <c r="N387" s="3934" t="n"/>
      <c r="O387" s="3934" t="n"/>
      <c r="P387" s="3934" t="n"/>
      <c r="Q387" s="3934" t="n"/>
      <c r="R387" s="3934" t="n"/>
      <c r="S387" s="3934" t="n"/>
      <c r="T387" s="3934" t="n"/>
      <c r="U387" s="3934" t="n"/>
      <c r="V387" s="3934" t="n"/>
      <c r="W387" s="3934" t="n"/>
      <c r="X387" s="3934" t="n"/>
      <c r="Y387" s="3934" t="n"/>
      <c r="Z387" s="3934" t="n"/>
      <c r="AA387" s="3934" t="n"/>
      <c r="AB387" s="3934" t="n"/>
      <c r="AC387" s="3934" t="n"/>
      <c r="AD387" s="3934" t="n"/>
      <c r="AE387" s="3934" t="n"/>
      <c r="AF387" s="3934" t="n"/>
      <c r="AG387" s="3934" t="n"/>
      <c r="AH387" s="3934" t="n"/>
      <c r="AI387" s="3934" t="n"/>
      <c r="AJ387" s="3934" t="n"/>
      <c r="AK387" s="3934" t="n"/>
      <c r="AL387" s="3934" t="n"/>
      <c r="AM387" s="3934" t="n"/>
      <c r="AN387" s="3934" t="n"/>
      <c r="AO387" s="3934" t="n"/>
      <c r="AP387" s="3934" t="n"/>
      <c r="AQ387" s="3934" t="n"/>
      <c r="AR387" s="3934" t="n"/>
    </row>
    <row r="388">
      <c r="A388" s="3941" t="n"/>
      <c r="B388" s="3944" t="n"/>
      <c r="C388" s="3944" t="n"/>
      <c r="D388" s="3944" t="n"/>
      <c r="E388" s="3944" t="n"/>
      <c r="F388" s="3944" t="n"/>
      <c r="G388" s="3944" t="n"/>
      <c r="H388" s="3944" t="n"/>
      <c r="I388" s="3944" t="n"/>
      <c r="J388" s="3944" t="n"/>
      <c r="K388" s="3942">
        <f>IF(A388="","",SUM(E388:J388))</f>
        <v/>
      </c>
      <c r="L388" s="3934" t="n"/>
      <c r="M388" s="3934" t="n"/>
      <c r="N388" s="3934" t="n"/>
      <c r="O388" s="3934" t="n"/>
      <c r="P388" s="3934" t="n"/>
      <c r="Q388" s="3934" t="n"/>
      <c r="R388" s="3934" t="n"/>
      <c r="S388" s="3934" t="n"/>
      <c r="T388" s="3934" t="n"/>
      <c r="U388" s="3934" t="n"/>
      <c r="V388" s="3934" t="n"/>
      <c r="W388" s="3934" t="n"/>
      <c r="X388" s="3934" t="n"/>
      <c r="Y388" s="3934" t="n"/>
      <c r="Z388" s="3934" t="n"/>
      <c r="AA388" s="3934" t="n"/>
      <c r="AB388" s="3934" t="n"/>
      <c r="AC388" s="3934" t="n"/>
      <c r="AD388" s="3934" t="n"/>
      <c r="AE388" s="3934" t="n"/>
      <c r="AF388" s="3934" t="n"/>
      <c r="AG388" s="3934" t="n"/>
      <c r="AH388" s="3934" t="n"/>
      <c r="AI388" s="3934" t="n"/>
      <c r="AJ388" s="3934" t="n"/>
      <c r="AK388" s="3934" t="n"/>
      <c r="AL388" s="3934" t="n"/>
      <c r="AM388" s="3934" t="n"/>
      <c r="AN388" s="3934" t="n"/>
      <c r="AO388" s="3934" t="n"/>
      <c r="AP388" s="3934" t="n"/>
      <c r="AQ388" s="3934" t="n"/>
      <c r="AR388" s="3934" t="n"/>
    </row>
    <row r="389">
      <c r="A389" s="3941" t="n"/>
      <c r="B389" s="3944" t="n"/>
      <c r="C389" s="3944" t="n"/>
      <c r="D389" s="3944" t="n"/>
      <c r="E389" s="3944" t="n"/>
      <c r="F389" s="3944" t="n"/>
      <c r="G389" s="3944" t="n"/>
      <c r="H389" s="3944" t="n"/>
      <c r="I389" s="3944" t="n"/>
      <c r="J389" s="3944" t="n"/>
      <c r="K389" s="3942">
        <f>IF(A389="","",SUM(E389:J389))</f>
        <v/>
      </c>
      <c r="L389" s="3934" t="n"/>
      <c r="M389" s="3934" t="n"/>
      <c r="N389" s="3934" t="n"/>
      <c r="O389" s="3934" t="n"/>
      <c r="P389" s="3934" t="n"/>
      <c r="Q389" s="3934" t="n"/>
      <c r="R389" s="3934" t="n"/>
      <c r="S389" s="3934" t="n"/>
      <c r="T389" s="3934" t="n"/>
      <c r="U389" s="3934" t="n"/>
      <c r="V389" s="3934" t="n"/>
      <c r="W389" s="3934" t="n"/>
      <c r="X389" s="3934" t="n"/>
      <c r="Y389" s="3934" t="n"/>
      <c r="Z389" s="3934" t="n"/>
      <c r="AA389" s="3934" t="n"/>
      <c r="AB389" s="3934" t="n"/>
      <c r="AC389" s="3934" t="n"/>
      <c r="AD389" s="3934" t="n"/>
      <c r="AE389" s="3934" t="n"/>
      <c r="AF389" s="3934" t="n"/>
      <c r="AG389" s="3934" t="n"/>
      <c r="AH389" s="3934" t="n"/>
      <c r="AI389" s="3934" t="n"/>
      <c r="AJ389" s="3934" t="n"/>
      <c r="AK389" s="3934" t="n"/>
      <c r="AL389" s="3934" t="n"/>
      <c r="AM389" s="3934" t="n"/>
      <c r="AN389" s="3934" t="n"/>
      <c r="AO389" s="3934" t="n"/>
      <c r="AP389" s="3934" t="n"/>
      <c r="AQ389" s="3934" t="n"/>
      <c r="AR389" s="3934" t="n"/>
    </row>
    <row r="390">
      <c r="A390" s="3941" t="n"/>
      <c r="B390" s="3944" t="n"/>
      <c r="C390" s="3944" t="n"/>
      <c r="D390" s="3944" t="n"/>
      <c r="E390" s="3944" t="n"/>
      <c r="F390" s="3944" t="n"/>
      <c r="G390" s="3944" t="n"/>
      <c r="H390" s="3944" t="n"/>
      <c r="I390" s="3944" t="n"/>
      <c r="J390" s="3944" t="n"/>
      <c r="K390" s="3942">
        <f>IF(A390="","",SUM(E390:J390))</f>
        <v/>
      </c>
      <c r="L390" s="3934" t="n"/>
      <c r="M390" s="3934" t="n"/>
      <c r="N390" s="3934" t="n"/>
      <c r="O390" s="3934" t="n"/>
      <c r="P390" s="3934" t="n"/>
      <c r="Q390" s="3934" t="n"/>
      <c r="R390" s="3934" t="n"/>
      <c r="S390" s="3934" t="n"/>
      <c r="T390" s="3934" t="n"/>
      <c r="U390" s="3934" t="n"/>
      <c r="V390" s="3934" t="n"/>
      <c r="W390" s="3934" t="n"/>
      <c r="X390" s="3934" t="n"/>
      <c r="Y390" s="3934" t="n"/>
      <c r="Z390" s="3934" t="n"/>
      <c r="AA390" s="3934" t="n"/>
      <c r="AB390" s="3934" t="n"/>
      <c r="AC390" s="3934" t="n"/>
      <c r="AD390" s="3934" t="n"/>
      <c r="AE390" s="3934" t="n"/>
      <c r="AF390" s="3934" t="n"/>
      <c r="AG390" s="3934" t="n"/>
      <c r="AH390" s="3934" t="n"/>
      <c r="AI390" s="3934" t="n"/>
      <c r="AJ390" s="3934" t="n"/>
      <c r="AK390" s="3934" t="n"/>
      <c r="AL390" s="3934" t="n"/>
      <c r="AM390" s="3934" t="n"/>
      <c r="AN390" s="3934" t="n"/>
      <c r="AO390" s="3934" t="n"/>
      <c r="AP390" s="3934" t="n"/>
      <c r="AQ390" s="3934" t="n"/>
      <c r="AR390" s="3934" t="n"/>
    </row>
    <row r="391">
      <c r="A391" s="3941" t="n"/>
      <c r="B391" s="3944" t="n"/>
      <c r="C391" s="3944" t="n"/>
      <c r="D391" s="3944" t="n"/>
      <c r="E391" s="3944" t="n"/>
      <c r="F391" s="3944" t="n"/>
      <c r="G391" s="3944" t="n"/>
      <c r="H391" s="3944" t="n"/>
      <c r="I391" s="3944" t="n"/>
      <c r="J391" s="3944" t="n"/>
      <c r="K391" s="3942">
        <f>IF(A391="","",SUM(E391:J391))</f>
        <v/>
      </c>
      <c r="L391" s="3934" t="n"/>
      <c r="M391" s="3934" t="n"/>
      <c r="N391" s="3934" t="n"/>
      <c r="O391" s="3934" t="n"/>
      <c r="P391" s="3934" t="n"/>
      <c r="Q391" s="3934" t="n"/>
      <c r="R391" s="3934" t="n"/>
      <c r="S391" s="3934" t="n"/>
      <c r="T391" s="3934" t="n"/>
      <c r="U391" s="3934" t="n"/>
      <c r="V391" s="3934" t="n"/>
      <c r="W391" s="3934" t="n"/>
      <c r="X391" s="3934" t="n"/>
      <c r="Y391" s="3934" t="n"/>
      <c r="Z391" s="3934" t="n"/>
      <c r="AA391" s="3934" t="n"/>
      <c r="AB391" s="3934" t="n"/>
      <c r="AC391" s="3934" t="n"/>
      <c r="AD391" s="3934" t="n"/>
      <c r="AE391" s="3934" t="n"/>
      <c r="AF391" s="3934" t="n"/>
      <c r="AG391" s="3934" t="n"/>
      <c r="AH391" s="3934" t="n"/>
      <c r="AI391" s="3934" t="n"/>
      <c r="AJ391" s="3934" t="n"/>
      <c r="AK391" s="3934" t="n"/>
      <c r="AL391" s="3934" t="n"/>
      <c r="AM391" s="3934" t="n"/>
      <c r="AN391" s="3934" t="n"/>
      <c r="AO391" s="3934" t="n"/>
      <c r="AP391" s="3934" t="n"/>
      <c r="AQ391" s="3934" t="n"/>
      <c r="AR391" s="3934" t="n"/>
    </row>
    <row r="392">
      <c r="A392" s="3941" t="n"/>
      <c r="B392" s="3944" t="n"/>
      <c r="C392" s="3944" t="n"/>
      <c r="D392" s="3944" t="n"/>
      <c r="E392" s="3944" t="n"/>
      <c r="F392" s="3944" t="n"/>
      <c r="G392" s="3944" t="n"/>
      <c r="H392" s="3944" t="n"/>
      <c r="I392" s="3944" t="n"/>
      <c r="J392" s="3944" t="n"/>
      <c r="K392" s="3942">
        <f>IF(A392="","",SUM(E392:J392))</f>
        <v/>
      </c>
      <c r="L392" s="3934" t="n"/>
      <c r="M392" s="3934" t="n"/>
      <c r="N392" s="3934" t="n"/>
      <c r="O392" s="3934" t="n"/>
      <c r="P392" s="3934" t="n"/>
      <c r="Q392" s="3934" t="n"/>
      <c r="R392" s="3934" t="n"/>
      <c r="S392" s="3934" t="n"/>
      <c r="T392" s="3934" t="n"/>
      <c r="U392" s="3934" t="n"/>
      <c r="V392" s="3934" t="n"/>
      <c r="W392" s="3934" t="n"/>
      <c r="X392" s="3934" t="n"/>
      <c r="Y392" s="3934" t="n"/>
      <c r="Z392" s="3934" t="n"/>
      <c r="AA392" s="3934" t="n"/>
      <c r="AB392" s="3934" t="n"/>
      <c r="AC392" s="3934" t="n"/>
      <c r="AD392" s="3934" t="n"/>
      <c r="AE392" s="3934" t="n"/>
      <c r="AF392" s="3934" t="n"/>
      <c r="AG392" s="3934" t="n"/>
      <c r="AH392" s="3934" t="n"/>
      <c r="AI392" s="3934" t="n"/>
      <c r="AJ392" s="3934" t="n"/>
      <c r="AK392" s="3934" t="n"/>
      <c r="AL392" s="3934" t="n"/>
      <c r="AM392" s="3934" t="n"/>
      <c r="AN392" s="3934" t="n"/>
      <c r="AO392" s="3934" t="n"/>
      <c r="AP392" s="3934" t="n"/>
      <c r="AQ392" s="3934" t="n"/>
      <c r="AR392" s="3934" t="n"/>
    </row>
    <row r="393">
      <c r="A393" s="3941" t="n"/>
      <c r="B393" s="3944" t="n"/>
      <c r="C393" s="3944" t="n"/>
      <c r="D393" s="3944" t="n"/>
      <c r="E393" s="3944" t="n"/>
      <c r="F393" s="3944" t="n"/>
      <c r="G393" s="3944" t="n"/>
      <c r="H393" s="3944" t="n"/>
      <c r="I393" s="3944" t="n"/>
      <c r="J393" s="3944" t="n"/>
      <c r="K393" s="3942">
        <f>IF(A393="","",SUM(E393:J393))</f>
        <v/>
      </c>
      <c r="L393" s="3934" t="n"/>
      <c r="M393" s="3934" t="n"/>
      <c r="N393" s="3934" t="n"/>
      <c r="O393" s="3934" t="n"/>
      <c r="P393" s="3934" t="n"/>
      <c r="Q393" s="3934" t="n"/>
      <c r="R393" s="3934" t="n"/>
      <c r="S393" s="3934" t="n"/>
      <c r="T393" s="3934" t="n"/>
      <c r="U393" s="3934" t="n"/>
      <c r="V393" s="3934" t="n"/>
      <c r="W393" s="3934" t="n"/>
      <c r="X393" s="3934" t="n"/>
      <c r="Y393" s="3934" t="n"/>
      <c r="Z393" s="3934" t="n"/>
      <c r="AA393" s="3934" t="n"/>
      <c r="AB393" s="3934" t="n"/>
      <c r="AC393" s="3934" t="n"/>
      <c r="AD393" s="3934" t="n"/>
      <c r="AE393" s="3934" t="n"/>
      <c r="AF393" s="3934" t="n"/>
      <c r="AG393" s="3934" t="n"/>
      <c r="AH393" s="3934" t="n"/>
      <c r="AI393" s="3934" t="n"/>
      <c r="AJ393" s="3934" t="n"/>
      <c r="AK393" s="3934" t="n"/>
      <c r="AL393" s="3934" t="n"/>
      <c r="AM393" s="3934" t="n"/>
      <c r="AN393" s="3934" t="n"/>
      <c r="AO393" s="3934" t="n"/>
      <c r="AP393" s="3934" t="n"/>
      <c r="AQ393" s="3934" t="n"/>
      <c r="AR393" s="3934" t="n"/>
    </row>
    <row r="394">
      <c r="A394" s="3941" t="n"/>
      <c r="B394" s="3944" t="n"/>
      <c r="C394" s="3944" t="n"/>
      <c r="D394" s="3944" t="n"/>
      <c r="E394" s="3944" t="n"/>
      <c r="F394" s="3944" t="n"/>
      <c r="G394" s="3944" t="n"/>
      <c r="H394" s="3944" t="n"/>
      <c r="I394" s="3944" t="n"/>
      <c r="J394" s="3944" t="n"/>
      <c r="K394" s="3942">
        <f>IF(A394="","",SUM(E394:J394))</f>
        <v/>
      </c>
      <c r="L394" s="3934" t="n"/>
      <c r="M394" s="3934" t="n"/>
      <c r="N394" s="3934" t="n"/>
      <c r="O394" s="3934" t="n"/>
      <c r="P394" s="3934" t="n"/>
      <c r="Q394" s="3934" t="n"/>
      <c r="R394" s="3934" t="n"/>
      <c r="S394" s="3934" t="n"/>
      <c r="T394" s="3934" t="n"/>
      <c r="U394" s="3934" t="n"/>
      <c r="V394" s="3934" t="n"/>
      <c r="W394" s="3934" t="n"/>
      <c r="X394" s="3934" t="n"/>
      <c r="Y394" s="3934" t="n"/>
      <c r="Z394" s="3934" t="n"/>
      <c r="AA394" s="3934" t="n"/>
      <c r="AB394" s="3934" t="n"/>
      <c r="AC394" s="3934" t="n"/>
      <c r="AD394" s="3934" t="n"/>
      <c r="AE394" s="3934" t="n"/>
      <c r="AF394" s="3934" t="n"/>
      <c r="AG394" s="3934" t="n"/>
      <c r="AH394" s="3934" t="n"/>
      <c r="AI394" s="3934" t="n"/>
      <c r="AJ394" s="3934" t="n"/>
      <c r="AK394" s="3934" t="n"/>
      <c r="AL394" s="3934" t="n"/>
      <c r="AM394" s="3934" t="n"/>
      <c r="AN394" s="3934" t="n"/>
      <c r="AO394" s="3934" t="n"/>
      <c r="AP394" s="3934" t="n"/>
      <c r="AQ394" s="3934" t="n"/>
      <c r="AR394" s="3934" t="n"/>
    </row>
    <row r="395">
      <c r="A395" s="3941" t="n"/>
      <c r="B395" s="3944" t="n"/>
      <c r="C395" s="3944" t="n"/>
      <c r="D395" s="3944" t="n"/>
      <c r="E395" s="3944" t="n"/>
      <c r="F395" s="3944" t="n"/>
      <c r="G395" s="3944" t="n"/>
      <c r="H395" s="3944" t="n"/>
      <c r="I395" s="3944" t="n"/>
      <c r="J395" s="3944" t="n"/>
      <c r="K395" s="3942">
        <f>IF(A395="","",SUM(E395:J395))</f>
        <v/>
      </c>
      <c r="L395" s="3934" t="n"/>
      <c r="M395" s="3934" t="n"/>
      <c r="N395" s="3934" t="n"/>
      <c r="O395" s="3934" t="n"/>
      <c r="P395" s="3934" t="n"/>
      <c r="Q395" s="3934" t="n"/>
      <c r="R395" s="3934" t="n"/>
      <c r="S395" s="3934" t="n"/>
      <c r="T395" s="3934" t="n"/>
      <c r="U395" s="3934" t="n"/>
      <c r="V395" s="3934" t="n"/>
      <c r="W395" s="3934" t="n"/>
      <c r="X395" s="3934" t="n"/>
      <c r="Y395" s="3934" t="n"/>
      <c r="Z395" s="3934" t="n"/>
      <c r="AA395" s="3934" t="n"/>
      <c r="AB395" s="3934" t="n"/>
      <c r="AC395" s="3934" t="n"/>
      <c r="AD395" s="3934" t="n"/>
      <c r="AE395" s="3934" t="n"/>
      <c r="AF395" s="3934" t="n"/>
      <c r="AG395" s="3934" t="n"/>
      <c r="AH395" s="3934" t="n"/>
      <c r="AI395" s="3934" t="n"/>
      <c r="AJ395" s="3934" t="n"/>
      <c r="AK395" s="3934" t="n"/>
      <c r="AL395" s="3934" t="n"/>
      <c r="AM395" s="3934" t="n"/>
      <c r="AN395" s="3934" t="n"/>
      <c r="AO395" s="3934" t="n"/>
      <c r="AP395" s="3934" t="n"/>
      <c r="AQ395" s="3934" t="n"/>
      <c r="AR395" s="3934" t="n"/>
    </row>
    <row r="396">
      <c r="A396" s="3941" t="n"/>
      <c r="B396" s="3944" t="n"/>
      <c r="C396" s="3944" t="n"/>
      <c r="D396" s="3944" t="n"/>
      <c r="E396" s="3944" t="n"/>
      <c r="F396" s="3944" t="n"/>
      <c r="G396" s="3944" t="n"/>
      <c r="H396" s="3944" t="n"/>
      <c r="I396" s="3944" t="n"/>
      <c r="J396" s="3944" t="n"/>
      <c r="K396" s="3942">
        <f>IF(A396="","",SUM(E396:J396))</f>
        <v/>
      </c>
      <c r="L396" s="3934" t="n"/>
      <c r="M396" s="3934" t="n"/>
      <c r="N396" s="3934" t="n"/>
      <c r="O396" s="3934" t="n"/>
      <c r="P396" s="3934" t="n"/>
      <c r="Q396" s="3934" t="n"/>
      <c r="R396" s="3934" t="n"/>
      <c r="S396" s="3934" t="n"/>
      <c r="T396" s="3934" t="n"/>
      <c r="U396" s="3934" t="n"/>
      <c r="V396" s="3934" t="n"/>
      <c r="W396" s="3934" t="n"/>
      <c r="X396" s="3934" t="n"/>
      <c r="Y396" s="3934" t="n"/>
      <c r="Z396" s="3934" t="n"/>
      <c r="AA396" s="3934" t="n"/>
      <c r="AB396" s="3934" t="n"/>
      <c r="AC396" s="3934" t="n"/>
      <c r="AD396" s="3934" t="n"/>
      <c r="AE396" s="3934" t="n"/>
      <c r="AF396" s="3934" t="n"/>
      <c r="AG396" s="3934" t="n"/>
      <c r="AH396" s="3934" t="n"/>
      <c r="AI396" s="3934" t="n"/>
      <c r="AJ396" s="3934" t="n"/>
      <c r="AK396" s="3934" t="n"/>
      <c r="AL396" s="3934" t="n"/>
      <c r="AM396" s="3934" t="n"/>
      <c r="AN396" s="3934" t="n"/>
      <c r="AO396" s="3934" t="n"/>
      <c r="AP396" s="3934" t="n"/>
      <c r="AQ396" s="3934" t="n"/>
      <c r="AR396" s="3934" t="n"/>
    </row>
    <row r="397">
      <c r="A397" s="3941" t="n"/>
      <c r="B397" s="3944" t="n"/>
      <c r="C397" s="3944" t="n"/>
      <c r="D397" s="3944" t="n"/>
      <c r="E397" s="3944" t="n"/>
      <c r="F397" s="3944" t="n"/>
      <c r="G397" s="3944" t="n"/>
      <c r="H397" s="3944" t="n"/>
      <c r="I397" s="3944" t="n"/>
      <c r="J397" s="3944" t="n"/>
      <c r="K397" s="3942">
        <f>IF(A397="","",SUM(E397:J397))</f>
        <v/>
      </c>
      <c r="L397" s="3934" t="n"/>
      <c r="M397" s="3934" t="n"/>
      <c r="N397" s="3934" t="n"/>
      <c r="O397" s="3934" t="n"/>
      <c r="P397" s="3934" t="n"/>
      <c r="Q397" s="3934" t="n"/>
      <c r="R397" s="3934" t="n"/>
      <c r="S397" s="3934" t="n"/>
      <c r="T397" s="3934" t="n"/>
      <c r="U397" s="3934" t="n"/>
      <c r="V397" s="3934" t="n"/>
      <c r="W397" s="3934" t="n"/>
      <c r="X397" s="3934" t="n"/>
      <c r="Y397" s="3934" t="n"/>
      <c r="Z397" s="3934" t="n"/>
      <c r="AA397" s="3934" t="n"/>
      <c r="AB397" s="3934" t="n"/>
      <c r="AC397" s="3934" t="n"/>
      <c r="AD397" s="3934" t="n"/>
      <c r="AE397" s="3934" t="n"/>
      <c r="AF397" s="3934" t="n"/>
      <c r="AG397" s="3934" t="n"/>
      <c r="AH397" s="3934" t="n"/>
      <c r="AI397" s="3934" t="n"/>
      <c r="AJ397" s="3934" t="n"/>
      <c r="AK397" s="3934" t="n"/>
      <c r="AL397" s="3934" t="n"/>
      <c r="AM397" s="3934" t="n"/>
      <c r="AN397" s="3934" t="n"/>
      <c r="AO397" s="3934" t="n"/>
      <c r="AP397" s="3934" t="n"/>
      <c r="AQ397" s="3934" t="n"/>
      <c r="AR397" s="3934" t="n"/>
    </row>
    <row r="398">
      <c r="A398" s="3941" t="n"/>
      <c r="B398" s="3944" t="n"/>
      <c r="C398" s="3944" t="n"/>
      <c r="D398" s="3944" t="n"/>
      <c r="E398" s="3944" t="n"/>
      <c r="F398" s="3944" t="n"/>
      <c r="G398" s="3944" t="n"/>
      <c r="H398" s="3944" t="n"/>
      <c r="I398" s="3944" t="n"/>
      <c r="J398" s="3944" t="n"/>
      <c r="K398" s="3942">
        <f>IF(A398="","",SUM(E398:J398))</f>
        <v/>
      </c>
      <c r="L398" s="3934" t="n"/>
      <c r="M398" s="3934" t="n"/>
      <c r="N398" s="3934" t="n"/>
      <c r="O398" s="3934" t="n"/>
      <c r="P398" s="3934" t="n"/>
      <c r="Q398" s="3934" t="n"/>
      <c r="R398" s="3934" t="n"/>
      <c r="S398" s="3934" t="n"/>
      <c r="T398" s="3934" t="n"/>
      <c r="U398" s="3934" t="n"/>
      <c r="V398" s="3934" t="n"/>
      <c r="W398" s="3934" t="n"/>
      <c r="X398" s="3934" t="n"/>
      <c r="Y398" s="3934" t="n"/>
      <c r="Z398" s="3934" t="n"/>
      <c r="AA398" s="3934" t="n"/>
      <c r="AB398" s="3934" t="n"/>
      <c r="AC398" s="3934" t="n"/>
      <c r="AD398" s="3934" t="n"/>
      <c r="AE398" s="3934" t="n"/>
      <c r="AF398" s="3934" t="n"/>
      <c r="AG398" s="3934" t="n"/>
      <c r="AH398" s="3934" t="n"/>
      <c r="AI398" s="3934" t="n"/>
      <c r="AJ398" s="3934" t="n"/>
      <c r="AK398" s="3934" t="n"/>
      <c r="AL398" s="3934" t="n"/>
      <c r="AM398" s="3934" t="n"/>
      <c r="AN398" s="3934" t="n"/>
      <c r="AO398" s="3934" t="n"/>
      <c r="AP398" s="3934" t="n"/>
      <c r="AQ398" s="3934" t="n"/>
      <c r="AR398" s="3934" t="n"/>
    </row>
    <row r="399">
      <c r="A399" s="3941" t="n"/>
      <c r="B399" s="3944" t="n"/>
      <c r="C399" s="3944" t="n"/>
      <c r="D399" s="3944" t="n"/>
      <c r="E399" s="3944" t="n"/>
      <c r="F399" s="3944" t="n"/>
      <c r="G399" s="3944" t="n"/>
      <c r="H399" s="3944" t="n"/>
      <c r="I399" s="3944" t="n"/>
      <c r="J399" s="3944" t="n"/>
      <c r="K399" s="3942">
        <f>IF(A399="","",SUM(E399:J399))</f>
        <v/>
      </c>
      <c r="L399" s="3934" t="n"/>
      <c r="M399" s="3934" t="n"/>
      <c r="N399" s="3934" t="n"/>
      <c r="O399" s="3934" t="n"/>
      <c r="P399" s="3934" t="n"/>
      <c r="Q399" s="3934" t="n"/>
      <c r="R399" s="3934" t="n"/>
      <c r="S399" s="3934" t="n"/>
      <c r="T399" s="3934" t="n"/>
      <c r="U399" s="3934" t="n"/>
      <c r="V399" s="3934" t="n"/>
      <c r="W399" s="3934" t="n"/>
      <c r="X399" s="3934" t="n"/>
      <c r="Y399" s="3934" t="n"/>
      <c r="Z399" s="3934" t="n"/>
      <c r="AA399" s="3934" t="n"/>
      <c r="AB399" s="3934" t="n"/>
      <c r="AC399" s="3934" t="n"/>
      <c r="AD399" s="3934" t="n"/>
      <c r="AE399" s="3934" t="n"/>
      <c r="AF399" s="3934" t="n"/>
      <c r="AG399" s="3934" t="n"/>
      <c r="AH399" s="3934" t="n"/>
      <c r="AI399" s="3934" t="n"/>
      <c r="AJ399" s="3934" t="n"/>
      <c r="AK399" s="3934" t="n"/>
      <c r="AL399" s="3934" t="n"/>
      <c r="AM399" s="3934" t="n"/>
      <c r="AN399" s="3934" t="n"/>
      <c r="AO399" s="3934" t="n"/>
      <c r="AP399" s="3934" t="n"/>
      <c r="AQ399" s="3934" t="n"/>
      <c r="AR399" s="3934" t="n"/>
    </row>
    <row r="400">
      <c r="A400" s="3941" t="n"/>
      <c r="B400" s="3944" t="n"/>
      <c r="C400" s="3944" t="n"/>
      <c r="D400" s="3944" t="n"/>
      <c r="E400" s="3944" t="n"/>
      <c r="F400" s="3944" t="n"/>
      <c r="G400" s="3944" t="n"/>
      <c r="H400" s="3944" t="n"/>
      <c r="I400" s="3944" t="n"/>
      <c r="J400" s="3944" t="n"/>
      <c r="K400" s="3942">
        <f>IF(A400="","",SUM(E400:J400))</f>
        <v/>
      </c>
      <c r="L400" s="3934" t="n"/>
      <c r="M400" s="3934" t="n"/>
      <c r="N400" s="3934" t="n"/>
      <c r="O400" s="3934" t="n"/>
      <c r="P400" s="3934" t="n"/>
      <c r="Q400" s="3934" t="n"/>
      <c r="R400" s="3934" t="n"/>
      <c r="S400" s="3934" t="n"/>
      <c r="T400" s="3934" t="n"/>
      <c r="U400" s="3934" t="n"/>
      <c r="V400" s="3934" t="n"/>
      <c r="W400" s="3934" t="n"/>
      <c r="X400" s="3934" t="n"/>
      <c r="Y400" s="3934" t="n"/>
      <c r="Z400" s="3934" t="n"/>
      <c r="AA400" s="3934" t="n"/>
      <c r="AB400" s="3934" t="n"/>
      <c r="AC400" s="3934" t="n"/>
      <c r="AD400" s="3934" t="n"/>
      <c r="AE400" s="3934" t="n"/>
      <c r="AF400" s="3934" t="n"/>
      <c r="AG400" s="3934" t="n"/>
      <c r="AH400" s="3934" t="n"/>
      <c r="AI400" s="3934" t="n"/>
      <c r="AJ400" s="3934" t="n"/>
      <c r="AK400" s="3934" t="n"/>
      <c r="AL400" s="3934" t="n"/>
      <c r="AM400" s="3934" t="n"/>
      <c r="AN400" s="3934" t="n"/>
      <c r="AO400" s="3934" t="n"/>
      <c r="AP400" s="3934" t="n"/>
      <c r="AQ400" s="3934" t="n"/>
      <c r="AR400" s="3934" t="n"/>
    </row>
    <row r="401">
      <c r="A401" s="3941" t="n"/>
      <c r="B401" s="3944" t="n"/>
      <c r="C401" s="3944" t="n"/>
      <c r="D401" s="3944" t="n"/>
      <c r="E401" s="3944" t="n"/>
      <c r="F401" s="3944" t="n"/>
      <c r="G401" s="3944" t="n"/>
      <c r="H401" s="3944" t="n"/>
      <c r="I401" s="3944" t="n"/>
      <c r="J401" s="3944" t="n"/>
      <c r="K401" s="3942">
        <f>IF(A401="","",SUM(E401:J401))</f>
        <v/>
      </c>
      <c r="L401" s="3934" t="n"/>
      <c r="M401" s="3934" t="n"/>
      <c r="N401" s="3934" t="n"/>
      <c r="O401" s="3934" t="n"/>
      <c r="P401" s="3934" t="n"/>
      <c r="Q401" s="3934" t="n"/>
      <c r="R401" s="3934" t="n"/>
      <c r="S401" s="3934" t="n"/>
      <c r="T401" s="3934" t="n"/>
      <c r="U401" s="3934" t="n"/>
      <c r="V401" s="3934" t="n"/>
      <c r="W401" s="3934" t="n"/>
      <c r="X401" s="3934" t="n"/>
      <c r="Y401" s="3934" t="n"/>
      <c r="Z401" s="3934" t="n"/>
      <c r="AA401" s="3934" t="n"/>
      <c r="AB401" s="3934" t="n"/>
      <c r="AC401" s="3934" t="n"/>
      <c r="AD401" s="3934" t="n"/>
      <c r="AE401" s="3934" t="n"/>
      <c r="AF401" s="3934" t="n"/>
      <c r="AG401" s="3934" t="n"/>
      <c r="AH401" s="3934" t="n"/>
      <c r="AI401" s="3934" t="n"/>
      <c r="AJ401" s="3934" t="n"/>
      <c r="AK401" s="3934" t="n"/>
      <c r="AL401" s="3934" t="n"/>
      <c r="AM401" s="3934" t="n"/>
      <c r="AN401" s="3934" t="n"/>
      <c r="AO401" s="3934" t="n"/>
      <c r="AP401" s="3934" t="n"/>
      <c r="AQ401" s="3934" t="n"/>
      <c r="AR401" s="3934" t="n"/>
    </row>
    <row r="402">
      <c r="A402" s="3941" t="n"/>
      <c r="B402" s="3944" t="n"/>
      <c r="C402" s="3944" t="n"/>
      <c r="D402" s="3944" t="n"/>
      <c r="E402" s="3944" t="n"/>
      <c r="F402" s="3944" t="n"/>
      <c r="G402" s="3944" t="n"/>
      <c r="H402" s="3944" t="n"/>
      <c r="I402" s="3944" t="n"/>
      <c r="J402" s="3944" t="n"/>
      <c r="K402" s="3942">
        <f>IF(A402="","",SUM(E402:J402))</f>
        <v/>
      </c>
      <c r="L402" s="3934" t="n"/>
      <c r="M402" s="3934" t="n"/>
      <c r="N402" s="3934" t="n"/>
      <c r="O402" s="3934" t="n"/>
      <c r="P402" s="3934" t="n"/>
      <c r="Q402" s="3934" t="n"/>
      <c r="R402" s="3934" t="n"/>
      <c r="S402" s="3934" t="n"/>
      <c r="T402" s="3934" t="n"/>
      <c r="U402" s="3934" t="n"/>
      <c r="V402" s="3934" t="n"/>
      <c r="W402" s="3934" t="n"/>
      <c r="X402" s="3934" t="n"/>
      <c r="Y402" s="3934" t="n"/>
      <c r="Z402" s="3934" t="n"/>
      <c r="AA402" s="3934" t="n"/>
      <c r="AB402" s="3934" t="n"/>
      <c r="AC402" s="3934" t="n"/>
      <c r="AD402" s="3934" t="n"/>
      <c r="AE402" s="3934" t="n"/>
      <c r="AF402" s="3934" t="n"/>
      <c r="AG402" s="3934" t="n"/>
      <c r="AH402" s="3934" t="n"/>
      <c r="AI402" s="3934" t="n"/>
      <c r="AJ402" s="3934" t="n"/>
      <c r="AK402" s="3934" t="n"/>
      <c r="AL402" s="3934" t="n"/>
      <c r="AM402" s="3934" t="n"/>
      <c r="AN402" s="3934" t="n"/>
      <c r="AO402" s="3934" t="n"/>
      <c r="AP402" s="3934" t="n"/>
      <c r="AQ402" s="3934" t="n"/>
      <c r="AR402" s="3934" t="n"/>
    </row>
    <row r="403">
      <c r="A403" s="3941" t="n"/>
      <c r="B403" s="3944" t="n"/>
      <c r="C403" s="3944" t="n"/>
      <c r="D403" s="3944" t="n"/>
      <c r="E403" s="3944" t="n"/>
      <c r="F403" s="3944" t="n"/>
      <c r="G403" s="3944" t="n"/>
      <c r="H403" s="3944" t="n"/>
      <c r="I403" s="3944" t="n"/>
      <c r="J403" s="3944" t="n"/>
      <c r="K403" s="3942">
        <f>IF(A403="","",SUM(E403:J403))</f>
        <v/>
      </c>
      <c r="L403" s="3934" t="n"/>
      <c r="M403" s="3934" t="n"/>
      <c r="N403" s="3934" t="n"/>
      <c r="O403" s="3934" t="n"/>
      <c r="P403" s="3934" t="n"/>
      <c r="Q403" s="3934" t="n"/>
      <c r="R403" s="3934" t="n"/>
      <c r="S403" s="3934" t="n"/>
      <c r="T403" s="3934" t="n"/>
      <c r="U403" s="3934" t="n"/>
      <c r="V403" s="3934" t="n"/>
      <c r="W403" s="3934" t="n"/>
      <c r="X403" s="3934" t="n"/>
      <c r="Y403" s="3934" t="n"/>
      <c r="Z403" s="3934" t="n"/>
      <c r="AA403" s="3934" t="n"/>
      <c r="AB403" s="3934" t="n"/>
      <c r="AC403" s="3934" t="n"/>
      <c r="AD403" s="3934" t="n"/>
      <c r="AE403" s="3934" t="n"/>
      <c r="AF403" s="3934" t="n"/>
      <c r="AG403" s="3934" t="n"/>
      <c r="AH403" s="3934" t="n"/>
      <c r="AI403" s="3934" t="n"/>
      <c r="AJ403" s="3934" t="n"/>
      <c r="AK403" s="3934" t="n"/>
      <c r="AL403" s="3934" t="n"/>
      <c r="AM403" s="3934" t="n"/>
      <c r="AN403" s="3934" t="n"/>
      <c r="AO403" s="3934" t="n"/>
      <c r="AP403" s="3934" t="n"/>
      <c r="AQ403" s="3934" t="n"/>
      <c r="AR403" s="3934" t="n"/>
    </row>
    <row r="404">
      <c r="A404" s="3941" t="n"/>
      <c r="B404" s="3944" t="n"/>
      <c r="C404" s="3944" t="n"/>
      <c r="D404" s="3944" t="n"/>
      <c r="E404" s="3944" t="n"/>
      <c r="F404" s="3944" t="n"/>
      <c r="G404" s="3944" t="n"/>
      <c r="H404" s="3944" t="n"/>
      <c r="I404" s="3944" t="n"/>
      <c r="J404" s="3944" t="n"/>
      <c r="K404" s="3942">
        <f>IF(A404="","",SUM(E404:J404))</f>
        <v/>
      </c>
      <c r="L404" s="3934" t="n"/>
      <c r="M404" s="3934" t="n"/>
      <c r="N404" s="3934" t="n"/>
      <c r="O404" s="3934" t="n"/>
      <c r="P404" s="3934" t="n"/>
      <c r="Q404" s="3934" t="n"/>
      <c r="R404" s="3934" t="n"/>
      <c r="S404" s="3934" t="n"/>
      <c r="T404" s="3934" t="n"/>
      <c r="U404" s="3934" t="n"/>
      <c r="V404" s="3934" t="n"/>
      <c r="W404" s="3934" t="n"/>
      <c r="X404" s="3934" t="n"/>
      <c r="Y404" s="3934" t="n"/>
      <c r="Z404" s="3934" t="n"/>
      <c r="AA404" s="3934" t="n"/>
      <c r="AB404" s="3934" t="n"/>
      <c r="AC404" s="3934" t="n"/>
      <c r="AD404" s="3934" t="n"/>
      <c r="AE404" s="3934" t="n"/>
      <c r="AF404" s="3934" t="n"/>
      <c r="AG404" s="3934" t="n"/>
      <c r="AH404" s="3934" t="n"/>
      <c r="AI404" s="3934" t="n"/>
      <c r="AJ404" s="3934" t="n"/>
      <c r="AK404" s="3934" t="n"/>
      <c r="AL404" s="3934" t="n"/>
      <c r="AM404" s="3934" t="n"/>
      <c r="AN404" s="3934" t="n"/>
      <c r="AO404" s="3934" t="n"/>
      <c r="AP404" s="3934" t="n"/>
      <c r="AQ404" s="3934" t="n"/>
      <c r="AR404" s="3934" t="n"/>
    </row>
    <row r="405">
      <c r="A405" s="3941" t="n"/>
      <c r="B405" s="3944" t="n"/>
      <c r="C405" s="3944" t="n"/>
      <c r="D405" s="3944" t="n"/>
      <c r="E405" s="3944" t="n"/>
      <c r="F405" s="3944" t="n"/>
      <c r="G405" s="3944" t="n"/>
      <c r="H405" s="3944" t="n"/>
      <c r="I405" s="3944" t="n"/>
      <c r="J405" s="3944" t="n"/>
      <c r="K405" s="3942">
        <f>IF(A405="","",SUM(E405:J405))</f>
        <v/>
      </c>
      <c r="L405" s="3934" t="n"/>
      <c r="M405" s="3934" t="n"/>
      <c r="N405" s="3934" t="n"/>
      <c r="O405" s="3934" t="n"/>
      <c r="P405" s="3934" t="n"/>
      <c r="Q405" s="3934" t="n"/>
      <c r="R405" s="3934" t="n"/>
      <c r="S405" s="3934" t="n"/>
      <c r="T405" s="3934" t="n"/>
      <c r="U405" s="3934" t="n"/>
      <c r="V405" s="3934" t="n"/>
      <c r="W405" s="3934" t="n"/>
      <c r="X405" s="3934" t="n"/>
      <c r="Y405" s="3934" t="n"/>
      <c r="Z405" s="3934" t="n"/>
      <c r="AA405" s="3934" t="n"/>
      <c r="AB405" s="3934" t="n"/>
      <c r="AC405" s="3934" t="n"/>
      <c r="AD405" s="3934" t="n"/>
      <c r="AE405" s="3934" t="n"/>
      <c r="AF405" s="3934" t="n"/>
      <c r="AG405" s="3934" t="n"/>
      <c r="AH405" s="3934" t="n"/>
      <c r="AI405" s="3934" t="n"/>
      <c r="AJ405" s="3934" t="n"/>
      <c r="AK405" s="3934" t="n"/>
      <c r="AL405" s="3934" t="n"/>
      <c r="AM405" s="3934" t="n"/>
      <c r="AN405" s="3934" t="n"/>
      <c r="AO405" s="3934" t="n"/>
      <c r="AP405" s="3934" t="n"/>
      <c r="AQ405" s="3934" t="n"/>
      <c r="AR405" s="3934" t="n"/>
    </row>
    <row r="406">
      <c r="A406" s="3941" t="n"/>
      <c r="B406" s="3944" t="n"/>
      <c r="C406" s="3944" t="n"/>
      <c r="D406" s="3944" t="n"/>
      <c r="E406" s="3944" t="n"/>
      <c r="F406" s="3944" t="n"/>
      <c r="G406" s="3944" t="n"/>
      <c r="H406" s="3944" t="n"/>
      <c r="I406" s="3944" t="n"/>
      <c r="J406" s="3944" t="n"/>
      <c r="K406" s="3942">
        <f>IF(A406="","",SUM(E406:J406))</f>
        <v/>
      </c>
      <c r="L406" s="3934" t="n"/>
      <c r="M406" s="3934" t="n"/>
      <c r="N406" s="3934" t="n"/>
      <c r="O406" s="3934" t="n"/>
      <c r="P406" s="3934" t="n"/>
      <c r="Q406" s="3934" t="n"/>
      <c r="R406" s="3934" t="n"/>
      <c r="S406" s="3934" t="n"/>
      <c r="T406" s="3934" t="n"/>
      <c r="U406" s="3934" t="n"/>
      <c r="V406" s="3934" t="n"/>
      <c r="W406" s="3934" t="n"/>
      <c r="X406" s="3934" t="n"/>
      <c r="Y406" s="3934" t="n"/>
      <c r="Z406" s="3934" t="n"/>
      <c r="AA406" s="3934" t="n"/>
      <c r="AB406" s="3934" t="n"/>
      <c r="AC406" s="3934" t="n"/>
      <c r="AD406" s="3934" t="n"/>
      <c r="AE406" s="3934" t="n"/>
      <c r="AF406" s="3934" t="n"/>
      <c r="AG406" s="3934" t="n"/>
      <c r="AH406" s="3934" t="n"/>
      <c r="AI406" s="3934" t="n"/>
      <c r="AJ406" s="3934" t="n"/>
      <c r="AK406" s="3934" t="n"/>
      <c r="AL406" s="3934" t="n"/>
      <c r="AM406" s="3934" t="n"/>
      <c r="AN406" s="3934" t="n"/>
      <c r="AO406" s="3934" t="n"/>
      <c r="AP406" s="3934" t="n"/>
      <c r="AQ406" s="3934" t="n"/>
      <c r="AR406" s="3934" t="n"/>
    </row>
    <row r="407">
      <c r="A407" s="3941" t="n"/>
      <c r="B407" s="3944" t="n"/>
      <c r="C407" s="3944" t="n"/>
      <c r="D407" s="3944" t="n"/>
      <c r="E407" s="3944" t="n"/>
      <c r="F407" s="3944" t="n"/>
      <c r="G407" s="3944" t="n"/>
      <c r="H407" s="3944" t="n"/>
      <c r="I407" s="3944" t="n"/>
      <c r="J407" s="3944" t="n"/>
      <c r="K407" s="3942">
        <f>IF(A407="","",SUM(E407:J407))</f>
        <v/>
      </c>
      <c r="L407" s="3934" t="n"/>
      <c r="M407" s="3934" t="n"/>
      <c r="N407" s="3934" t="n"/>
      <c r="O407" s="3934" t="n"/>
      <c r="P407" s="3934" t="n"/>
      <c r="Q407" s="3934" t="n"/>
      <c r="R407" s="3934" t="n"/>
      <c r="S407" s="3934" t="n"/>
      <c r="T407" s="3934" t="n"/>
      <c r="U407" s="3934" t="n"/>
      <c r="V407" s="3934" t="n"/>
      <c r="W407" s="3934" t="n"/>
      <c r="X407" s="3934" t="n"/>
      <c r="Y407" s="3934" t="n"/>
      <c r="Z407" s="3934" t="n"/>
      <c r="AA407" s="3934" t="n"/>
      <c r="AB407" s="3934" t="n"/>
      <c r="AC407" s="3934" t="n"/>
      <c r="AD407" s="3934" t="n"/>
      <c r="AE407" s="3934" t="n"/>
      <c r="AF407" s="3934" t="n"/>
      <c r="AG407" s="3934" t="n"/>
      <c r="AH407" s="3934" t="n"/>
      <c r="AI407" s="3934" t="n"/>
      <c r="AJ407" s="3934" t="n"/>
      <c r="AK407" s="3934" t="n"/>
      <c r="AL407" s="3934" t="n"/>
      <c r="AM407" s="3934" t="n"/>
      <c r="AN407" s="3934" t="n"/>
      <c r="AO407" s="3934" t="n"/>
      <c r="AP407" s="3934" t="n"/>
      <c r="AQ407" s="3934" t="n"/>
      <c r="AR407" s="3934" t="n"/>
    </row>
    <row r="408">
      <c r="A408" s="3941" t="n"/>
      <c r="B408" s="3944" t="n"/>
      <c r="C408" s="3944" t="n"/>
      <c r="D408" s="3944" t="n"/>
      <c r="E408" s="3944" t="n"/>
      <c r="F408" s="3944" t="n"/>
      <c r="G408" s="3944" t="n"/>
      <c r="H408" s="3944" t="n"/>
      <c r="I408" s="3944" t="n"/>
      <c r="J408" s="3944" t="n"/>
      <c r="K408" s="3942">
        <f>IF(A408="","",SUM(E408:J408))</f>
        <v/>
      </c>
      <c r="L408" s="3934" t="n"/>
      <c r="M408" s="3934" t="n"/>
      <c r="N408" s="3934" t="n"/>
      <c r="O408" s="3934" t="n"/>
      <c r="P408" s="3934" t="n"/>
      <c r="Q408" s="3934" t="n"/>
      <c r="R408" s="3934" t="n"/>
      <c r="S408" s="3934" t="n"/>
      <c r="T408" s="3934" t="n"/>
      <c r="U408" s="3934" t="n"/>
      <c r="V408" s="3934" t="n"/>
      <c r="W408" s="3934" t="n"/>
      <c r="X408" s="3934" t="n"/>
      <c r="Y408" s="3934" t="n"/>
      <c r="Z408" s="3934" t="n"/>
      <c r="AA408" s="3934" t="n"/>
      <c r="AB408" s="3934" t="n"/>
      <c r="AC408" s="3934" t="n"/>
      <c r="AD408" s="3934" t="n"/>
      <c r="AE408" s="3934" t="n"/>
      <c r="AF408" s="3934" t="n"/>
      <c r="AG408" s="3934" t="n"/>
      <c r="AH408" s="3934" t="n"/>
      <c r="AI408" s="3934" t="n"/>
      <c r="AJ408" s="3934" t="n"/>
      <c r="AK408" s="3934" t="n"/>
      <c r="AL408" s="3934" t="n"/>
      <c r="AM408" s="3934" t="n"/>
      <c r="AN408" s="3934" t="n"/>
      <c r="AO408" s="3934" t="n"/>
      <c r="AP408" s="3934" t="n"/>
      <c r="AQ408" s="3934" t="n"/>
      <c r="AR408" s="3934" t="n"/>
    </row>
    <row r="409">
      <c r="A409" s="3941" t="n"/>
      <c r="B409" s="3944" t="n"/>
      <c r="C409" s="3944" t="n"/>
      <c r="D409" s="3944" t="n"/>
      <c r="E409" s="3944" t="n"/>
      <c r="F409" s="3944" t="n"/>
      <c r="G409" s="3944" t="n"/>
      <c r="H409" s="3944" t="n"/>
      <c r="I409" s="3944" t="n"/>
      <c r="J409" s="3944" t="n"/>
      <c r="K409" s="3942">
        <f>IF(A409="","",SUM(E409:J409))</f>
        <v/>
      </c>
      <c r="L409" s="3934" t="n"/>
      <c r="M409" s="3934" t="n"/>
      <c r="N409" s="3934" t="n"/>
      <c r="O409" s="3934" t="n"/>
      <c r="P409" s="3934" t="n"/>
      <c r="Q409" s="3934" t="n"/>
      <c r="R409" s="3934" t="n"/>
      <c r="S409" s="3934" t="n"/>
      <c r="T409" s="3934" t="n"/>
      <c r="U409" s="3934" t="n"/>
      <c r="V409" s="3934" t="n"/>
      <c r="W409" s="3934" t="n"/>
      <c r="X409" s="3934" t="n"/>
      <c r="Y409" s="3934" t="n"/>
      <c r="Z409" s="3934" t="n"/>
      <c r="AA409" s="3934" t="n"/>
      <c r="AB409" s="3934" t="n"/>
      <c r="AC409" s="3934" t="n"/>
      <c r="AD409" s="3934" t="n"/>
      <c r="AE409" s="3934" t="n"/>
      <c r="AF409" s="3934" t="n"/>
      <c r="AG409" s="3934" t="n"/>
      <c r="AH409" s="3934" t="n"/>
      <c r="AI409" s="3934" t="n"/>
      <c r="AJ409" s="3934" t="n"/>
      <c r="AK409" s="3934" t="n"/>
      <c r="AL409" s="3934" t="n"/>
      <c r="AM409" s="3934" t="n"/>
      <c r="AN409" s="3934" t="n"/>
      <c r="AO409" s="3934" t="n"/>
      <c r="AP409" s="3934" t="n"/>
      <c r="AQ409" s="3934" t="n"/>
      <c r="AR409" s="3934" t="n"/>
    </row>
    <row r="410">
      <c r="A410" s="3941" t="n"/>
      <c r="B410" s="3944" t="n"/>
      <c r="C410" s="3944" t="n"/>
      <c r="D410" s="3944" t="n"/>
      <c r="E410" s="3944" t="n"/>
      <c r="F410" s="3944" t="n"/>
      <c r="G410" s="3944" t="n"/>
      <c r="H410" s="3944" t="n"/>
      <c r="I410" s="3944" t="n"/>
      <c r="J410" s="3944" t="n"/>
      <c r="K410" s="3942">
        <f>IF(A410="","",SUM(E410:J410))</f>
        <v/>
      </c>
      <c r="L410" s="3934" t="n"/>
      <c r="M410" s="3934" t="n"/>
      <c r="N410" s="3934" t="n"/>
      <c r="O410" s="3934" t="n"/>
      <c r="P410" s="3934" t="n"/>
      <c r="Q410" s="3934" t="n"/>
      <c r="R410" s="3934" t="n"/>
      <c r="S410" s="3934" t="n"/>
      <c r="T410" s="3934" t="n"/>
      <c r="U410" s="3934" t="n"/>
      <c r="V410" s="3934" t="n"/>
      <c r="W410" s="3934" t="n"/>
      <c r="X410" s="3934" t="n"/>
      <c r="Y410" s="3934" t="n"/>
      <c r="Z410" s="3934" t="n"/>
      <c r="AA410" s="3934" t="n"/>
      <c r="AB410" s="3934" t="n"/>
      <c r="AC410" s="3934" t="n"/>
      <c r="AD410" s="3934" t="n"/>
      <c r="AE410" s="3934" t="n"/>
      <c r="AF410" s="3934" t="n"/>
      <c r="AG410" s="3934" t="n"/>
      <c r="AH410" s="3934" t="n"/>
      <c r="AI410" s="3934" t="n"/>
      <c r="AJ410" s="3934" t="n"/>
      <c r="AK410" s="3934" t="n"/>
      <c r="AL410" s="3934" t="n"/>
      <c r="AM410" s="3934" t="n"/>
      <c r="AN410" s="3934" t="n"/>
      <c r="AO410" s="3934" t="n"/>
      <c r="AP410" s="3934" t="n"/>
      <c r="AQ410" s="3934" t="n"/>
      <c r="AR410" s="3934" t="n"/>
    </row>
    <row r="411">
      <c r="A411" s="3941" t="n"/>
      <c r="B411" s="3944" t="n"/>
      <c r="C411" s="3944" t="n"/>
      <c r="D411" s="3944" t="n"/>
      <c r="E411" s="3944" t="n"/>
      <c r="F411" s="3944" t="n"/>
      <c r="G411" s="3944" t="n"/>
      <c r="H411" s="3944" t="n"/>
      <c r="I411" s="3944" t="n"/>
      <c r="J411" s="3944" t="n"/>
      <c r="K411" s="3942">
        <f>IF(A411="","",SUM(E411:J411))</f>
        <v/>
      </c>
      <c r="L411" s="3934" t="n"/>
      <c r="M411" s="3934" t="n"/>
      <c r="N411" s="3934" t="n"/>
      <c r="O411" s="3934" t="n"/>
      <c r="P411" s="3934" t="n"/>
      <c r="Q411" s="3934" t="n"/>
      <c r="R411" s="3934" t="n"/>
      <c r="S411" s="3934" t="n"/>
      <c r="T411" s="3934" t="n"/>
      <c r="U411" s="3934" t="n"/>
      <c r="V411" s="3934" t="n"/>
      <c r="W411" s="3934" t="n"/>
      <c r="X411" s="3934" t="n"/>
      <c r="Y411" s="3934" t="n"/>
      <c r="Z411" s="3934" t="n"/>
      <c r="AA411" s="3934" t="n"/>
      <c r="AB411" s="3934" t="n"/>
      <c r="AC411" s="3934" t="n"/>
      <c r="AD411" s="3934" t="n"/>
      <c r="AE411" s="3934" t="n"/>
      <c r="AF411" s="3934" t="n"/>
      <c r="AG411" s="3934" t="n"/>
      <c r="AH411" s="3934" t="n"/>
      <c r="AI411" s="3934" t="n"/>
      <c r="AJ411" s="3934" t="n"/>
      <c r="AK411" s="3934" t="n"/>
      <c r="AL411" s="3934" t="n"/>
      <c r="AM411" s="3934" t="n"/>
      <c r="AN411" s="3934" t="n"/>
      <c r="AO411" s="3934" t="n"/>
      <c r="AP411" s="3934" t="n"/>
      <c r="AQ411" s="3934" t="n"/>
      <c r="AR411" s="3934" t="n"/>
    </row>
    <row r="412">
      <c r="A412" s="3941" t="n"/>
      <c r="B412" s="3944" t="n"/>
      <c r="C412" s="3944" t="n"/>
      <c r="D412" s="3944" t="n"/>
      <c r="E412" s="3944" t="n"/>
      <c r="F412" s="3944" t="n"/>
      <c r="G412" s="3944" t="n"/>
      <c r="H412" s="3944" t="n"/>
      <c r="I412" s="3944" t="n"/>
      <c r="J412" s="3944" t="n"/>
      <c r="K412" s="3942">
        <f>IF(A412="","",SUM(E412:J412))</f>
        <v/>
      </c>
      <c r="L412" s="3934" t="n"/>
      <c r="M412" s="3934" t="n"/>
      <c r="N412" s="3934" t="n"/>
      <c r="O412" s="3934" t="n"/>
      <c r="P412" s="3934" t="n"/>
      <c r="Q412" s="3934" t="n"/>
      <c r="R412" s="3934" t="n"/>
      <c r="S412" s="3934" t="n"/>
      <c r="T412" s="3934" t="n"/>
      <c r="U412" s="3934" t="n"/>
      <c r="V412" s="3934" t="n"/>
      <c r="W412" s="3934" t="n"/>
      <c r="X412" s="3934" t="n"/>
      <c r="Y412" s="3934" t="n"/>
      <c r="Z412" s="3934" t="n"/>
      <c r="AA412" s="3934" t="n"/>
      <c r="AB412" s="3934" t="n"/>
      <c r="AC412" s="3934" t="n"/>
      <c r="AD412" s="3934" t="n"/>
      <c r="AE412" s="3934" t="n"/>
      <c r="AF412" s="3934" t="n"/>
      <c r="AG412" s="3934" t="n"/>
      <c r="AH412" s="3934" t="n"/>
      <c r="AI412" s="3934" t="n"/>
      <c r="AJ412" s="3934" t="n"/>
      <c r="AK412" s="3934" t="n"/>
      <c r="AL412" s="3934" t="n"/>
      <c r="AM412" s="3934" t="n"/>
      <c r="AN412" s="3934" t="n"/>
      <c r="AO412" s="3934" t="n"/>
      <c r="AP412" s="3934" t="n"/>
      <c r="AQ412" s="3934" t="n"/>
      <c r="AR412" s="3934" t="n"/>
    </row>
    <row r="413">
      <c r="A413" s="3941" t="n"/>
      <c r="B413" s="3944" t="n"/>
      <c r="C413" s="3944" t="n"/>
      <c r="D413" s="3944" t="n"/>
      <c r="E413" s="3944" t="n"/>
      <c r="F413" s="3944" t="n"/>
      <c r="G413" s="3944" t="n"/>
      <c r="H413" s="3944" t="n"/>
      <c r="I413" s="3944" t="n"/>
      <c r="J413" s="3944" t="n"/>
      <c r="K413" s="3942">
        <f>IF(A413="","",SUM(E413:J413))</f>
        <v/>
      </c>
      <c r="L413" s="3934" t="n"/>
      <c r="M413" s="3934" t="n"/>
      <c r="N413" s="3934" t="n"/>
      <c r="O413" s="3934" t="n"/>
      <c r="P413" s="3934" t="n"/>
      <c r="Q413" s="3934" t="n"/>
      <c r="R413" s="3934" t="n"/>
      <c r="S413" s="3934" t="n"/>
      <c r="T413" s="3934" t="n"/>
      <c r="U413" s="3934" t="n"/>
      <c r="V413" s="3934" t="n"/>
      <c r="W413" s="3934" t="n"/>
      <c r="X413" s="3934" t="n"/>
      <c r="Y413" s="3934" t="n"/>
      <c r="Z413" s="3934" t="n"/>
      <c r="AA413" s="3934" t="n"/>
      <c r="AB413" s="3934" t="n"/>
      <c r="AC413" s="3934" t="n"/>
      <c r="AD413" s="3934" t="n"/>
      <c r="AE413" s="3934" t="n"/>
      <c r="AF413" s="3934" t="n"/>
      <c r="AG413" s="3934" t="n"/>
      <c r="AH413" s="3934" t="n"/>
      <c r="AI413" s="3934" t="n"/>
      <c r="AJ413" s="3934" t="n"/>
      <c r="AK413" s="3934" t="n"/>
      <c r="AL413" s="3934" t="n"/>
      <c r="AM413" s="3934" t="n"/>
      <c r="AN413" s="3934" t="n"/>
      <c r="AO413" s="3934" t="n"/>
      <c r="AP413" s="3934" t="n"/>
      <c r="AQ413" s="3934" t="n"/>
      <c r="AR413" s="3934" t="n"/>
    </row>
    <row r="414">
      <c r="A414" s="3941" t="n"/>
      <c r="B414" s="3944" t="n"/>
      <c r="C414" s="3944" t="n"/>
      <c r="D414" s="3944" t="n"/>
      <c r="E414" s="3944" t="n"/>
      <c r="F414" s="3944" t="n"/>
      <c r="G414" s="3944" t="n"/>
      <c r="H414" s="3944" t="n"/>
      <c r="I414" s="3944" t="n"/>
      <c r="J414" s="3944" t="n"/>
      <c r="K414" s="3942">
        <f>IF(A414="","",SUM(E414:J414))</f>
        <v/>
      </c>
      <c r="L414" s="3934" t="n"/>
      <c r="M414" s="3934" t="n"/>
      <c r="N414" s="3934" t="n"/>
      <c r="O414" s="3934" t="n"/>
      <c r="P414" s="3934" t="n"/>
      <c r="Q414" s="3934" t="n"/>
      <c r="R414" s="3934" t="n"/>
      <c r="S414" s="3934" t="n"/>
      <c r="T414" s="3934" t="n"/>
      <c r="U414" s="3934" t="n"/>
      <c r="V414" s="3934" t="n"/>
      <c r="W414" s="3934" t="n"/>
      <c r="X414" s="3934" t="n"/>
      <c r="Y414" s="3934" t="n"/>
      <c r="Z414" s="3934" t="n"/>
      <c r="AA414" s="3934" t="n"/>
      <c r="AB414" s="3934" t="n"/>
      <c r="AC414" s="3934" t="n"/>
      <c r="AD414" s="3934" t="n"/>
      <c r="AE414" s="3934" t="n"/>
      <c r="AF414" s="3934" t="n"/>
      <c r="AG414" s="3934" t="n"/>
      <c r="AH414" s="3934" t="n"/>
      <c r="AI414" s="3934" t="n"/>
      <c r="AJ414" s="3934" t="n"/>
      <c r="AK414" s="3934" t="n"/>
      <c r="AL414" s="3934" t="n"/>
      <c r="AM414" s="3934" t="n"/>
      <c r="AN414" s="3934" t="n"/>
      <c r="AO414" s="3934" t="n"/>
      <c r="AP414" s="3934" t="n"/>
      <c r="AQ414" s="3934" t="n"/>
      <c r="AR414" s="3934" t="n"/>
    </row>
    <row r="415">
      <c r="A415" s="3941" t="n"/>
      <c r="B415" s="3944" t="n"/>
      <c r="C415" s="3944" t="n"/>
      <c r="D415" s="3944" t="n"/>
      <c r="E415" s="3944" t="n"/>
      <c r="F415" s="3944" t="n"/>
      <c r="G415" s="3944" t="n"/>
      <c r="H415" s="3944" t="n"/>
      <c r="I415" s="3944" t="n"/>
      <c r="J415" s="3944" t="n"/>
      <c r="K415" s="3942">
        <f>IF(A415="","",SUM(E415:J415))</f>
        <v/>
      </c>
      <c r="L415" s="3934" t="n"/>
      <c r="M415" s="3934" t="n"/>
      <c r="N415" s="3934" t="n"/>
      <c r="O415" s="3934" t="n"/>
      <c r="P415" s="3934" t="n"/>
      <c r="Q415" s="3934" t="n"/>
      <c r="R415" s="3934" t="n"/>
      <c r="S415" s="3934" t="n"/>
      <c r="T415" s="3934" t="n"/>
      <c r="U415" s="3934" t="n"/>
      <c r="V415" s="3934" t="n"/>
      <c r="W415" s="3934" t="n"/>
      <c r="X415" s="3934" t="n"/>
      <c r="Y415" s="3934" t="n"/>
      <c r="Z415" s="3934" t="n"/>
      <c r="AA415" s="3934" t="n"/>
      <c r="AB415" s="3934" t="n"/>
      <c r="AC415" s="3934" t="n"/>
      <c r="AD415" s="3934" t="n"/>
      <c r="AE415" s="3934" t="n"/>
      <c r="AF415" s="3934" t="n"/>
      <c r="AG415" s="3934" t="n"/>
      <c r="AH415" s="3934" t="n"/>
      <c r="AI415" s="3934" t="n"/>
      <c r="AJ415" s="3934" t="n"/>
      <c r="AK415" s="3934" t="n"/>
      <c r="AL415" s="3934" t="n"/>
      <c r="AM415" s="3934" t="n"/>
      <c r="AN415" s="3934" t="n"/>
      <c r="AO415" s="3934" t="n"/>
      <c r="AP415" s="3934" t="n"/>
      <c r="AQ415" s="3934" t="n"/>
      <c r="AR415" s="3934" t="n"/>
    </row>
    <row r="416">
      <c r="A416" s="3941" t="n"/>
      <c r="B416" s="3944" t="n"/>
      <c r="C416" s="3944" t="n"/>
      <c r="D416" s="3944" t="n"/>
      <c r="E416" s="3944" t="n"/>
      <c r="F416" s="3944" t="n"/>
      <c r="G416" s="3944" t="n"/>
      <c r="H416" s="3944" t="n"/>
      <c r="I416" s="3944" t="n"/>
      <c r="J416" s="3944" t="n"/>
      <c r="K416" s="3942">
        <f>IF(A416="","",SUM(E416:J416))</f>
        <v/>
      </c>
      <c r="L416" s="3934" t="n"/>
      <c r="M416" s="3934" t="n"/>
      <c r="N416" s="3934" t="n"/>
      <c r="O416" s="3934" t="n"/>
      <c r="P416" s="3934" t="n"/>
      <c r="Q416" s="3934" t="n"/>
      <c r="R416" s="3934" t="n"/>
      <c r="S416" s="3934" t="n"/>
      <c r="T416" s="3934" t="n"/>
      <c r="U416" s="3934" t="n"/>
      <c r="V416" s="3934" t="n"/>
      <c r="W416" s="3934" t="n"/>
      <c r="X416" s="3934" t="n"/>
      <c r="Y416" s="3934" t="n"/>
      <c r="Z416" s="3934" t="n"/>
      <c r="AA416" s="3934" t="n"/>
      <c r="AB416" s="3934" t="n"/>
      <c r="AC416" s="3934" t="n"/>
      <c r="AD416" s="3934" t="n"/>
      <c r="AE416" s="3934" t="n"/>
      <c r="AF416" s="3934" t="n"/>
      <c r="AG416" s="3934" t="n"/>
      <c r="AH416" s="3934" t="n"/>
      <c r="AI416" s="3934" t="n"/>
      <c r="AJ416" s="3934" t="n"/>
      <c r="AK416" s="3934" t="n"/>
      <c r="AL416" s="3934" t="n"/>
      <c r="AM416" s="3934" t="n"/>
      <c r="AN416" s="3934" t="n"/>
      <c r="AO416" s="3934" t="n"/>
      <c r="AP416" s="3934" t="n"/>
      <c r="AQ416" s="3934" t="n"/>
      <c r="AR416" s="3934" t="n"/>
    </row>
    <row r="417">
      <c r="A417" s="3941" t="n"/>
      <c r="B417" s="3944" t="n"/>
      <c r="C417" s="3944" t="n"/>
      <c r="D417" s="3944" t="n"/>
      <c r="E417" s="3944" t="n"/>
      <c r="F417" s="3944" t="n"/>
      <c r="G417" s="3944" t="n"/>
      <c r="H417" s="3944" t="n"/>
      <c r="I417" s="3944" t="n"/>
      <c r="J417" s="3944" t="n"/>
      <c r="K417" s="3942">
        <f>IF(A417="","",SUM(E417:J417))</f>
        <v/>
      </c>
      <c r="L417" s="3934" t="n"/>
      <c r="M417" s="3934" t="n"/>
      <c r="N417" s="3934" t="n"/>
      <c r="O417" s="3934" t="n"/>
      <c r="P417" s="3934" t="n"/>
      <c r="Q417" s="3934" t="n"/>
      <c r="R417" s="3934" t="n"/>
      <c r="S417" s="3934" t="n"/>
      <c r="T417" s="3934" t="n"/>
      <c r="U417" s="3934" t="n"/>
      <c r="V417" s="3934" t="n"/>
      <c r="W417" s="3934" t="n"/>
      <c r="X417" s="3934" t="n"/>
      <c r="Y417" s="3934" t="n"/>
      <c r="Z417" s="3934" t="n"/>
      <c r="AA417" s="3934" t="n"/>
      <c r="AB417" s="3934" t="n"/>
      <c r="AC417" s="3934" t="n"/>
      <c r="AD417" s="3934" t="n"/>
      <c r="AE417" s="3934" t="n"/>
      <c r="AF417" s="3934" t="n"/>
      <c r="AG417" s="3934" t="n"/>
      <c r="AH417" s="3934" t="n"/>
      <c r="AI417" s="3934" t="n"/>
      <c r="AJ417" s="3934" t="n"/>
      <c r="AK417" s="3934" t="n"/>
      <c r="AL417" s="3934" t="n"/>
      <c r="AM417" s="3934" t="n"/>
      <c r="AN417" s="3934" t="n"/>
      <c r="AO417" s="3934" t="n"/>
      <c r="AP417" s="3934" t="n"/>
      <c r="AQ417" s="3934" t="n"/>
      <c r="AR417" s="3934" t="n"/>
    </row>
    <row r="418">
      <c r="A418" s="3941" t="n"/>
      <c r="B418" s="3944" t="n"/>
      <c r="C418" s="3944" t="n"/>
      <c r="D418" s="3944" t="n"/>
      <c r="E418" s="3944" t="n"/>
      <c r="F418" s="3944" t="n"/>
      <c r="G418" s="3944" t="n"/>
      <c r="H418" s="3944" t="n"/>
      <c r="I418" s="3944" t="n"/>
      <c r="J418" s="3944" t="n"/>
      <c r="K418" s="3942">
        <f>IF(A418="","",SUM(E418:J418))</f>
        <v/>
      </c>
      <c r="L418" s="3934" t="n"/>
      <c r="M418" s="3934" t="n"/>
      <c r="N418" s="3934" t="n"/>
      <c r="O418" s="3934" t="n"/>
      <c r="P418" s="3934" t="n"/>
      <c r="Q418" s="3934" t="n"/>
      <c r="R418" s="3934" t="n"/>
      <c r="S418" s="3934" t="n"/>
      <c r="T418" s="3934" t="n"/>
      <c r="U418" s="3934" t="n"/>
      <c r="V418" s="3934" t="n"/>
      <c r="W418" s="3934" t="n"/>
      <c r="X418" s="3934" t="n"/>
      <c r="Y418" s="3934" t="n"/>
      <c r="Z418" s="3934" t="n"/>
      <c r="AA418" s="3934" t="n"/>
      <c r="AB418" s="3934" t="n"/>
      <c r="AC418" s="3934" t="n"/>
      <c r="AD418" s="3934" t="n"/>
      <c r="AE418" s="3934" t="n"/>
      <c r="AF418" s="3934" t="n"/>
      <c r="AG418" s="3934" t="n"/>
      <c r="AH418" s="3934" t="n"/>
      <c r="AI418" s="3934" t="n"/>
      <c r="AJ418" s="3934" t="n"/>
      <c r="AK418" s="3934" t="n"/>
      <c r="AL418" s="3934" t="n"/>
      <c r="AM418" s="3934" t="n"/>
      <c r="AN418" s="3934" t="n"/>
      <c r="AO418" s="3934" t="n"/>
      <c r="AP418" s="3934" t="n"/>
      <c r="AQ418" s="3934" t="n"/>
      <c r="AR418" s="3934" t="n"/>
    </row>
    <row r="419">
      <c r="A419" s="3941" t="n"/>
      <c r="B419" s="3944" t="n"/>
      <c r="C419" s="3944" t="n"/>
      <c r="D419" s="3944" t="n"/>
      <c r="E419" s="3944" t="n"/>
      <c r="F419" s="3944" t="n"/>
      <c r="G419" s="3944" t="n"/>
      <c r="H419" s="3944" t="n"/>
      <c r="I419" s="3944" t="n"/>
      <c r="J419" s="3944" t="n"/>
      <c r="K419" s="3942">
        <f>IF(A419="","",SUM(E419:J419))</f>
        <v/>
      </c>
      <c r="L419" s="3934" t="n"/>
      <c r="M419" s="3934" t="n"/>
      <c r="N419" s="3934" t="n"/>
      <c r="O419" s="3934" t="n"/>
      <c r="P419" s="3934" t="n"/>
      <c r="Q419" s="3934" t="n"/>
      <c r="R419" s="3934" t="n"/>
      <c r="S419" s="3934" t="n"/>
      <c r="T419" s="3934" t="n"/>
      <c r="U419" s="3934" t="n"/>
      <c r="V419" s="3934" t="n"/>
      <c r="W419" s="3934" t="n"/>
      <c r="X419" s="3934" t="n"/>
      <c r="Y419" s="3934" t="n"/>
      <c r="Z419" s="3934" t="n"/>
      <c r="AA419" s="3934" t="n"/>
      <c r="AB419" s="3934" t="n"/>
      <c r="AC419" s="3934" t="n"/>
      <c r="AD419" s="3934" t="n"/>
      <c r="AE419" s="3934" t="n"/>
      <c r="AF419" s="3934" t="n"/>
      <c r="AG419" s="3934" t="n"/>
      <c r="AH419" s="3934" t="n"/>
      <c r="AI419" s="3934" t="n"/>
      <c r="AJ419" s="3934" t="n"/>
      <c r="AK419" s="3934" t="n"/>
      <c r="AL419" s="3934" t="n"/>
      <c r="AM419" s="3934" t="n"/>
      <c r="AN419" s="3934" t="n"/>
      <c r="AO419" s="3934" t="n"/>
      <c r="AP419" s="3934" t="n"/>
      <c r="AQ419" s="3934" t="n"/>
      <c r="AR419" s="3934" t="n"/>
    </row>
    <row r="420">
      <c r="A420" s="3941" t="n"/>
      <c r="B420" s="3944" t="n"/>
      <c r="C420" s="3944" t="n"/>
      <c r="D420" s="3944" t="n"/>
      <c r="E420" s="3944" t="n"/>
      <c r="F420" s="3944" t="n"/>
      <c r="G420" s="3944" t="n"/>
      <c r="H420" s="3944" t="n"/>
      <c r="I420" s="3944" t="n"/>
      <c r="J420" s="3944" t="n"/>
      <c r="K420" s="3942">
        <f>IF(A420="","",SUM(E420:J420))</f>
        <v/>
      </c>
      <c r="L420" s="3934" t="n"/>
      <c r="M420" s="3934" t="n"/>
      <c r="N420" s="3934" t="n"/>
      <c r="O420" s="3934" t="n"/>
      <c r="P420" s="3934" t="n"/>
      <c r="Q420" s="3934" t="n"/>
      <c r="R420" s="3934" t="n"/>
      <c r="S420" s="3934" t="n"/>
      <c r="T420" s="3934" t="n"/>
      <c r="U420" s="3934" t="n"/>
      <c r="V420" s="3934" t="n"/>
      <c r="W420" s="3934" t="n"/>
      <c r="X420" s="3934" t="n"/>
      <c r="Y420" s="3934" t="n"/>
      <c r="Z420" s="3934" t="n"/>
      <c r="AA420" s="3934" t="n"/>
      <c r="AB420" s="3934" t="n"/>
      <c r="AC420" s="3934" t="n"/>
      <c r="AD420" s="3934" t="n"/>
      <c r="AE420" s="3934" t="n"/>
      <c r="AF420" s="3934" t="n"/>
      <c r="AG420" s="3934" t="n"/>
      <c r="AH420" s="3934" t="n"/>
      <c r="AI420" s="3934" t="n"/>
      <c r="AJ420" s="3934" t="n"/>
      <c r="AK420" s="3934" t="n"/>
      <c r="AL420" s="3934" t="n"/>
      <c r="AM420" s="3934" t="n"/>
      <c r="AN420" s="3934" t="n"/>
      <c r="AO420" s="3934" t="n"/>
      <c r="AP420" s="3934" t="n"/>
      <c r="AQ420" s="3934" t="n"/>
      <c r="AR420" s="3934" t="n"/>
    </row>
    <row r="421">
      <c r="A421" s="3941" t="n"/>
      <c r="B421" s="3944" t="n"/>
      <c r="C421" s="3944" t="n"/>
      <c r="D421" s="3944" t="n"/>
      <c r="E421" s="3944" t="n"/>
      <c r="F421" s="3944" t="n"/>
      <c r="G421" s="3944" t="n"/>
      <c r="H421" s="3944" t="n"/>
      <c r="I421" s="3944" t="n"/>
      <c r="J421" s="3944" t="n"/>
      <c r="K421" s="3942">
        <f>IF(A421="","",SUM(E421:J421))</f>
        <v/>
      </c>
      <c r="L421" s="3934" t="n"/>
      <c r="M421" s="3934" t="n"/>
      <c r="N421" s="3934" t="n"/>
      <c r="O421" s="3934" t="n"/>
      <c r="P421" s="3934" t="n"/>
      <c r="Q421" s="3934" t="n"/>
      <c r="R421" s="3934" t="n"/>
      <c r="S421" s="3934" t="n"/>
      <c r="T421" s="3934" t="n"/>
      <c r="U421" s="3934" t="n"/>
      <c r="V421" s="3934" t="n"/>
      <c r="W421" s="3934" t="n"/>
      <c r="X421" s="3934" t="n"/>
      <c r="Y421" s="3934" t="n"/>
      <c r="Z421" s="3934" t="n"/>
      <c r="AA421" s="3934" t="n"/>
      <c r="AB421" s="3934" t="n"/>
      <c r="AC421" s="3934" t="n"/>
      <c r="AD421" s="3934" t="n"/>
      <c r="AE421" s="3934" t="n"/>
      <c r="AF421" s="3934" t="n"/>
      <c r="AG421" s="3934" t="n"/>
      <c r="AH421" s="3934" t="n"/>
      <c r="AI421" s="3934" t="n"/>
      <c r="AJ421" s="3934" t="n"/>
      <c r="AK421" s="3934" t="n"/>
      <c r="AL421" s="3934" t="n"/>
      <c r="AM421" s="3934" t="n"/>
      <c r="AN421" s="3934" t="n"/>
      <c r="AO421" s="3934" t="n"/>
      <c r="AP421" s="3934" t="n"/>
      <c r="AQ421" s="3934" t="n"/>
      <c r="AR421" s="3934" t="n"/>
    </row>
    <row r="422">
      <c r="A422" s="3941" t="n"/>
      <c r="B422" s="3944" t="n"/>
      <c r="C422" s="3944" t="n"/>
      <c r="D422" s="3944" t="n"/>
      <c r="E422" s="3944" t="n"/>
      <c r="F422" s="3944" t="n"/>
      <c r="G422" s="3944" t="n"/>
      <c r="H422" s="3944" t="n"/>
      <c r="I422" s="3944" t="n"/>
      <c r="J422" s="3944" t="n"/>
      <c r="K422" s="3942">
        <f>IF(A422="","",SUM(E422:J422))</f>
        <v/>
      </c>
      <c r="L422" s="3934" t="n"/>
      <c r="M422" s="3934" t="n"/>
      <c r="N422" s="3934" t="n"/>
      <c r="O422" s="3934" t="n"/>
      <c r="P422" s="3934" t="n"/>
      <c r="Q422" s="3934" t="n"/>
      <c r="R422" s="3934" t="n"/>
      <c r="S422" s="3934" t="n"/>
      <c r="T422" s="3934" t="n"/>
      <c r="U422" s="3934" t="n"/>
      <c r="V422" s="3934" t="n"/>
      <c r="W422" s="3934" t="n"/>
      <c r="X422" s="3934" t="n"/>
      <c r="Y422" s="3934" t="n"/>
      <c r="Z422" s="3934" t="n"/>
      <c r="AA422" s="3934" t="n"/>
      <c r="AB422" s="3934" t="n"/>
      <c r="AC422" s="3934" t="n"/>
      <c r="AD422" s="3934" t="n"/>
      <c r="AE422" s="3934" t="n"/>
      <c r="AF422" s="3934" t="n"/>
      <c r="AG422" s="3934" t="n"/>
      <c r="AH422" s="3934" t="n"/>
      <c r="AI422" s="3934" t="n"/>
      <c r="AJ422" s="3934" t="n"/>
      <c r="AK422" s="3934" t="n"/>
      <c r="AL422" s="3934" t="n"/>
      <c r="AM422" s="3934" t="n"/>
      <c r="AN422" s="3934" t="n"/>
      <c r="AO422" s="3934" t="n"/>
      <c r="AP422" s="3934" t="n"/>
      <c r="AQ422" s="3934" t="n"/>
      <c r="AR422" s="3934" t="n"/>
    </row>
    <row r="423">
      <c r="A423" s="3941" t="n"/>
      <c r="B423" s="3944" t="n"/>
      <c r="C423" s="3944" t="n"/>
      <c r="D423" s="3944" t="n"/>
      <c r="E423" s="3944" t="n"/>
      <c r="F423" s="3944" t="n"/>
      <c r="G423" s="3944" t="n"/>
      <c r="H423" s="3944" t="n"/>
      <c r="I423" s="3944" t="n"/>
      <c r="J423" s="3944" t="n"/>
      <c r="K423" s="3942">
        <f>IF(A423="","",SUM(E423:J423))</f>
        <v/>
      </c>
      <c r="L423" s="3934" t="n"/>
      <c r="M423" s="3934" t="n"/>
      <c r="N423" s="3934" t="n"/>
      <c r="O423" s="3934" t="n"/>
      <c r="P423" s="3934" t="n"/>
      <c r="Q423" s="3934" t="n"/>
      <c r="R423" s="3934" t="n"/>
      <c r="S423" s="3934" t="n"/>
      <c r="T423" s="3934" t="n"/>
      <c r="U423" s="3934" t="n"/>
      <c r="V423" s="3934" t="n"/>
      <c r="W423" s="3934" t="n"/>
      <c r="X423" s="3934" t="n"/>
      <c r="Y423" s="3934" t="n"/>
      <c r="Z423" s="3934" t="n"/>
      <c r="AA423" s="3934" t="n"/>
      <c r="AB423" s="3934" t="n"/>
      <c r="AC423" s="3934" t="n"/>
      <c r="AD423" s="3934" t="n"/>
      <c r="AE423" s="3934" t="n"/>
      <c r="AF423" s="3934" t="n"/>
      <c r="AG423" s="3934" t="n"/>
      <c r="AH423" s="3934" t="n"/>
      <c r="AI423" s="3934" t="n"/>
      <c r="AJ423" s="3934" t="n"/>
      <c r="AK423" s="3934" t="n"/>
      <c r="AL423" s="3934" t="n"/>
      <c r="AM423" s="3934" t="n"/>
      <c r="AN423" s="3934" t="n"/>
      <c r="AO423" s="3934" t="n"/>
      <c r="AP423" s="3934" t="n"/>
      <c r="AQ423" s="3934" t="n"/>
      <c r="AR423" s="3934" t="n"/>
    </row>
    <row r="424">
      <c r="A424" s="3941" t="n"/>
      <c r="B424" s="3944" t="n"/>
      <c r="C424" s="3944" t="n"/>
      <c r="D424" s="3944" t="n"/>
      <c r="E424" s="3944" t="n"/>
      <c r="F424" s="3944" t="n"/>
      <c r="G424" s="3944" t="n"/>
      <c r="H424" s="3944" t="n"/>
      <c r="I424" s="3944" t="n"/>
      <c r="J424" s="3944" t="n"/>
      <c r="K424" s="3942">
        <f>IF(A424="","",SUM(E424:J424))</f>
        <v/>
      </c>
      <c r="L424" s="3934" t="n"/>
      <c r="M424" s="3934" t="n"/>
      <c r="N424" s="3934" t="n"/>
      <c r="O424" s="3934" t="n"/>
      <c r="P424" s="3934" t="n"/>
      <c r="Q424" s="3934" t="n"/>
      <c r="R424" s="3934" t="n"/>
      <c r="S424" s="3934" t="n"/>
      <c r="T424" s="3934" t="n"/>
      <c r="U424" s="3934" t="n"/>
      <c r="V424" s="3934" t="n"/>
      <c r="W424" s="3934" t="n"/>
      <c r="X424" s="3934" t="n"/>
      <c r="Y424" s="3934" t="n"/>
      <c r="Z424" s="3934" t="n"/>
      <c r="AA424" s="3934" t="n"/>
      <c r="AB424" s="3934" t="n"/>
      <c r="AC424" s="3934" t="n"/>
      <c r="AD424" s="3934" t="n"/>
      <c r="AE424" s="3934" t="n"/>
      <c r="AF424" s="3934" t="n"/>
      <c r="AG424" s="3934" t="n"/>
      <c r="AH424" s="3934" t="n"/>
      <c r="AI424" s="3934" t="n"/>
      <c r="AJ424" s="3934" t="n"/>
      <c r="AK424" s="3934" t="n"/>
      <c r="AL424" s="3934" t="n"/>
      <c r="AM424" s="3934" t="n"/>
      <c r="AN424" s="3934" t="n"/>
      <c r="AO424" s="3934" t="n"/>
      <c r="AP424" s="3934" t="n"/>
      <c r="AQ424" s="3934" t="n"/>
      <c r="AR424" s="3934" t="n"/>
    </row>
    <row r="425">
      <c r="A425" s="3941" t="n"/>
      <c r="B425" s="3944" t="n"/>
      <c r="C425" s="3944" t="n"/>
      <c r="D425" s="3944" t="n"/>
      <c r="E425" s="3944" t="n"/>
      <c r="F425" s="3944" t="n"/>
      <c r="G425" s="3944" t="n"/>
      <c r="H425" s="3944" t="n"/>
      <c r="I425" s="3944" t="n"/>
      <c r="J425" s="3944" t="n"/>
      <c r="K425" s="3942">
        <f>IF(A425="","",SUM(E425:J425))</f>
        <v/>
      </c>
      <c r="L425" s="3934" t="n"/>
      <c r="M425" s="3934" t="n"/>
      <c r="N425" s="3934" t="n"/>
      <c r="O425" s="3934" t="n"/>
      <c r="P425" s="3934" t="n"/>
      <c r="Q425" s="3934" t="n"/>
      <c r="R425" s="3934" t="n"/>
      <c r="S425" s="3934" t="n"/>
      <c r="T425" s="3934" t="n"/>
      <c r="U425" s="3934" t="n"/>
      <c r="V425" s="3934" t="n"/>
      <c r="W425" s="3934" t="n"/>
      <c r="X425" s="3934" t="n"/>
      <c r="Y425" s="3934" t="n"/>
      <c r="Z425" s="3934" t="n"/>
      <c r="AA425" s="3934" t="n"/>
      <c r="AB425" s="3934" t="n"/>
      <c r="AC425" s="3934" t="n"/>
      <c r="AD425" s="3934" t="n"/>
      <c r="AE425" s="3934" t="n"/>
      <c r="AF425" s="3934" t="n"/>
      <c r="AG425" s="3934" t="n"/>
      <c r="AH425" s="3934" t="n"/>
      <c r="AI425" s="3934" t="n"/>
      <c r="AJ425" s="3934" t="n"/>
      <c r="AK425" s="3934" t="n"/>
      <c r="AL425" s="3934" t="n"/>
      <c r="AM425" s="3934" t="n"/>
      <c r="AN425" s="3934" t="n"/>
      <c r="AO425" s="3934" t="n"/>
      <c r="AP425" s="3934" t="n"/>
      <c r="AQ425" s="3934" t="n"/>
      <c r="AR425" s="3934" t="n"/>
    </row>
    <row r="426">
      <c r="A426" s="3941" t="n"/>
      <c r="B426" s="3944" t="n"/>
      <c r="C426" s="3944" t="n"/>
      <c r="D426" s="3944" t="n"/>
      <c r="E426" s="3944" t="n"/>
      <c r="F426" s="3944" t="n"/>
      <c r="G426" s="3944" t="n"/>
      <c r="H426" s="3944" t="n"/>
      <c r="I426" s="3944" t="n"/>
      <c r="J426" s="3944" t="n"/>
      <c r="K426" s="3942">
        <f>IF(A426="","",SUM(E426:J426))</f>
        <v/>
      </c>
      <c r="L426" s="3934" t="n"/>
      <c r="M426" s="3934" t="n"/>
      <c r="N426" s="3934" t="n"/>
      <c r="O426" s="3934" t="n"/>
      <c r="P426" s="3934" t="n"/>
      <c r="Q426" s="3934" t="n"/>
      <c r="R426" s="3934" t="n"/>
      <c r="S426" s="3934" t="n"/>
      <c r="T426" s="3934" t="n"/>
      <c r="U426" s="3934" t="n"/>
      <c r="V426" s="3934" t="n"/>
      <c r="W426" s="3934" t="n"/>
      <c r="X426" s="3934" t="n"/>
      <c r="Y426" s="3934" t="n"/>
      <c r="Z426" s="3934" t="n"/>
      <c r="AA426" s="3934" t="n"/>
      <c r="AB426" s="3934" t="n"/>
      <c r="AC426" s="3934" t="n"/>
      <c r="AD426" s="3934" t="n"/>
      <c r="AE426" s="3934" t="n"/>
      <c r="AF426" s="3934" t="n"/>
      <c r="AG426" s="3934" t="n"/>
      <c r="AH426" s="3934" t="n"/>
      <c r="AI426" s="3934" t="n"/>
      <c r="AJ426" s="3934" t="n"/>
      <c r="AK426" s="3934" t="n"/>
      <c r="AL426" s="3934" t="n"/>
      <c r="AM426" s="3934" t="n"/>
      <c r="AN426" s="3934" t="n"/>
      <c r="AO426" s="3934" t="n"/>
      <c r="AP426" s="3934" t="n"/>
      <c r="AQ426" s="3934" t="n"/>
      <c r="AR426" s="3934" t="n"/>
    </row>
    <row r="427">
      <c r="A427" s="3941" t="n"/>
      <c r="B427" s="3944" t="n"/>
      <c r="C427" s="3944" t="n"/>
      <c r="D427" s="3944" t="n"/>
      <c r="E427" s="3944" t="n"/>
      <c r="F427" s="3944" t="n"/>
      <c r="G427" s="3944" t="n"/>
      <c r="H427" s="3944" t="n"/>
      <c r="I427" s="3944" t="n"/>
      <c r="J427" s="3944" t="n"/>
      <c r="K427" s="3942">
        <f>IF(A427="","",SUM(E427:J427))</f>
        <v/>
      </c>
      <c r="L427" s="3934" t="n"/>
      <c r="M427" s="3934" t="n"/>
      <c r="N427" s="3934" t="n"/>
      <c r="O427" s="3934" t="n"/>
      <c r="P427" s="3934" t="n"/>
      <c r="Q427" s="3934" t="n"/>
      <c r="R427" s="3934" t="n"/>
      <c r="S427" s="3934" t="n"/>
      <c r="T427" s="3934" t="n"/>
      <c r="U427" s="3934" t="n"/>
      <c r="V427" s="3934" t="n"/>
      <c r="W427" s="3934" t="n"/>
      <c r="X427" s="3934" t="n"/>
      <c r="Y427" s="3934" t="n"/>
      <c r="Z427" s="3934" t="n"/>
      <c r="AA427" s="3934" t="n"/>
      <c r="AB427" s="3934" t="n"/>
      <c r="AC427" s="3934" t="n"/>
      <c r="AD427" s="3934" t="n"/>
      <c r="AE427" s="3934" t="n"/>
      <c r="AF427" s="3934" t="n"/>
      <c r="AG427" s="3934" t="n"/>
      <c r="AH427" s="3934" t="n"/>
      <c r="AI427" s="3934" t="n"/>
      <c r="AJ427" s="3934" t="n"/>
      <c r="AK427" s="3934" t="n"/>
      <c r="AL427" s="3934" t="n"/>
      <c r="AM427" s="3934" t="n"/>
      <c r="AN427" s="3934" t="n"/>
      <c r="AO427" s="3934" t="n"/>
      <c r="AP427" s="3934" t="n"/>
      <c r="AQ427" s="3934" t="n"/>
      <c r="AR427" s="3934" t="n"/>
    </row>
    <row r="428">
      <c r="A428" s="3941" t="n"/>
      <c r="B428" s="3944" t="n"/>
      <c r="C428" s="3944" t="n"/>
      <c r="D428" s="3944" t="n"/>
      <c r="E428" s="3944" t="n"/>
      <c r="F428" s="3944" t="n"/>
      <c r="G428" s="3944" t="n"/>
      <c r="H428" s="3944" t="n"/>
      <c r="I428" s="3944" t="n"/>
      <c r="J428" s="3944" t="n"/>
      <c r="K428" s="3942">
        <f>IF(A428="","",SUM(E428:J428))</f>
        <v/>
      </c>
      <c r="L428" s="3934" t="n"/>
      <c r="M428" s="3934" t="n"/>
      <c r="N428" s="3934" t="n"/>
      <c r="O428" s="3934" t="n"/>
      <c r="P428" s="3934" t="n"/>
      <c r="Q428" s="3934" t="n"/>
      <c r="R428" s="3934" t="n"/>
      <c r="S428" s="3934" t="n"/>
      <c r="T428" s="3934" t="n"/>
      <c r="U428" s="3934" t="n"/>
      <c r="V428" s="3934" t="n"/>
      <c r="W428" s="3934" t="n"/>
      <c r="X428" s="3934" t="n"/>
      <c r="Y428" s="3934" t="n"/>
      <c r="Z428" s="3934" t="n"/>
      <c r="AA428" s="3934" t="n"/>
      <c r="AB428" s="3934" t="n"/>
      <c r="AC428" s="3934" t="n"/>
      <c r="AD428" s="3934" t="n"/>
      <c r="AE428" s="3934" t="n"/>
      <c r="AF428" s="3934" t="n"/>
      <c r="AG428" s="3934" t="n"/>
      <c r="AH428" s="3934" t="n"/>
      <c r="AI428" s="3934" t="n"/>
      <c r="AJ428" s="3934" t="n"/>
      <c r="AK428" s="3934" t="n"/>
      <c r="AL428" s="3934" t="n"/>
      <c r="AM428" s="3934" t="n"/>
      <c r="AN428" s="3934" t="n"/>
      <c r="AO428" s="3934" t="n"/>
      <c r="AP428" s="3934" t="n"/>
      <c r="AQ428" s="3934" t="n"/>
      <c r="AR428" s="3934" t="n"/>
    </row>
    <row r="429">
      <c r="A429" s="3941" t="n"/>
      <c r="B429" s="3944" t="n"/>
      <c r="C429" s="3944" t="n"/>
      <c r="D429" s="3944" t="n"/>
      <c r="E429" s="3944" t="n"/>
      <c r="F429" s="3944" t="n"/>
      <c r="G429" s="3944" t="n"/>
      <c r="H429" s="3944" t="n"/>
      <c r="I429" s="3944" t="n"/>
      <c r="J429" s="3944" t="n"/>
      <c r="K429" s="3942">
        <f>IF(A429="","",SUM(E429:J429))</f>
        <v/>
      </c>
      <c r="L429" s="3934" t="n"/>
      <c r="M429" s="3934" t="n"/>
      <c r="N429" s="3934" t="n"/>
      <c r="O429" s="3934" t="n"/>
      <c r="P429" s="3934" t="n"/>
      <c r="Q429" s="3934" t="n"/>
      <c r="R429" s="3934" t="n"/>
      <c r="S429" s="3934" t="n"/>
      <c r="T429" s="3934" t="n"/>
      <c r="U429" s="3934" t="n"/>
      <c r="V429" s="3934" t="n"/>
      <c r="W429" s="3934" t="n"/>
      <c r="X429" s="3934" t="n"/>
      <c r="Y429" s="3934" t="n"/>
      <c r="Z429" s="3934" t="n"/>
      <c r="AA429" s="3934" t="n"/>
      <c r="AB429" s="3934" t="n"/>
      <c r="AC429" s="3934" t="n"/>
      <c r="AD429" s="3934" t="n"/>
      <c r="AE429" s="3934" t="n"/>
      <c r="AF429" s="3934" t="n"/>
      <c r="AG429" s="3934" t="n"/>
      <c r="AH429" s="3934" t="n"/>
      <c r="AI429" s="3934" t="n"/>
      <c r="AJ429" s="3934" t="n"/>
      <c r="AK429" s="3934" t="n"/>
      <c r="AL429" s="3934" t="n"/>
      <c r="AM429" s="3934" t="n"/>
      <c r="AN429" s="3934" t="n"/>
      <c r="AO429" s="3934" t="n"/>
      <c r="AP429" s="3934" t="n"/>
      <c r="AQ429" s="3934" t="n"/>
      <c r="AR429" s="3934" t="n"/>
    </row>
    <row r="430">
      <c r="A430" s="3941" t="n"/>
      <c r="B430" s="3944" t="n"/>
      <c r="C430" s="3944" t="n"/>
      <c r="D430" s="3944" t="n"/>
      <c r="E430" s="3944" t="n"/>
      <c r="F430" s="3944" t="n"/>
      <c r="G430" s="3944" t="n"/>
      <c r="H430" s="3944" t="n"/>
      <c r="I430" s="3944" t="n"/>
      <c r="J430" s="3944" t="n"/>
      <c r="K430" s="3942">
        <f>IF(A430="","",SUM(E430:J430))</f>
        <v/>
      </c>
      <c r="L430" s="3934" t="n"/>
      <c r="M430" s="3934" t="n"/>
      <c r="N430" s="3934" t="n"/>
      <c r="O430" s="3934" t="n"/>
      <c r="P430" s="3934" t="n"/>
      <c r="Q430" s="3934" t="n"/>
      <c r="R430" s="3934" t="n"/>
      <c r="S430" s="3934" t="n"/>
      <c r="T430" s="3934" t="n"/>
      <c r="U430" s="3934" t="n"/>
      <c r="V430" s="3934" t="n"/>
      <c r="W430" s="3934" t="n"/>
      <c r="X430" s="3934" t="n"/>
      <c r="Y430" s="3934" t="n"/>
      <c r="Z430" s="3934" t="n"/>
      <c r="AA430" s="3934" t="n"/>
      <c r="AB430" s="3934" t="n"/>
      <c r="AC430" s="3934" t="n"/>
      <c r="AD430" s="3934" t="n"/>
      <c r="AE430" s="3934" t="n"/>
      <c r="AF430" s="3934" t="n"/>
      <c r="AG430" s="3934" t="n"/>
      <c r="AH430" s="3934" t="n"/>
      <c r="AI430" s="3934" t="n"/>
      <c r="AJ430" s="3934" t="n"/>
      <c r="AK430" s="3934" t="n"/>
      <c r="AL430" s="3934" t="n"/>
      <c r="AM430" s="3934" t="n"/>
      <c r="AN430" s="3934" t="n"/>
      <c r="AO430" s="3934" t="n"/>
      <c r="AP430" s="3934" t="n"/>
      <c r="AQ430" s="3934" t="n"/>
      <c r="AR430" s="3934" t="n"/>
    </row>
    <row r="431">
      <c r="A431" s="3941" t="n"/>
      <c r="B431" s="3944" t="n"/>
      <c r="C431" s="3944" t="n"/>
      <c r="D431" s="3944" t="n"/>
      <c r="E431" s="3944" t="n"/>
      <c r="F431" s="3944" t="n"/>
      <c r="G431" s="3944" t="n"/>
      <c r="H431" s="3944" t="n"/>
      <c r="I431" s="3944" t="n"/>
      <c r="J431" s="3944" t="n"/>
      <c r="K431" s="3942">
        <f>IF(A431="","",SUM(E431:J431))</f>
        <v/>
      </c>
      <c r="L431" s="3934" t="n"/>
      <c r="M431" s="3934" t="n"/>
      <c r="N431" s="3934" t="n"/>
      <c r="O431" s="3934" t="n"/>
      <c r="P431" s="3934" t="n"/>
      <c r="Q431" s="3934" t="n"/>
      <c r="R431" s="3934" t="n"/>
      <c r="S431" s="3934" t="n"/>
      <c r="T431" s="3934" t="n"/>
      <c r="U431" s="3934" t="n"/>
      <c r="V431" s="3934" t="n"/>
      <c r="W431" s="3934" t="n"/>
      <c r="X431" s="3934" t="n"/>
      <c r="Y431" s="3934" t="n"/>
      <c r="Z431" s="3934" t="n"/>
      <c r="AA431" s="3934" t="n"/>
      <c r="AB431" s="3934" t="n"/>
      <c r="AC431" s="3934" t="n"/>
      <c r="AD431" s="3934" t="n"/>
      <c r="AE431" s="3934" t="n"/>
      <c r="AF431" s="3934" t="n"/>
      <c r="AG431" s="3934" t="n"/>
      <c r="AH431" s="3934" t="n"/>
      <c r="AI431" s="3934" t="n"/>
      <c r="AJ431" s="3934" t="n"/>
      <c r="AK431" s="3934" t="n"/>
      <c r="AL431" s="3934" t="n"/>
      <c r="AM431" s="3934" t="n"/>
      <c r="AN431" s="3934" t="n"/>
      <c r="AO431" s="3934" t="n"/>
      <c r="AP431" s="3934" t="n"/>
      <c r="AQ431" s="3934" t="n"/>
      <c r="AR431" s="3934" t="n"/>
    </row>
    <row r="432">
      <c r="A432" s="3941" t="n"/>
      <c r="B432" s="3944" t="n"/>
      <c r="C432" s="3944" t="n"/>
      <c r="D432" s="3944" t="n"/>
      <c r="E432" s="3944" t="n"/>
      <c r="F432" s="3944" t="n"/>
      <c r="G432" s="3944" t="n"/>
      <c r="H432" s="3944" t="n"/>
      <c r="I432" s="3944" t="n"/>
      <c r="J432" s="3944" t="n"/>
      <c r="K432" s="3942">
        <f>IF(A432="","",SUM(E432:J432))</f>
        <v/>
      </c>
      <c r="L432" s="3934" t="n"/>
      <c r="M432" s="3934" t="n"/>
      <c r="N432" s="3934" t="n"/>
      <c r="O432" s="3934" t="n"/>
      <c r="P432" s="3934" t="n"/>
      <c r="Q432" s="3934" t="n"/>
      <c r="R432" s="3934" t="n"/>
      <c r="S432" s="3934" t="n"/>
      <c r="T432" s="3934" t="n"/>
      <c r="U432" s="3934" t="n"/>
      <c r="V432" s="3934" t="n"/>
      <c r="W432" s="3934" t="n"/>
      <c r="X432" s="3934" t="n"/>
      <c r="Y432" s="3934" t="n"/>
      <c r="Z432" s="3934" t="n"/>
      <c r="AA432" s="3934" t="n"/>
      <c r="AB432" s="3934" t="n"/>
      <c r="AC432" s="3934" t="n"/>
      <c r="AD432" s="3934" t="n"/>
      <c r="AE432" s="3934" t="n"/>
      <c r="AF432" s="3934" t="n"/>
      <c r="AG432" s="3934" t="n"/>
      <c r="AH432" s="3934" t="n"/>
      <c r="AI432" s="3934" t="n"/>
      <c r="AJ432" s="3934" t="n"/>
      <c r="AK432" s="3934" t="n"/>
      <c r="AL432" s="3934" t="n"/>
      <c r="AM432" s="3934" t="n"/>
      <c r="AN432" s="3934" t="n"/>
      <c r="AO432" s="3934" t="n"/>
      <c r="AP432" s="3934" t="n"/>
      <c r="AQ432" s="3934" t="n"/>
      <c r="AR432" s="3934" t="n"/>
    </row>
    <row r="433">
      <c r="A433" s="3941" t="n"/>
      <c r="B433" s="3944" t="n"/>
      <c r="C433" s="3944" t="n"/>
      <c r="D433" s="3944" t="n"/>
      <c r="E433" s="3944" t="n"/>
      <c r="F433" s="3944" t="n"/>
      <c r="G433" s="3944" t="n"/>
      <c r="H433" s="3944" t="n"/>
      <c r="I433" s="3944" t="n"/>
      <c r="J433" s="3944" t="n"/>
      <c r="K433" s="3942">
        <f>IF(A433="","",SUM(E433:J433))</f>
        <v/>
      </c>
      <c r="L433" s="3934" t="n"/>
      <c r="M433" s="3934" t="n"/>
      <c r="N433" s="3934" t="n"/>
      <c r="O433" s="3934" t="n"/>
      <c r="P433" s="3934" t="n"/>
      <c r="Q433" s="3934" t="n"/>
      <c r="R433" s="3934" t="n"/>
      <c r="S433" s="3934" t="n"/>
      <c r="T433" s="3934" t="n"/>
      <c r="U433" s="3934" t="n"/>
      <c r="V433" s="3934" t="n"/>
      <c r="W433" s="3934" t="n"/>
      <c r="X433" s="3934" t="n"/>
      <c r="Y433" s="3934" t="n"/>
      <c r="Z433" s="3934" t="n"/>
      <c r="AA433" s="3934" t="n"/>
      <c r="AB433" s="3934" t="n"/>
      <c r="AC433" s="3934" t="n"/>
      <c r="AD433" s="3934" t="n"/>
      <c r="AE433" s="3934" t="n"/>
      <c r="AF433" s="3934" t="n"/>
      <c r="AG433" s="3934" t="n"/>
      <c r="AH433" s="3934" t="n"/>
      <c r="AI433" s="3934" t="n"/>
      <c r="AJ433" s="3934" t="n"/>
      <c r="AK433" s="3934" t="n"/>
      <c r="AL433" s="3934" t="n"/>
      <c r="AM433" s="3934" t="n"/>
      <c r="AN433" s="3934" t="n"/>
      <c r="AO433" s="3934" t="n"/>
      <c r="AP433" s="3934" t="n"/>
      <c r="AQ433" s="3934" t="n"/>
      <c r="AR433" s="3934" t="n"/>
    </row>
    <row r="434">
      <c r="A434" s="3941" t="n"/>
      <c r="B434" s="3944" t="n"/>
      <c r="C434" s="3944" t="n"/>
      <c r="D434" s="3944" t="n"/>
      <c r="E434" s="3944" t="n"/>
      <c r="F434" s="3944" t="n"/>
      <c r="G434" s="3944" t="n"/>
      <c r="H434" s="3944" t="n"/>
      <c r="I434" s="3944" t="n"/>
      <c r="J434" s="3944" t="n"/>
      <c r="K434" s="3942">
        <f>IF(A434="","",SUM(E434:J434))</f>
        <v/>
      </c>
      <c r="L434" s="3934" t="n"/>
      <c r="M434" s="3934" t="n"/>
      <c r="N434" s="3934" t="n"/>
      <c r="O434" s="3934" t="n"/>
      <c r="P434" s="3934" t="n"/>
      <c r="Q434" s="3934" t="n"/>
      <c r="R434" s="3934" t="n"/>
      <c r="S434" s="3934" t="n"/>
      <c r="T434" s="3934" t="n"/>
      <c r="U434" s="3934" t="n"/>
      <c r="V434" s="3934" t="n"/>
      <c r="W434" s="3934" t="n"/>
      <c r="X434" s="3934" t="n"/>
      <c r="Y434" s="3934" t="n"/>
      <c r="Z434" s="3934" t="n"/>
      <c r="AA434" s="3934" t="n"/>
      <c r="AB434" s="3934" t="n"/>
      <c r="AC434" s="3934" t="n"/>
      <c r="AD434" s="3934" t="n"/>
      <c r="AE434" s="3934" t="n"/>
      <c r="AF434" s="3934" t="n"/>
      <c r="AG434" s="3934" t="n"/>
      <c r="AH434" s="3934" t="n"/>
      <c r="AI434" s="3934" t="n"/>
      <c r="AJ434" s="3934" t="n"/>
      <c r="AK434" s="3934" t="n"/>
      <c r="AL434" s="3934" t="n"/>
      <c r="AM434" s="3934" t="n"/>
      <c r="AN434" s="3934" t="n"/>
      <c r="AO434" s="3934" t="n"/>
      <c r="AP434" s="3934" t="n"/>
      <c r="AQ434" s="3934" t="n"/>
      <c r="AR434" s="3934" t="n"/>
    </row>
    <row r="435">
      <c r="A435" s="3941" t="n"/>
      <c r="B435" s="3944" t="n"/>
      <c r="C435" s="3944" t="n"/>
      <c r="D435" s="3944" t="n"/>
      <c r="E435" s="3944" t="n"/>
      <c r="F435" s="3944" t="n"/>
      <c r="G435" s="3944" t="n"/>
      <c r="H435" s="3944" t="n"/>
      <c r="I435" s="3944" t="n"/>
      <c r="J435" s="3944" t="n"/>
      <c r="K435" s="3942">
        <f>IF(A435="","",SUM(E435:J435))</f>
        <v/>
      </c>
      <c r="L435" s="3934" t="n"/>
      <c r="M435" s="3934" t="n"/>
      <c r="N435" s="3934" t="n"/>
      <c r="O435" s="3934" t="n"/>
      <c r="P435" s="3934" t="n"/>
      <c r="Q435" s="3934" t="n"/>
      <c r="R435" s="3934" t="n"/>
      <c r="S435" s="3934" t="n"/>
      <c r="T435" s="3934" t="n"/>
      <c r="U435" s="3934" t="n"/>
      <c r="V435" s="3934" t="n"/>
      <c r="W435" s="3934" t="n"/>
      <c r="X435" s="3934" t="n"/>
      <c r="Y435" s="3934" t="n"/>
      <c r="Z435" s="3934" t="n"/>
      <c r="AA435" s="3934" t="n"/>
      <c r="AB435" s="3934" t="n"/>
      <c r="AC435" s="3934" t="n"/>
      <c r="AD435" s="3934" t="n"/>
      <c r="AE435" s="3934" t="n"/>
      <c r="AF435" s="3934" t="n"/>
      <c r="AG435" s="3934" t="n"/>
      <c r="AH435" s="3934" t="n"/>
      <c r="AI435" s="3934" t="n"/>
      <c r="AJ435" s="3934" t="n"/>
      <c r="AK435" s="3934" t="n"/>
      <c r="AL435" s="3934" t="n"/>
      <c r="AM435" s="3934" t="n"/>
      <c r="AN435" s="3934" t="n"/>
      <c r="AO435" s="3934" t="n"/>
      <c r="AP435" s="3934" t="n"/>
      <c r="AQ435" s="3934" t="n"/>
      <c r="AR435" s="3934" t="n"/>
    </row>
    <row r="436">
      <c r="A436" s="3941" t="n"/>
      <c r="B436" s="3944" t="n"/>
      <c r="C436" s="3944" t="n"/>
      <c r="D436" s="3944" t="n"/>
      <c r="E436" s="3944" t="n"/>
      <c r="F436" s="3944" t="n"/>
      <c r="G436" s="3944" t="n"/>
      <c r="H436" s="3944" t="n"/>
      <c r="I436" s="3944" t="n"/>
      <c r="J436" s="3944" t="n"/>
      <c r="K436" s="3942">
        <f>IF(A436="","",SUM(E436:J436))</f>
        <v/>
      </c>
      <c r="L436" s="3934" t="n"/>
      <c r="M436" s="3934" t="n"/>
      <c r="N436" s="3934" t="n"/>
      <c r="O436" s="3934" t="n"/>
      <c r="P436" s="3934" t="n"/>
      <c r="Q436" s="3934" t="n"/>
      <c r="R436" s="3934" t="n"/>
      <c r="S436" s="3934" t="n"/>
      <c r="T436" s="3934" t="n"/>
      <c r="U436" s="3934" t="n"/>
      <c r="V436" s="3934" t="n"/>
      <c r="W436" s="3934" t="n"/>
      <c r="X436" s="3934" t="n"/>
      <c r="Y436" s="3934" t="n"/>
      <c r="Z436" s="3934" t="n"/>
      <c r="AA436" s="3934" t="n"/>
      <c r="AB436" s="3934" t="n"/>
      <c r="AC436" s="3934" t="n"/>
      <c r="AD436" s="3934" t="n"/>
      <c r="AE436" s="3934" t="n"/>
      <c r="AF436" s="3934" t="n"/>
      <c r="AG436" s="3934" t="n"/>
      <c r="AH436" s="3934" t="n"/>
      <c r="AI436" s="3934" t="n"/>
      <c r="AJ436" s="3934" t="n"/>
      <c r="AK436" s="3934" t="n"/>
      <c r="AL436" s="3934" t="n"/>
      <c r="AM436" s="3934" t="n"/>
      <c r="AN436" s="3934" t="n"/>
      <c r="AO436" s="3934" t="n"/>
      <c r="AP436" s="3934" t="n"/>
      <c r="AQ436" s="3934" t="n"/>
      <c r="AR436" s="3934" t="n"/>
    </row>
    <row r="437">
      <c r="A437" s="3941" t="n"/>
      <c r="B437" s="3944" t="n"/>
      <c r="C437" s="3944" t="n"/>
      <c r="D437" s="3944" t="n"/>
      <c r="E437" s="3944" t="n"/>
      <c r="F437" s="3944" t="n"/>
      <c r="G437" s="3944" t="n"/>
      <c r="H437" s="3944" t="n"/>
      <c r="I437" s="3944" t="n"/>
      <c r="J437" s="3944" t="n"/>
      <c r="K437" s="3942">
        <f>IF(A437="","",SUM(E437:J437))</f>
        <v/>
      </c>
      <c r="L437" s="3934" t="n"/>
      <c r="M437" s="3934" t="n"/>
      <c r="N437" s="3934" t="n"/>
      <c r="O437" s="3934" t="n"/>
      <c r="P437" s="3934" t="n"/>
      <c r="Q437" s="3934" t="n"/>
      <c r="R437" s="3934" t="n"/>
      <c r="S437" s="3934" t="n"/>
      <c r="T437" s="3934" t="n"/>
      <c r="U437" s="3934" t="n"/>
      <c r="V437" s="3934" t="n"/>
      <c r="W437" s="3934" t="n"/>
      <c r="X437" s="3934" t="n"/>
      <c r="Y437" s="3934" t="n"/>
      <c r="Z437" s="3934" t="n"/>
      <c r="AA437" s="3934" t="n"/>
      <c r="AB437" s="3934" t="n"/>
      <c r="AC437" s="3934" t="n"/>
      <c r="AD437" s="3934" t="n"/>
      <c r="AE437" s="3934" t="n"/>
      <c r="AF437" s="3934" t="n"/>
      <c r="AG437" s="3934" t="n"/>
      <c r="AH437" s="3934" t="n"/>
      <c r="AI437" s="3934" t="n"/>
      <c r="AJ437" s="3934" t="n"/>
      <c r="AK437" s="3934" t="n"/>
      <c r="AL437" s="3934" t="n"/>
      <c r="AM437" s="3934" t="n"/>
      <c r="AN437" s="3934" t="n"/>
      <c r="AO437" s="3934" t="n"/>
      <c r="AP437" s="3934" t="n"/>
      <c r="AQ437" s="3934" t="n"/>
      <c r="AR437" s="3934" t="n"/>
    </row>
    <row r="438">
      <c r="A438" s="3941" t="n"/>
      <c r="B438" s="3944" t="n"/>
      <c r="C438" s="3944" t="n"/>
      <c r="D438" s="3944" t="n"/>
      <c r="E438" s="3944" t="n"/>
      <c r="F438" s="3944" t="n"/>
      <c r="G438" s="3944" t="n"/>
      <c r="H438" s="3944" t="n"/>
      <c r="I438" s="3944" t="n"/>
      <c r="J438" s="3944" t="n"/>
      <c r="K438" s="3942">
        <f>IF(A438="","",SUM(E438:J438))</f>
        <v/>
      </c>
      <c r="L438" s="3934" t="n"/>
      <c r="M438" s="3934" t="n"/>
      <c r="N438" s="3934" t="n"/>
      <c r="O438" s="3934" t="n"/>
      <c r="P438" s="3934" t="n"/>
      <c r="Q438" s="3934" t="n"/>
      <c r="R438" s="3934" t="n"/>
      <c r="S438" s="3934" t="n"/>
      <c r="T438" s="3934" t="n"/>
      <c r="U438" s="3934" t="n"/>
      <c r="V438" s="3934" t="n"/>
      <c r="W438" s="3934" t="n"/>
      <c r="X438" s="3934" t="n"/>
      <c r="Y438" s="3934" t="n"/>
      <c r="Z438" s="3934" t="n"/>
      <c r="AA438" s="3934" t="n"/>
      <c r="AB438" s="3934" t="n"/>
      <c r="AC438" s="3934" t="n"/>
      <c r="AD438" s="3934" t="n"/>
      <c r="AE438" s="3934" t="n"/>
      <c r="AF438" s="3934" t="n"/>
      <c r="AG438" s="3934" t="n"/>
      <c r="AH438" s="3934" t="n"/>
      <c r="AI438" s="3934" t="n"/>
      <c r="AJ438" s="3934" t="n"/>
      <c r="AK438" s="3934" t="n"/>
      <c r="AL438" s="3934" t="n"/>
      <c r="AM438" s="3934" t="n"/>
      <c r="AN438" s="3934" t="n"/>
      <c r="AO438" s="3934" t="n"/>
      <c r="AP438" s="3934" t="n"/>
      <c r="AQ438" s="3934" t="n"/>
      <c r="AR438" s="3934" t="n"/>
    </row>
    <row r="439">
      <c r="A439" s="3941" t="n"/>
      <c r="B439" s="3944" t="n"/>
      <c r="C439" s="3944" t="n"/>
      <c r="D439" s="3944" t="n"/>
      <c r="E439" s="3944" t="n"/>
      <c r="F439" s="3944" t="n"/>
      <c r="G439" s="3944" t="n"/>
      <c r="H439" s="3944" t="n"/>
      <c r="I439" s="3944" t="n"/>
      <c r="J439" s="3944" t="n"/>
      <c r="K439" s="3942">
        <f>IF(A439="","",SUM(E439:J439))</f>
        <v/>
      </c>
      <c r="L439" s="3934" t="n"/>
      <c r="M439" s="3934" t="n"/>
      <c r="N439" s="3934" t="n"/>
      <c r="O439" s="3934" t="n"/>
      <c r="P439" s="3934" t="n"/>
      <c r="Q439" s="3934" t="n"/>
      <c r="R439" s="3934" t="n"/>
      <c r="S439" s="3934" t="n"/>
      <c r="T439" s="3934" t="n"/>
      <c r="U439" s="3934" t="n"/>
      <c r="V439" s="3934" t="n"/>
      <c r="W439" s="3934" t="n"/>
      <c r="X439" s="3934" t="n"/>
      <c r="Y439" s="3934" t="n"/>
      <c r="Z439" s="3934" t="n"/>
      <c r="AA439" s="3934" t="n"/>
      <c r="AB439" s="3934" t="n"/>
      <c r="AC439" s="3934" t="n"/>
      <c r="AD439" s="3934" t="n"/>
      <c r="AE439" s="3934" t="n"/>
      <c r="AF439" s="3934" t="n"/>
      <c r="AG439" s="3934" t="n"/>
      <c r="AH439" s="3934" t="n"/>
      <c r="AI439" s="3934" t="n"/>
      <c r="AJ439" s="3934" t="n"/>
      <c r="AK439" s="3934" t="n"/>
      <c r="AL439" s="3934" t="n"/>
      <c r="AM439" s="3934" t="n"/>
      <c r="AN439" s="3934" t="n"/>
      <c r="AO439" s="3934" t="n"/>
      <c r="AP439" s="3934" t="n"/>
      <c r="AQ439" s="3934" t="n"/>
      <c r="AR439" s="3934" t="n"/>
    </row>
    <row r="440">
      <c r="A440" s="3941" t="n"/>
      <c r="B440" s="3944" t="n"/>
      <c r="C440" s="3944" t="n"/>
      <c r="D440" s="3944" t="n"/>
      <c r="E440" s="3944" t="n"/>
      <c r="F440" s="3944" t="n"/>
      <c r="G440" s="3944" t="n"/>
      <c r="H440" s="3944" t="n"/>
      <c r="I440" s="3944" t="n"/>
      <c r="J440" s="3944" t="n"/>
      <c r="K440" s="3942">
        <f>IF(A440="","",SUM(E440:J440))</f>
        <v/>
      </c>
      <c r="L440" s="3934" t="n"/>
      <c r="M440" s="3934" t="n"/>
      <c r="N440" s="3934" t="n"/>
      <c r="O440" s="3934" t="n"/>
      <c r="P440" s="3934" t="n"/>
      <c r="Q440" s="3934" t="n"/>
      <c r="R440" s="3934" t="n"/>
      <c r="S440" s="3934" t="n"/>
      <c r="T440" s="3934" t="n"/>
      <c r="U440" s="3934" t="n"/>
      <c r="V440" s="3934" t="n"/>
      <c r="W440" s="3934" t="n"/>
      <c r="X440" s="3934" t="n"/>
      <c r="Y440" s="3934" t="n"/>
      <c r="Z440" s="3934" t="n"/>
      <c r="AA440" s="3934" t="n"/>
      <c r="AB440" s="3934" t="n"/>
      <c r="AC440" s="3934" t="n"/>
      <c r="AD440" s="3934" t="n"/>
      <c r="AE440" s="3934" t="n"/>
      <c r="AF440" s="3934" t="n"/>
      <c r="AG440" s="3934" t="n"/>
      <c r="AH440" s="3934" t="n"/>
      <c r="AI440" s="3934" t="n"/>
      <c r="AJ440" s="3934" t="n"/>
      <c r="AK440" s="3934" t="n"/>
      <c r="AL440" s="3934" t="n"/>
      <c r="AM440" s="3934" t="n"/>
      <c r="AN440" s="3934" t="n"/>
      <c r="AO440" s="3934" t="n"/>
      <c r="AP440" s="3934" t="n"/>
      <c r="AQ440" s="3934" t="n"/>
      <c r="AR440" s="3934" t="n"/>
    </row>
    <row r="441">
      <c r="A441" s="3941" t="n"/>
      <c r="B441" s="3944" t="n"/>
      <c r="C441" s="3944" t="n"/>
      <c r="D441" s="3944" t="n"/>
      <c r="E441" s="3944" t="n"/>
      <c r="F441" s="3944" t="n"/>
      <c r="G441" s="3944" t="n"/>
      <c r="H441" s="3944" t="n"/>
      <c r="I441" s="3944" t="n"/>
      <c r="J441" s="3944" t="n"/>
      <c r="K441" s="3942">
        <f>IF(A441="","",SUM(E441:J441))</f>
        <v/>
      </c>
      <c r="L441" s="3934" t="n"/>
      <c r="M441" s="3934" t="n"/>
      <c r="N441" s="3934" t="n"/>
      <c r="O441" s="3934" t="n"/>
      <c r="P441" s="3934" t="n"/>
      <c r="Q441" s="3934" t="n"/>
      <c r="R441" s="3934" t="n"/>
      <c r="S441" s="3934" t="n"/>
      <c r="T441" s="3934" t="n"/>
      <c r="U441" s="3934" t="n"/>
      <c r="V441" s="3934" t="n"/>
      <c r="W441" s="3934" t="n"/>
      <c r="X441" s="3934" t="n"/>
      <c r="Y441" s="3934" t="n"/>
      <c r="Z441" s="3934" t="n"/>
      <c r="AA441" s="3934" t="n"/>
      <c r="AB441" s="3934" t="n"/>
      <c r="AC441" s="3934" t="n"/>
      <c r="AD441" s="3934" t="n"/>
      <c r="AE441" s="3934" t="n"/>
      <c r="AF441" s="3934" t="n"/>
      <c r="AG441" s="3934" t="n"/>
      <c r="AH441" s="3934" t="n"/>
      <c r="AI441" s="3934" t="n"/>
      <c r="AJ441" s="3934" t="n"/>
      <c r="AK441" s="3934" t="n"/>
      <c r="AL441" s="3934" t="n"/>
      <c r="AM441" s="3934" t="n"/>
      <c r="AN441" s="3934" t="n"/>
      <c r="AO441" s="3934" t="n"/>
      <c r="AP441" s="3934" t="n"/>
      <c r="AQ441" s="3934" t="n"/>
      <c r="AR441" s="3934" t="n"/>
    </row>
    <row r="442">
      <c r="A442" s="3941" t="n"/>
      <c r="B442" s="3944" t="n"/>
      <c r="C442" s="3944" t="n"/>
      <c r="D442" s="3944" t="n"/>
      <c r="E442" s="3944" t="n"/>
      <c r="F442" s="3944" t="n"/>
      <c r="G442" s="3944" t="n"/>
      <c r="H442" s="3944" t="n"/>
      <c r="I442" s="3944" t="n"/>
      <c r="J442" s="3944" t="n"/>
      <c r="K442" s="3942">
        <f>IF(A442="","",SUM(E442:J442))</f>
        <v/>
      </c>
      <c r="L442" s="3934" t="n"/>
      <c r="M442" s="3934" t="n"/>
      <c r="N442" s="3934" t="n"/>
      <c r="O442" s="3934" t="n"/>
      <c r="P442" s="3934" t="n"/>
      <c r="Q442" s="3934" t="n"/>
      <c r="R442" s="3934" t="n"/>
      <c r="S442" s="3934" t="n"/>
      <c r="T442" s="3934" t="n"/>
      <c r="U442" s="3934" t="n"/>
      <c r="V442" s="3934" t="n"/>
      <c r="W442" s="3934" t="n"/>
      <c r="X442" s="3934" t="n"/>
      <c r="Y442" s="3934" t="n"/>
      <c r="Z442" s="3934" t="n"/>
      <c r="AA442" s="3934" t="n"/>
      <c r="AB442" s="3934" t="n"/>
      <c r="AC442" s="3934" t="n"/>
      <c r="AD442" s="3934" t="n"/>
      <c r="AE442" s="3934" t="n"/>
      <c r="AF442" s="3934" t="n"/>
      <c r="AG442" s="3934" t="n"/>
      <c r="AH442" s="3934" t="n"/>
      <c r="AI442" s="3934" t="n"/>
      <c r="AJ442" s="3934" t="n"/>
      <c r="AK442" s="3934" t="n"/>
      <c r="AL442" s="3934" t="n"/>
      <c r="AM442" s="3934" t="n"/>
      <c r="AN442" s="3934" t="n"/>
      <c r="AO442" s="3934" t="n"/>
      <c r="AP442" s="3934" t="n"/>
      <c r="AQ442" s="3934" t="n"/>
      <c r="AR442" s="3934" t="n"/>
    </row>
    <row r="443">
      <c r="A443" s="3941" t="n"/>
      <c r="B443" s="3944" t="n"/>
      <c r="C443" s="3944" t="n"/>
      <c r="D443" s="3944" t="n"/>
      <c r="E443" s="3944" t="n"/>
      <c r="F443" s="3944" t="n"/>
      <c r="G443" s="3944" t="n"/>
      <c r="H443" s="3944" t="n"/>
      <c r="I443" s="3944" t="n"/>
      <c r="J443" s="3944" t="n"/>
      <c r="K443" s="3942">
        <f>IF(A443="","",SUM(E443:J443))</f>
        <v/>
      </c>
      <c r="L443" s="3934" t="n"/>
      <c r="M443" s="3934" t="n"/>
      <c r="N443" s="3934" t="n"/>
      <c r="O443" s="3934" t="n"/>
      <c r="P443" s="3934" t="n"/>
      <c r="Q443" s="3934" t="n"/>
      <c r="R443" s="3934" t="n"/>
      <c r="S443" s="3934" t="n"/>
      <c r="T443" s="3934" t="n"/>
      <c r="U443" s="3934" t="n"/>
      <c r="V443" s="3934" t="n"/>
      <c r="W443" s="3934" t="n"/>
      <c r="X443" s="3934" t="n"/>
      <c r="Y443" s="3934" t="n"/>
      <c r="Z443" s="3934" t="n"/>
      <c r="AA443" s="3934" t="n"/>
      <c r="AB443" s="3934" t="n"/>
      <c r="AC443" s="3934" t="n"/>
      <c r="AD443" s="3934" t="n"/>
      <c r="AE443" s="3934" t="n"/>
      <c r="AF443" s="3934" t="n"/>
      <c r="AG443" s="3934" t="n"/>
      <c r="AH443" s="3934" t="n"/>
      <c r="AI443" s="3934" t="n"/>
      <c r="AJ443" s="3934" t="n"/>
      <c r="AK443" s="3934" t="n"/>
      <c r="AL443" s="3934" t="n"/>
      <c r="AM443" s="3934" t="n"/>
      <c r="AN443" s="3934" t="n"/>
      <c r="AO443" s="3934" t="n"/>
      <c r="AP443" s="3934" t="n"/>
      <c r="AQ443" s="3934" t="n"/>
      <c r="AR443" s="3934" t="n"/>
    </row>
    <row r="444">
      <c r="A444" s="3941" t="n"/>
      <c r="B444" s="3944" t="n"/>
      <c r="C444" s="3944" t="n"/>
      <c r="D444" s="3944" t="n"/>
      <c r="E444" s="3944" t="n"/>
      <c r="F444" s="3944" t="n"/>
      <c r="G444" s="3944" t="n"/>
      <c r="H444" s="3944" t="n"/>
      <c r="I444" s="3944" t="n"/>
      <c r="J444" s="3944" t="n"/>
      <c r="K444" s="3942">
        <f>IF(A444="","",SUM(E444:J444))</f>
        <v/>
      </c>
      <c r="L444" s="3934" t="n"/>
      <c r="M444" s="3934" t="n"/>
      <c r="N444" s="3934" t="n"/>
      <c r="O444" s="3934" t="n"/>
      <c r="P444" s="3934" t="n"/>
      <c r="Q444" s="3934" t="n"/>
      <c r="R444" s="3934" t="n"/>
      <c r="S444" s="3934" t="n"/>
      <c r="T444" s="3934" t="n"/>
      <c r="U444" s="3934" t="n"/>
      <c r="V444" s="3934" t="n"/>
      <c r="W444" s="3934" t="n"/>
      <c r="X444" s="3934" t="n"/>
      <c r="Y444" s="3934" t="n"/>
      <c r="Z444" s="3934" t="n"/>
      <c r="AA444" s="3934" t="n"/>
      <c r="AB444" s="3934" t="n"/>
      <c r="AC444" s="3934" t="n"/>
      <c r="AD444" s="3934" t="n"/>
      <c r="AE444" s="3934" t="n"/>
      <c r="AF444" s="3934" t="n"/>
      <c r="AG444" s="3934" t="n"/>
      <c r="AH444" s="3934" t="n"/>
      <c r="AI444" s="3934" t="n"/>
      <c r="AJ444" s="3934" t="n"/>
      <c r="AK444" s="3934" t="n"/>
      <c r="AL444" s="3934" t="n"/>
      <c r="AM444" s="3934" t="n"/>
      <c r="AN444" s="3934" t="n"/>
      <c r="AO444" s="3934" t="n"/>
      <c r="AP444" s="3934" t="n"/>
      <c r="AQ444" s="3934" t="n"/>
      <c r="AR444" s="3934" t="n"/>
    </row>
    <row r="445">
      <c r="A445" s="3941" t="n"/>
      <c r="B445" s="3944" t="n"/>
      <c r="C445" s="3944" t="n"/>
      <c r="D445" s="3944" t="n"/>
      <c r="E445" s="3944" t="n"/>
      <c r="F445" s="3944" t="n"/>
      <c r="G445" s="3944" t="n"/>
      <c r="H445" s="3944" t="n"/>
      <c r="I445" s="3944" t="n"/>
      <c r="J445" s="3944" t="n"/>
      <c r="K445" s="3942">
        <f>IF(A445="","",SUM(E445:J445))</f>
        <v/>
      </c>
      <c r="L445" s="3934" t="n"/>
      <c r="M445" s="3934" t="n"/>
      <c r="N445" s="3934" t="n"/>
      <c r="O445" s="3934" t="n"/>
      <c r="P445" s="3934" t="n"/>
      <c r="Q445" s="3934" t="n"/>
      <c r="R445" s="3934" t="n"/>
      <c r="S445" s="3934" t="n"/>
      <c r="T445" s="3934" t="n"/>
      <c r="U445" s="3934" t="n"/>
      <c r="V445" s="3934" t="n"/>
      <c r="W445" s="3934" t="n"/>
      <c r="X445" s="3934" t="n"/>
      <c r="Y445" s="3934" t="n"/>
      <c r="Z445" s="3934" t="n"/>
      <c r="AA445" s="3934" t="n"/>
      <c r="AB445" s="3934" t="n"/>
      <c r="AC445" s="3934" t="n"/>
      <c r="AD445" s="3934" t="n"/>
      <c r="AE445" s="3934" t="n"/>
      <c r="AF445" s="3934" t="n"/>
      <c r="AG445" s="3934" t="n"/>
      <c r="AH445" s="3934" t="n"/>
      <c r="AI445" s="3934" t="n"/>
      <c r="AJ445" s="3934" t="n"/>
      <c r="AK445" s="3934" t="n"/>
      <c r="AL445" s="3934" t="n"/>
      <c r="AM445" s="3934" t="n"/>
      <c r="AN445" s="3934" t="n"/>
      <c r="AO445" s="3934" t="n"/>
      <c r="AP445" s="3934" t="n"/>
      <c r="AQ445" s="3934" t="n"/>
      <c r="AR445" s="3934" t="n"/>
    </row>
    <row r="446">
      <c r="A446" s="3941" t="n"/>
      <c r="B446" s="3944" t="n"/>
      <c r="C446" s="3944" t="n"/>
      <c r="D446" s="3944" t="n"/>
      <c r="E446" s="3944" t="n"/>
      <c r="F446" s="3944" t="n"/>
      <c r="G446" s="3944" t="n"/>
      <c r="H446" s="3944" t="n"/>
      <c r="I446" s="3944" t="n"/>
      <c r="J446" s="3944" t="n"/>
      <c r="K446" s="3942">
        <f>IF(A446="","",SUM(E446:J446))</f>
        <v/>
      </c>
      <c r="L446" s="3934" t="n"/>
      <c r="M446" s="3934" t="n"/>
      <c r="N446" s="3934" t="n"/>
      <c r="O446" s="3934" t="n"/>
      <c r="P446" s="3934" t="n"/>
      <c r="Q446" s="3934" t="n"/>
      <c r="R446" s="3934" t="n"/>
      <c r="S446" s="3934" t="n"/>
      <c r="T446" s="3934" t="n"/>
      <c r="U446" s="3934" t="n"/>
      <c r="V446" s="3934" t="n"/>
      <c r="W446" s="3934" t="n"/>
      <c r="X446" s="3934" t="n"/>
      <c r="Y446" s="3934" t="n"/>
      <c r="Z446" s="3934" t="n"/>
      <c r="AA446" s="3934" t="n"/>
      <c r="AB446" s="3934" t="n"/>
      <c r="AC446" s="3934" t="n"/>
      <c r="AD446" s="3934" t="n"/>
      <c r="AE446" s="3934" t="n"/>
      <c r="AF446" s="3934" t="n"/>
      <c r="AG446" s="3934" t="n"/>
      <c r="AH446" s="3934" t="n"/>
      <c r="AI446" s="3934" t="n"/>
      <c r="AJ446" s="3934" t="n"/>
      <c r="AK446" s="3934" t="n"/>
      <c r="AL446" s="3934" t="n"/>
      <c r="AM446" s="3934" t="n"/>
      <c r="AN446" s="3934" t="n"/>
      <c r="AO446" s="3934" t="n"/>
      <c r="AP446" s="3934" t="n"/>
      <c r="AQ446" s="3934" t="n"/>
      <c r="AR446" s="3934" t="n"/>
    </row>
    <row r="447">
      <c r="A447" s="3941" t="n"/>
      <c r="B447" s="3944" t="n"/>
      <c r="C447" s="3944" t="n"/>
      <c r="D447" s="3944" t="n"/>
      <c r="E447" s="3944" t="n"/>
      <c r="F447" s="3944" t="n"/>
      <c r="G447" s="3944" t="n"/>
      <c r="H447" s="3944" t="n"/>
      <c r="I447" s="3944" t="n"/>
      <c r="J447" s="3944" t="n"/>
      <c r="K447" s="3942">
        <f>IF(A447="","",SUM(E447:J447))</f>
        <v/>
      </c>
      <c r="L447" s="3934" t="n"/>
      <c r="M447" s="3934" t="n"/>
      <c r="N447" s="3934" t="n"/>
      <c r="O447" s="3934" t="n"/>
      <c r="P447" s="3934" t="n"/>
      <c r="Q447" s="3934" t="n"/>
      <c r="R447" s="3934" t="n"/>
      <c r="S447" s="3934" t="n"/>
      <c r="T447" s="3934" t="n"/>
      <c r="U447" s="3934" t="n"/>
      <c r="V447" s="3934" t="n"/>
      <c r="W447" s="3934" t="n"/>
      <c r="X447" s="3934" t="n"/>
      <c r="Y447" s="3934" t="n"/>
      <c r="Z447" s="3934" t="n"/>
      <c r="AA447" s="3934" t="n"/>
      <c r="AB447" s="3934" t="n"/>
      <c r="AC447" s="3934" t="n"/>
      <c r="AD447" s="3934" t="n"/>
      <c r="AE447" s="3934" t="n"/>
      <c r="AF447" s="3934" t="n"/>
      <c r="AG447" s="3934" t="n"/>
      <c r="AH447" s="3934" t="n"/>
      <c r="AI447" s="3934" t="n"/>
      <c r="AJ447" s="3934" t="n"/>
      <c r="AK447" s="3934" t="n"/>
      <c r="AL447" s="3934" t="n"/>
      <c r="AM447" s="3934" t="n"/>
      <c r="AN447" s="3934" t="n"/>
      <c r="AO447" s="3934" t="n"/>
      <c r="AP447" s="3934" t="n"/>
      <c r="AQ447" s="3934" t="n"/>
      <c r="AR447" s="3934" t="n"/>
    </row>
    <row r="448">
      <c r="A448" s="3941" t="n"/>
      <c r="B448" s="3944" t="n"/>
      <c r="C448" s="3944" t="n"/>
      <c r="D448" s="3944" t="n"/>
      <c r="E448" s="3944" t="n"/>
      <c r="F448" s="3944" t="n"/>
      <c r="G448" s="3944" t="n"/>
      <c r="H448" s="3944" t="n"/>
      <c r="I448" s="3944" t="n"/>
      <c r="J448" s="3944" t="n"/>
      <c r="K448" s="3942">
        <f>IF(A448="","",SUM(E448:J448))</f>
        <v/>
      </c>
      <c r="L448" s="3934" t="n"/>
      <c r="M448" s="3934" t="n"/>
      <c r="N448" s="3934" t="n"/>
      <c r="O448" s="3934" t="n"/>
      <c r="P448" s="3934" t="n"/>
      <c r="Q448" s="3934" t="n"/>
      <c r="R448" s="3934" t="n"/>
      <c r="S448" s="3934" t="n"/>
      <c r="T448" s="3934" t="n"/>
      <c r="U448" s="3934" t="n"/>
      <c r="V448" s="3934" t="n"/>
      <c r="W448" s="3934" t="n"/>
      <c r="X448" s="3934" t="n"/>
      <c r="Y448" s="3934" t="n"/>
      <c r="Z448" s="3934" t="n"/>
      <c r="AA448" s="3934" t="n"/>
      <c r="AB448" s="3934" t="n"/>
      <c r="AC448" s="3934" t="n"/>
      <c r="AD448" s="3934" t="n"/>
      <c r="AE448" s="3934" t="n"/>
      <c r="AF448" s="3934" t="n"/>
      <c r="AG448" s="3934" t="n"/>
      <c r="AH448" s="3934" t="n"/>
      <c r="AI448" s="3934" t="n"/>
      <c r="AJ448" s="3934" t="n"/>
      <c r="AK448" s="3934" t="n"/>
      <c r="AL448" s="3934" t="n"/>
      <c r="AM448" s="3934" t="n"/>
      <c r="AN448" s="3934" t="n"/>
      <c r="AO448" s="3934" t="n"/>
      <c r="AP448" s="3934" t="n"/>
      <c r="AQ448" s="3934" t="n"/>
      <c r="AR448" s="3934" t="n"/>
    </row>
    <row r="449">
      <c r="A449" s="3941" t="n"/>
      <c r="B449" s="3944" t="n"/>
      <c r="C449" s="3944" t="n"/>
      <c r="D449" s="3944" t="n"/>
      <c r="E449" s="3944" t="n"/>
      <c r="F449" s="3944" t="n"/>
      <c r="G449" s="3944" t="n"/>
      <c r="H449" s="3944" t="n"/>
      <c r="I449" s="3944" t="n"/>
      <c r="J449" s="3944" t="n"/>
      <c r="K449" s="3942">
        <f>IF(A449="","",SUM(E449:J449))</f>
        <v/>
      </c>
      <c r="L449" s="3934" t="n"/>
      <c r="M449" s="3934" t="n"/>
      <c r="N449" s="3934" t="n"/>
      <c r="O449" s="3934" t="n"/>
      <c r="P449" s="3934" t="n"/>
      <c r="Q449" s="3934" t="n"/>
      <c r="R449" s="3934" t="n"/>
      <c r="S449" s="3934" t="n"/>
      <c r="T449" s="3934" t="n"/>
      <c r="U449" s="3934" t="n"/>
      <c r="V449" s="3934" t="n"/>
      <c r="W449" s="3934" t="n"/>
      <c r="X449" s="3934" t="n"/>
      <c r="Y449" s="3934" t="n"/>
      <c r="Z449" s="3934" t="n"/>
      <c r="AA449" s="3934" t="n"/>
      <c r="AB449" s="3934" t="n"/>
      <c r="AC449" s="3934" t="n"/>
      <c r="AD449" s="3934" t="n"/>
      <c r="AE449" s="3934" t="n"/>
      <c r="AF449" s="3934" t="n"/>
      <c r="AG449" s="3934" t="n"/>
      <c r="AH449" s="3934" t="n"/>
      <c r="AI449" s="3934" t="n"/>
      <c r="AJ449" s="3934" t="n"/>
      <c r="AK449" s="3934" t="n"/>
      <c r="AL449" s="3934" t="n"/>
      <c r="AM449" s="3934" t="n"/>
      <c r="AN449" s="3934" t="n"/>
      <c r="AO449" s="3934" t="n"/>
      <c r="AP449" s="3934" t="n"/>
      <c r="AQ449" s="3934" t="n"/>
      <c r="AR449" s="3934" t="n"/>
    </row>
    <row r="450">
      <c r="A450" s="3941" t="n"/>
      <c r="B450" s="3944" t="n"/>
      <c r="C450" s="3944" t="n"/>
      <c r="D450" s="3944" t="n"/>
      <c r="E450" s="3944" t="n"/>
      <c r="F450" s="3944" t="n"/>
      <c r="G450" s="3944" t="n"/>
      <c r="H450" s="3944" t="n"/>
      <c r="I450" s="3944" t="n"/>
      <c r="J450" s="3944" t="n"/>
      <c r="K450" s="3942">
        <f>IF(A450="","",SUM(E450:J450))</f>
        <v/>
      </c>
      <c r="L450" s="3934" t="n"/>
      <c r="M450" s="3934" t="n"/>
      <c r="N450" s="3934" t="n"/>
      <c r="O450" s="3934" t="n"/>
      <c r="P450" s="3934" t="n"/>
      <c r="Q450" s="3934" t="n"/>
      <c r="R450" s="3934" t="n"/>
      <c r="S450" s="3934" t="n"/>
      <c r="T450" s="3934" t="n"/>
      <c r="U450" s="3934" t="n"/>
      <c r="V450" s="3934" t="n"/>
      <c r="W450" s="3934" t="n"/>
      <c r="X450" s="3934" t="n"/>
      <c r="Y450" s="3934" t="n"/>
      <c r="Z450" s="3934" t="n"/>
      <c r="AA450" s="3934" t="n"/>
      <c r="AB450" s="3934" t="n"/>
      <c r="AC450" s="3934" t="n"/>
      <c r="AD450" s="3934" t="n"/>
      <c r="AE450" s="3934" t="n"/>
      <c r="AF450" s="3934" t="n"/>
      <c r="AG450" s="3934" t="n"/>
      <c r="AH450" s="3934" t="n"/>
      <c r="AI450" s="3934" t="n"/>
      <c r="AJ450" s="3934" t="n"/>
      <c r="AK450" s="3934" t="n"/>
      <c r="AL450" s="3934" t="n"/>
      <c r="AM450" s="3934" t="n"/>
      <c r="AN450" s="3934" t="n"/>
      <c r="AO450" s="3934" t="n"/>
      <c r="AP450" s="3934" t="n"/>
      <c r="AQ450" s="3934" t="n"/>
      <c r="AR450" s="3934" t="n"/>
    </row>
    <row r="451">
      <c r="A451" s="3941" t="n"/>
      <c r="B451" s="3944" t="n"/>
      <c r="C451" s="3944" t="n"/>
      <c r="D451" s="3944" t="n"/>
      <c r="E451" s="3944" t="n"/>
      <c r="F451" s="3944" t="n"/>
      <c r="G451" s="3944" t="n"/>
      <c r="H451" s="3944" t="n"/>
      <c r="I451" s="3944" t="n"/>
      <c r="J451" s="3944" t="n"/>
      <c r="K451" s="3942">
        <f>IF(A451="","",SUM(E451:J451))</f>
        <v/>
      </c>
      <c r="L451" s="3934" t="n"/>
      <c r="M451" s="3934" t="n"/>
      <c r="N451" s="3934" t="n"/>
      <c r="O451" s="3934" t="n"/>
      <c r="P451" s="3934" t="n"/>
      <c r="Q451" s="3934" t="n"/>
      <c r="R451" s="3934" t="n"/>
      <c r="S451" s="3934" t="n"/>
      <c r="T451" s="3934" t="n"/>
      <c r="U451" s="3934" t="n"/>
      <c r="V451" s="3934" t="n"/>
      <c r="W451" s="3934" t="n"/>
      <c r="X451" s="3934" t="n"/>
      <c r="Y451" s="3934" t="n"/>
      <c r="Z451" s="3934" t="n"/>
      <c r="AA451" s="3934" t="n"/>
      <c r="AB451" s="3934" t="n"/>
      <c r="AC451" s="3934" t="n"/>
      <c r="AD451" s="3934" t="n"/>
      <c r="AE451" s="3934" t="n"/>
      <c r="AF451" s="3934" t="n"/>
      <c r="AG451" s="3934" t="n"/>
      <c r="AH451" s="3934" t="n"/>
      <c r="AI451" s="3934" t="n"/>
      <c r="AJ451" s="3934" t="n"/>
      <c r="AK451" s="3934" t="n"/>
      <c r="AL451" s="3934" t="n"/>
      <c r="AM451" s="3934" t="n"/>
      <c r="AN451" s="3934" t="n"/>
      <c r="AO451" s="3934" t="n"/>
      <c r="AP451" s="3934" t="n"/>
      <c r="AQ451" s="3934" t="n"/>
      <c r="AR451" s="3934" t="n"/>
    </row>
    <row r="452">
      <c r="A452" s="3941" t="n"/>
      <c r="B452" s="3944" t="n"/>
      <c r="C452" s="3944" t="n"/>
      <c r="D452" s="3944" t="n"/>
      <c r="E452" s="3944" t="n"/>
      <c r="F452" s="3944" t="n"/>
      <c r="G452" s="3944" t="n"/>
      <c r="H452" s="3944" t="n"/>
      <c r="I452" s="3944" t="n"/>
      <c r="J452" s="3944" t="n"/>
      <c r="K452" s="3942">
        <f>IF(A452="","",SUM(E452:J452))</f>
        <v/>
      </c>
      <c r="L452" s="3934" t="n"/>
      <c r="M452" s="3934" t="n"/>
      <c r="N452" s="3934" t="n"/>
      <c r="O452" s="3934" t="n"/>
      <c r="P452" s="3934" t="n"/>
      <c r="Q452" s="3934" t="n"/>
      <c r="R452" s="3934" t="n"/>
      <c r="S452" s="3934" t="n"/>
      <c r="T452" s="3934" t="n"/>
      <c r="U452" s="3934" t="n"/>
      <c r="V452" s="3934" t="n"/>
      <c r="W452" s="3934" t="n"/>
      <c r="X452" s="3934" t="n"/>
      <c r="Y452" s="3934" t="n"/>
      <c r="Z452" s="3934" t="n"/>
      <c r="AA452" s="3934" t="n"/>
      <c r="AB452" s="3934" t="n"/>
      <c r="AC452" s="3934" t="n"/>
      <c r="AD452" s="3934" t="n"/>
      <c r="AE452" s="3934" t="n"/>
      <c r="AF452" s="3934" t="n"/>
      <c r="AG452" s="3934" t="n"/>
      <c r="AH452" s="3934" t="n"/>
      <c r="AI452" s="3934" t="n"/>
      <c r="AJ452" s="3934" t="n"/>
      <c r="AK452" s="3934" t="n"/>
      <c r="AL452" s="3934" t="n"/>
      <c r="AM452" s="3934" t="n"/>
      <c r="AN452" s="3934" t="n"/>
      <c r="AO452" s="3934" t="n"/>
      <c r="AP452" s="3934" t="n"/>
      <c r="AQ452" s="3934" t="n"/>
      <c r="AR452" s="3934" t="n"/>
    </row>
    <row r="453">
      <c r="A453" s="3941" t="n"/>
      <c r="B453" s="3944" t="n"/>
      <c r="C453" s="3944" t="n"/>
      <c r="D453" s="3944" t="n"/>
      <c r="E453" s="3944" t="n"/>
      <c r="F453" s="3944" t="n"/>
      <c r="G453" s="3944" t="n"/>
      <c r="H453" s="3944" t="n"/>
      <c r="I453" s="3944" t="n"/>
      <c r="J453" s="3944" t="n"/>
      <c r="K453" s="3942">
        <f>IF(A453="","",SUM(E453:J453))</f>
        <v/>
      </c>
      <c r="L453" s="3934" t="n"/>
      <c r="M453" s="3934" t="n"/>
      <c r="N453" s="3934" t="n"/>
      <c r="O453" s="3934" t="n"/>
      <c r="P453" s="3934" t="n"/>
      <c r="Q453" s="3934" t="n"/>
      <c r="R453" s="3934" t="n"/>
      <c r="S453" s="3934" t="n"/>
      <c r="T453" s="3934" t="n"/>
      <c r="U453" s="3934" t="n"/>
      <c r="V453" s="3934" t="n"/>
      <c r="W453" s="3934" t="n"/>
      <c r="X453" s="3934" t="n"/>
      <c r="Y453" s="3934" t="n"/>
      <c r="Z453" s="3934" t="n"/>
      <c r="AA453" s="3934" t="n"/>
      <c r="AB453" s="3934" t="n"/>
      <c r="AC453" s="3934" t="n"/>
      <c r="AD453" s="3934" t="n"/>
      <c r="AE453" s="3934" t="n"/>
      <c r="AF453" s="3934" t="n"/>
      <c r="AG453" s="3934" t="n"/>
      <c r="AH453" s="3934" t="n"/>
      <c r="AI453" s="3934" t="n"/>
      <c r="AJ453" s="3934" t="n"/>
      <c r="AK453" s="3934" t="n"/>
      <c r="AL453" s="3934" t="n"/>
      <c r="AM453" s="3934" t="n"/>
      <c r="AN453" s="3934" t="n"/>
      <c r="AO453" s="3934" t="n"/>
      <c r="AP453" s="3934" t="n"/>
      <c r="AQ453" s="3934" t="n"/>
      <c r="AR453" s="3934" t="n"/>
    </row>
    <row r="454">
      <c r="A454" s="3941" t="n"/>
      <c r="B454" s="3944" t="n"/>
      <c r="C454" s="3944" t="n"/>
      <c r="D454" s="3944" t="n"/>
      <c r="E454" s="3944" t="n"/>
      <c r="F454" s="3944" t="n"/>
      <c r="G454" s="3944" t="n"/>
      <c r="H454" s="3944" t="n"/>
      <c r="I454" s="3944" t="n"/>
      <c r="J454" s="3944" t="n"/>
      <c r="K454" s="3942">
        <f>IF(A454="","",SUM(E454:J454))</f>
        <v/>
      </c>
      <c r="L454" s="3934" t="n"/>
      <c r="M454" s="3934" t="n"/>
      <c r="N454" s="3934" t="n"/>
      <c r="O454" s="3934" t="n"/>
      <c r="P454" s="3934" t="n"/>
      <c r="Q454" s="3934" t="n"/>
      <c r="R454" s="3934" t="n"/>
      <c r="S454" s="3934" t="n"/>
      <c r="T454" s="3934" t="n"/>
      <c r="U454" s="3934" t="n"/>
      <c r="V454" s="3934" t="n"/>
      <c r="W454" s="3934" t="n"/>
      <c r="X454" s="3934" t="n"/>
      <c r="Y454" s="3934" t="n"/>
      <c r="Z454" s="3934" t="n"/>
      <c r="AA454" s="3934" t="n"/>
      <c r="AB454" s="3934" t="n"/>
      <c r="AC454" s="3934" t="n"/>
      <c r="AD454" s="3934" t="n"/>
      <c r="AE454" s="3934" t="n"/>
      <c r="AF454" s="3934" t="n"/>
      <c r="AG454" s="3934" t="n"/>
      <c r="AH454" s="3934" t="n"/>
      <c r="AI454" s="3934" t="n"/>
      <c r="AJ454" s="3934" t="n"/>
      <c r="AK454" s="3934" t="n"/>
      <c r="AL454" s="3934" t="n"/>
      <c r="AM454" s="3934" t="n"/>
      <c r="AN454" s="3934" t="n"/>
      <c r="AO454" s="3934" t="n"/>
      <c r="AP454" s="3934" t="n"/>
      <c r="AQ454" s="3934" t="n"/>
      <c r="AR454" s="3934" t="n"/>
    </row>
    <row r="455">
      <c r="A455" s="3941" t="n"/>
      <c r="B455" s="3944" t="n"/>
      <c r="C455" s="3944" t="n"/>
      <c r="D455" s="3944" t="n"/>
      <c r="E455" s="3944" t="n"/>
      <c r="F455" s="3944" t="n"/>
      <c r="G455" s="3944" t="n"/>
      <c r="H455" s="3944" t="n"/>
      <c r="I455" s="3944" t="n"/>
      <c r="J455" s="3944" t="n"/>
      <c r="K455" s="3942">
        <f>IF(A455="","",SUM(E455:J455))</f>
        <v/>
      </c>
      <c r="L455" s="3934" t="n"/>
      <c r="M455" s="3934" t="n"/>
      <c r="N455" s="3934" t="n"/>
      <c r="O455" s="3934" t="n"/>
      <c r="P455" s="3934" t="n"/>
      <c r="Q455" s="3934" t="n"/>
      <c r="R455" s="3934" t="n"/>
      <c r="S455" s="3934" t="n"/>
      <c r="T455" s="3934" t="n"/>
      <c r="U455" s="3934" t="n"/>
      <c r="V455" s="3934" t="n"/>
      <c r="W455" s="3934" t="n"/>
      <c r="X455" s="3934" t="n"/>
      <c r="Y455" s="3934" t="n"/>
      <c r="Z455" s="3934" t="n"/>
      <c r="AA455" s="3934" t="n"/>
      <c r="AB455" s="3934" t="n"/>
      <c r="AC455" s="3934" t="n"/>
      <c r="AD455" s="3934" t="n"/>
      <c r="AE455" s="3934" t="n"/>
      <c r="AF455" s="3934" t="n"/>
      <c r="AG455" s="3934" t="n"/>
      <c r="AH455" s="3934" t="n"/>
      <c r="AI455" s="3934" t="n"/>
      <c r="AJ455" s="3934" t="n"/>
      <c r="AK455" s="3934" t="n"/>
      <c r="AL455" s="3934" t="n"/>
      <c r="AM455" s="3934" t="n"/>
      <c r="AN455" s="3934" t="n"/>
      <c r="AO455" s="3934" t="n"/>
      <c r="AP455" s="3934" t="n"/>
      <c r="AQ455" s="3934" t="n"/>
      <c r="AR455" s="3934" t="n"/>
    </row>
    <row r="456">
      <c r="A456" s="3941" t="n"/>
      <c r="B456" s="3944" t="n"/>
      <c r="C456" s="3944" t="n"/>
      <c r="D456" s="3944" t="n"/>
      <c r="E456" s="3944" t="n"/>
      <c r="F456" s="3944" t="n"/>
      <c r="G456" s="3944" t="n"/>
      <c r="H456" s="3944" t="n"/>
      <c r="I456" s="3944" t="n"/>
      <c r="J456" s="3944" t="n"/>
      <c r="K456" s="3942">
        <f>IF(A456="","",SUM(E456:J456))</f>
        <v/>
      </c>
      <c r="L456" s="3934" t="n"/>
      <c r="M456" s="3934" t="n"/>
      <c r="N456" s="3934" t="n"/>
      <c r="O456" s="3934" t="n"/>
      <c r="P456" s="3934" t="n"/>
      <c r="Q456" s="3934" t="n"/>
      <c r="R456" s="3934" t="n"/>
      <c r="S456" s="3934" t="n"/>
      <c r="T456" s="3934" t="n"/>
      <c r="U456" s="3934" t="n"/>
      <c r="V456" s="3934" t="n"/>
      <c r="W456" s="3934" t="n"/>
      <c r="X456" s="3934" t="n"/>
      <c r="Y456" s="3934" t="n"/>
      <c r="Z456" s="3934" t="n"/>
      <c r="AA456" s="3934" t="n"/>
      <c r="AB456" s="3934" t="n"/>
      <c r="AC456" s="3934" t="n"/>
      <c r="AD456" s="3934" t="n"/>
      <c r="AE456" s="3934" t="n"/>
      <c r="AF456" s="3934" t="n"/>
      <c r="AG456" s="3934" t="n"/>
      <c r="AH456" s="3934" t="n"/>
      <c r="AI456" s="3934" t="n"/>
      <c r="AJ456" s="3934" t="n"/>
      <c r="AK456" s="3934" t="n"/>
      <c r="AL456" s="3934" t="n"/>
      <c r="AM456" s="3934" t="n"/>
      <c r="AN456" s="3934" t="n"/>
      <c r="AO456" s="3934" t="n"/>
      <c r="AP456" s="3934" t="n"/>
      <c r="AQ456" s="3934" t="n"/>
      <c r="AR456" s="3934" t="n"/>
    </row>
    <row r="457">
      <c r="A457" s="3941" t="n"/>
      <c r="B457" s="3944" t="n"/>
      <c r="C457" s="3944" t="n"/>
      <c r="D457" s="3944" t="n"/>
      <c r="E457" s="3944" t="n"/>
      <c r="F457" s="3944" t="n"/>
      <c r="G457" s="3944" t="n"/>
      <c r="H457" s="3944" t="n"/>
      <c r="I457" s="3944" t="n"/>
      <c r="J457" s="3944" t="n"/>
      <c r="K457" s="3942">
        <f>IF(A457="","",SUM(E457:J457))</f>
        <v/>
      </c>
      <c r="L457" s="3934" t="n"/>
      <c r="M457" s="3934" t="n"/>
      <c r="N457" s="3934" t="n"/>
      <c r="O457" s="3934" t="n"/>
      <c r="P457" s="3934" t="n"/>
      <c r="Q457" s="3934" t="n"/>
      <c r="R457" s="3934" t="n"/>
      <c r="S457" s="3934" t="n"/>
      <c r="T457" s="3934" t="n"/>
      <c r="U457" s="3934" t="n"/>
      <c r="V457" s="3934" t="n"/>
      <c r="W457" s="3934" t="n"/>
      <c r="X457" s="3934" t="n"/>
      <c r="Y457" s="3934" t="n"/>
      <c r="Z457" s="3934" t="n"/>
      <c r="AA457" s="3934" t="n"/>
      <c r="AB457" s="3934" t="n"/>
      <c r="AC457" s="3934" t="n"/>
      <c r="AD457" s="3934" t="n"/>
      <c r="AE457" s="3934" t="n"/>
      <c r="AF457" s="3934" t="n"/>
      <c r="AG457" s="3934" t="n"/>
      <c r="AH457" s="3934" t="n"/>
      <c r="AI457" s="3934" t="n"/>
      <c r="AJ457" s="3934" t="n"/>
      <c r="AK457" s="3934" t="n"/>
      <c r="AL457" s="3934" t="n"/>
      <c r="AM457" s="3934" t="n"/>
      <c r="AN457" s="3934" t="n"/>
      <c r="AO457" s="3934" t="n"/>
      <c r="AP457" s="3934" t="n"/>
      <c r="AQ457" s="3934" t="n"/>
      <c r="AR457" s="3934" t="n"/>
    </row>
    <row r="458">
      <c r="A458" s="3941" t="n"/>
      <c r="B458" s="3944" t="n"/>
      <c r="C458" s="3944" t="n"/>
      <c r="D458" s="3944" t="n"/>
      <c r="E458" s="3944" t="n"/>
      <c r="F458" s="3944" t="n"/>
      <c r="G458" s="3944" t="n"/>
      <c r="H458" s="3944" t="n"/>
      <c r="I458" s="3944" t="n"/>
      <c r="J458" s="3944" t="n"/>
      <c r="K458" s="3942">
        <f>IF(A458="","",SUM(E458:J458))</f>
        <v/>
      </c>
      <c r="L458" s="3934" t="n"/>
      <c r="M458" s="3934" t="n"/>
      <c r="N458" s="3934" t="n"/>
      <c r="O458" s="3934" t="n"/>
      <c r="P458" s="3934" t="n"/>
      <c r="Q458" s="3934" t="n"/>
      <c r="R458" s="3934" t="n"/>
      <c r="S458" s="3934" t="n"/>
      <c r="T458" s="3934" t="n"/>
      <c r="U458" s="3934" t="n"/>
      <c r="V458" s="3934" t="n"/>
      <c r="W458" s="3934" t="n"/>
      <c r="X458" s="3934" t="n"/>
      <c r="Y458" s="3934" t="n"/>
      <c r="Z458" s="3934" t="n"/>
      <c r="AA458" s="3934" t="n"/>
      <c r="AB458" s="3934" t="n"/>
      <c r="AC458" s="3934" t="n"/>
      <c r="AD458" s="3934" t="n"/>
      <c r="AE458" s="3934" t="n"/>
      <c r="AF458" s="3934" t="n"/>
      <c r="AG458" s="3934" t="n"/>
      <c r="AH458" s="3934" t="n"/>
      <c r="AI458" s="3934" t="n"/>
      <c r="AJ458" s="3934" t="n"/>
      <c r="AK458" s="3934" t="n"/>
      <c r="AL458" s="3934" t="n"/>
      <c r="AM458" s="3934" t="n"/>
      <c r="AN458" s="3934" t="n"/>
      <c r="AO458" s="3934" t="n"/>
      <c r="AP458" s="3934" t="n"/>
      <c r="AQ458" s="3934" t="n"/>
      <c r="AR458" s="3934" t="n"/>
    </row>
    <row r="459">
      <c r="A459" s="3941" t="n"/>
      <c r="B459" s="3944" t="n"/>
      <c r="C459" s="3944" t="n"/>
      <c r="D459" s="3944" t="n"/>
      <c r="E459" s="3944" t="n"/>
      <c r="F459" s="3944" t="n"/>
      <c r="G459" s="3944" t="n"/>
      <c r="H459" s="3944" t="n"/>
      <c r="I459" s="3944" t="n"/>
      <c r="J459" s="3944" t="n"/>
      <c r="K459" s="3942">
        <f>IF(A459="","",SUM(E459:J459))</f>
        <v/>
      </c>
      <c r="L459" s="3934" t="n"/>
      <c r="M459" s="3934" t="n"/>
      <c r="N459" s="3934" t="n"/>
      <c r="O459" s="3934" t="n"/>
      <c r="P459" s="3934" t="n"/>
      <c r="Q459" s="3934" t="n"/>
      <c r="R459" s="3934" t="n"/>
      <c r="S459" s="3934" t="n"/>
      <c r="T459" s="3934" t="n"/>
      <c r="U459" s="3934" t="n"/>
      <c r="V459" s="3934" t="n"/>
      <c r="W459" s="3934" t="n"/>
      <c r="X459" s="3934" t="n"/>
      <c r="Y459" s="3934" t="n"/>
      <c r="Z459" s="3934" t="n"/>
      <c r="AA459" s="3934" t="n"/>
      <c r="AB459" s="3934" t="n"/>
      <c r="AC459" s="3934" t="n"/>
      <c r="AD459" s="3934" t="n"/>
      <c r="AE459" s="3934" t="n"/>
      <c r="AF459" s="3934" t="n"/>
      <c r="AG459" s="3934" t="n"/>
      <c r="AH459" s="3934" t="n"/>
      <c r="AI459" s="3934" t="n"/>
      <c r="AJ459" s="3934" t="n"/>
      <c r="AK459" s="3934" t="n"/>
      <c r="AL459" s="3934" t="n"/>
      <c r="AM459" s="3934" t="n"/>
      <c r="AN459" s="3934" t="n"/>
      <c r="AO459" s="3934" t="n"/>
      <c r="AP459" s="3934" t="n"/>
      <c r="AQ459" s="3934" t="n"/>
      <c r="AR459" s="3934" t="n"/>
    </row>
    <row r="460">
      <c r="A460" s="3941" t="n"/>
      <c r="B460" s="3944" t="n"/>
      <c r="C460" s="3944" t="n"/>
      <c r="D460" s="3944" t="n"/>
      <c r="E460" s="3944" t="n"/>
      <c r="F460" s="3944" t="n"/>
      <c r="G460" s="3944" t="n"/>
      <c r="H460" s="3944" t="n"/>
      <c r="I460" s="3944" t="n"/>
      <c r="J460" s="3944" t="n"/>
      <c r="K460" s="3942">
        <f>IF(A460="","",SUM(E460:J460))</f>
        <v/>
      </c>
      <c r="L460" s="3934" t="n"/>
      <c r="M460" s="3934" t="n"/>
      <c r="N460" s="3934" t="n"/>
      <c r="O460" s="3934" t="n"/>
      <c r="P460" s="3934" t="n"/>
      <c r="Q460" s="3934" t="n"/>
      <c r="R460" s="3934" t="n"/>
      <c r="S460" s="3934" t="n"/>
      <c r="T460" s="3934" t="n"/>
      <c r="U460" s="3934" t="n"/>
      <c r="V460" s="3934" t="n"/>
      <c r="W460" s="3934" t="n"/>
      <c r="X460" s="3934" t="n"/>
      <c r="Y460" s="3934" t="n"/>
      <c r="Z460" s="3934" t="n"/>
      <c r="AA460" s="3934" t="n"/>
      <c r="AB460" s="3934" t="n"/>
      <c r="AC460" s="3934" t="n"/>
      <c r="AD460" s="3934" t="n"/>
      <c r="AE460" s="3934" t="n"/>
      <c r="AF460" s="3934" t="n"/>
      <c r="AG460" s="3934" t="n"/>
      <c r="AH460" s="3934" t="n"/>
      <c r="AI460" s="3934" t="n"/>
      <c r="AJ460" s="3934" t="n"/>
      <c r="AK460" s="3934" t="n"/>
      <c r="AL460" s="3934" t="n"/>
      <c r="AM460" s="3934" t="n"/>
      <c r="AN460" s="3934" t="n"/>
      <c r="AO460" s="3934" t="n"/>
      <c r="AP460" s="3934" t="n"/>
      <c r="AQ460" s="3934" t="n"/>
      <c r="AR460" s="3934" t="n"/>
    </row>
    <row r="461">
      <c r="A461" s="3941" t="n"/>
      <c r="B461" s="3944" t="n"/>
      <c r="C461" s="3944" t="n"/>
      <c r="D461" s="3944" t="n"/>
      <c r="E461" s="3944" t="n"/>
      <c r="F461" s="3944" t="n"/>
      <c r="G461" s="3944" t="n"/>
      <c r="H461" s="3944" t="n"/>
      <c r="I461" s="3944" t="n"/>
      <c r="J461" s="3944" t="n"/>
      <c r="K461" s="3942">
        <f>IF(A461="","",SUM(E461:J461))</f>
        <v/>
      </c>
      <c r="L461" s="3934" t="n"/>
      <c r="M461" s="3934" t="n"/>
      <c r="N461" s="3934" t="n"/>
      <c r="O461" s="3934" t="n"/>
      <c r="P461" s="3934" t="n"/>
      <c r="Q461" s="3934" t="n"/>
      <c r="R461" s="3934" t="n"/>
      <c r="S461" s="3934" t="n"/>
      <c r="T461" s="3934" t="n"/>
      <c r="U461" s="3934" t="n"/>
      <c r="V461" s="3934" t="n"/>
      <c r="W461" s="3934" t="n"/>
      <c r="X461" s="3934" t="n"/>
      <c r="Y461" s="3934" t="n"/>
      <c r="Z461" s="3934" t="n"/>
      <c r="AA461" s="3934" t="n"/>
      <c r="AB461" s="3934" t="n"/>
      <c r="AC461" s="3934" t="n"/>
      <c r="AD461" s="3934" t="n"/>
      <c r="AE461" s="3934" t="n"/>
      <c r="AF461" s="3934" t="n"/>
      <c r="AG461" s="3934" t="n"/>
      <c r="AH461" s="3934" t="n"/>
      <c r="AI461" s="3934" t="n"/>
      <c r="AJ461" s="3934" t="n"/>
      <c r="AK461" s="3934" t="n"/>
      <c r="AL461" s="3934" t="n"/>
      <c r="AM461" s="3934" t="n"/>
      <c r="AN461" s="3934" t="n"/>
      <c r="AO461" s="3934" t="n"/>
      <c r="AP461" s="3934" t="n"/>
      <c r="AQ461" s="3934" t="n"/>
      <c r="AR461" s="3934" t="n"/>
    </row>
    <row r="462">
      <c r="A462" s="3941" t="n"/>
      <c r="B462" s="3944" t="n"/>
      <c r="C462" s="3944" t="n"/>
      <c r="D462" s="3944" t="n"/>
      <c r="E462" s="3944" t="n"/>
      <c r="F462" s="3944" t="n"/>
      <c r="G462" s="3944" t="n"/>
      <c r="H462" s="3944" t="n"/>
      <c r="I462" s="3944" t="n"/>
      <c r="J462" s="3944" t="n"/>
      <c r="K462" s="3942">
        <f>IF(A462="","",SUM(E462:J462))</f>
        <v/>
      </c>
      <c r="L462" s="3934" t="n"/>
      <c r="M462" s="3934" t="n"/>
      <c r="N462" s="3934" t="n"/>
      <c r="O462" s="3934" t="n"/>
      <c r="P462" s="3934" t="n"/>
      <c r="Q462" s="3934" t="n"/>
      <c r="R462" s="3934" t="n"/>
      <c r="S462" s="3934" t="n"/>
      <c r="T462" s="3934" t="n"/>
      <c r="U462" s="3934" t="n"/>
      <c r="V462" s="3934" t="n"/>
      <c r="W462" s="3934" t="n"/>
      <c r="X462" s="3934" t="n"/>
      <c r="Y462" s="3934" t="n"/>
      <c r="Z462" s="3934" t="n"/>
      <c r="AA462" s="3934" t="n"/>
      <c r="AB462" s="3934" t="n"/>
      <c r="AC462" s="3934" t="n"/>
      <c r="AD462" s="3934" t="n"/>
      <c r="AE462" s="3934" t="n"/>
      <c r="AF462" s="3934" t="n"/>
      <c r="AG462" s="3934" t="n"/>
      <c r="AH462" s="3934" t="n"/>
      <c r="AI462" s="3934" t="n"/>
      <c r="AJ462" s="3934" t="n"/>
      <c r="AK462" s="3934" t="n"/>
      <c r="AL462" s="3934" t="n"/>
      <c r="AM462" s="3934" t="n"/>
      <c r="AN462" s="3934" t="n"/>
      <c r="AO462" s="3934" t="n"/>
      <c r="AP462" s="3934" t="n"/>
      <c r="AQ462" s="3934" t="n"/>
      <c r="AR462" s="3934" t="n"/>
    </row>
    <row r="463">
      <c r="A463" s="3941" t="n"/>
      <c r="B463" s="3944" t="n"/>
      <c r="C463" s="3944" t="n"/>
      <c r="D463" s="3944" t="n"/>
      <c r="E463" s="3944" t="n"/>
      <c r="F463" s="3944" t="n"/>
      <c r="G463" s="3944" t="n"/>
      <c r="H463" s="3944" t="n"/>
      <c r="I463" s="3944" t="n"/>
      <c r="J463" s="3944" t="n"/>
      <c r="K463" s="3942">
        <f>IF(A463="","",SUM(E463:J463))</f>
        <v/>
      </c>
      <c r="L463" s="3934" t="n"/>
      <c r="M463" s="3934" t="n"/>
      <c r="N463" s="3934" t="n"/>
      <c r="O463" s="3934" t="n"/>
      <c r="P463" s="3934" t="n"/>
      <c r="Q463" s="3934" t="n"/>
      <c r="R463" s="3934" t="n"/>
      <c r="S463" s="3934" t="n"/>
      <c r="T463" s="3934" t="n"/>
      <c r="U463" s="3934" t="n"/>
      <c r="V463" s="3934" t="n"/>
      <c r="W463" s="3934" t="n"/>
      <c r="X463" s="3934" t="n"/>
      <c r="Y463" s="3934" t="n"/>
      <c r="Z463" s="3934" t="n"/>
      <c r="AA463" s="3934" t="n"/>
      <c r="AB463" s="3934" t="n"/>
      <c r="AC463" s="3934" t="n"/>
      <c r="AD463" s="3934" t="n"/>
      <c r="AE463" s="3934" t="n"/>
      <c r="AF463" s="3934" t="n"/>
      <c r="AG463" s="3934" t="n"/>
      <c r="AH463" s="3934" t="n"/>
      <c r="AI463" s="3934" t="n"/>
      <c r="AJ463" s="3934" t="n"/>
      <c r="AK463" s="3934" t="n"/>
      <c r="AL463" s="3934" t="n"/>
      <c r="AM463" s="3934" t="n"/>
      <c r="AN463" s="3934" t="n"/>
      <c r="AO463" s="3934" t="n"/>
      <c r="AP463" s="3934" t="n"/>
      <c r="AQ463" s="3934" t="n"/>
      <c r="AR463" s="3934" t="n"/>
    </row>
    <row r="464">
      <c r="A464" s="3941" t="n"/>
      <c r="B464" s="3944" t="n"/>
      <c r="C464" s="3944" t="n"/>
      <c r="D464" s="3944" t="n"/>
      <c r="E464" s="3944" t="n"/>
      <c r="F464" s="3944" t="n"/>
      <c r="G464" s="3944" t="n"/>
      <c r="H464" s="3944" t="n"/>
      <c r="I464" s="3944" t="n"/>
      <c r="J464" s="3944" t="n"/>
      <c r="K464" s="3942">
        <f>IF(A464="","",SUM(E464:J464))</f>
        <v/>
      </c>
      <c r="L464" s="3934" t="n"/>
      <c r="M464" s="3934" t="n"/>
      <c r="N464" s="3934" t="n"/>
      <c r="O464" s="3934" t="n"/>
      <c r="P464" s="3934" t="n"/>
      <c r="Q464" s="3934" t="n"/>
      <c r="R464" s="3934" t="n"/>
      <c r="S464" s="3934" t="n"/>
      <c r="T464" s="3934" t="n"/>
      <c r="U464" s="3934" t="n"/>
      <c r="V464" s="3934" t="n"/>
      <c r="W464" s="3934" t="n"/>
      <c r="X464" s="3934" t="n"/>
      <c r="Y464" s="3934" t="n"/>
      <c r="Z464" s="3934" t="n"/>
      <c r="AA464" s="3934" t="n"/>
      <c r="AB464" s="3934" t="n"/>
      <c r="AC464" s="3934" t="n"/>
      <c r="AD464" s="3934" t="n"/>
      <c r="AE464" s="3934" t="n"/>
      <c r="AF464" s="3934" t="n"/>
      <c r="AG464" s="3934" t="n"/>
      <c r="AH464" s="3934" t="n"/>
      <c r="AI464" s="3934" t="n"/>
      <c r="AJ464" s="3934" t="n"/>
      <c r="AK464" s="3934" t="n"/>
      <c r="AL464" s="3934" t="n"/>
      <c r="AM464" s="3934" t="n"/>
      <c r="AN464" s="3934" t="n"/>
      <c r="AO464" s="3934" t="n"/>
      <c r="AP464" s="3934" t="n"/>
      <c r="AQ464" s="3934" t="n"/>
      <c r="AR464" s="3934" t="n"/>
    </row>
    <row r="465">
      <c r="A465" s="3941" t="n"/>
      <c r="B465" s="3944" t="n"/>
      <c r="C465" s="3944" t="n"/>
      <c r="D465" s="3944" t="n"/>
      <c r="E465" s="3944" t="n"/>
      <c r="F465" s="3944" t="n"/>
      <c r="G465" s="3944" t="n"/>
      <c r="H465" s="3944" t="n"/>
      <c r="I465" s="3944" t="n"/>
      <c r="J465" s="3944" t="n"/>
      <c r="K465" s="3942">
        <f>IF(A465="","",SUM(E465:J465))</f>
        <v/>
      </c>
      <c r="L465" s="3934" t="n"/>
      <c r="M465" s="3934" t="n"/>
      <c r="N465" s="3934" t="n"/>
      <c r="O465" s="3934" t="n"/>
      <c r="P465" s="3934" t="n"/>
      <c r="Q465" s="3934" t="n"/>
      <c r="R465" s="3934" t="n"/>
      <c r="S465" s="3934" t="n"/>
      <c r="T465" s="3934" t="n"/>
      <c r="U465" s="3934" t="n"/>
      <c r="V465" s="3934" t="n"/>
      <c r="W465" s="3934" t="n"/>
      <c r="X465" s="3934" t="n"/>
      <c r="Y465" s="3934" t="n"/>
      <c r="Z465" s="3934" t="n"/>
      <c r="AA465" s="3934" t="n"/>
      <c r="AB465" s="3934" t="n"/>
      <c r="AC465" s="3934" t="n"/>
      <c r="AD465" s="3934" t="n"/>
      <c r="AE465" s="3934" t="n"/>
      <c r="AF465" s="3934" t="n"/>
      <c r="AG465" s="3934" t="n"/>
      <c r="AH465" s="3934" t="n"/>
      <c r="AI465" s="3934" t="n"/>
      <c r="AJ465" s="3934" t="n"/>
      <c r="AK465" s="3934" t="n"/>
      <c r="AL465" s="3934" t="n"/>
      <c r="AM465" s="3934" t="n"/>
      <c r="AN465" s="3934" t="n"/>
      <c r="AO465" s="3934" t="n"/>
      <c r="AP465" s="3934" t="n"/>
      <c r="AQ465" s="3934" t="n"/>
      <c r="AR465" s="3934" t="n"/>
    </row>
    <row r="466">
      <c r="A466" s="3941" t="n"/>
      <c r="B466" s="3944" t="n"/>
      <c r="C466" s="3944" t="n"/>
      <c r="D466" s="3944" t="n"/>
      <c r="E466" s="3944" t="n"/>
      <c r="F466" s="3944" t="n"/>
      <c r="G466" s="3944" t="n"/>
      <c r="H466" s="3944" t="n"/>
      <c r="I466" s="3944" t="n"/>
      <c r="J466" s="3944" t="n"/>
      <c r="K466" s="3942">
        <f>IF(A466="","",SUM(E466:J466))</f>
        <v/>
      </c>
      <c r="L466" s="3934" t="n"/>
      <c r="M466" s="3934" t="n"/>
      <c r="N466" s="3934" t="n"/>
      <c r="O466" s="3934" t="n"/>
      <c r="P466" s="3934" t="n"/>
      <c r="Q466" s="3934" t="n"/>
      <c r="R466" s="3934" t="n"/>
      <c r="S466" s="3934" t="n"/>
      <c r="T466" s="3934" t="n"/>
      <c r="U466" s="3934" t="n"/>
      <c r="V466" s="3934" t="n"/>
      <c r="W466" s="3934" t="n"/>
      <c r="X466" s="3934" t="n"/>
      <c r="Y466" s="3934" t="n"/>
      <c r="Z466" s="3934" t="n"/>
      <c r="AA466" s="3934" t="n"/>
      <c r="AB466" s="3934" t="n"/>
      <c r="AC466" s="3934" t="n"/>
      <c r="AD466" s="3934" t="n"/>
      <c r="AE466" s="3934" t="n"/>
      <c r="AF466" s="3934" t="n"/>
      <c r="AG466" s="3934" t="n"/>
      <c r="AH466" s="3934" t="n"/>
      <c r="AI466" s="3934" t="n"/>
      <c r="AJ466" s="3934" t="n"/>
      <c r="AK466" s="3934" t="n"/>
      <c r="AL466" s="3934" t="n"/>
      <c r="AM466" s="3934" t="n"/>
      <c r="AN466" s="3934" t="n"/>
      <c r="AO466" s="3934" t="n"/>
      <c r="AP466" s="3934" t="n"/>
      <c r="AQ466" s="3934" t="n"/>
      <c r="AR466" s="3934" t="n"/>
    </row>
    <row r="467">
      <c r="A467" s="3941" t="n"/>
      <c r="B467" s="3944" t="n"/>
      <c r="C467" s="3944" t="n"/>
      <c r="D467" s="3944" t="n"/>
      <c r="E467" s="3944" t="n"/>
      <c r="F467" s="3944" t="n"/>
      <c r="G467" s="3944" t="n"/>
      <c r="H467" s="3944" t="n"/>
      <c r="I467" s="3944" t="n"/>
      <c r="J467" s="3944" t="n"/>
      <c r="K467" s="3942">
        <f>IF(A467="","",SUM(E467:J467))</f>
        <v/>
      </c>
      <c r="L467" s="3934" t="n"/>
      <c r="M467" s="3934" t="n"/>
      <c r="N467" s="3934" t="n"/>
      <c r="O467" s="3934" t="n"/>
      <c r="P467" s="3934" t="n"/>
      <c r="Q467" s="3934" t="n"/>
      <c r="R467" s="3934" t="n"/>
      <c r="S467" s="3934" t="n"/>
      <c r="T467" s="3934" t="n"/>
      <c r="U467" s="3934" t="n"/>
      <c r="V467" s="3934" t="n"/>
      <c r="W467" s="3934" t="n"/>
      <c r="X467" s="3934" t="n"/>
      <c r="Y467" s="3934" t="n"/>
      <c r="Z467" s="3934" t="n"/>
      <c r="AA467" s="3934" t="n"/>
      <c r="AB467" s="3934" t="n"/>
      <c r="AC467" s="3934" t="n"/>
      <c r="AD467" s="3934" t="n"/>
      <c r="AE467" s="3934" t="n"/>
      <c r="AF467" s="3934" t="n"/>
      <c r="AG467" s="3934" t="n"/>
      <c r="AH467" s="3934" t="n"/>
      <c r="AI467" s="3934" t="n"/>
      <c r="AJ467" s="3934" t="n"/>
      <c r="AK467" s="3934" t="n"/>
      <c r="AL467" s="3934" t="n"/>
      <c r="AM467" s="3934" t="n"/>
      <c r="AN467" s="3934" t="n"/>
      <c r="AO467" s="3934" t="n"/>
      <c r="AP467" s="3934" t="n"/>
      <c r="AQ467" s="3934" t="n"/>
      <c r="AR467" s="3934" t="n"/>
    </row>
    <row r="468">
      <c r="A468" s="3941" t="n"/>
      <c r="B468" s="3944" t="n"/>
      <c r="C468" s="3944" t="n"/>
      <c r="D468" s="3944" t="n"/>
      <c r="E468" s="3944" t="n"/>
      <c r="F468" s="3944" t="n"/>
      <c r="G468" s="3944" t="n"/>
      <c r="H468" s="3944" t="n"/>
      <c r="I468" s="3944" t="n"/>
      <c r="J468" s="3944" t="n"/>
      <c r="K468" s="3942">
        <f>IF(A468="","",SUM(E468:J468))</f>
        <v/>
      </c>
      <c r="L468" s="3934" t="n"/>
      <c r="M468" s="3934" t="n"/>
      <c r="N468" s="3934" t="n"/>
      <c r="O468" s="3934" t="n"/>
      <c r="P468" s="3934" t="n"/>
      <c r="Q468" s="3934" t="n"/>
      <c r="R468" s="3934" t="n"/>
      <c r="S468" s="3934" t="n"/>
      <c r="T468" s="3934" t="n"/>
      <c r="U468" s="3934" t="n"/>
      <c r="V468" s="3934" t="n"/>
      <c r="W468" s="3934" t="n"/>
      <c r="X468" s="3934" t="n"/>
      <c r="Y468" s="3934" t="n"/>
      <c r="Z468" s="3934" t="n"/>
      <c r="AA468" s="3934" t="n"/>
      <c r="AB468" s="3934" t="n"/>
      <c r="AC468" s="3934" t="n"/>
      <c r="AD468" s="3934" t="n"/>
      <c r="AE468" s="3934" t="n"/>
      <c r="AF468" s="3934" t="n"/>
      <c r="AG468" s="3934" t="n"/>
      <c r="AH468" s="3934" t="n"/>
      <c r="AI468" s="3934" t="n"/>
      <c r="AJ468" s="3934" t="n"/>
      <c r="AK468" s="3934" t="n"/>
      <c r="AL468" s="3934" t="n"/>
      <c r="AM468" s="3934" t="n"/>
      <c r="AN468" s="3934" t="n"/>
      <c r="AO468" s="3934" t="n"/>
      <c r="AP468" s="3934" t="n"/>
      <c r="AQ468" s="3934" t="n"/>
      <c r="AR468" s="3934" t="n"/>
    </row>
    <row r="469">
      <c r="A469" s="3941" t="n"/>
      <c r="B469" s="3944" t="n"/>
      <c r="C469" s="3944" t="n"/>
      <c r="D469" s="3944" t="n"/>
      <c r="E469" s="3944" t="n"/>
      <c r="F469" s="3944" t="n"/>
      <c r="G469" s="3944" t="n"/>
      <c r="H469" s="3944" t="n"/>
      <c r="I469" s="3944" t="n"/>
      <c r="J469" s="3944" t="n"/>
      <c r="K469" s="3942">
        <f>IF(A469="","",SUM(E469:J469))</f>
        <v/>
      </c>
      <c r="L469" s="3934" t="n"/>
      <c r="M469" s="3934" t="n"/>
      <c r="N469" s="3934" t="n"/>
      <c r="O469" s="3934" t="n"/>
      <c r="P469" s="3934" t="n"/>
      <c r="Q469" s="3934" t="n"/>
      <c r="R469" s="3934" t="n"/>
      <c r="S469" s="3934" t="n"/>
      <c r="T469" s="3934" t="n"/>
      <c r="U469" s="3934" t="n"/>
      <c r="V469" s="3934" t="n"/>
      <c r="W469" s="3934" t="n"/>
      <c r="X469" s="3934" t="n"/>
      <c r="Y469" s="3934" t="n"/>
      <c r="Z469" s="3934" t="n"/>
      <c r="AA469" s="3934" t="n"/>
      <c r="AB469" s="3934" t="n"/>
      <c r="AC469" s="3934" t="n"/>
      <c r="AD469" s="3934" t="n"/>
      <c r="AE469" s="3934" t="n"/>
      <c r="AF469" s="3934" t="n"/>
      <c r="AG469" s="3934" t="n"/>
      <c r="AH469" s="3934" t="n"/>
      <c r="AI469" s="3934" t="n"/>
      <c r="AJ469" s="3934" t="n"/>
      <c r="AK469" s="3934" t="n"/>
      <c r="AL469" s="3934" t="n"/>
      <c r="AM469" s="3934" t="n"/>
      <c r="AN469" s="3934" t="n"/>
      <c r="AO469" s="3934" t="n"/>
      <c r="AP469" s="3934" t="n"/>
      <c r="AQ469" s="3934" t="n"/>
      <c r="AR469" s="3934" t="n"/>
    </row>
    <row r="470">
      <c r="A470" s="3941" t="n"/>
      <c r="B470" s="3944" t="n"/>
      <c r="C470" s="3944" t="n"/>
      <c r="D470" s="3944" t="n"/>
      <c r="E470" s="3944" t="n"/>
      <c r="F470" s="3944" t="n"/>
      <c r="G470" s="3944" t="n"/>
      <c r="H470" s="3944" t="n"/>
      <c r="I470" s="3944" t="n"/>
      <c r="J470" s="3944" t="n"/>
      <c r="K470" s="3942">
        <f>IF(A470="","",SUM(E470:J470))</f>
        <v/>
      </c>
      <c r="L470" s="3934" t="n"/>
      <c r="M470" s="3934" t="n"/>
      <c r="N470" s="3934" t="n"/>
      <c r="O470" s="3934" t="n"/>
      <c r="P470" s="3934" t="n"/>
      <c r="Q470" s="3934" t="n"/>
      <c r="R470" s="3934" t="n"/>
      <c r="S470" s="3934" t="n"/>
      <c r="T470" s="3934" t="n"/>
      <c r="U470" s="3934" t="n"/>
      <c r="V470" s="3934" t="n"/>
      <c r="W470" s="3934" t="n"/>
      <c r="X470" s="3934" t="n"/>
      <c r="Y470" s="3934" t="n"/>
      <c r="Z470" s="3934" t="n"/>
      <c r="AA470" s="3934" t="n"/>
      <c r="AB470" s="3934" t="n"/>
      <c r="AC470" s="3934" t="n"/>
      <c r="AD470" s="3934" t="n"/>
      <c r="AE470" s="3934" t="n"/>
      <c r="AF470" s="3934" t="n"/>
      <c r="AG470" s="3934" t="n"/>
      <c r="AH470" s="3934" t="n"/>
      <c r="AI470" s="3934" t="n"/>
      <c r="AJ470" s="3934" t="n"/>
      <c r="AK470" s="3934" t="n"/>
      <c r="AL470" s="3934" t="n"/>
      <c r="AM470" s="3934" t="n"/>
      <c r="AN470" s="3934" t="n"/>
      <c r="AO470" s="3934" t="n"/>
      <c r="AP470" s="3934" t="n"/>
      <c r="AQ470" s="3934" t="n"/>
      <c r="AR470" s="3934" t="n"/>
    </row>
    <row r="471">
      <c r="A471" s="3941" t="n"/>
      <c r="B471" s="3944" t="n"/>
      <c r="C471" s="3944" t="n"/>
      <c r="D471" s="3944" t="n"/>
      <c r="E471" s="3944" t="n"/>
      <c r="F471" s="3944" t="n"/>
      <c r="G471" s="3944" t="n"/>
      <c r="H471" s="3944" t="n"/>
      <c r="I471" s="3944" t="n"/>
      <c r="J471" s="3944" t="n"/>
      <c r="K471" s="3942">
        <f>IF(A471="","",SUM(E471:J471))</f>
        <v/>
      </c>
      <c r="L471" s="3934" t="n"/>
      <c r="M471" s="3934" t="n"/>
      <c r="N471" s="3934" t="n"/>
      <c r="O471" s="3934" t="n"/>
      <c r="P471" s="3934" t="n"/>
      <c r="Q471" s="3934" t="n"/>
      <c r="R471" s="3934" t="n"/>
      <c r="S471" s="3934" t="n"/>
      <c r="T471" s="3934" t="n"/>
      <c r="U471" s="3934" t="n"/>
      <c r="V471" s="3934" t="n"/>
      <c r="W471" s="3934" t="n"/>
      <c r="X471" s="3934" t="n"/>
      <c r="Y471" s="3934" t="n"/>
      <c r="Z471" s="3934" t="n"/>
      <c r="AA471" s="3934" t="n"/>
      <c r="AB471" s="3934" t="n"/>
      <c r="AC471" s="3934" t="n"/>
      <c r="AD471" s="3934" t="n"/>
      <c r="AE471" s="3934" t="n"/>
      <c r="AF471" s="3934" t="n"/>
      <c r="AG471" s="3934" t="n"/>
      <c r="AH471" s="3934" t="n"/>
      <c r="AI471" s="3934" t="n"/>
      <c r="AJ471" s="3934" t="n"/>
      <c r="AK471" s="3934" t="n"/>
      <c r="AL471" s="3934" t="n"/>
      <c r="AM471" s="3934" t="n"/>
      <c r="AN471" s="3934" t="n"/>
      <c r="AO471" s="3934" t="n"/>
      <c r="AP471" s="3934" t="n"/>
      <c r="AQ471" s="3934" t="n"/>
      <c r="AR471" s="3934" t="n"/>
    </row>
    <row r="472">
      <c r="A472" s="3941" t="n"/>
      <c r="B472" s="3944" t="n"/>
      <c r="C472" s="3944" t="n"/>
      <c r="D472" s="3944" t="n"/>
      <c r="E472" s="3944" t="n"/>
      <c r="F472" s="3944" t="n"/>
      <c r="G472" s="3944" t="n"/>
      <c r="H472" s="3944" t="n"/>
      <c r="I472" s="3944" t="n"/>
      <c r="J472" s="3944" t="n"/>
      <c r="K472" s="3942">
        <f>IF(A472="","",SUM(E472:J472))</f>
        <v/>
      </c>
      <c r="L472" s="3934" t="n"/>
      <c r="M472" s="3934" t="n"/>
      <c r="N472" s="3934" t="n"/>
      <c r="O472" s="3934" t="n"/>
      <c r="P472" s="3934" t="n"/>
      <c r="Q472" s="3934" t="n"/>
      <c r="R472" s="3934" t="n"/>
      <c r="S472" s="3934" t="n"/>
      <c r="T472" s="3934" t="n"/>
      <c r="U472" s="3934" t="n"/>
      <c r="V472" s="3934" t="n"/>
      <c r="W472" s="3934" t="n"/>
      <c r="X472" s="3934" t="n"/>
      <c r="Y472" s="3934" t="n"/>
      <c r="Z472" s="3934" t="n"/>
      <c r="AA472" s="3934" t="n"/>
      <c r="AB472" s="3934" t="n"/>
      <c r="AC472" s="3934" t="n"/>
      <c r="AD472" s="3934" t="n"/>
      <c r="AE472" s="3934" t="n"/>
      <c r="AF472" s="3934" t="n"/>
      <c r="AG472" s="3934" t="n"/>
      <c r="AH472" s="3934" t="n"/>
      <c r="AI472" s="3934" t="n"/>
      <c r="AJ472" s="3934" t="n"/>
      <c r="AK472" s="3934" t="n"/>
      <c r="AL472" s="3934" t="n"/>
      <c r="AM472" s="3934" t="n"/>
      <c r="AN472" s="3934" t="n"/>
      <c r="AO472" s="3934" t="n"/>
      <c r="AP472" s="3934" t="n"/>
      <c r="AQ472" s="3934" t="n"/>
      <c r="AR472" s="3934" t="n"/>
    </row>
    <row r="473">
      <c r="A473" s="3941" t="n"/>
      <c r="B473" s="3944" t="n"/>
      <c r="C473" s="3944" t="n"/>
      <c r="D473" s="3944" t="n"/>
      <c r="E473" s="3944" t="n"/>
      <c r="F473" s="3944" t="n"/>
      <c r="G473" s="3944" t="n"/>
      <c r="H473" s="3944" t="n"/>
      <c r="I473" s="3944" t="n"/>
      <c r="J473" s="3944" t="n"/>
      <c r="K473" s="3942">
        <f>IF(A473="","",SUM(E473:J473))</f>
        <v/>
      </c>
      <c r="L473" s="3934" t="n"/>
      <c r="M473" s="3934" t="n"/>
      <c r="N473" s="3934" t="n"/>
      <c r="O473" s="3934" t="n"/>
      <c r="P473" s="3934" t="n"/>
      <c r="Q473" s="3934" t="n"/>
      <c r="R473" s="3934" t="n"/>
      <c r="S473" s="3934" t="n"/>
      <c r="T473" s="3934" t="n"/>
      <c r="U473" s="3934" t="n"/>
      <c r="V473" s="3934" t="n"/>
      <c r="W473" s="3934" t="n"/>
      <c r="X473" s="3934" t="n"/>
      <c r="Y473" s="3934" t="n"/>
      <c r="Z473" s="3934" t="n"/>
      <c r="AA473" s="3934" t="n"/>
      <c r="AB473" s="3934" t="n"/>
      <c r="AC473" s="3934" t="n"/>
      <c r="AD473" s="3934" t="n"/>
      <c r="AE473" s="3934" t="n"/>
      <c r="AF473" s="3934" t="n"/>
      <c r="AG473" s="3934" t="n"/>
      <c r="AH473" s="3934" t="n"/>
      <c r="AI473" s="3934" t="n"/>
      <c r="AJ473" s="3934" t="n"/>
      <c r="AK473" s="3934" t="n"/>
      <c r="AL473" s="3934" t="n"/>
      <c r="AM473" s="3934" t="n"/>
      <c r="AN473" s="3934" t="n"/>
      <c r="AO473" s="3934" t="n"/>
      <c r="AP473" s="3934" t="n"/>
      <c r="AQ473" s="3934" t="n"/>
      <c r="AR473" s="3934" t="n"/>
    </row>
    <row r="474">
      <c r="A474" s="3941" t="n"/>
      <c r="B474" s="3944" t="n"/>
      <c r="C474" s="3944" t="n"/>
      <c r="D474" s="3944" t="n"/>
      <c r="E474" s="3944" t="n"/>
      <c r="F474" s="3944" t="n"/>
      <c r="G474" s="3944" t="n"/>
      <c r="H474" s="3944" t="n"/>
      <c r="I474" s="3944" t="n"/>
      <c r="J474" s="3944" t="n"/>
      <c r="K474" s="3942">
        <f>IF(A474="","",SUM(E474:J474))</f>
        <v/>
      </c>
      <c r="L474" s="3934" t="n"/>
      <c r="M474" s="3934" t="n"/>
      <c r="N474" s="3934" t="n"/>
      <c r="O474" s="3934" t="n"/>
      <c r="P474" s="3934" t="n"/>
      <c r="Q474" s="3934" t="n"/>
      <c r="R474" s="3934" t="n"/>
      <c r="S474" s="3934" t="n"/>
      <c r="T474" s="3934" t="n"/>
      <c r="U474" s="3934" t="n"/>
      <c r="V474" s="3934" t="n"/>
      <c r="W474" s="3934" t="n"/>
      <c r="X474" s="3934" t="n"/>
      <c r="Y474" s="3934" t="n"/>
      <c r="Z474" s="3934" t="n"/>
      <c r="AA474" s="3934" t="n"/>
      <c r="AB474" s="3934" t="n"/>
      <c r="AC474" s="3934" t="n"/>
      <c r="AD474" s="3934" t="n"/>
      <c r="AE474" s="3934" t="n"/>
      <c r="AF474" s="3934" t="n"/>
      <c r="AG474" s="3934" t="n"/>
      <c r="AH474" s="3934" t="n"/>
      <c r="AI474" s="3934" t="n"/>
      <c r="AJ474" s="3934" t="n"/>
      <c r="AK474" s="3934" t="n"/>
      <c r="AL474" s="3934" t="n"/>
      <c r="AM474" s="3934" t="n"/>
      <c r="AN474" s="3934" t="n"/>
      <c r="AO474" s="3934" t="n"/>
      <c r="AP474" s="3934" t="n"/>
      <c r="AQ474" s="3934" t="n"/>
      <c r="AR474" s="3934" t="n"/>
    </row>
    <row r="475">
      <c r="A475" s="3941" t="n"/>
      <c r="B475" s="3944" t="n"/>
      <c r="C475" s="3944" t="n"/>
      <c r="D475" s="3944" t="n"/>
      <c r="E475" s="3944" t="n"/>
      <c r="F475" s="3944" t="n"/>
      <c r="G475" s="3944" t="n"/>
      <c r="H475" s="3944" t="n"/>
      <c r="I475" s="3944" t="n"/>
      <c r="J475" s="3944" t="n"/>
      <c r="K475" s="3942">
        <f>IF(A475="","",SUM(E475:J475))</f>
        <v/>
      </c>
      <c r="L475" s="3934" t="n"/>
      <c r="M475" s="3934" t="n"/>
      <c r="N475" s="3934" t="n"/>
      <c r="O475" s="3934" t="n"/>
      <c r="P475" s="3934" t="n"/>
      <c r="Q475" s="3934" t="n"/>
      <c r="R475" s="3934" t="n"/>
      <c r="S475" s="3934" t="n"/>
      <c r="T475" s="3934" t="n"/>
      <c r="U475" s="3934" t="n"/>
      <c r="V475" s="3934" t="n"/>
      <c r="W475" s="3934" t="n"/>
      <c r="X475" s="3934" t="n"/>
      <c r="Y475" s="3934" t="n"/>
      <c r="Z475" s="3934" t="n"/>
      <c r="AA475" s="3934" t="n"/>
      <c r="AB475" s="3934" t="n"/>
      <c r="AC475" s="3934" t="n"/>
      <c r="AD475" s="3934" t="n"/>
      <c r="AE475" s="3934" t="n"/>
      <c r="AF475" s="3934" t="n"/>
      <c r="AG475" s="3934" t="n"/>
      <c r="AH475" s="3934" t="n"/>
      <c r="AI475" s="3934" t="n"/>
      <c r="AJ475" s="3934" t="n"/>
      <c r="AK475" s="3934" t="n"/>
      <c r="AL475" s="3934" t="n"/>
      <c r="AM475" s="3934" t="n"/>
      <c r="AN475" s="3934" t="n"/>
      <c r="AO475" s="3934" t="n"/>
      <c r="AP475" s="3934" t="n"/>
      <c r="AQ475" s="3934" t="n"/>
      <c r="AR475" s="3934" t="n"/>
    </row>
    <row r="476">
      <c r="A476" s="3941" t="n"/>
      <c r="B476" s="3944" t="n"/>
      <c r="C476" s="3944" t="n"/>
      <c r="D476" s="3944" t="n"/>
      <c r="E476" s="3944" t="n"/>
      <c r="F476" s="3944" t="n"/>
      <c r="G476" s="3944" t="n"/>
      <c r="H476" s="3944" t="n"/>
      <c r="I476" s="3944" t="n"/>
      <c r="J476" s="3944" t="n"/>
      <c r="K476" s="3942">
        <f>IF(A476="","",SUM(E476:J476))</f>
        <v/>
      </c>
      <c r="L476" s="3934" t="n"/>
      <c r="M476" s="3934" t="n"/>
      <c r="N476" s="3934" t="n"/>
      <c r="O476" s="3934" t="n"/>
      <c r="P476" s="3934" t="n"/>
      <c r="Q476" s="3934" t="n"/>
      <c r="R476" s="3934" t="n"/>
      <c r="S476" s="3934" t="n"/>
      <c r="T476" s="3934" t="n"/>
      <c r="U476" s="3934" t="n"/>
      <c r="V476" s="3934" t="n"/>
      <c r="W476" s="3934" t="n"/>
      <c r="X476" s="3934" t="n"/>
      <c r="Y476" s="3934" t="n"/>
      <c r="Z476" s="3934" t="n"/>
      <c r="AA476" s="3934" t="n"/>
      <c r="AB476" s="3934" t="n"/>
      <c r="AC476" s="3934" t="n"/>
      <c r="AD476" s="3934" t="n"/>
      <c r="AE476" s="3934" t="n"/>
      <c r="AF476" s="3934" t="n"/>
      <c r="AG476" s="3934" t="n"/>
      <c r="AH476" s="3934" t="n"/>
      <c r="AI476" s="3934" t="n"/>
      <c r="AJ476" s="3934" t="n"/>
      <c r="AK476" s="3934" t="n"/>
      <c r="AL476" s="3934" t="n"/>
      <c r="AM476" s="3934" t="n"/>
      <c r="AN476" s="3934" t="n"/>
      <c r="AO476" s="3934" t="n"/>
      <c r="AP476" s="3934" t="n"/>
      <c r="AQ476" s="3934" t="n"/>
      <c r="AR476" s="3934" t="n"/>
    </row>
    <row r="477">
      <c r="A477" s="3941" t="n"/>
      <c r="B477" s="3944" t="n"/>
      <c r="C477" s="3944" t="n"/>
      <c r="D477" s="3944" t="n"/>
      <c r="E477" s="3944" t="n"/>
      <c r="F477" s="3944" t="n"/>
      <c r="G477" s="3944" t="n"/>
      <c r="H477" s="3944" t="n"/>
      <c r="I477" s="3944" t="n"/>
      <c r="J477" s="3944" t="n"/>
      <c r="K477" s="3942">
        <f>IF(A477="","",SUM(E477:J477))</f>
        <v/>
      </c>
      <c r="L477" s="3934" t="n"/>
      <c r="M477" s="3934" t="n"/>
      <c r="N477" s="3934" t="n"/>
      <c r="O477" s="3934" t="n"/>
      <c r="P477" s="3934" t="n"/>
      <c r="Q477" s="3934" t="n"/>
      <c r="R477" s="3934" t="n"/>
      <c r="S477" s="3934" t="n"/>
      <c r="T477" s="3934" t="n"/>
      <c r="U477" s="3934" t="n"/>
      <c r="V477" s="3934" t="n"/>
      <c r="W477" s="3934" t="n"/>
      <c r="X477" s="3934" t="n"/>
      <c r="Y477" s="3934" t="n"/>
      <c r="Z477" s="3934" t="n"/>
      <c r="AA477" s="3934" t="n"/>
      <c r="AB477" s="3934" t="n"/>
      <c r="AC477" s="3934" t="n"/>
      <c r="AD477" s="3934" t="n"/>
      <c r="AE477" s="3934" t="n"/>
      <c r="AF477" s="3934" t="n"/>
      <c r="AG477" s="3934" t="n"/>
      <c r="AH477" s="3934" t="n"/>
      <c r="AI477" s="3934" t="n"/>
      <c r="AJ477" s="3934" t="n"/>
      <c r="AK477" s="3934" t="n"/>
      <c r="AL477" s="3934" t="n"/>
      <c r="AM477" s="3934" t="n"/>
      <c r="AN477" s="3934" t="n"/>
      <c r="AO477" s="3934" t="n"/>
      <c r="AP477" s="3934" t="n"/>
      <c r="AQ477" s="3934" t="n"/>
      <c r="AR477" s="3934" t="n"/>
    </row>
    <row r="478">
      <c r="A478" s="3941" t="n"/>
      <c r="B478" s="3944" t="n"/>
      <c r="C478" s="3944" t="n"/>
      <c r="D478" s="3944" t="n"/>
      <c r="E478" s="3944" t="n"/>
      <c r="F478" s="3944" t="n"/>
      <c r="G478" s="3944" t="n"/>
      <c r="H478" s="3944" t="n"/>
      <c r="I478" s="3944" t="n"/>
      <c r="J478" s="3944" t="n"/>
      <c r="K478" s="3942">
        <f>IF(A478="","",SUM(E478:J478))</f>
        <v/>
      </c>
      <c r="L478" s="3934" t="n"/>
      <c r="M478" s="3934" t="n"/>
      <c r="N478" s="3934" t="n"/>
      <c r="O478" s="3934" t="n"/>
      <c r="P478" s="3934" t="n"/>
      <c r="Q478" s="3934" t="n"/>
      <c r="R478" s="3934" t="n"/>
      <c r="S478" s="3934" t="n"/>
      <c r="T478" s="3934" t="n"/>
      <c r="U478" s="3934" t="n"/>
      <c r="V478" s="3934" t="n"/>
      <c r="W478" s="3934" t="n"/>
      <c r="X478" s="3934" t="n"/>
      <c r="Y478" s="3934" t="n"/>
      <c r="Z478" s="3934" t="n"/>
      <c r="AA478" s="3934" t="n"/>
      <c r="AB478" s="3934" t="n"/>
      <c r="AC478" s="3934" t="n"/>
      <c r="AD478" s="3934" t="n"/>
      <c r="AE478" s="3934" t="n"/>
      <c r="AF478" s="3934" t="n"/>
      <c r="AG478" s="3934" t="n"/>
      <c r="AH478" s="3934" t="n"/>
      <c r="AI478" s="3934" t="n"/>
      <c r="AJ478" s="3934" t="n"/>
      <c r="AK478" s="3934" t="n"/>
      <c r="AL478" s="3934" t="n"/>
      <c r="AM478" s="3934" t="n"/>
      <c r="AN478" s="3934" t="n"/>
      <c r="AO478" s="3934" t="n"/>
      <c r="AP478" s="3934" t="n"/>
      <c r="AQ478" s="3934" t="n"/>
      <c r="AR478" s="3934" t="n"/>
    </row>
    <row r="479">
      <c r="A479" s="3941" t="n"/>
      <c r="B479" s="3944" t="n"/>
      <c r="C479" s="3944" t="n"/>
      <c r="D479" s="3944" t="n"/>
      <c r="E479" s="3944" t="n"/>
      <c r="F479" s="3944" t="n"/>
      <c r="G479" s="3944" t="n"/>
      <c r="H479" s="3944" t="n"/>
      <c r="I479" s="3944" t="n"/>
      <c r="J479" s="3944" t="n"/>
      <c r="K479" s="3942">
        <f>IF(A479="","",SUM(E479:J479))</f>
        <v/>
      </c>
      <c r="L479" s="3934" t="n"/>
      <c r="M479" s="3934" t="n"/>
      <c r="N479" s="3934" t="n"/>
      <c r="O479" s="3934" t="n"/>
      <c r="P479" s="3934" t="n"/>
      <c r="Q479" s="3934" t="n"/>
      <c r="R479" s="3934" t="n"/>
      <c r="S479" s="3934" t="n"/>
      <c r="T479" s="3934" t="n"/>
      <c r="U479" s="3934" t="n"/>
      <c r="V479" s="3934" t="n"/>
      <c r="W479" s="3934" t="n"/>
      <c r="X479" s="3934" t="n"/>
      <c r="Y479" s="3934" t="n"/>
      <c r="Z479" s="3934" t="n"/>
      <c r="AA479" s="3934" t="n"/>
      <c r="AB479" s="3934" t="n"/>
      <c r="AC479" s="3934" t="n"/>
      <c r="AD479" s="3934" t="n"/>
      <c r="AE479" s="3934" t="n"/>
      <c r="AF479" s="3934" t="n"/>
      <c r="AG479" s="3934" t="n"/>
      <c r="AH479" s="3934" t="n"/>
      <c r="AI479" s="3934" t="n"/>
      <c r="AJ479" s="3934" t="n"/>
      <c r="AK479" s="3934" t="n"/>
      <c r="AL479" s="3934" t="n"/>
      <c r="AM479" s="3934" t="n"/>
      <c r="AN479" s="3934" t="n"/>
      <c r="AO479" s="3934" t="n"/>
      <c r="AP479" s="3934" t="n"/>
      <c r="AQ479" s="3934" t="n"/>
      <c r="AR479" s="3934" t="n"/>
    </row>
    <row r="480">
      <c r="A480" s="3941" t="n"/>
      <c r="B480" s="3944" t="n"/>
      <c r="C480" s="3944" t="n"/>
      <c r="D480" s="3944" t="n"/>
      <c r="E480" s="3944" t="n"/>
      <c r="F480" s="3944" t="n"/>
      <c r="G480" s="3944" t="n"/>
      <c r="H480" s="3944" t="n"/>
      <c r="I480" s="3944" t="n"/>
      <c r="J480" s="3944" t="n"/>
      <c r="K480" s="3942">
        <f>IF(A480="","",SUM(E480:J480))</f>
        <v/>
      </c>
      <c r="L480" s="3934" t="n"/>
      <c r="M480" s="3934" t="n"/>
      <c r="N480" s="3934" t="n"/>
      <c r="O480" s="3934" t="n"/>
      <c r="P480" s="3934" t="n"/>
      <c r="Q480" s="3934" t="n"/>
      <c r="R480" s="3934" t="n"/>
      <c r="S480" s="3934" t="n"/>
      <c r="T480" s="3934" t="n"/>
      <c r="U480" s="3934" t="n"/>
      <c r="V480" s="3934" t="n"/>
      <c r="W480" s="3934" t="n"/>
      <c r="X480" s="3934" t="n"/>
      <c r="Y480" s="3934" t="n"/>
      <c r="Z480" s="3934" t="n"/>
      <c r="AA480" s="3934" t="n"/>
      <c r="AB480" s="3934" t="n"/>
      <c r="AC480" s="3934" t="n"/>
      <c r="AD480" s="3934" t="n"/>
      <c r="AE480" s="3934" t="n"/>
      <c r="AF480" s="3934" t="n"/>
      <c r="AG480" s="3934" t="n"/>
      <c r="AH480" s="3934" t="n"/>
      <c r="AI480" s="3934" t="n"/>
      <c r="AJ480" s="3934" t="n"/>
      <c r="AK480" s="3934" t="n"/>
      <c r="AL480" s="3934" t="n"/>
      <c r="AM480" s="3934" t="n"/>
      <c r="AN480" s="3934" t="n"/>
      <c r="AO480" s="3934" t="n"/>
      <c r="AP480" s="3934" t="n"/>
      <c r="AQ480" s="3934" t="n"/>
      <c r="AR480" s="3934" t="n"/>
    </row>
    <row r="481">
      <c r="A481" s="3941" t="n"/>
      <c r="B481" s="3944" t="n"/>
      <c r="C481" s="3944" t="n"/>
      <c r="D481" s="3944" t="n"/>
      <c r="E481" s="3944" t="n"/>
      <c r="F481" s="3944" t="n"/>
      <c r="G481" s="3944" t="n"/>
      <c r="H481" s="3944" t="n"/>
      <c r="I481" s="3944" t="n"/>
      <c r="J481" s="3944" t="n"/>
      <c r="K481" s="3942">
        <f>IF(A481="","",SUM(E481:J481))</f>
        <v/>
      </c>
      <c r="L481" s="3934" t="n"/>
      <c r="M481" s="3934" t="n"/>
      <c r="N481" s="3934" t="n"/>
      <c r="O481" s="3934" t="n"/>
      <c r="P481" s="3934" t="n"/>
      <c r="Q481" s="3934" t="n"/>
      <c r="R481" s="3934" t="n"/>
      <c r="S481" s="3934" t="n"/>
      <c r="T481" s="3934" t="n"/>
      <c r="U481" s="3934" t="n"/>
      <c r="V481" s="3934" t="n"/>
      <c r="W481" s="3934" t="n"/>
      <c r="X481" s="3934" t="n"/>
      <c r="Y481" s="3934" t="n"/>
      <c r="Z481" s="3934" t="n"/>
      <c r="AA481" s="3934" t="n"/>
      <c r="AB481" s="3934" t="n"/>
      <c r="AC481" s="3934" t="n"/>
      <c r="AD481" s="3934" t="n"/>
      <c r="AE481" s="3934" t="n"/>
      <c r="AF481" s="3934" t="n"/>
      <c r="AG481" s="3934" t="n"/>
      <c r="AH481" s="3934" t="n"/>
      <c r="AI481" s="3934" t="n"/>
      <c r="AJ481" s="3934" t="n"/>
      <c r="AK481" s="3934" t="n"/>
      <c r="AL481" s="3934" t="n"/>
      <c r="AM481" s="3934" t="n"/>
      <c r="AN481" s="3934" t="n"/>
      <c r="AO481" s="3934" t="n"/>
      <c r="AP481" s="3934" t="n"/>
      <c r="AQ481" s="3934" t="n"/>
      <c r="AR481" s="3934" t="n"/>
    </row>
    <row r="482">
      <c r="A482" s="3941" t="n"/>
      <c r="B482" s="3944" t="n"/>
      <c r="C482" s="3944" t="n"/>
      <c r="D482" s="3944" t="n"/>
      <c r="E482" s="3944" t="n"/>
      <c r="F482" s="3944" t="n"/>
      <c r="G482" s="3944" t="n"/>
      <c r="H482" s="3944" t="n"/>
      <c r="I482" s="3944" t="n"/>
      <c r="J482" s="3944" t="n"/>
      <c r="K482" s="3942">
        <f>IF(A482="","",SUM(E482:J482))</f>
        <v/>
      </c>
      <c r="L482" s="3934" t="n"/>
      <c r="M482" s="3934" t="n"/>
      <c r="N482" s="3934" t="n"/>
      <c r="O482" s="3934" t="n"/>
      <c r="P482" s="3934" t="n"/>
      <c r="Q482" s="3934" t="n"/>
      <c r="R482" s="3934" t="n"/>
      <c r="S482" s="3934" t="n"/>
      <c r="T482" s="3934" t="n"/>
      <c r="U482" s="3934" t="n"/>
      <c r="V482" s="3934" t="n"/>
      <c r="W482" s="3934" t="n"/>
      <c r="X482" s="3934" t="n"/>
      <c r="Y482" s="3934" t="n"/>
      <c r="Z482" s="3934" t="n"/>
      <c r="AA482" s="3934" t="n"/>
      <c r="AB482" s="3934" t="n"/>
      <c r="AC482" s="3934" t="n"/>
      <c r="AD482" s="3934" t="n"/>
      <c r="AE482" s="3934" t="n"/>
      <c r="AF482" s="3934" t="n"/>
      <c r="AG482" s="3934" t="n"/>
      <c r="AH482" s="3934" t="n"/>
      <c r="AI482" s="3934" t="n"/>
      <c r="AJ482" s="3934" t="n"/>
      <c r="AK482" s="3934" t="n"/>
      <c r="AL482" s="3934" t="n"/>
      <c r="AM482" s="3934" t="n"/>
      <c r="AN482" s="3934" t="n"/>
      <c r="AO482" s="3934" t="n"/>
      <c r="AP482" s="3934" t="n"/>
      <c r="AQ482" s="3934" t="n"/>
      <c r="AR482" s="3934" t="n"/>
    </row>
    <row r="483">
      <c r="A483" s="3941" t="n"/>
      <c r="B483" s="3944" t="n"/>
      <c r="C483" s="3944" t="n"/>
      <c r="D483" s="3944" t="n"/>
      <c r="E483" s="3944" t="n"/>
      <c r="F483" s="3944" t="n"/>
      <c r="G483" s="3944" t="n"/>
      <c r="H483" s="3944" t="n"/>
      <c r="I483" s="3944" t="n"/>
      <c r="J483" s="3944" t="n"/>
      <c r="K483" s="3942">
        <f>IF(A483="","",SUM(E483:J483))</f>
        <v/>
      </c>
      <c r="L483" s="3934" t="n"/>
      <c r="M483" s="3934" t="n"/>
      <c r="N483" s="3934" t="n"/>
      <c r="O483" s="3934" t="n"/>
      <c r="P483" s="3934" t="n"/>
      <c r="Q483" s="3934" t="n"/>
      <c r="R483" s="3934" t="n"/>
      <c r="S483" s="3934" t="n"/>
      <c r="T483" s="3934" t="n"/>
      <c r="U483" s="3934" t="n"/>
      <c r="V483" s="3934" t="n"/>
      <c r="W483" s="3934" t="n"/>
      <c r="X483" s="3934" t="n"/>
      <c r="Y483" s="3934" t="n"/>
      <c r="Z483" s="3934" t="n"/>
      <c r="AA483" s="3934" t="n"/>
      <c r="AB483" s="3934" t="n"/>
      <c r="AC483" s="3934" t="n"/>
      <c r="AD483" s="3934" t="n"/>
      <c r="AE483" s="3934" t="n"/>
      <c r="AF483" s="3934" t="n"/>
      <c r="AG483" s="3934" t="n"/>
      <c r="AH483" s="3934" t="n"/>
      <c r="AI483" s="3934" t="n"/>
      <c r="AJ483" s="3934" t="n"/>
      <c r="AK483" s="3934" t="n"/>
      <c r="AL483" s="3934" t="n"/>
      <c r="AM483" s="3934" t="n"/>
      <c r="AN483" s="3934" t="n"/>
      <c r="AO483" s="3934" t="n"/>
      <c r="AP483" s="3934" t="n"/>
      <c r="AQ483" s="3934" t="n"/>
      <c r="AR483" s="3934" t="n"/>
    </row>
    <row r="484">
      <c r="A484" s="3941" t="n"/>
      <c r="B484" s="3944" t="n"/>
      <c r="C484" s="3944" t="n"/>
      <c r="D484" s="3944" t="n"/>
      <c r="E484" s="3944" t="n"/>
      <c r="F484" s="3944" t="n"/>
      <c r="G484" s="3944" t="n"/>
      <c r="H484" s="3944" t="n"/>
      <c r="I484" s="3944" t="n"/>
      <c r="J484" s="3944" t="n"/>
      <c r="K484" s="3942">
        <f>IF(A484="","",SUM(E484:J484))</f>
        <v/>
      </c>
      <c r="L484" s="3934" t="n"/>
      <c r="M484" s="3934" t="n"/>
      <c r="N484" s="3934" t="n"/>
      <c r="O484" s="3934" t="n"/>
      <c r="P484" s="3934" t="n"/>
      <c r="Q484" s="3934" t="n"/>
      <c r="R484" s="3934" t="n"/>
      <c r="S484" s="3934" t="n"/>
      <c r="T484" s="3934" t="n"/>
      <c r="U484" s="3934" t="n"/>
      <c r="V484" s="3934" t="n"/>
      <c r="W484" s="3934" t="n"/>
      <c r="X484" s="3934" t="n"/>
      <c r="Y484" s="3934" t="n"/>
      <c r="Z484" s="3934" t="n"/>
      <c r="AA484" s="3934" t="n"/>
      <c r="AB484" s="3934" t="n"/>
      <c r="AC484" s="3934" t="n"/>
      <c r="AD484" s="3934" t="n"/>
      <c r="AE484" s="3934" t="n"/>
      <c r="AF484" s="3934" t="n"/>
      <c r="AG484" s="3934" t="n"/>
      <c r="AH484" s="3934" t="n"/>
      <c r="AI484" s="3934" t="n"/>
      <c r="AJ484" s="3934" t="n"/>
      <c r="AK484" s="3934" t="n"/>
      <c r="AL484" s="3934" t="n"/>
      <c r="AM484" s="3934" t="n"/>
      <c r="AN484" s="3934" t="n"/>
      <c r="AO484" s="3934" t="n"/>
      <c r="AP484" s="3934" t="n"/>
      <c r="AQ484" s="3934" t="n"/>
      <c r="AR484" s="3934" t="n"/>
    </row>
    <row r="485">
      <c r="A485" s="3941" t="n"/>
      <c r="B485" s="3944" t="n"/>
      <c r="C485" s="3944" t="n"/>
      <c r="D485" s="3944" t="n"/>
      <c r="E485" s="3944" t="n"/>
      <c r="F485" s="3944" t="n"/>
      <c r="G485" s="3944" t="n"/>
      <c r="H485" s="3944" t="n"/>
      <c r="I485" s="3944" t="n"/>
      <c r="J485" s="3944" t="n"/>
      <c r="K485" s="3942">
        <f>IF(A485="","",SUM(E485:J485))</f>
        <v/>
      </c>
      <c r="L485" s="3934" t="n"/>
      <c r="M485" s="3934" t="n"/>
      <c r="N485" s="3934" t="n"/>
      <c r="O485" s="3934" t="n"/>
      <c r="P485" s="3934" t="n"/>
      <c r="Q485" s="3934" t="n"/>
      <c r="R485" s="3934" t="n"/>
      <c r="S485" s="3934" t="n"/>
      <c r="T485" s="3934" t="n"/>
      <c r="U485" s="3934" t="n"/>
      <c r="V485" s="3934" t="n"/>
      <c r="W485" s="3934" t="n"/>
      <c r="X485" s="3934" t="n"/>
      <c r="Y485" s="3934" t="n"/>
      <c r="Z485" s="3934" t="n"/>
      <c r="AA485" s="3934" t="n"/>
      <c r="AB485" s="3934" t="n"/>
      <c r="AC485" s="3934" t="n"/>
      <c r="AD485" s="3934" t="n"/>
      <c r="AE485" s="3934" t="n"/>
      <c r="AF485" s="3934" t="n"/>
      <c r="AG485" s="3934" t="n"/>
      <c r="AH485" s="3934" t="n"/>
      <c r="AI485" s="3934" t="n"/>
      <c r="AJ485" s="3934" t="n"/>
      <c r="AK485" s="3934" t="n"/>
      <c r="AL485" s="3934" t="n"/>
      <c r="AM485" s="3934" t="n"/>
      <c r="AN485" s="3934" t="n"/>
      <c r="AO485" s="3934" t="n"/>
      <c r="AP485" s="3934" t="n"/>
      <c r="AQ485" s="3934" t="n"/>
      <c r="AR485" s="3934" t="n"/>
    </row>
    <row r="486">
      <c r="A486" s="3941" t="n"/>
      <c r="B486" s="3944" t="n"/>
      <c r="C486" s="3944" t="n"/>
      <c r="D486" s="3944" t="n"/>
      <c r="E486" s="3944" t="n"/>
      <c r="F486" s="3944" t="n"/>
      <c r="G486" s="3944" t="n"/>
      <c r="H486" s="3944" t="n"/>
      <c r="I486" s="3944" t="n"/>
      <c r="J486" s="3944" t="n"/>
      <c r="K486" s="3942">
        <f>IF(A486="","",SUM(E486:J486))</f>
        <v/>
      </c>
      <c r="L486" s="3934" t="n"/>
      <c r="M486" s="3934" t="n"/>
      <c r="N486" s="3934" t="n"/>
      <c r="O486" s="3934" t="n"/>
      <c r="P486" s="3934" t="n"/>
      <c r="Q486" s="3934" t="n"/>
      <c r="R486" s="3934" t="n"/>
      <c r="S486" s="3934" t="n"/>
      <c r="T486" s="3934" t="n"/>
      <c r="U486" s="3934" t="n"/>
      <c r="V486" s="3934" t="n"/>
      <c r="W486" s="3934" t="n"/>
      <c r="X486" s="3934" t="n"/>
      <c r="Y486" s="3934" t="n"/>
      <c r="Z486" s="3934" t="n"/>
      <c r="AA486" s="3934" t="n"/>
      <c r="AB486" s="3934" t="n"/>
      <c r="AC486" s="3934" t="n"/>
      <c r="AD486" s="3934" t="n"/>
      <c r="AE486" s="3934" t="n"/>
      <c r="AF486" s="3934" t="n"/>
      <c r="AG486" s="3934" t="n"/>
      <c r="AH486" s="3934" t="n"/>
      <c r="AI486" s="3934" t="n"/>
      <c r="AJ486" s="3934" t="n"/>
      <c r="AK486" s="3934" t="n"/>
      <c r="AL486" s="3934" t="n"/>
      <c r="AM486" s="3934" t="n"/>
      <c r="AN486" s="3934" t="n"/>
      <c r="AO486" s="3934" t="n"/>
      <c r="AP486" s="3934" t="n"/>
      <c r="AQ486" s="3934" t="n"/>
      <c r="AR486" s="3934" t="n"/>
    </row>
    <row r="487">
      <c r="A487" s="3941" t="n"/>
      <c r="B487" s="3944" t="n"/>
      <c r="C487" s="3944" t="n"/>
      <c r="D487" s="3944" t="n"/>
      <c r="E487" s="3944" t="n"/>
      <c r="F487" s="3944" t="n"/>
      <c r="G487" s="3944" t="n"/>
      <c r="H487" s="3944" t="n"/>
      <c r="I487" s="3944" t="n"/>
      <c r="J487" s="3944" t="n"/>
      <c r="K487" s="3942">
        <f>IF(A487="","",SUM(E487:J487))</f>
        <v/>
      </c>
      <c r="L487" s="3934" t="n"/>
      <c r="M487" s="3934" t="n"/>
      <c r="N487" s="3934" t="n"/>
      <c r="O487" s="3934" t="n"/>
      <c r="P487" s="3934" t="n"/>
      <c r="Q487" s="3934" t="n"/>
      <c r="R487" s="3934" t="n"/>
      <c r="S487" s="3934" t="n"/>
      <c r="T487" s="3934" t="n"/>
      <c r="U487" s="3934" t="n"/>
      <c r="V487" s="3934" t="n"/>
      <c r="W487" s="3934" t="n"/>
      <c r="X487" s="3934" t="n"/>
      <c r="Y487" s="3934" t="n"/>
      <c r="Z487" s="3934" t="n"/>
      <c r="AA487" s="3934" t="n"/>
      <c r="AB487" s="3934" t="n"/>
      <c r="AC487" s="3934" t="n"/>
      <c r="AD487" s="3934" t="n"/>
      <c r="AE487" s="3934" t="n"/>
      <c r="AF487" s="3934" t="n"/>
      <c r="AG487" s="3934" t="n"/>
      <c r="AH487" s="3934" t="n"/>
      <c r="AI487" s="3934" t="n"/>
      <c r="AJ487" s="3934" t="n"/>
      <c r="AK487" s="3934" t="n"/>
      <c r="AL487" s="3934" t="n"/>
      <c r="AM487" s="3934" t="n"/>
      <c r="AN487" s="3934" t="n"/>
      <c r="AO487" s="3934" t="n"/>
      <c r="AP487" s="3934" t="n"/>
      <c r="AQ487" s="3934" t="n"/>
      <c r="AR487" s="3934" t="n"/>
    </row>
    <row r="488">
      <c r="A488" s="3941" t="n"/>
      <c r="B488" s="3944" t="n"/>
      <c r="C488" s="3944" t="n"/>
      <c r="D488" s="3944" t="n"/>
      <c r="E488" s="3944" t="n"/>
      <c r="F488" s="3944" t="n"/>
      <c r="G488" s="3944" t="n"/>
      <c r="H488" s="3944" t="n"/>
      <c r="I488" s="3944" t="n"/>
      <c r="J488" s="3944" t="n"/>
      <c r="K488" s="3942">
        <f>IF(A488="","",SUM(E488:J488))</f>
        <v/>
      </c>
      <c r="L488" s="3934" t="n"/>
      <c r="M488" s="3934" t="n"/>
      <c r="N488" s="3934" t="n"/>
      <c r="O488" s="3934" t="n"/>
      <c r="P488" s="3934" t="n"/>
      <c r="Q488" s="3934" t="n"/>
      <c r="R488" s="3934" t="n"/>
      <c r="S488" s="3934" t="n"/>
      <c r="T488" s="3934" t="n"/>
      <c r="U488" s="3934" t="n"/>
      <c r="V488" s="3934" t="n"/>
      <c r="W488" s="3934" t="n"/>
      <c r="X488" s="3934" t="n"/>
      <c r="Y488" s="3934" t="n"/>
      <c r="Z488" s="3934" t="n"/>
      <c r="AA488" s="3934" t="n"/>
      <c r="AB488" s="3934" t="n"/>
      <c r="AC488" s="3934" t="n"/>
      <c r="AD488" s="3934" t="n"/>
      <c r="AE488" s="3934" t="n"/>
      <c r="AF488" s="3934" t="n"/>
      <c r="AG488" s="3934" t="n"/>
      <c r="AH488" s="3934" t="n"/>
      <c r="AI488" s="3934" t="n"/>
      <c r="AJ488" s="3934" t="n"/>
      <c r="AK488" s="3934" t="n"/>
      <c r="AL488" s="3934" t="n"/>
      <c r="AM488" s="3934" t="n"/>
      <c r="AN488" s="3934" t="n"/>
      <c r="AO488" s="3934" t="n"/>
      <c r="AP488" s="3934" t="n"/>
      <c r="AQ488" s="3934" t="n"/>
      <c r="AR488" s="3934" t="n"/>
    </row>
    <row r="489">
      <c r="A489" s="3941" t="n"/>
      <c r="B489" s="3944" t="n"/>
      <c r="C489" s="3944" t="n"/>
      <c r="D489" s="3944" t="n"/>
      <c r="E489" s="3944" t="n"/>
      <c r="F489" s="3944" t="n"/>
      <c r="G489" s="3944" t="n"/>
      <c r="H489" s="3944" t="n"/>
      <c r="I489" s="3944" t="n"/>
      <c r="J489" s="3944" t="n"/>
      <c r="K489" s="3942">
        <f>IF(A489="","",SUM(E489:J489))</f>
        <v/>
      </c>
      <c r="L489" s="3934" t="n"/>
      <c r="M489" s="3934" t="n"/>
      <c r="N489" s="3934" t="n"/>
      <c r="O489" s="3934" t="n"/>
      <c r="P489" s="3934" t="n"/>
      <c r="Q489" s="3934" t="n"/>
      <c r="R489" s="3934" t="n"/>
      <c r="S489" s="3934" t="n"/>
      <c r="T489" s="3934" t="n"/>
      <c r="U489" s="3934" t="n"/>
      <c r="V489" s="3934" t="n"/>
      <c r="W489" s="3934" t="n"/>
      <c r="X489" s="3934" t="n"/>
      <c r="Y489" s="3934" t="n"/>
      <c r="Z489" s="3934" t="n"/>
      <c r="AA489" s="3934" t="n"/>
      <c r="AB489" s="3934" t="n"/>
      <c r="AC489" s="3934" t="n"/>
      <c r="AD489" s="3934" t="n"/>
      <c r="AE489" s="3934" t="n"/>
      <c r="AF489" s="3934" t="n"/>
      <c r="AG489" s="3934" t="n"/>
      <c r="AH489" s="3934" t="n"/>
      <c r="AI489" s="3934" t="n"/>
      <c r="AJ489" s="3934" t="n"/>
      <c r="AK489" s="3934" t="n"/>
      <c r="AL489" s="3934" t="n"/>
      <c r="AM489" s="3934" t="n"/>
      <c r="AN489" s="3934" t="n"/>
      <c r="AO489" s="3934" t="n"/>
      <c r="AP489" s="3934" t="n"/>
      <c r="AQ489" s="3934" t="n"/>
      <c r="AR489" s="3934" t="n"/>
    </row>
    <row r="490">
      <c r="A490" s="3941" t="n"/>
      <c r="B490" s="3944" t="n"/>
      <c r="C490" s="3944" t="n"/>
      <c r="D490" s="3944" t="n"/>
      <c r="E490" s="3944" t="n"/>
      <c r="F490" s="3944" t="n"/>
      <c r="G490" s="3944" t="n"/>
      <c r="H490" s="3944" t="n"/>
      <c r="I490" s="3944" t="n"/>
      <c r="J490" s="3944" t="n"/>
      <c r="K490" s="3942">
        <f>IF(A490="","",SUM(E490:J490))</f>
        <v/>
      </c>
      <c r="L490" s="3934" t="n"/>
      <c r="M490" s="3934" t="n"/>
      <c r="N490" s="3934" t="n"/>
      <c r="O490" s="3934" t="n"/>
      <c r="P490" s="3934" t="n"/>
      <c r="Q490" s="3934" t="n"/>
      <c r="R490" s="3934" t="n"/>
      <c r="S490" s="3934" t="n"/>
      <c r="T490" s="3934" t="n"/>
      <c r="U490" s="3934" t="n"/>
      <c r="V490" s="3934" t="n"/>
      <c r="W490" s="3934" t="n"/>
      <c r="X490" s="3934" t="n"/>
      <c r="Y490" s="3934" t="n"/>
      <c r="Z490" s="3934" t="n"/>
      <c r="AA490" s="3934" t="n"/>
      <c r="AB490" s="3934" t="n"/>
      <c r="AC490" s="3934" t="n"/>
      <c r="AD490" s="3934" t="n"/>
      <c r="AE490" s="3934" t="n"/>
      <c r="AF490" s="3934" t="n"/>
      <c r="AG490" s="3934" t="n"/>
      <c r="AH490" s="3934" t="n"/>
      <c r="AI490" s="3934" t="n"/>
      <c r="AJ490" s="3934" t="n"/>
      <c r="AK490" s="3934" t="n"/>
      <c r="AL490" s="3934" t="n"/>
      <c r="AM490" s="3934" t="n"/>
      <c r="AN490" s="3934" t="n"/>
      <c r="AO490" s="3934" t="n"/>
      <c r="AP490" s="3934" t="n"/>
      <c r="AQ490" s="3934" t="n"/>
      <c r="AR490" s="3934" t="n"/>
    </row>
    <row r="491">
      <c r="A491" s="3941" t="n"/>
      <c r="B491" s="3944" t="n"/>
      <c r="C491" s="3944" t="n"/>
      <c r="D491" s="3944" t="n"/>
      <c r="E491" s="3944" t="n"/>
      <c r="F491" s="3944" t="n"/>
      <c r="G491" s="3944" t="n"/>
      <c r="H491" s="3944" t="n"/>
      <c r="I491" s="3944" t="n"/>
      <c r="J491" s="3944" t="n"/>
      <c r="K491" s="3942">
        <f>IF(A491="","",SUM(E491:J491))</f>
        <v/>
      </c>
      <c r="L491" s="3934" t="n"/>
      <c r="M491" s="3934" t="n"/>
      <c r="N491" s="3934" t="n"/>
      <c r="O491" s="3934" t="n"/>
      <c r="P491" s="3934" t="n"/>
      <c r="Q491" s="3934" t="n"/>
      <c r="R491" s="3934" t="n"/>
      <c r="S491" s="3934" t="n"/>
      <c r="T491" s="3934" t="n"/>
      <c r="U491" s="3934" t="n"/>
      <c r="V491" s="3934" t="n"/>
      <c r="W491" s="3934" t="n"/>
      <c r="X491" s="3934" t="n"/>
      <c r="Y491" s="3934" t="n"/>
      <c r="Z491" s="3934" t="n"/>
      <c r="AA491" s="3934" t="n"/>
      <c r="AB491" s="3934" t="n"/>
      <c r="AC491" s="3934" t="n"/>
      <c r="AD491" s="3934" t="n"/>
      <c r="AE491" s="3934" t="n"/>
      <c r="AF491" s="3934" t="n"/>
      <c r="AG491" s="3934" t="n"/>
      <c r="AH491" s="3934" t="n"/>
      <c r="AI491" s="3934" t="n"/>
      <c r="AJ491" s="3934" t="n"/>
      <c r="AK491" s="3934" t="n"/>
      <c r="AL491" s="3934" t="n"/>
      <c r="AM491" s="3934" t="n"/>
      <c r="AN491" s="3934" t="n"/>
      <c r="AO491" s="3934" t="n"/>
      <c r="AP491" s="3934" t="n"/>
      <c r="AQ491" s="3934" t="n"/>
      <c r="AR491" s="3934" t="n"/>
    </row>
    <row r="492">
      <c r="A492" s="3941" t="n"/>
      <c r="B492" s="3944" t="n"/>
      <c r="C492" s="3944" t="n"/>
      <c r="D492" s="3944" t="n"/>
      <c r="E492" s="3944" t="n"/>
      <c r="F492" s="3944" t="n"/>
      <c r="G492" s="3944" t="n"/>
      <c r="H492" s="3944" t="n"/>
      <c r="I492" s="3944" t="n"/>
      <c r="J492" s="3944" t="n"/>
      <c r="K492" s="3942">
        <f>IF(A492="","",SUM(E492:J492))</f>
        <v/>
      </c>
      <c r="L492" s="3934" t="n"/>
      <c r="M492" s="3934" t="n"/>
      <c r="N492" s="3934" t="n"/>
      <c r="O492" s="3934" t="n"/>
      <c r="P492" s="3934" t="n"/>
      <c r="Q492" s="3934" t="n"/>
      <c r="R492" s="3934" t="n"/>
      <c r="S492" s="3934" t="n"/>
      <c r="T492" s="3934" t="n"/>
      <c r="U492" s="3934" t="n"/>
      <c r="V492" s="3934" t="n"/>
      <c r="W492" s="3934" t="n"/>
      <c r="X492" s="3934" t="n"/>
      <c r="Y492" s="3934" t="n"/>
      <c r="Z492" s="3934" t="n"/>
      <c r="AA492" s="3934" t="n"/>
      <c r="AB492" s="3934" t="n"/>
      <c r="AC492" s="3934" t="n"/>
      <c r="AD492" s="3934" t="n"/>
      <c r="AE492" s="3934" t="n"/>
      <c r="AF492" s="3934" t="n"/>
      <c r="AG492" s="3934" t="n"/>
      <c r="AH492" s="3934" t="n"/>
      <c r="AI492" s="3934" t="n"/>
      <c r="AJ492" s="3934" t="n"/>
      <c r="AK492" s="3934" t="n"/>
      <c r="AL492" s="3934" t="n"/>
      <c r="AM492" s="3934" t="n"/>
      <c r="AN492" s="3934" t="n"/>
      <c r="AO492" s="3934" t="n"/>
      <c r="AP492" s="3934" t="n"/>
      <c r="AQ492" s="3934" t="n"/>
      <c r="AR492" s="3934" t="n"/>
    </row>
    <row r="493">
      <c r="A493" s="3941" t="n"/>
      <c r="B493" s="3944" t="n"/>
      <c r="C493" s="3944" t="n"/>
      <c r="D493" s="3944" t="n"/>
      <c r="E493" s="3944" t="n"/>
      <c r="F493" s="3944" t="n"/>
      <c r="G493" s="3944" t="n"/>
      <c r="H493" s="3944" t="n"/>
      <c r="I493" s="3944" t="n"/>
      <c r="J493" s="3944" t="n"/>
      <c r="K493" s="3942">
        <f>IF(A493="","",SUM(E493:J493))</f>
        <v/>
      </c>
      <c r="L493" s="3934" t="n"/>
      <c r="M493" s="3934" t="n"/>
      <c r="N493" s="3934" t="n"/>
      <c r="O493" s="3934" t="n"/>
      <c r="P493" s="3934" t="n"/>
      <c r="Q493" s="3934" t="n"/>
      <c r="R493" s="3934" t="n"/>
      <c r="S493" s="3934" t="n"/>
      <c r="T493" s="3934" t="n"/>
      <c r="U493" s="3934" t="n"/>
      <c r="V493" s="3934" t="n"/>
      <c r="W493" s="3934" t="n"/>
      <c r="X493" s="3934" t="n"/>
      <c r="Y493" s="3934" t="n"/>
      <c r="Z493" s="3934" t="n"/>
      <c r="AA493" s="3934" t="n"/>
      <c r="AB493" s="3934" t="n"/>
      <c r="AC493" s="3934" t="n"/>
      <c r="AD493" s="3934" t="n"/>
      <c r="AE493" s="3934" t="n"/>
      <c r="AF493" s="3934" t="n"/>
      <c r="AG493" s="3934" t="n"/>
      <c r="AH493" s="3934" t="n"/>
      <c r="AI493" s="3934" t="n"/>
      <c r="AJ493" s="3934" t="n"/>
      <c r="AK493" s="3934" t="n"/>
      <c r="AL493" s="3934" t="n"/>
      <c r="AM493" s="3934" t="n"/>
      <c r="AN493" s="3934" t="n"/>
      <c r="AO493" s="3934" t="n"/>
      <c r="AP493" s="3934" t="n"/>
      <c r="AQ493" s="3934" t="n"/>
      <c r="AR493" s="3934" t="n"/>
    </row>
    <row r="494">
      <c r="A494" s="3941" t="n"/>
      <c r="B494" s="3944" t="n"/>
      <c r="C494" s="3944" t="n"/>
      <c r="D494" s="3944" t="n"/>
      <c r="E494" s="3944" t="n"/>
      <c r="F494" s="3944" t="n"/>
      <c r="G494" s="3944" t="n"/>
      <c r="H494" s="3944" t="n"/>
      <c r="I494" s="3944" t="n"/>
      <c r="J494" s="3944" t="n"/>
      <c r="K494" s="3942">
        <f>IF(A494="","",SUM(E494:J494))</f>
        <v/>
      </c>
      <c r="L494" s="3934" t="n"/>
      <c r="M494" s="3934" t="n"/>
      <c r="N494" s="3934" t="n"/>
      <c r="O494" s="3934" t="n"/>
      <c r="P494" s="3934" t="n"/>
      <c r="Q494" s="3934" t="n"/>
      <c r="R494" s="3934" t="n"/>
      <c r="S494" s="3934" t="n"/>
      <c r="T494" s="3934" t="n"/>
      <c r="U494" s="3934" t="n"/>
      <c r="V494" s="3934" t="n"/>
      <c r="W494" s="3934" t="n"/>
      <c r="X494" s="3934" t="n"/>
      <c r="Y494" s="3934" t="n"/>
      <c r="Z494" s="3934" t="n"/>
      <c r="AA494" s="3934" t="n"/>
      <c r="AB494" s="3934" t="n"/>
      <c r="AC494" s="3934" t="n"/>
      <c r="AD494" s="3934" t="n"/>
      <c r="AE494" s="3934" t="n"/>
      <c r="AF494" s="3934" t="n"/>
      <c r="AG494" s="3934" t="n"/>
      <c r="AH494" s="3934" t="n"/>
      <c r="AI494" s="3934" t="n"/>
      <c r="AJ494" s="3934" t="n"/>
      <c r="AK494" s="3934" t="n"/>
      <c r="AL494" s="3934" t="n"/>
      <c r="AM494" s="3934" t="n"/>
      <c r="AN494" s="3934" t="n"/>
      <c r="AO494" s="3934" t="n"/>
      <c r="AP494" s="3934" t="n"/>
      <c r="AQ494" s="3934" t="n"/>
      <c r="AR494" s="3934" t="n"/>
    </row>
    <row r="495">
      <c r="A495" s="3941" t="n"/>
      <c r="B495" s="3944" t="n"/>
      <c r="C495" s="3944" t="n"/>
      <c r="D495" s="3944" t="n"/>
      <c r="E495" s="3944" t="n"/>
      <c r="F495" s="3944" t="n"/>
      <c r="G495" s="3944" t="n"/>
      <c r="H495" s="3944" t="n"/>
      <c r="I495" s="3944" t="n"/>
      <c r="J495" s="3944" t="n"/>
      <c r="K495" s="3942">
        <f>IF(A495="","",SUM(E495:J495))</f>
        <v/>
      </c>
      <c r="L495" s="3934" t="n"/>
      <c r="M495" s="3934" t="n"/>
      <c r="N495" s="3934" t="n"/>
      <c r="O495" s="3934" t="n"/>
      <c r="P495" s="3934" t="n"/>
      <c r="Q495" s="3934" t="n"/>
      <c r="R495" s="3934" t="n"/>
      <c r="S495" s="3934" t="n"/>
      <c r="T495" s="3934" t="n"/>
      <c r="U495" s="3934" t="n"/>
      <c r="V495" s="3934" t="n"/>
      <c r="W495" s="3934" t="n"/>
      <c r="X495" s="3934" t="n"/>
      <c r="Y495" s="3934" t="n"/>
      <c r="Z495" s="3934" t="n"/>
      <c r="AA495" s="3934" t="n"/>
      <c r="AB495" s="3934" t="n"/>
      <c r="AC495" s="3934" t="n"/>
      <c r="AD495" s="3934" t="n"/>
      <c r="AE495" s="3934" t="n"/>
      <c r="AF495" s="3934" t="n"/>
      <c r="AG495" s="3934" t="n"/>
      <c r="AH495" s="3934" t="n"/>
      <c r="AI495" s="3934" t="n"/>
      <c r="AJ495" s="3934" t="n"/>
      <c r="AK495" s="3934" t="n"/>
      <c r="AL495" s="3934" t="n"/>
      <c r="AM495" s="3934" t="n"/>
      <c r="AN495" s="3934" t="n"/>
      <c r="AO495" s="3934" t="n"/>
      <c r="AP495" s="3934" t="n"/>
      <c r="AQ495" s="3934" t="n"/>
      <c r="AR495" s="3934" t="n"/>
    </row>
    <row r="496">
      <c r="A496" s="3941" t="n"/>
      <c r="B496" s="3944" t="n"/>
      <c r="C496" s="3944" t="n"/>
      <c r="D496" s="3944" t="n"/>
      <c r="E496" s="3944" t="n"/>
      <c r="F496" s="3944" t="n"/>
      <c r="G496" s="3944" t="n"/>
      <c r="H496" s="3944" t="n"/>
      <c r="I496" s="3944" t="n"/>
      <c r="J496" s="3944" t="n"/>
      <c r="K496" s="3942">
        <f>IF(A496="","",SUM(E496:J496))</f>
        <v/>
      </c>
      <c r="L496" s="3934" t="n"/>
      <c r="M496" s="3934" t="n"/>
      <c r="N496" s="3934" t="n"/>
      <c r="O496" s="3934" t="n"/>
      <c r="P496" s="3934" t="n"/>
      <c r="Q496" s="3934" t="n"/>
      <c r="R496" s="3934" t="n"/>
      <c r="S496" s="3934" t="n"/>
      <c r="T496" s="3934" t="n"/>
      <c r="U496" s="3934" t="n"/>
      <c r="V496" s="3934" t="n"/>
      <c r="W496" s="3934" t="n"/>
      <c r="X496" s="3934" t="n"/>
      <c r="Y496" s="3934" t="n"/>
      <c r="Z496" s="3934" t="n"/>
      <c r="AA496" s="3934" t="n"/>
      <c r="AB496" s="3934" t="n"/>
      <c r="AC496" s="3934" t="n"/>
      <c r="AD496" s="3934" t="n"/>
      <c r="AE496" s="3934" t="n"/>
      <c r="AF496" s="3934" t="n"/>
      <c r="AG496" s="3934" t="n"/>
      <c r="AH496" s="3934" t="n"/>
      <c r="AI496" s="3934" t="n"/>
      <c r="AJ496" s="3934" t="n"/>
      <c r="AK496" s="3934" t="n"/>
      <c r="AL496" s="3934" t="n"/>
      <c r="AM496" s="3934" t="n"/>
      <c r="AN496" s="3934" t="n"/>
      <c r="AO496" s="3934" t="n"/>
      <c r="AP496" s="3934" t="n"/>
      <c r="AQ496" s="3934" t="n"/>
      <c r="AR496" s="3934" t="n"/>
    </row>
    <row r="497">
      <c r="A497" s="3941" t="n"/>
      <c r="B497" s="3944" t="n"/>
      <c r="C497" s="3944" t="n"/>
      <c r="D497" s="3944" t="n"/>
      <c r="E497" s="3944" t="n"/>
      <c r="F497" s="3944" t="n"/>
      <c r="G497" s="3944" t="n"/>
      <c r="H497" s="3944" t="n"/>
      <c r="I497" s="3944" t="n"/>
      <c r="J497" s="3944" t="n"/>
      <c r="K497" s="3942">
        <f>IF(A497="","",SUM(E497:J497))</f>
        <v/>
      </c>
      <c r="L497" s="3934" t="n"/>
      <c r="M497" s="3934" t="n"/>
      <c r="N497" s="3934" t="n"/>
      <c r="O497" s="3934" t="n"/>
      <c r="P497" s="3934" t="n"/>
      <c r="Q497" s="3934" t="n"/>
      <c r="R497" s="3934" t="n"/>
      <c r="S497" s="3934" t="n"/>
      <c r="T497" s="3934" t="n"/>
      <c r="U497" s="3934" t="n"/>
      <c r="V497" s="3934" t="n"/>
      <c r="W497" s="3934" t="n"/>
      <c r="X497" s="3934" t="n"/>
      <c r="Y497" s="3934" t="n"/>
      <c r="Z497" s="3934" t="n"/>
      <c r="AA497" s="3934" t="n"/>
      <c r="AB497" s="3934" t="n"/>
      <c r="AC497" s="3934" t="n"/>
      <c r="AD497" s="3934" t="n"/>
      <c r="AE497" s="3934" t="n"/>
      <c r="AF497" s="3934" t="n"/>
      <c r="AG497" s="3934" t="n"/>
      <c r="AH497" s="3934" t="n"/>
      <c r="AI497" s="3934" t="n"/>
      <c r="AJ497" s="3934" t="n"/>
      <c r="AK497" s="3934" t="n"/>
      <c r="AL497" s="3934" t="n"/>
      <c r="AM497" s="3934" t="n"/>
      <c r="AN497" s="3934" t="n"/>
      <c r="AO497" s="3934" t="n"/>
      <c r="AP497" s="3934" t="n"/>
      <c r="AQ497" s="3934" t="n"/>
      <c r="AR497" s="3934" t="n"/>
    </row>
    <row r="498">
      <c r="A498" s="3941" t="n"/>
      <c r="B498" s="3944" t="n"/>
      <c r="C498" s="3944" t="n"/>
      <c r="D498" s="3944" t="n"/>
      <c r="E498" s="3944" t="n"/>
      <c r="F498" s="3944" t="n"/>
      <c r="G498" s="3944" t="n"/>
      <c r="H498" s="3944" t="n"/>
      <c r="I498" s="3944" t="n"/>
      <c r="J498" s="3944" t="n"/>
      <c r="K498" s="3942">
        <f>IF(A498="","",SUM(E498:J498))</f>
        <v/>
      </c>
      <c r="L498" s="3934" t="n"/>
      <c r="M498" s="3934" t="n"/>
      <c r="N498" s="3934" t="n"/>
      <c r="O498" s="3934" t="n"/>
      <c r="P498" s="3934" t="n"/>
      <c r="Q498" s="3934" t="n"/>
      <c r="R498" s="3934" t="n"/>
      <c r="S498" s="3934" t="n"/>
      <c r="T498" s="3934" t="n"/>
      <c r="U498" s="3934" t="n"/>
      <c r="V498" s="3934" t="n"/>
      <c r="W498" s="3934" t="n"/>
      <c r="X498" s="3934" t="n"/>
      <c r="Y498" s="3934" t="n"/>
      <c r="Z498" s="3934" t="n"/>
      <c r="AA498" s="3934" t="n"/>
      <c r="AB498" s="3934" t="n"/>
      <c r="AC498" s="3934" t="n"/>
      <c r="AD498" s="3934" t="n"/>
      <c r="AE498" s="3934" t="n"/>
      <c r="AF498" s="3934" t="n"/>
      <c r="AG498" s="3934" t="n"/>
      <c r="AH498" s="3934" t="n"/>
      <c r="AI498" s="3934" t="n"/>
      <c r="AJ498" s="3934" t="n"/>
      <c r="AK498" s="3934" t="n"/>
      <c r="AL498" s="3934" t="n"/>
      <c r="AM498" s="3934" t="n"/>
      <c r="AN498" s="3934" t="n"/>
      <c r="AO498" s="3934" t="n"/>
      <c r="AP498" s="3934" t="n"/>
      <c r="AQ498" s="3934" t="n"/>
      <c r="AR498" s="3934" t="n"/>
    </row>
    <row r="499">
      <c r="A499" s="3941" t="n"/>
      <c r="B499" s="3944" t="n"/>
      <c r="C499" s="3944" t="n"/>
      <c r="D499" s="3944" t="n"/>
      <c r="E499" s="3944" t="n"/>
      <c r="F499" s="3944" t="n"/>
      <c r="G499" s="3944" t="n"/>
      <c r="H499" s="3944" t="n"/>
      <c r="I499" s="3944" t="n"/>
      <c r="J499" s="3944" t="n"/>
      <c r="K499" s="3942">
        <f>IF(A499="","",SUM(E499:J499))</f>
        <v/>
      </c>
      <c r="L499" s="3934" t="n"/>
      <c r="M499" s="3934" t="n"/>
      <c r="N499" s="3934" t="n"/>
      <c r="O499" s="3934" t="n"/>
      <c r="P499" s="3934" t="n"/>
      <c r="Q499" s="3934" t="n"/>
      <c r="R499" s="3934" t="n"/>
      <c r="S499" s="3934" t="n"/>
      <c r="T499" s="3934" t="n"/>
      <c r="U499" s="3934" t="n"/>
      <c r="V499" s="3934" t="n"/>
      <c r="W499" s="3934" t="n"/>
      <c r="X499" s="3934" t="n"/>
      <c r="Y499" s="3934" t="n"/>
      <c r="Z499" s="3934" t="n"/>
      <c r="AA499" s="3934" t="n"/>
      <c r="AB499" s="3934" t="n"/>
      <c r="AC499" s="3934" t="n"/>
      <c r="AD499" s="3934" t="n"/>
      <c r="AE499" s="3934" t="n"/>
      <c r="AF499" s="3934" t="n"/>
      <c r="AG499" s="3934" t="n"/>
      <c r="AH499" s="3934" t="n"/>
      <c r="AI499" s="3934" t="n"/>
      <c r="AJ499" s="3934" t="n"/>
      <c r="AK499" s="3934" t="n"/>
      <c r="AL499" s="3934" t="n"/>
      <c r="AM499" s="3934" t="n"/>
      <c r="AN499" s="3934" t="n"/>
      <c r="AO499" s="3934" t="n"/>
      <c r="AP499" s="3934" t="n"/>
      <c r="AQ499" s="3934" t="n"/>
      <c r="AR499" s="3934" t="n"/>
    </row>
    <row r="500">
      <c r="A500" s="3941" t="n"/>
      <c r="B500" s="3944" t="n"/>
      <c r="C500" s="3944" t="n"/>
      <c r="D500" s="3944" t="n"/>
      <c r="E500" s="3944" t="n"/>
      <c r="F500" s="3944" t="n"/>
      <c r="G500" s="3944" t="n"/>
      <c r="H500" s="3944" t="n"/>
      <c r="I500" s="3944" t="n"/>
      <c r="J500" s="3944" t="n"/>
      <c r="K500" s="3942">
        <f>IF(A500="","",SUM(E500:J500))</f>
        <v/>
      </c>
      <c r="L500" s="3934" t="n"/>
      <c r="M500" s="3934" t="n"/>
      <c r="N500" s="3934" t="n"/>
      <c r="O500" s="3934" t="n"/>
      <c r="P500" s="3934" t="n"/>
      <c r="Q500" s="3934" t="n"/>
      <c r="R500" s="3934" t="n"/>
      <c r="S500" s="3934" t="n"/>
      <c r="T500" s="3934" t="n"/>
      <c r="U500" s="3934" t="n"/>
      <c r="V500" s="3934" t="n"/>
      <c r="W500" s="3934" t="n"/>
      <c r="X500" s="3934" t="n"/>
      <c r="Y500" s="3934" t="n"/>
      <c r="Z500" s="3934" t="n"/>
      <c r="AA500" s="3934" t="n"/>
      <c r="AB500" s="3934" t="n"/>
      <c r="AC500" s="3934" t="n"/>
      <c r="AD500" s="3934" t="n"/>
      <c r="AE500" s="3934" t="n"/>
      <c r="AF500" s="3934" t="n"/>
      <c r="AG500" s="3934" t="n"/>
      <c r="AH500" s="3934" t="n"/>
      <c r="AI500" s="3934" t="n"/>
      <c r="AJ500" s="3934" t="n"/>
      <c r="AK500" s="3934" t="n"/>
      <c r="AL500" s="3934" t="n"/>
      <c r="AM500" s="3934" t="n"/>
      <c r="AN500" s="3934" t="n"/>
      <c r="AO500" s="3934" t="n"/>
      <c r="AP500" s="3934" t="n"/>
      <c r="AQ500" s="3934" t="n"/>
      <c r="AR500" s="3934" t="n"/>
    </row>
    <row r="501">
      <c r="A501" s="3941" t="n"/>
      <c r="B501" s="3944" t="n"/>
      <c r="C501" s="3944" t="n"/>
      <c r="D501" s="3944" t="n"/>
      <c r="E501" s="3944" t="n"/>
      <c r="F501" s="3944" t="n"/>
      <c r="G501" s="3944" t="n"/>
      <c r="H501" s="3944" t="n"/>
      <c r="I501" s="3944" t="n"/>
      <c r="J501" s="3944" t="n"/>
      <c r="K501" s="3942">
        <f>IF(A501="","",SUM(E501:J501))</f>
        <v/>
      </c>
      <c r="L501" s="3934" t="n"/>
      <c r="M501" s="3934" t="n"/>
      <c r="N501" s="3934" t="n"/>
      <c r="O501" s="3934" t="n"/>
      <c r="P501" s="3934" t="n"/>
      <c r="Q501" s="3934" t="n"/>
      <c r="R501" s="3934" t="n"/>
      <c r="S501" s="3934" t="n"/>
      <c r="T501" s="3934" t="n"/>
      <c r="U501" s="3934" t="n"/>
      <c r="V501" s="3934" t="n"/>
      <c r="W501" s="3934" t="n"/>
      <c r="X501" s="3934" t="n"/>
      <c r="Y501" s="3934" t="n"/>
      <c r="Z501" s="3934" t="n"/>
      <c r="AA501" s="3934" t="n"/>
      <c r="AB501" s="3934" t="n"/>
      <c r="AC501" s="3934" t="n"/>
      <c r="AD501" s="3934" t="n"/>
      <c r="AE501" s="3934" t="n"/>
      <c r="AF501" s="3934" t="n"/>
      <c r="AG501" s="3934" t="n"/>
      <c r="AH501" s="3934" t="n"/>
      <c r="AI501" s="3934" t="n"/>
      <c r="AJ501" s="3934" t="n"/>
      <c r="AK501" s="3934" t="n"/>
      <c r="AL501" s="3934" t="n"/>
      <c r="AM501" s="3934" t="n"/>
      <c r="AN501" s="3934" t="n"/>
      <c r="AO501" s="3934" t="n"/>
      <c r="AP501" s="3934" t="n"/>
      <c r="AQ501" s="3934" t="n"/>
      <c r="AR501" s="3934" t="n"/>
    </row>
    <row r="502">
      <c r="A502" s="3941" t="n"/>
      <c r="B502" s="3944" t="n"/>
      <c r="C502" s="3944" t="n"/>
      <c r="D502" s="3944" t="n"/>
      <c r="E502" s="3944" t="n"/>
      <c r="F502" s="3944" t="n"/>
      <c r="G502" s="3944" t="n"/>
      <c r="H502" s="3944" t="n"/>
      <c r="I502" s="3944" t="n"/>
      <c r="J502" s="3944" t="n"/>
      <c r="K502" s="3942">
        <f>IF(A502="","",SUM(E502:J502))</f>
        <v/>
      </c>
      <c r="L502" s="3934" t="n"/>
      <c r="M502" s="3934" t="n"/>
      <c r="N502" s="3934" t="n"/>
      <c r="O502" s="3934" t="n"/>
      <c r="P502" s="3934" t="n"/>
      <c r="Q502" s="3934" t="n"/>
      <c r="R502" s="3934" t="n"/>
      <c r="S502" s="3934" t="n"/>
      <c r="T502" s="3934" t="n"/>
      <c r="U502" s="3934" t="n"/>
      <c r="V502" s="3934" t="n"/>
      <c r="W502" s="3934" t="n"/>
      <c r="X502" s="3934" t="n"/>
      <c r="Y502" s="3934" t="n"/>
      <c r="Z502" s="3934" t="n"/>
      <c r="AA502" s="3934" t="n"/>
      <c r="AB502" s="3934" t="n"/>
      <c r="AC502" s="3934" t="n"/>
      <c r="AD502" s="3934" t="n"/>
      <c r="AE502" s="3934" t="n"/>
      <c r="AF502" s="3934" t="n"/>
      <c r="AG502" s="3934" t="n"/>
      <c r="AH502" s="3934" t="n"/>
      <c r="AI502" s="3934" t="n"/>
      <c r="AJ502" s="3934" t="n"/>
      <c r="AK502" s="3934" t="n"/>
      <c r="AL502" s="3934" t="n"/>
      <c r="AM502" s="3934" t="n"/>
      <c r="AN502" s="3934" t="n"/>
      <c r="AO502" s="3934" t="n"/>
      <c r="AP502" s="3934" t="n"/>
      <c r="AQ502" s="3934" t="n"/>
      <c r="AR502" s="3934" t="n"/>
    </row>
    <row r="503">
      <c r="A503" s="3941" t="n"/>
      <c r="B503" s="3944" t="n"/>
      <c r="C503" s="3944" t="n"/>
      <c r="D503" s="3944" t="n"/>
      <c r="E503" s="3944" t="n"/>
      <c r="F503" s="3944" t="n"/>
      <c r="G503" s="3944" t="n"/>
      <c r="H503" s="3944" t="n"/>
      <c r="I503" s="3944" t="n"/>
      <c r="J503" s="3944" t="n"/>
      <c r="K503" s="3942">
        <f>IF(A503="","",SUM(E503:J503))</f>
        <v/>
      </c>
      <c r="L503" s="3934" t="n"/>
      <c r="M503" s="3934" t="n"/>
      <c r="N503" s="3934" t="n"/>
      <c r="O503" s="3934" t="n"/>
      <c r="P503" s="3934" t="n"/>
      <c r="Q503" s="3934" t="n"/>
      <c r="R503" s="3934" t="n"/>
      <c r="S503" s="3934" t="n"/>
      <c r="T503" s="3934" t="n"/>
      <c r="U503" s="3934" t="n"/>
      <c r="V503" s="3934" t="n"/>
      <c r="W503" s="3934" t="n"/>
      <c r="X503" s="3934" t="n"/>
      <c r="Y503" s="3934" t="n"/>
      <c r="Z503" s="3934" t="n"/>
      <c r="AA503" s="3934" t="n"/>
      <c r="AB503" s="3934" t="n"/>
      <c r="AC503" s="3934" t="n"/>
      <c r="AD503" s="3934" t="n"/>
      <c r="AE503" s="3934" t="n"/>
      <c r="AF503" s="3934" t="n"/>
      <c r="AG503" s="3934" t="n"/>
      <c r="AH503" s="3934" t="n"/>
      <c r="AI503" s="3934" t="n"/>
      <c r="AJ503" s="3934" t="n"/>
      <c r="AK503" s="3934" t="n"/>
      <c r="AL503" s="3934" t="n"/>
      <c r="AM503" s="3934" t="n"/>
      <c r="AN503" s="3934" t="n"/>
      <c r="AO503" s="3934" t="n"/>
      <c r="AP503" s="3934" t="n"/>
      <c r="AQ503" s="3934" t="n"/>
      <c r="AR503" s="3934" t="n"/>
    </row>
    <row r="504">
      <c r="A504" s="3941" t="n"/>
      <c r="B504" s="3944" t="n"/>
      <c r="C504" s="3944" t="n"/>
      <c r="D504" s="3944" t="n"/>
      <c r="E504" s="3944" t="n"/>
      <c r="F504" s="3944" t="n"/>
      <c r="G504" s="3944" t="n"/>
      <c r="H504" s="3944" t="n"/>
      <c r="I504" s="3944" t="n"/>
      <c r="J504" s="3944" t="n"/>
      <c r="K504" s="3942">
        <f>IF(A504="","",SUM(E504:J504))</f>
        <v/>
      </c>
      <c r="L504" s="3934" t="n"/>
      <c r="M504" s="3934" t="n"/>
      <c r="N504" s="3934" t="n"/>
      <c r="O504" s="3934" t="n"/>
      <c r="P504" s="3934" t="n"/>
      <c r="Q504" s="3934" t="n"/>
      <c r="R504" s="3934" t="n"/>
      <c r="S504" s="3934" t="n"/>
      <c r="T504" s="3934" t="n"/>
      <c r="U504" s="3934" t="n"/>
      <c r="V504" s="3934" t="n"/>
      <c r="W504" s="3934" t="n"/>
      <c r="X504" s="3934" t="n"/>
      <c r="Y504" s="3934" t="n"/>
      <c r="Z504" s="3934" t="n"/>
      <c r="AA504" s="3934" t="n"/>
      <c r="AB504" s="3934" t="n"/>
      <c r="AC504" s="3934" t="n"/>
      <c r="AD504" s="3934" t="n"/>
      <c r="AE504" s="3934" t="n"/>
      <c r="AF504" s="3934" t="n"/>
      <c r="AG504" s="3934" t="n"/>
      <c r="AH504" s="3934" t="n"/>
      <c r="AI504" s="3934" t="n"/>
      <c r="AJ504" s="3934" t="n"/>
      <c r="AK504" s="3934" t="n"/>
      <c r="AL504" s="3934" t="n"/>
      <c r="AM504" s="3934" t="n"/>
      <c r="AN504" s="3934" t="n"/>
      <c r="AO504" s="3934" t="n"/>
      <c r="AP504" s="3934" t="n"/>
      <c r="AQ504" s="3934" t="n"/>
      <c r="AR504" s="3934" t="n"/>
    </row>
    <row r="505">
      <c r="A505" s="3941" t="n"/>
      <c r="B505" s="3944" t="n"/>
      <c r="C505" s="3944" t="n"/>
      <c r="D505" s="3944" t="n"/>
      <c r="E505" s="3944" t="n"/>
      <c r="F505" s="3944" t="n"/>
      <c r="G505" s="3944" t="n"/>
      <c r="H505" s="3944" t="n"/>
      <c r="I505" s="3944" t="n"/>
      <c r="J505" s="3944" t="n"/>
      <c r="K505" s="3942">
        <f>IF(A505="","",SUM(E505:J505))</f>
        <v/>
      </c>
      <c r="L505" s="3934" t="n"/>
      <c r="M505" s="3934" t="n"/>
      <c r="N505" s="3934" t="n"/>
      <c r="O505" s="3934" t="n"/>
      <c r="P505" s="3934" t="n"/>
      <c r="Q505" s="3934" t="n"/>
      <c r="R505" s="3934" t="n"/>
      <c r="S505" s="3934" t="n"/>
      <c r="T505" s="3934" t="n"/>
      <c r="U505" s="3934" t="n"/>
      <c r="V505" s="3934" t="n"/>
      <c r="W505" s="3934" t="n"/>
      <c r="X505" s="3934" t="n"/>
      <c r="Y505" s="3934" t="n"/>
      <c r="Z505" s="3934" t="n"/>
      <c r="AA505" s="3934" t="n"/>
      <c r="AB505" s="3934" t="n"/>
      <c r="AC505" s="3934" t="n"/>
      <c r="AD505" s="3934" t="n"/>
      <c r="AE505" s="3934" t="n"/>
      <c r="AF505" s="3934" t="n"/>
      <c r="AG505" s="3934" t="n"/>
      <c r="AH505" s="3934" t="n"/>
      <c r="AI505" s="3934" t="n"/>
      <c r="AJ505" s="3934" t="n"/>
      <c r="AK505" s="3934" t="n"/>
      <c r="AL505" s="3934" t="n"/>
      <c r="AM505" s="3934" t="n"/>
      <c r="AN505" s="3934" t="n"/>
      <c r="AO505" s="3934" t="n"/>
      <c r="AP505" s="3934" t="n"/>
      <c r="AQ505" s="3934" t="n"/>
      <c r="AR505" s="3934" t="n"/>
    </row>
    <row r="506">
      <c r="A506" s="3941" t="n"/>
      <c r="B506" s="3944" t="n"/>
      <c r="C506" s="3944" t="n"/>
      <c r="D506" s="3944" t="n"/>
      <c r="E506" s="3944" t="n"/>
      <c r="F506" s="3944" t="n"/>
      <c r="G506" s="3944" t="n"/>
      <c r="H506" s="3944" t="n"/>
      <c r="I506" s="3944" t="n"/>
      <c r="J506" s="3944" t="n"/>
      <c r="K506" s="3942">
        <f>IF(A506="","",SUM(E506:J506))</f>
        <v/>
      </c>
      <c r="L506" s="3934" t="n"/>
      <c r="M506" s="3934" t="n"/>
      <c r="N506" s="3934" t="n"/>
      <c r="O506" s="3934" t="n"/>
      <c r="P506" s="3934" t="n"/>
      <c r="Q506" s="3934" t="n"/>
      <c r="R506" s="3934" t="n"/>
      <c r="S506" s="3934" t="n"/>
      <c r="T506" s="3934" t="n"/>
      <c r="U506" s="3934" t="n"/>
      <c r="V506" s="3934" t="n"/>
      <c r="W506" s="3934" t="n"/>
      <c r="X506" s="3934" t="n"/>
      <c r="Y506" s="3934" t="n"/>
      <c r="Z506" s="3934" t="n"/>
      <c r="AA506" s="3934" t="n"/>
      <c r="AB506" s="3934" t="n"/>
      <c r="AC506" s="3934" t="n"/>
      <c r="AD506" s="3934" t="n"/>
      <c r="AE506" s="3934" t="n"/>
      <c r="AF506" s="3934" t="n"/>
      <c r="AG506" s="3934" t="n"/>
      <c r="AH506" s="3934" t="n"/>
      <c r="AI506" s="3934" t="n"/>
      <c r="AJ506" s="3934" t="n"/>
      <c r="AK506" s="3934" t="n"/>
      <c r="AL506" s="3934" t="n"/>
      <c r="AM506" s="3934" t="n"/>
      <c r="AN506" s="3934" t="n"/>
      <c r="AO506" s="3934" t="n"/>
      <c r="AP506" s="3934" t="n"/>
      <c r="AQ506" s="3934" t="n"/>
      <c r="AR506" s="3934" t="n"/>
    </row>
    <row r="507">
      <c r="A507" s="3941" t="n"/>
      <c r="B507" s="3944" t="n"/>
      <c r="C507" s="3944" t="n"/>
      <c r="D507" s="3944" t="n"/>
      <c r="E507" s="3944" t="n"/>
      <c r="F507" s="3944" t="n"/>
      <c r="G507" s="3944" t="n"/>
      <c r="H507" s="3944" t="n"/>
      <c r="I507" s="3944" t="n"/>
      <c r="J507" s="3944" t="n"/>
      <c r="K507" s="3942">
        <f>IF(A507="","",SUM(E507:J507))</f>
        <v/>
      </c>
      <c r="L507" s="3934" t="n"/>
      <c r="M507" s="3934" t="n"/>
      <c r="N507" s="3934" t="n"/>
      <c r="O507" s="3934" t="n"/>
      <c r="P507" s="3934" t="n"/>
      <c r="Q507" s="3934" t="n"/>
      <c r="R507" s="3934" t="n"/>
      <c r="S507" s="3934" t="n"/>
      <c r="T507" s="3934" t="n"/>
      <c r="U507" s="3934" t="n"/>
      <c r="V507" s="3934" t="n"/>
      <c r="W507" s="3934" t="n"/>
      <c r="X507" s="3934" t="n"/>
      <c r="Y507" s="3934" t="n"/>
      <c r="Z507" s="3934" t="n"/>
      <c r="AA507" s="3934" t="n"/>
      <c r="AB507" s="3934" t="n"/>
      <c r="AC507" s="3934" t="n"/>
      <c r="AD507" s="3934" t="n"/>
      <c r="AE507" s="3934" t="n"/>
      <c r="AF507" s="3934" t="n"/>
      <c r="AG507" s="3934" t="n"/>
      <c r="AH507" s="3934" t="n"/>
      <c r="AI507" s="3934" t="n"/>
      <c r="AJ507" s="3934" t="n"/>
      <c r="AK507" s="3934" t="n"/>
      <c r="AL507" s="3934" t="n"/>
      <c r="AM507" s="3934" t="n"/>
      <c r="AN507" s="3934" t="n"/>
      <c r="AO507" s="3934" t="n"/>
      <c r="AP507" s="3934" t="n"/>
      <c r="AQ507" s="3934" t="n"/>
      <c r="AR507" s="3934" t="n"/>
    </row>
    <row r="508">
      <c r="A508" s="3941" t="n"/>
      <c r="B508" s="3944" t="n"/>
      <c r="C508" s="3944" t="n"/>
      <c r="D508" s="3944" t="n"/>
      <c r="E508" s="3944" t="n"/>
      <c r="F508" s="3944" t="n"/>
      <c r="G508" s="3944" t="n"/>
      <c r="H508" s="3944" t="n"/>
      <c r="I508" s="3944" t="n"/>
      <c r="J508" s="3944" t="n"/>
      <c r="K508" s="3942">
        <f>IF(A508="","",SUM(E508:J508))</f>
        <v/>
      </c>
      <c r="L508" s="3934" t="n"/>
      <c r="M508" s="3934" t="n"/>
      <c r="N508" s="3934" t="n"/>
      <c r="O508" s="3934" t="n"/>
      <c r="P508" s="3934" t="n"/>
      <c r="Q508" s="3934" t="n"/>
      <c r="R508" s="3934" t="n"/>
      <c r="S508" s="3934" t="n"/>
      <c r="T508" s="3934" t="n"/>
      <c r="U508" s="3934" t="n"/>
      <c r="V508" s="3934" t="n"/>
      <c r="W508" s="3934" t="n"/>
      <c r="X508" s="3934" t="n"/>
      <c r="Y508" s="3934" t="n"/>
      <c r="Z508" s="3934" t="n"/>
      <c r="AA508" s="3934" t="n"/>
      <c r="AB508" s="3934" t="n"/>
      <c r="AC508" s="3934" t="n"/>
      <c r="AD508" s="3934" t="n"/>
      <c r="AE508" s="3934" t="n"/>
      <c r="AF508" s="3934" t="n"/>
      <c r="AG508" s="3934" t="n"/>
      <c r="AH508" s="3934" t="n"/>
      <c r="AI508" s="3934" t="n"/>
      <c r="AJ508" s="3934" t="n"/>
      <c r="AK508" s="3934" t="n"/>
      <c r="AL508" s="3934" t="n"/>
      <c r="AM508" s="3934" t="n"/>
      <c r="AN508" s="3934" t="n"/>
      <c r="AO508" s="3934" t="n"/>
      <c r="AP508" s="3934" t="n"/>
      <c r="AQ508" s="3934" t="n"/>
      <c r="AR508" s="3934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R508"/>
  <sheetViews>
    <sheetView showGridLines="0" zoomScale="100" zoomScaleNormal="10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0" customWidth="1" min="3" max="3"/>
    <col width="18" customWidth="1" min="4" max="4"/>
    <col width="24" customWidth="1" min="5" max="5"/>
    <col width="20" customWidth="1" min="6" max="6"/>
    <col width="10" customWidth="1" min="7" max="7"/>
    <col width="14" customWidth="1" min="8" max="8"/>
    <col width="36" customWidth="1" min="9" max="9"/>
  </cols>
  <sheetData>
    <row r="1" ht="24" customHeight="1">
      <c r="A1" s="3921" t="inlineStr">
        <is>
          <t>Map | COA to Lines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</row>
    <row r="2">
      <c r="A2" s="3978" t="inlineStr">
        <is>
          <t>Source: &lt;document_source&gt;</t>
        </is>
      </c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</row>
    <row r="4">
      <c r="A4" s="3936" t="inlineStr">
        <is>
          <t>Template Note</t>
        </is>
      </c>
      <c r="B4" s="3937" t="inlineStr">
        <is>
          <t>Pack A scaffold only: direct formulas/values, no Excel Tables, no required named ranges.</t>
        </is>
      </c>
      <c r="C4" s="3934" t="n"/>
      <c r="D4" s="3934" t="n"/>
      <c r="E4" s="3934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</row>
    <row r="5">
      <c r="A5" s="3934" t="n"/>
      <c r="B5" s="3934" t="n"/>
      <c r="C5" s="3934" t="n"/>
      <c r="D5" s="3934" t="n"/>
      <c r="E5" s="3934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</row>
    <row r="7">
      <c r="A7" s="3979" t="inlineStr">
        <is>
          <t>Map | COA to Lines</t>
        </is>
      </c>
      <c r="B7" s="3980" t="n"/>
      <c r="C7" s="3980" t="n"/>
      <c r="D7" s="3980" t="n"/>
      <c r="E7" s="3980" t="n"/>
      <c r="F7" s="3980" t="n"/>
      <c r="G7" s="3980" t="n"/>
      <c r="H7" s="3980" t="n"/>
      <c r="I7" s="3980" t="n"/>
      <c r="J7" s="3934" t="n"/>
      <c r="K7" s="3934" t="n"/>
      <c r="L7" s="3934" t="n"/>
      <c r="M7" s="3934" t="n"/>
      <c r="N7" s="3934" t="n"/>
      <c r="O7" s="3934" t="n"/>
      <c r="P7" s="3934" t="n"/>
      <c r="Q7" s="3934" t="n"/>
      <c r="R7" s="3934" t="n"/>
      <c r="S7" s="3934" t="n"/>
      <c r="T7" s="3934" t="n"/>
      <c r="U7" s="3934" t="n"/>
      <c r="V7" s="3934" t="n"/>
      <c r="W7" s="3934" t="n"/>
      <c r="X7" s="3934" t="n"/>
      <c r="Y7" s="3934" t="n"/>
      <c r="Z7" s="3934" t="n"/>
      <c r="AA7" s="3934" t="n"/>
      <c r="AB7" s="3934" t="n"/>
      <c r="AC7" s="3934" t="n"/>
      <c r="AD7" s="3934" t="n"/>
      <c r="AE7" s="3934" t="n"/>
      <c r="AF7" s="3934" t="n"/>
      <c r="AG7" s="3934" t="n"/>
      <c r="AH7" s="3934" t="n"/>
      <c r="AI7" s="3934" t="n"/>
      <c r="AJ7" s="3934" t="n"/>
      <c r="AK7" s="3934" t="n"/>
      <c r="AL7" s="3934" t="n"/>
      <c r="AM7" s="3934" t="n"/>
      <c r="AN7" s="3934" t="n"/>
      <c r="AO7" s="3934" t="n"/>
      <c r="AP7" s="3934" t="n"/>
      <c r="AQ7" s="3934" t="n"/>
      <c r="AR7" s="3934" t="n"/>
    </row>
    <row r="8">
      <c r="A8" s="3923" t="inlineStr">
        <is>
          <t>AccountNumber</t>
        </is>
      </c>
      <c r="B8" s="3923" t="inlineStr">
        <is>
          <t>AccountName</t>
        </is>
      </c>
      <c r="C8" s="3923" t="inlineStr">
        <is>
          <t>Statement</t>
        </is>
      </c>
      <c r="D8" s="3923" t="inlineStr">
        <is>
          <t>LineKey</t>
        </is>
      </c>
      <c r="E8" s="3923" t="inlineStr">
        <is>
          <t>LineName</t>
        </is>
      </c>
      <c r="F8" s="3923" t="inlineStr">
        <is>
          <t>GroupKey</t>
        </is>
      </c>
      <c r="G8" s="3923" t="inlineStr">
        <is>
          <t>SortOrder</t>
        </is>
      </c>
      <c r="H8" s="3923" t="inlineStr">
        <is>
          <t>SignMultiplier</t>
        </is>
      </c>
      <c r="I8" s="3923" t="inlineStr">
        <is>
          <t>Notes</t>
        </is>
      </c>
      <c r="J8" s="3934" t="n"/>
      <c r="K8" s="3934" t="n"/>
      <c r="L8" s="3934" t="n"/>
      <c r="M8" s="3934" t="n"/>
      <c r="N8" s="3934" t="n"/>
      <c r="O8" s="3934" t="n"/>
      <c r="P8" s="3934" t="n"/>
      <c r="Q8" s="3934" t="n"/>
      <c r="R8" s="3934" t="n"/>
      <c r="S8" s="3934" t="n"/>
      <c r="T8" s="3934" t="n"/>
      <c r="U8" s="3934" t="n"/>
      <c r="V8" s="3934" t="n"/>
      <c r="W8" s="3934" t="n"/>
      <c r="X8" s="3934" t="n"/>
      <c r="Y8" s="3934" t="n"/>
      <c r="Z8" s="3934" t="n"/>
      <c r="AA8" s="3934" t="n"/>
      <c r="AB8" s="3934" t="n"/>
      <c r="AC8" s="3934" t="n"/>
      <c r="AD8" s="3934" t="n"/>
      <c r="AE8" s="3934" t="n"/>
      <c r="AF8" s="3934" t="n"/>
      <c r="AG8" s="3934" t="n"/>
      <c r="AH8" s="3934" t="n"/>
      <c r="AI8" s="3934" t="n"/>
      <c r="AJ8" s="3934" t="n"/>
      <c r="AK8" s="3934" t="n"/>
      <c r="AL8" s="3934" t="n"/>
      <c r="AM8" s="3934" t="n"/>
      <c r="AN8" s="3934" t="n"/>
      <c r="AO8" s="3934" t="n"/>
      <c r="AP8" s="3934" t="n"/>
      <c r="AQ8" s="3934" t="n"/>
      <c r="AR8" s="3934" t="n"/>
    </row>
    <row r="9">
      <c r="A9" s="3944" t="n"/>
      <c r="B9" s="3944" t="n"/>
      <c r="C9" s="3944" t="n"/>
      <c r="D9" s="3944" t="n"/>
      <c r="E9" s="3944" t="n"/>
      <c r="F9" s="3944" t="n"/>
      <c r="G9" s="3944" t="n"/>
      <c r="H9" s="3944" t="n"/>
      <c r="I9" s="3944" t="n"/>
      <c r="J9" s="3934" t="n"/>
      <c r="K9" s="3934" t="n"/>
      <c r="L9" s="3934" t="n"/>
      <c r="M9" s="3934" t="n"/>
      <c r="N9" s="3934" t="n"/>
      <c r="O9" s="3934" t="n"/>
      <c r="P9" s="3934" t="n"/>
      <c r="Q9" s="3934" t="n"/>
      <c r="R9" s="3934" t="n"/>
      <c r="S9" s="3934" t="n"/>
      <c r="T9" s="3934" t="n"/>
      <c r="U9" s="3934" t="n"/>
      <c r="V9" s="3934" t="n"/>
      <c r="W9" s="3934" t="n"/>
      <c r="X9" s="3934" t="n"/>
      <c r="Y9" s="3934" t="n"/>
      <c r="Z9" s="3934" t="n"/>
      <c r="AA9" s="3934" t="n"/>
      <c r="AB9" s="3934" t="n"/>
      <c r="AC9" s="3934" t="n"/>
      <c r="AD9" s="3934" t="n"/>
      <c r="AE9" s="3934" t="n"/>
      <c r="AF9" s="3934" t="n"/>
      <c r="AG9" s="3934" t="n"/>
      <c r="AH9" s="3934" t="n"/>
      <c r="AI9" s="3934" t="n"/>
      <c r="AJ9" s="3934" t="n"/>
      <c r="AK9" s="3934" t="n"/>
      <c r="AL9" s="3934" t="n"/>
      <c r="AM9" s="3934" t="n"/>
      <c r="AN9" s="3934" t="n"/>
      <c r="AO9" s="3934" t="n"/>
      <c r="AP9" s="3934" t="n"/>
      <c r="AQ9" s="3934" t="n"/>
      <c r="AR9" s="3934" t="n"/>
    </row>
    <row r="10">
      <c r="A10" s="3944" t="n"/>
      <c r="B10" s="3944" t="n"/>
      <c r="C10" s="3944" t="n"/>
      <c r="D10" s="3944" t="n"/>
      <c r="E10" s="3944" t="n"/>
      <c r="F10" s="3944" t="n"/>
      <c r="G10" s="3944" t="n"/>
      <c r="H10" s="3944" t="n"/>
      <c r="I10" s="3944" t="n"/>
      <c r="J10" s="3934" t="n"/>
      <c r="K10" s="3934" t="n"/>
      <c r="L10" s="3934" t="n"/>
      <c r="M10" s="3934" t="n"/>
      <c r="N10" s="3934" t="n"/>
      <c r="O10" s="3934" t="n"/>
      <c r="P10" s="3934" t="n"/>
      <c r="Q10" s="3934" t="n"/>
      <c r="R10" s="3934" t="n"/>
      <c r="S10" s="3934" t="n"/>
      <c r="T10" s="3934" t="n"/>
      <c r="U10" s="3934" t="n"/>
      <c r="V10" s="3934" t="n"/>
      <c r="W10" s="3934" t="n"/>
      <c r="X10" s="3934" t="n"/>
      <c r="Y10" s="3934" t="n"/>
      <c r="Z10" s="3934" t="n"/>
      <c r="AA10" s="3934" t="n"/>
      <c r="AB10" s="3934" t="n"/>
      <c r="AC10" s="3934" t="n"/>
      <c r="AD10" s="3934" t="n"/>
      <c r="AE10" s="3934" t="n"/>
      <c r="AF10" s="3934" t="n"/>
      <c r="AG10" s="3934" t="n"/>
      <c r="AH10" s="3934" t="n"/>
      <c r="AI10" s="3934" t="n"/>
      <c r="AJ10" s="3934" t="n"/>
      <c r="AK10" s="3934" t="n"/>
      <c r="AL10" s="3934" t="n"/>
      <c r="AM10" s="3934" t="n"/>
      <c r="AN10" s="3934" t="n"/>
      <c r="AO10" s="3934" t="n"/>
      <c r="AP10" s="3934" t="n"/>
      <c r="AQ10" s="3934" t="n"/>
      <c r="AR10" s="3934" t="n"/>
    </row>
    <row r="11">
      <c r="A11" s="3944" t="n"/>
      <c r="B11" s="3944" t="n"/>
      <c r="C11" s="3944" t="n"/>
      <c r="D11" s="3944" t="n"/>
      <c r="E11" s="3944" t="n"/>
      <c r="F11" s="3944" t="n"/>
      <c r="G11" s="3944" t="n"/>
      <c r="H11" s="3944" t="n"/>
      <c r="I11" s="3944" t="n"/>
      <c r="J11" s="3934" t="n"/>
      <c r="K11" s="3934" t="n"/>
      <c r="L11" s="3934" t="n"/>
      <c r="M11" s="3934" t="n"/>
      <c r="N11" s="3934" t="n"/>
      <c r="O11" s="3934" t="n"/>
      <c r="P11" s="3934" t="n"/>
      <c r="Q11" s="3934" t="n"/>
      <c r="R11" s="3934" t="n"/>
      <c r="S11" s="3934" t="n"/>
      <c r="T11" s="3934" t="n"/>
      <c r="U11" s="3934" t="n"/>
      <c r="V11" s="3934" t="n"/>
      <c r="W11" s="3934" t="n"/>
      <c r="X11" s="3934" t="n"/>
      <c r="Y11" s="3934" t="n"/>
      <c r="Z11" s="3934" t="n"/>
      <c r="AA11" s="3934" t="n"/>
      <c r="AB11" s="3934" t="n"/>
      <c r="AC11" s="3934" t="n"/>
      <c r="AD11" s="3934" t="n"/>
      <c r="AE11" s="3934" t="n"/>
      <c r="AF11" s="3934" t="n"/>
      <c r="AG11" s="3934" t="n"/>
      <c r="AH11" s="3934" t="n"/>
      <c r="AI11" s="3934" t="n"/>
      <c r="AJ11" s="3934" t="n"/>
      <c r="AK11" s="3934" t="n"/>
      <c r="AL11" s="3934" t="n"/>
      <c r="AM11" s="3934" t="n"/>
      <c r="AN11" s="3934" t="n"/>
      <c r="AO11" s="3934" t="n"/>
      <c r="AP11" s="3934" t="n"/>
      <c r="AQ11" s="3934" t="n"/>
      <c r="AR11" s="3934" t="n"/>
    </row>
    <row r="12">
      <c r="A12" s="3944" t="n"/>
      <c r="B12" s="3944" t="n"/>
      <c r="C12" s="3944" t="n"/>
      <c r="D12" s="3944" t="n"/>
      <c r="E12" s="3944" t="n"/>
      <c r="F12" s="3944" t="n"/>
      <c r="G12" s="3944" t="n"/>
      <c r="H12" s="3944" t="n"/>
      <c r="I12" s="3944" t="n"/>
      <c r="J12" s="3934" t="n"/>
      <c r="K12" s="3934" t="n"/>
      <c r="L12" s="3934" t="n"/>
      <c r="M12" s="3934" t="n"/>
      <c r="N12" s="3934" t="n"/>
      <c r="O12" s="3934" t="n"/>
      <c r="P12" s="3934" t="n"/>
      <c r="Q12" s="3934" t="n"/>
      <c r="R12" s="3934" t="n"/>
      <c r="S12" s="3934" t="n"/>
      <c r="T12" s="3934" t="n"/>
      <c r="U12" s="3934" t="n"/>
      <c r="V12" s="3934" t="n"/>
      <c r="W12" s="3934" t="n"/>
      <c r="X12" s="3934" t="n"/>
      <c r="Y12" s="3934" t="n"/>
      <c r="Z12" s="3934" t="n"/>
      <c r="AA12" s="3934" t="n"/>
      <c r="AB12" s="3934" t="n"/>
      <c r="AC12" s="3934" t="n"/>
      <c r="AD12" s="3934" t="n"/>
      <c r="AE12" s="3934" t="n"/>
      <c r="AF12" s="3934" t="n"/>
      <c r="AG12" s="3934" t="n"/>
      <c r="AH12" s="3934" t="n"/>
      <c r="AI12" s="3934" t="n"/>
      <c r="AJ12" s="3934" t="n"/>
      <c r="AK12" s="3934" t="n"/>
      <c r="AL12" s="3934" t="n"/>
      <c r="AM12" s="3934" t="n"/>
      <c r="AN12" s="3934" t="n"/>
      <c r="AO12" s="3934" t="n"/>
      <c r="AP12" s="3934" t="n"/>
      <c r="AQ12" s="3934" t="n"/>
      <c r="AR12" s="3934" t="n"/>
    </row>
    <row r="13">
      <c r="A13" s="3944" t="n"/>
      <c r="B13" s="3944" t="n"/>
      <c r="C13" s="3944" t="n"/>
      <c r="D13" s="3944" t="n"/>
      <c r="E13" s="3944" t="n"/>
      <c r="F13" s="3944" t="n"/>
      <c r="G13" s="3944" t="n"/>
      <c r="H13" s="3944" t="n"/>
      <c r="I13" s="3944" t="n"/>
      <c r="J13" s="3934" t="n"/>
      <c r="K13" s="3934" t="n"/>
      <c r="L13" s="3934" t="n"/>
      <c r="M13" s="3934" t="n"/>
      <c r="N13" s="3934" t="n"/>
      <c r="O13" s="3934" t="n"/>
      <c r="P13" s="3934" t="n"/>
      <c r="Q13" s="3934" t="n"/>
      <c r="R13" s="3934" t="n"/>
      <c r="S13" s="3934" t="n"/>
      <c r="T13" s="3934" t="n"/>
      <c r="U13" s="3934" t="n"/>
      <c r="V13" s="3934" t="n"/>
      <c r="W13" s="3934" t="n"/>
      <c r="X13" s="3934" t="n"/>
      <c r="Y13" s="3934" t="n"/>
      <c r="Z13" s="3934" t="n"/>
      <c r="AA13" s="3934" t="n"/>
      <c r="AB13" s="3934" t="n"/>
      <c r="AC13" s="3934" t="n"/>
      <c r="AD13" s="3934" t="n"/>
      <c r="AE13" s="3934" t="n"/>
      <c r="AF13" s="3934" t="n"/>
      <c r="AG13" s="3934" t="n"/>
      <c r="AH13" s="3934" t="n"/>
      <c r="AI13" s="3934" t="n"/>
      <c r="AJ13" s="3934" t="n"/>
      <c r="AK13" s="3934" t="n"/>
      <c r="AL13" s="3934" t="n"/>
      <c r="AM13" s="3934" t="n"/>
      <c r="AN13" s="3934" t="n"/>
      <c r="AO13" s="3934" t="n"/>
      <c r="AP13" s="3934" t="n"/>
      <c r="AQ13" s="3934" t="n"/>
      <c r="AR13" s="3934" t="n"/>
    </row>
    <row r="14">
      <c r="A14" s="3944" t="n"/>
      <c r="B14" s="3944" t="n"/>
      <c r="C14" s="3944" t="n"/>
      <c r="D14" s="3944" t="n"/>
      <c r="E14" s="3944" t="n"/>
      <c r="F14" s="3944" t="n"/>
      <c r="G14" s="3944" t="n"/>
      <c r="H14" s="3944" t="n"/>
      <c r="I14" s="3944" t="n"/>
      <c r="J14" s="3934" t="n"/>
      <c r="K14" s="3934" t="n"/>
      <c r="L14" s="3934" t="n"/>
      <c r="M14" s="3934" t="n"/>
      <c r="N14" s="3934" t="n"/>
      <c r="O14" s="3934" t="n"/>
      <c r="P14" s="3934" t="n"/>
      <c r="Q14" s="3934" t="n"/>
      <c r="R14" s="3934" t="n"/>
      <c r="S14" s="3934" t="n"/>
      <c r="T14" s="3934" t="n"/>
      <c r="U14" s="3934" t="n"/>
      <c r="V14" s="3934" t="n"/>
      <c r="W14" s="3934" t="n"/>
      <c r="X14" s="3934" t="n"/>
      <c r="Y14" s="3934" t="n"/>
      <c r="Z14" s="3934" t="n"/>
      <c r="AA14" s="3934" t="n"/>
      <c r="AB14" s="3934" t="n"/>
      <c r="AC14" s="3934" t="n"/>
      <c r="AD14" s="3934" t="n"/>
      <c r="AE14" s="3934" t="n"/>
      <c r="AF14" s="3934" t="n"/>
      <c r="AG14" s="3934" t="n"/>
      <c r="AH14" s="3934" t="n"/>
      <c r="AI14" s="3934" t="n"/>
      <c r="AJ14" s="3934" t="n"/>
      <c r="AK14" s="3934" t="n"/>
      <c r="AL14" s="3934" t="n"/>
      <c r="AM14" s="3934" t="n"/>
      <c r="AN14" s="3934" t="n"/>
      <c r="AO14" s="3934" t="n"/>
      <c r="AP14" s="3934" t="n"/>
      <c r="AQ14" s="3934" t="n"/>
      <c r="AR14" s="3934" t="n"/>
    </row>
    <row r="15">
      <c r="A15" s="3944" t="n"/>
      <c r="B15" s="3944" t="n"/>
      <c r="C15" s="3944" t="n"/>
      <c r="D15" s="3944" t="n"/>
      <c r="E15" s="3944" t="n"/>
      <c r="F15" s="3944" t="n"/>
      <c r="G15" s="3944" t="n"/>
      <c r="H15" s="3944" t="n"/>
      <c r="I15" s="3944" t="n"/>
      <c r="J15" s="3934" t="n"/>
      <c r="K15" s="3934" t="n"/>
      <c r="L15" s="3934" t="n"/>
      <c r="M15" s="3934" t="n"/>
      <c r="N15" s="3934" t="n"/>
      <c r="O15" s="3934" t="n"/>
      <c r="P15" s="3934" t="n"/>
      <c r="Q15" s="3934" t="n"/>
      <c r="R15" s="3934" t="n"/>
      <c r="S15" s="3934" t="n"/>
      <c r="T15" s="3934" t="n"/>
      <c r="U15" s="3934" t="n"/>
      <c r="V15" s="3934" t="n"/>
      <c r="W15" s="3934" t="n"/>
      <c r="X15" s="3934" t="n"/>
      <c r="Y15" s="3934" t="n"/>
      <c r="Z15" s="3934" t="n"/>
      <c r="AA15" s="3934" t="n"/>
      <c r="AB15" s="3934" t="n"/>
      <c r="AC15" s="3934" t="n"/>
      <c r="AD15" s="3934" t="n"/>
      <c r="AE15" s="3934" t="n"/>
      <c r="AF15" s="3934" t="n"/>
      <c r="AG15" s="3934" t="n"/>
      <c r="AH15" s="3934" t="n"/>
      <c r="AI15" s="3934" t="n"/>
      <c r="AJ15" s="3934" t="n"/>
      <c r="AK15" s="3934" t="n"/>
      <c r="AL15" s="3934" t="n"/>
      <c r="AM15" s="3934" t="n"/>
      <c r="AN15" s="3934" t="n"/>
      <c r="AO15" s="3934" t="n"/>
      <c r="AP15" s="3934" t="n"/>
      <c r="AQ15" s="3934" t="n"/>
      <c r="AR15" s="3934" t="n"/>
    </row>
    <row r="16">
      <c r="A16" s="3944" t="n"/>
      <c r="B16" s="3944" t="n"/>
      <c r="C16" s="3944" t="n"/>
      <c r="D16" s="3944" t="n"/>
      <c r="E16" s="3944" t="n"/>
      <c r="F16" s="3944" t="n"/>
      <c r="G16" s="3944" t="n"/>
      <c r="H16" s="3944" t="n"/>
      <c r="I16" s="3944" t="n"/>
      <c r="J16" s="3934" t="n"/>
      <c r="K16" s="3934" t="n"/>
      <c r="L16" s="3934" t="n"/>
      <c r="M16" s="3934" t="n"/>
      <c r="N16" s="3934" t="n"/>
      <c r="O16" s="3934" t="n"/>
      <c r="P16" s="3934" t="n"/>
      <c r="Q16" s="3934" t="n"/>
      <c r="R16" s="3934" t="n"/>
      <c r="S16" s="3934" t="n"/>
      <c r="T16" s="3934" t="n"/>
      <c r="U16" s="3934" t="n"/>
      <c r="V16" s="3934" t="n"/>
      <c r="W16" s="3934" t="n"/>
      <c r="X16" s="3934" t="n"/>
      <c r="Y16" s="3934" t="n"/>
      <c r="Z16" s="3934" t="n"/>
      <c r="AA16" s="3934" t="n"/>
      <c r="AB16" s="3934" t="n"/>
      <c r="AC16" s="3934" t="n"/>
      <c r="AD16" s="3934" t="n"/>
      <c r="AE16" s="3934" t="n"/>
      <c r="AF16" s="3934" t="n"/>
      <c r="AG16" s="3934" t="n"/>
      <c r="AH16" s="3934" t="n"/>
      <c r="AI16" s="3934" t="n"/>
      <c r="AJ16" s="3934" t="n"/>
      <c r="AK16" s="3934" t="n"/>
      <c r="AL16" s="3934" t="n"/>
      <c r="AM16" s="3934" t="n"/>
      <c r="AN16" s="3934" t="n"/>
      <c r="AO16" s="3934" t="n"/>
      <c r="AP16" s="3934" t="n"/>
      <c r="AQ16" s="3934" t="n"/>
      <c r="AR16" s="3934" t="n"/>
    </row>
    <row r="17">
      <c r="A17" s="3944" t="n"/>
      <c r="B17" s="3944" t="n"/>
      <c r="C17" s="3944" t="n"/>
      <c r="D17" s="3944" t="n"/>
      <c r="E17" s="3944" t="n"/>
      <c r="F17" s="3944" t="n"/>
      <c r="G17" s="3944" t="n"/>
      <c r="H17" s="3944" t="n"/>
      <c r="I17" s="3944" t="n"/>
      <c r="J17" s="3934" t="n"/>
      <c r="K17" s="3934" t="n"/>
      <c r="L17" s="3934" t="n"/>
      <c r="M17" s="3934" t="n"/>
      <c r="N17" s="3934" t="n"/>
      <c r="O17" s="3934" t="n"/>
      <c r="P17" s="3934" t="n"/>
      <c r="Q17" s="3934" t="n"/>
      <c r="R17" s="3934" t="n"/>
      <c r="S17" s="3934" t="n"/>
      <c r="T17" s="3934" t="n"/>
      <c r="U17" s="3934" t="n"/>
      <c r="V17" s="3934" t="n"/>
      <c r="W17" s="3934" t="n"/>
      <c r="X17" s="3934" t="n"/>
      <c r="Y17" s="3934" t="n"/>
      <c r="Z17" s="3934" t="n"/>
      <c r="AA17" s="3934" t="n"/>
      <c r="AB17" s="3934" t="n"/>
      <c r="AC17" s="3934" t="n"/>
      <c r="AD17" s="3934" t="n"/>
      <c r="AE17" s="3934" t="n"/>
      <c r="AF17" s="3934" t="n"/>
      <c r="AG17" s="3934" t="n"/>
      <c r="AH17" s="3934" t="n"/>
      <c r="AI17" s="3934" t="n"/>
      <c r="AJ17" s="3934" t="n"/>
      <c r="AK17" s="3934" t="n"/>
      <c r="AL17" s="3934" t="n"/>
      <c r="AM17" s="3934" t="n"/>
      <c r="AN17" s="3934" t="n"/>
      <c r="AO17" s="3934" t="n"/>
      <c r="AP17" s="3934" t="n"/>
      <c r="AQ17" s="3934" t="n"/>
      <c r="AR17" s="3934" t="n"/>
    </row>
    <row r="18">
      <c r="A18" s="3944" t="n"/>
      <c r="B18" s="3944" t="n"/>
      <c r="C18" s="3944" t="n"/>
      <c r="D18" s="3944" t="n"/>
      <c r="E18" s="3944" t="n"/>
      <c r="F18" s="3944" t="n"/>
      <c r="G18" s="3944" t="n"/>
      <c r="H18" s="3944" t="n"/>
      <c r="I18" s="3944" t="n"/>
      <c r="J18" s="3934" t="n"/>
      <c r="K18" s="3934" t="n"/>
      <c r="L18" s="3934" t="n"/>
      <c r="M18" s="3934" t="n"/>
      <c r="N18" s="3934" t="n"/>
      <c r="O18" s="3934" t="n"/>
      <c r="P18" s="3934" t="n"/>
      <c r="Q18" s="3934" t="n"/>
      <c r="R18" s="3934" t="n"/>
      <c r="S18" s="3934" t="n"/>
      <c r="T18" s="3934" t="n"/>
      <c r="U18" s="3934" t="n"/>
      <c r="V18" s="3934" t="n"/>
      <c r="W18" s="3934" t="n"/>
      <c r="X18" s="3934" t="n"/>
      <c r="Y18" s="3934" t="n"/>
      <c r="Z18" s="3934" t="n"/>
      <c r="AA18" s="3934" t="n"/>
      <c r="AB18" s="3934" t="n"/>
      <c r="AC18" s="3934" t="n"/>
      <c r="AD18" s="3934" t="n"/>
      <c r="AE18" s="3934" t="n"/>
      <c r="AF18" s="3934" t="n"/>
      <c r="AG18" s="3934" t="n"/>
      <c r="AH18" s="3934" t="n"/>
      <c r="AI18" s="3934" t="n"/>
      <c r="AJ18" s="3934" t="n"/>
      <c r="AK18" s="3934" t="n"/>
      <c r="AL18" s="3934" t="n"/>
      <c r="AM18" s="3934" t="n"/>
      <c r="AN18" s="3934" t="n"/>
      <c r="AO18" s="3934" t="n"/>
      <c r="AP18" s="3934" t="n"/>
      <c r="AQ18" s="3934" t="n"/>
      <c r="AR18" s="3934" t="n"/>
    </row>
    <row r="19">
      <c r="A19" s="3944" t="n"/>
      <c r="B19" s="3944" t="n"/>
      <c r="C19" s="3944" t="n"/>
      <c r="D19" s="3944" t="n"/>
      <c r="E19" s="3944" t="n"/>
      <c r="F19" s="3944" t="n"/>
      <c r="G19" s="3944" t="n"/>
      <c r="H19" s="3944" t="n"/>
      <c r="I19" s="3944" t="n"/>
      <c r="J19" s="3934" t="n"/>
      <c r="K19" s="3934" t="n"/>
      <c r="L19" s="3934" t="n"/>
      <c r="M19" s="3934" t="n"/>
      <c r="N19" s="3934" t="n"/>
      <c r="O19" s="3934" t="n"/>
      <c r="P19" s="3934" t="n"/>
      <c r="Q19" s="3934" t="n"/>
      <c r="R19" s="3934" t="n"/>
      <c r="S19" s="3934" t="n"/>
      <c r="T19" s="3934" t="n"/>
      <c r="U19" s="3934" t="n"/>
      <c r="V19" s="3934" t="n"/>
      <c r="W19" s="3934" t="n"/>
      <c r="X19" s="3934" t="n"/>
      <c r="Y19" s="3934" t="n"/>
      <c r="Z19" s="3934" t="n"/>
      <c r="AA19" s="3934" t="n"/>
      <c r="AB19" s="3934" t="n"/>
      <c r="AC19" s="3934" t="n"/>
      <c r="AD19" s="3934" t="n"/>
      <c r="AE19" s="3934" t="n"/>
      <c r="AF19" s="3934" t="n"/>
      <c r="AG19" s="3934" t="n"/>
      <c r="AH19" s="3934" t="n"/>
      <c r="AI19" s="3934" t="n"/>
      <c r="AJ19" s="3934" t="n"/>
      <c r="AK19" s="3934" t="n"/>
      <c r="AL19" s="3934" t="n"/>
      <c r="AM19" s="3934" t="n"/>
      <c r="AN19" s="3934" t="n"/>
      <c r="AO19" s="3934" t="n"/>
      <c r="AP19" s="3934" t="n"/>
      <c r="AQ19" s="3934" t="n"/>
      <c r="AR19" s="3934" t="n"/>
    </row>
    <row r="20">
      <c r="A20" s="3944" t="n"/>
      <c r="B20" s="3944" t="n"/>
      <c r="C20" s="3944" t="n"/>
      <c r="D20" s="3944" t="n"/>
      <c r="E20" s="3944" t="n"/>
      <c r="F20" s="3944" t="n"/>
      <c r="G20" s="3944" t="n"/>
      <c r="H20" s="3944" t="n"/>
      <c r="I20" s="3944" t="n"/>
      <c r="J20" s="3934" t="n"/>
      <c r="K20" s="3934" t="n"/>
      <c r="L20" s="3934" t="n"/>
      <c r="M20" s="3934" t="n"/>
      <c r="N20" s="3934" t="n"/>
      <c r="O20" s="3934" t="n"/>
      <c r="P20" s="3934" t="n"/>
      <c r="Q20" s="3934" t="n"/>
      <c r="R20" s="3934" t="n"/>
      <c r="S20" s="3934" t="n"/>
      <c r="T20" s="3934" t="n"/>
      <c r="U20" s="3934" t="n"/>
      <c r="V20" s="3934" t="n"/>
      <c r="W20" s="3934" t="n"/>
      <c r="X20" s="3934" t="n"/>
      <c r="Y20" s="3934" t="n"/>
      <c r="Z20" s="3934" t="n"/>
      <c r="AA20" s="3934" t="n"/>
      <c r="AB20" s="3934" t="n"/>
      <c r="AC20" s="3934" t="n"/>
      <c r="AD20" s="3934" t="n"/>
      <c r="AE20" s="3934" t="n"/>
      <c r="AF20" s="3934" t="n"/>
      <c r="AG20" s="3934" t="n"/>
      <c r="AH20" s="3934" t="n"/>
      <c r="AI20" s="3934" t="n"/>
      <c r="AJ20" s="3934" t="n"/>
      <c r="AK20" s="3934" t="n"/>
      <c r="AL20" s="3934" t="n"/>
      <c r="AM20" s="3934" t="n"/>
      <c r="AN20" s="3934" t="n"/>
      <c r="AO20" s="3934" t="n"/>
      <c r="AP20" s="3934" t="n"/>
      <c r="AQ20" s="3934" t="n"/>
      <c r="AR20" s="3934" t="n"/>
    </row>
    <row r="21">
      <c r="A21" s="3944" t="n"/>
      <c r="B21" s="3944" t="n"/>
      <c r="C21" s="3944" t="n"/>
      <c r="D21" s="3944" t="n"/>
      <c r="E21" s="3944" t="n"/>
      <c r="F21" s="3944" t="n"/>
      <c r="G21" s="3944" t="n"/>
      <c r="H21" s="3944" t="n"/>
      <c r="I21" s="3944" t="n"/>
      <c r="J21" s="3934" t="n"/>
      <c r="K21" s="3934" t="n"/>
      <c r="L21" s="3934" t="n"/>
      <c r="M21" s="3934" t="n"/>
      <c r="N21" s="3934" t="n"/>
      <c r="O21" s="3934" t="n"/>
      <c r="P21" s="3934" t="n"/>
      <c r="Q21" s="3934" t="n"/>
      <c r="R21" s="3934" t="n"/>
      <c r="S21" s="3934" t="n"/>
      <c r="T21" s="3934" t="n"/>
      <c r="U21" s="3934" t="n"/>
      <c r="V21" s="3934" t="n"/>
      <c r="W21" s="3934" t="n"/>
      <c r="X21" s="3934" t="n"/>
      <c r="Y21" s="3934" t="n"/>
      <c r="Z21" s="3934" t="n"/>
      <c r="AA21" s="3934" t="n"/>
      <c r="AB21" s="3934" t="n"/>
      <c r="AC21" s="3934" t="n"/>
      <c r="AD21" s="3934" t="n"/>
      <c r="AE21" s="3934" t="n"/>
      <c r="AF21" s="3934" t="n"/>
      <c r="AG21" s="3934" t="n"/>
      <c r="AH21" s="3934" t="n"/>
      <c r="AI21" s="3934" t="n"/>
      <c r="AJ21" s="3934" t="n"/>
      <c r="AK21" s="3934" t="n"/>
      <c r="AL21" s="3934" t="n"/>
      <c r="AM21" s="3934" t="n"/>
      <c r="AN21" s="3934" t="n"/>
      <c r="AO21" s="3934" t="n"/>
      <c r="AP21" s="3934" t="n"/>
      <c r="AQ21" s="3934" t="n"/>
      <c r="AR21" s="3934" t="n"/>
    </row>
    <row r="22">
      <c r="A22" s="3944" t="n"/>
      <c r="B22" s="3944" t="n"/>
      <c r="C22" s="3944" t="n"/>
      <c r="D22" s="3944" t="n"/>
      <c r="E22" s="3944" t="n"/>
      <c r="F22" s="3944" t="n"/>
      <c r="G22" s="3944" t="n"/>
      <c r="H22" s="3944" t="n"/>
      <c r="I22" s="3944" t="n"/>
      <c r="J22" s="3934" t="n"/>
      <c r="K22" s="3934" t="n"/>
      <c r="L22" s="3934" t="n"/>
      <c r="M22" s="3934" t="n"/>
      <c r="N22" s="3934" t="n"/>
      <c r="O22" s="3934" t="n"/>
      <c r="P22" s="3934" t="n"/>
      <c r="Q22" s="3934" t="n"/>
      <c r="R22" s="3934" t="n"/>
      <c r="S22" s="3934" t="n"/>
      <c r="T22" s="3934" t="n"/>
      <c r="U22" s="3934" t="n"/>
      <c r="V22" s="3934" t="n"/>
      <c r="W22" s="3934" t="n"/>
      <c r="X22" s="3934" t="n"/>
      <c r="Y22" s="3934" t="n"/>
      <c r="Z22" s="3934" t="n"/>
      <c r="AA22" s="3934" t="n"/>
      <c r="AB22" s="3934" t="n"/>
      <c r="AC22" s="3934" t="n"/>
      <c r="AD22" s="3934" t="n"/>
      <c r="AE22" s="3934" t="n"/>
      <c r="AF22" s="3934" t="n"/>
      <c r="AG22" s="3934" t="n"/>
      <c r="AH22" s="3934" t="n"/>
      <c r="AI22" s="3934" t="n"/>
      <c r="AJ22" s="3934" t="n"/>
      <c r="AK22" s="3934" t="n"/>
      <c r="AL22" s="3934" t="n"/>
      <c r="AM22" s="3934" t="n"/>
      <c r="AN22" s="3934" t="n"/>
      <c r="AO22" s="3934" t="n"/>
      <c r="AP22" s="3934" t="n"/>
      <c r="AQ22" s="3934" t="n"/>
      <c r="AR22" s="3934" t="n"/>
    </row>
    <row r="23">
      <c r="A23" s="3944" t="n"/>
      <c r="B23" s="3944" t="n"/>
      <c r="C23" s="3944" t="n"/>
      <c r="D23" s="3944" t="n"/>
      <c r="E23" s="3944" t="n"/>
      <c r="F23" s="3944" t="n"/>
      <c r="G23" s="3944" t="n"/>
      <c r="H23" s="3944" t="n"/>
      <c r="I23" s="3944" t="n"/>
      <c r="J23" s="3934" t="n"/>
      <c r="K23" s="3934" t="n"/>
      <c r="L23" s="3934" t="n"/>
      <c r="M23" s="3934" t="n"/>
      <c r="N23" s="3934" t="n"/>
      <c r="O23" s="3934" t="n"/>
      <c r="P23" s="3934" t="n"/>
      <c r="Q23" s="3934" t="n"/>
      <c r="R23" s="3934" t="n"/>
      <c r="S23" s="3934" t="n"/>
      <c r="T23" s="3934" t="n"/>
      <c r="U23" s="3934" t="n"/>
      <c r="V23" s="3934" t="n"/>
      <c r="W23" s="3934" t="n"/>
      <c r="X23" s="3934" t="n"/>
      <c r="Y23" s="3934" t="n"/>
      <c r="Z23" s="3934" t="n"/>
      <c r="AA23" s="3934" t="n"/>
      <c r="AB23" s="3934" t="n"/>
      <c r="AC23" s="3934" t="n"/>
      <c r="AD23" s="3934" t="n"/>
      <c r="AE23" s="3934" t="n"/>
      <c r="AF23" s="3934" t="n"/>
      <c r="AG23" s="3934" t="n"/>
      <c r="AH23" s="3934" t="n"/>
      <c r="AI23" s="3934" t="n"/>
      <c r="AJ23" s="3934" t="n"/>
      <c r="AK23" s="3934" t="n"/>
      <c r="AL23" s="3934" t="n"/>
      <c r="AM23" s="3934" t="n"/>
      <c r="AN23" s="3934" t="n"/>
      <c r="AO23" s="3934" t="n"/>
      <c r="AP23" s="3934" t="n"/>
      <c r="AQ23" s="3934" t="n"/>
      <c r="AR23" s="3934" t="n"/>
    </row>
    <row r="24">
      <c r="A24" s="3944" t="n"/>
      <c r="B24" s="3944" t="n"/>
      <c r="C24" s="3944" t="n"/>
      <c r="D24" s="3944" t="n"/>
      <c r="E24" s="3944" t="n"/>
      <c r="F24" s="3944" t="n"/>
      <c r="G24" s="3944" t="n"/>
      <c r="H24" s="3944" t="n"/>
      <c r="I24" s="3944" t="n"/>
      <c r="J24" s="3934" t="n"/>
      <c r="K24" s="3934" t="n"/>
      <c r="L24" s="3934" t="n"/>
      <c r="M24" s="3934" t="n"/>
      <c r="N24" s="3934" t="n"/>
      <c r="O24" s="3934" t="n"/>
      <c r="P24" s="3934" t="n"/>
      <c r="Q24" s="3934" t="n"/>
      <c r="R24" s="3934" t="n"/>
      <c r="S24" s="3934" t="n"/>
      <c r="T24" s="3934" t="n"/>
      <c r="U24" s="3934" t="n"/>
      <c r="V24" s="3934" t="n"/>
      <c r="W24" s="3934" t="n"/>
      <c r="X24" s="3934" t="n"/>
      <c r="Y24" s="3934" t="n"/>
      <c r="Z24" s="3934" t="n"/>
      <c r="AA24" s="3934" t="n"/>
      <c r="AB24" s="3934" t="n"/>
      <c r="AC24" s="3934" t="n"/>
      <c r="AD24" s="3934" t="n"/>
      <c r="AE24" s="3934" t="n"/>
      <c r="AF24" s="3934" t="n"/>
      <c r="AG24" s="3934" t="n"/>
      <c r="AH24" s="3934" t="n"/>
      <c r="AI24" s="3934" t="n"/>
      <c r="AJ24" s="3934" t="n"/>
      <c r="AK24" s="3934" t="n"/>
      <c r="AL24" s="3934" t="n"/>
      <c r="AM24" s="3934" t="n"/>
      <c r="AN24" s="3934" t="n"/>
      <c r="AO24" s="3934" t="n"/>
      <c r="AP24" s="3934" t="n"/>
      <c r="AQ24" s="3934" t="n"/>
      <c r="AR24" s="3934" t="n"/>
    </row>
    <row r="25">
      <c r="A25" s="3944" t="n"/>
      <c r="B25" s="3944" t="n"/>
      <c r="C25" s="3944" t="n"/>
      <c r="D25" s="3944" t="n"/>
      <c r="E25" s="3944" t="n"/>
      <c r="F25" s="3944" t="n"/>
      <c r="G25" s="3944" t="n"/>
      <c r="H25" s="3944" t="n"/>
      <c r="I25" s="3944" t="n"/>
      <c r="J25" s="3934" t="n"/>
      <c r="K25" s="3934" t="n"/>
      <c r="L25" s="3934" t="n"/>
      <c r="M25" s="3934" t="n"/>
      <c r="N25" s="3934" t="n"/>
      <c r="O25" s="3934" t="n"/>
      <c r="P25" s="3934" t="n"/>
      <c r="Q25" s="3934" t="n"/>
      <c r="R25" s="3934" t="n"/>
      <c r="S25" s="3934" t="n"/>
      <c r="T25" s="3934" t="n"/>
      <c r="U25" s="3934" t="n"/>
      <c r="V25" s="3934" t="n"/>
      <c r="W25" s="3934" t="n"/>
      <c r="X25" s="3934" t="n"/>
      <c r="Y25" s="3934" t="n"/>
      <c r="Z25" s="3934" t="n"/>
      <c r="AA25" s="3934" t="n"/>
      <c r="AB25" s="3934" t="n"/>
      <c r="AC25" s="3934" t="n"/>
      <c r="AD25" s="3934" t="n"/>
      <c r="AE25" s="3934" t="n"/>
      <c r="AF25" s="3934" t="n"/>
      <c r="AG25" s="3934" t="n"/>
      <c r="AH25" s="3934" t="n"/>
      <c r="AI25" s="3934" t="n"/>
      <c r="AJ25" s="3934" t="n"/>
      <c r="AK25" s="3934" t="n"/>
      <c r="AL25" s="3934" t="n"/>
      <c r="AM25" s="3934" t="n"/>
      <c r="AN25" s="3934" t="n"/>
      <c r="AO25" s="3934" t="n"/>
      <c r="AP25" s="3934" t="n"/>
      <c r="AQ25" s="3934" t="n"/>
      <c r="AR25" s="3934" t="n"/>
    </row>
    <row r="26">
      <c r="A26" s="3944" t="n"/>
      <c r="B26" s="3944" t="n"/>
      <c r="C26" s="3944" t="n"/>
      <c r="D26" s="3944" t="n"/>
      <c r="E26" s="3944" t="n"/>
      <c r="F26" s="3944" t="n"/>
      <c r="G26" s="3944" t="n"/>
      <c r="H26" s="3944" t="n"/>
      <c r="I26" s="3944" t="n"/>
      <c r="J26" s="3934" t="n"/>
      <c r="K26" s="3934" t="n"/>
      <c r="L26" s="3934" t="n"/>
      <c r="M26" s="3934" t="n"/>
      <c r="N26" s="3934" t="n"/>
      <c r="O26" s="3934" t="n"/>
      <c r="P26" s="3934" t="n"/>
      <c r="Q26" s="3934" t="n"/>
      <c r="R26" s="3934" t="n"/>
      <c r="S26" s="3934" t="n"/>
      <c r="T26" s="3934" t="n"/>
      <c r="U26" s="3934" t="n"/>
      <c r="V26" s="3934" t="n"/>
      <c r="W26" s="3934" t="n"/>
      <c r="X26" s="3934" t="n"/>
      <c r="Y26" s="3934" t="n"/>
      <c r="Z26" s="3934" t="n"/>
      <c r="AA26" s="3934" t="n"/>
      <c r="AB26" s="3934" t="n"/>
      <c r="AC26" s="3934" t="n"/>
      <c r="AD26" s="3934" t="n"/>
      <c r="AE26" s="3934" t="n"/>
      <c r="AF26" s="3934" t="n"/>
      <c r="AG26" s="3934" t="n"/>
      <c r="AH26" s="3934" t="n"/>
      <c r="AI26" s="3934" t="n"/>
      <c r="AJ26" s="3934" t="n"/>
      <c r="AK26" s="3934" t="n"/>
      <c r="AL26" s="3934" t="n"/>
      <c r="AM26" s="3934" t="n"/>
      <c r="AN26" s="3934" t="n"/>
      <c r="AO26" s="3934" t="n"/>
      <c r="AP26" s="3934" t="n"/>
      <c r="AQ26" s="3934" t="n"/>
      <c r="AR26" s="3934" t="n"/>
    </row>
    <row r="27">
      <c r="A27" s="3944" t="n"/>
      <c r="B27" s="3944" t="n"/>
      <c r="C27" s="3944" t="n"/>
      <c r="D27" s="3944" t="n"/>
      <c r="E27" s="3944" t="n"/>
      <c r="F27" s="3944" t="n"/>
      <c r="G27" s="3944" t="n"/>
      <c r="H27" s="3944" t="n"/>
      <c r="I27" s="3944" t="n"/>
      <c r="J27" s="3934" t="n"/>
      <c r="K27" s="3934" t="n"/>
      <c r="L27" s="3934" t="n"/>
      <c r="M27" s="3934" t="n"/>
      <c r="N27" s="3934" t="n"/>
      <c r="O27" s="3934" t="n"/>
      <c r="P27" s="3934" t="n"/>
      <c r="Q27" s="3934" t="n"/>
      <c r="R27" s="3934" t="n"/>
      <c r="S27" s="3934" t="n"/>
      <c r="T27" s="3934" t="n"/>
      <c r="U27" s="3934" t="n"/>
      <c r="V27" s="3934" t="n"/>
      <c r="W27" s="3934" t="n"/>
      <c r="X27" s="3934" t="n"/>
      <c r="Y27" s="3934" t="n"/>
      <c r="Z27" s="3934" t="n"/>
      <c r="AA27" s="3934" t="n"/>
      <c r="AB27" s="3934" t="n"/>
      <c r="AC27" s="3934" t="n"/>
      <c r="AD27" s="3934" t="n"/>
      <c r="AE27" s="3934" t="n"/>
      <c r="AF27" s="3934" t="n"/>
      <c r="AG27" s="3934" t="n"/>
      <c r="AH27" s="3934" t="n"/>
      <c r="AI27" s="3934" t="n"/>
      <c r="AJ27" s="3934" t="n"/>
      <c r="AK27" s="3934" t="n"/>
      <c r="AL27" s="3934" t="n"/>
      <c r="AM27" s="3934" t="n"/>
      <c r="AN27" s="3934" t="n"/>
      <c r="AO27" s="3934" t="n"/>
      <c r="AP27" s="3934" t="n"/>
      <c r="AQ27" s="3934" t="n"/>
      <c r="AR27" s="3934" t="n"/>
    </row>
    <row r="28">
      <c r="A28" s="3944" t="n"/>
      <c r="B28" s="3944" t="n"/>
      <c r="C28" s="3944" t="n"/>
      <c r="D28" s="3944" t="n"/>
      <c r="E28" s="3944" t="n"/>
      <c r="F28" s="3944" t="n"/>
      <c r="G28" s="3944" t="n"/>
      <c r="H28" s="3944" t="n"/>
      <c r="I28" s="3944" t="n"/>
      <c r="J28" s="3934" t="n"/>
      <c r="K28" s="3934" t="n"/>
      <c r="L28" s="3934" t="n"/>
      <c r="M28" s="3934" t="n"/>
      <c r="N28" s="3934" t="n"/>
      <c r="O28" s="3934" t="n"/>
      <c r="P28" s="3934" t="n"/>
      <c r="Q28" s="3934" t="n"/>
      <c r="R28" s="3934" t="n"/>
      <c r="S28" s="3934" t="n"/>
      <c r="T28" s="3934" t="n"/>
      <c r="U28" s="3934" t="n"/>
      <c r="V28" s="3934" t="n"/>
      <c r="W28" s="3934" t="n"/>
      <c r="X28" s="3934" t="n"/>
      <c r="Y28" s="3934" t="n"/>
      <c r="Z28" s="3934" t="n"/>
      <c r="AA28" s="3934" t="n"/>
      <c r="AB28" s="3934" t="n"/>
      <c r="AC28" s="3934" t="n"/>
      <c r="AD28" s="3934" t="n"/>
      <c r="AE28" s="3934" t="n"/>
      <c r="AF28" s="3934" t="n"/>
      <c r="AG28" s="3934" t="n"/>
      <c r="AH28" s="3934" t="n"/>
      <c r="AI28" s="3934" t="n"/>
      <c r="AJ28" s="3934" t="n"/>
      <c r="AK28" s="3934" t="n"/>
      <c r="AL28" s="3934" t="n"/>
      <c r="AM28" s="3934" t="n"/>
      <c r="AN28" s="3934" t="n"/>
      <c r="AO28" s="3934" t="n"/>
      <c r="AP28" s="3934" t="n"/>
      <c r="AQ28" s="3934" t="n"/>
      <c r="AR28" s="3934" t="n"/>
    </row>
    <row r="29">
      <c r="A29" s="3944" t="n"/>
      <c r="B29" s="3944" t="n"/>
      <c r="C29" s="3944" t="n"/>
      <c r="D29" s="3944" t="n"/>
      <c r="E29" s="3944" t="n"/>
      <c r="F29" s="3944" t="n"/>
      <c r="G29" s="3944" t="n"/>
      <c r="H29" s="3944" t="n"/>
      <c r="I29" s="3944" t="n"/>
      <c r="J29" s="3934" t="n"/>
      <c r="K29" s="3934" t="n"/>
      <c r="L29" s="3934" t="n"/>
      <c r="M29" s="3934" t="n"/>
      <c r="N29" s="3934" t="n"/>
      <c r="O29" s="3934" t="n"/>
      <c r="P29" s="3934" t="n"/>
      <c r="Q29" s="3934" t="n"/>
      <c r="R29" s="3934" t="n"/>
      <c r="S29" s="3934" t="n"/>
      <c r="T29" s="3934" t="n"/>
      <c r="U29" s="3934" t="n"/>
      <c r="V29" s="3934" t="n"/>
      <c r="W29" s="3934" t="n"/>
      <c r="X29" s="3934" t="n"/>
      <c r="Y29" s="3934" t="n"/>
      <c r="Z29" s="3934" t="n"/>
      <c r="AA29" s="3934" t="n"/>
      <c r="AB29" s="3934" t="n"/>
      <c r="AC29" s="3934" t="n"/>
      <c r="AD29" s="3934" t="n"/>
      <c r="AE29" s="3934" t="n"/>
      <c r="AF29" s="3934" t="n"/>
      <c r="AG29" s="3934" t="n"/>
      <c r="AH29" s="3934" t="n"/>
      <c r="AI29" s="3934" t="n"/>
      <c r="AJ29" s="3934" t="n"/>
      <c r="AK29" s="3934" t="n"/>
      <c r="AL29" s="3934" t="n"/>
      <c r="AM29" s="3934" t="n"/>
      <c r="AN29" s="3934" t="n"/>
      <c r="AO29" s="3934" t="n"/>
      <c r="AP29" s="3934" t="n"/>
      <c r="AQ29" s="3934" t="n"/>
      <c r="AR29" s="3934" t="n"/>
    </row>
    <row r="30">
      <c r="A30" s="3944" t="n"/>
      <c r="B30" s="3944" t="n"/>
      <c r="C30" s="3944" t="n"/>
      <c r="D30" s="3944" t="n"/>
      <c r="E30" s="3944" t="n"/>
      <c r="F30" s="3944" t="n"/>
      <c r="G30" s="3944" t="n"/>
      <c r="H30" s="3944" t="n"/>
      <c r="I30" s="3944" t="n"/>
      <c r="J30" s="3934" t="n"/>
      <c r="K30" s="3934" t="n"/>
      <c r="L30" s="3934" t="n"/>
      <c r="M30" s="3934" t="n"/>
      <c r="N30" s="3934" t="n"/>
      <c r="O30" s="3934" t="n"/>
      <c r="P30" s="3934" t="n"/>
      <c r="Q30" s="3934" t="n"/>
      <c r="R30" s="3934" t="n"/>
      <c r="S30" s="3934" t="n"/>
      <c r="T30" s="3934" t="n"/>
      <c r="U30" s="3934" t="n"/>
      <c r="V30" s="3934" t="n"/>
      <c r="W30" s="3934" t="n"/>
      <c r="X30" s="3934" t="n"/>
      <c r="Y30" s="3934" t="n"/>
      <c r="Z30" s="3934" t="n"/>
      <c r="AA30" s="3934" t="n"/>
      <c r="AB30" s="3934" t="n"/>
      <c r="AC30" s="3934" t="n"/>
      <c r="AD30" s="3934" t="n"/>
      <c r="AE30" s="3934" t="n"/>
      <c r="AF30" s="3934" t="n"/>
      <c r="AG30" s="3934" t="n"/>
      <c r="AH30" s="3934" t="n"/>
      <c r="AI30" s="3934" t="n"/>
      <c r="AJ30" s="3934" t="n"/>
      <c r="AK30" s="3934" t="n"/>
      <c r="AL30" s="3934" t="n"/>
      <c r="AM30" s="3934" t="n"/>
      <c r="AN30" s="3934" t="n"/>
      <c r="AO30" s="3934" t="n"/>
      <c r="AP30" s="3934" t="n"/>
      <c r="AQ30" s="3934" t="n"/>
      <c r="AR30" s="3934" t="n"/>
    </row>
    <row r="31">
      <c r="A31" s="3944" t="n"/>
      <c r="B31" s="3944" t="n"/>
      <c r="C31" s="3944" t="n"/>
      <c r="D31" s="3944" t="n"/>
      <c r="E31" s="3944" t="n"/>
      <c r="F31" s="3944" t="n"/>
      <c r="G31" s="3944" t="n"/>
      <c r="H31" s="3944" t="n"/>
      <c r="I31" s="3944" t="n"/>
      <c r="J31" s="3934" t="n"/>
      <c r="K31" s="3934" t="n"/>
      <c r="L31" s="3934" t="n"/>
      <c r="M31" s="3934" t="n"/>
      <c r="N31" s="3934" t="n"/>
      <c r="O31" s="3934" t="n"/>
      <c r="P31" s="3934" t="n"/>
      <c r="Q31" s="3934" t="n"/>
      <c r="R31" s="3934" t="n"/>
      <c r="S31" s="3934" t="n"/>
      <c r="T31" s="3934" t="n"/>
      <c r="U31" s="3934" t="n"/>
      <c r="V31" s="3934" t="n"/>
      <c r="W31" s="3934" t="n"/>
      <c r="X31" s="3934" t="n"/>
      <c r="Y31" s="3934" t="n"/>
      <c r="Z31" s="3934" t="n"/>
      <c r="AA31" s="3934" t="n"/>
      <c r="AB31" s="3934" t="n"/>
      <c r="AC31" s="3934" t="n"/>
      <c r="AD31" s="3934" t="n"/>
      <c r="AE31" s="3934" t="n"/>
      <c r="AF31" s="3934" t="n"/>
      <c r="AG31" s="3934" t="n"/>
      <c r="AH31" s="3934" t="n"/>
      <c r="AI31" s="3934" t="n"/>
      <c r="AJ31" s="3934" t="n"/>
      <c r="AK31" s="3934" t="n"/>
      <c r="AL31" s="3934" t="n"/>
      <c r="AM31" s="3934" t="n"/>
      <c r="AN31" s="3934" t="n"/>
      <c r="AO31" s="3934" t="n"/>
      <c r="AP31" s="3934" t="n"/>
      <c r="AQ31" s="3934" t="n"/>
      <c r="AR31" s="3934" t="n"/>
    </row>
    <row r="32">
      <c r="A32" s="3944" t="n"/>
      <c r="B32" s="3944" t="n"/>
      <c r="C32" s="3944" t="n"/>
      <c r="D32" s="3944" t="n"/>
      <c r="E32" s="3944" t="n"/>
      <c r="F32" s="3944" t="n"/>
      <c r="G32" s="3944" t="n"/>
      <c r="H32" s="3944" t="n"/>
      <c r="I32" s="3944" t="n"/>
      <c r="J32" s="3934" t="n"/>
      <c r="K32" s="3934" t="n"/>
      <c r="L32" s="3934" t="n"/>
      <c r="M32" s="3934" t="n"/>
      <c r="N32" s="3934" t="n"/>
      <c r="O32" s="3934" t="n"/>
      <c r="P32" s="3934" t="n"/>
      <c r="Q32" s="3934" t="n"/>
      <c r="R32" s="3934" t="n"/>
      <c r="S32" s="3934" t="n"/>
      <c r="T32" s="3934" t="n"/>
      <c r="U32" s="3934" t="n"/>
      <c r="V32" s="3934" t="n"/>
      <c r="W32" s="3934" t="n"/>
      <c r="X32" s="3934" t="n"/>
      <c r="Y32" s="3934" t="n"/>
      <c r="Z32" s="3934" t="n"/>
      <c r="AA32" s="3934" t="n"/>
      <c r="AB32" s="3934" t="n"/>
      <c r="AC32" s="3934" t="n"/>
      <c r="AD32" s="3934" t="n"/>
      <c r="AE32" s="3934" t="n"/>
      <c r="AF32" s="3934" t="n"/>
      <c r="AG32" s="3934" t="n"/>
      <c r="AH32" s="3934" t="n"/>
      <c r="AI32" s="3934" t="n"/>
      <c r="AJ32" s="3934" t="n"/>
      <c r="AK32" s="3934" t="n"/>
      <c r="AL32" s="3934" t="n"/>
      <c r="AM32" s="3934" t="n"/>
      <c r="AN32" s="3934" t="n"/>
      <c r="AO32" s="3934" t="n"/>
      <c r="AP32" s="3934" t="n"/>
      <c r="AQ32" s="3934" t="n"/>
      <c r="AR32" s="3934" t="n"/>
    </row>
    <row r="33">
      <c r="A33" s="3944" t="n"/>
      <c r="B33" s="3944" t="n"/>
      <c r="C33" s="3944" t="n"/>
      <c r="D33" s="3944" t="n"/>
      <c r="E33" s="3944" t="n"/>
      <c r="F33" s="3944" t="n"/>
      <c r="G33" s="3944" t="n"/>
      <c r="H33" s="3944" t="n"/>
      <c r="I33" s="3944" t="n"/>
      <c r="J33" s="3934" t="n"/>
      <c r="K33" s="3934" t="n"/>
      <c r="L33" s="3934" t="n"/>
      <c r="M33" s="3934" t="n"/>
      <c r="N33" s="3934" t="n"/>
      <c r="O33" s="3934" t="n"/>
      <c r="P33" s="3934" t="n"/>
      <c r="Q33" s="3934" t="n"/>
      <c r="R33" s="3934" t="n"/>
      <c r="S33" s="3934" t="n"/>
      <c r="T33" s="3934" t="n"/>
      <c r="U33" s="3934" t="n"/>
      <c r="V33" s="3934" t="n"/>
      <c r="W33" s="3934" t="n"/>
      <c r="X33" s="3934" t="n"/>
      <c r="Y33" s="3934" t="n"/>
      <c r="Z33" s="3934" t="n"/>
      <c r="AA33" s="3934" t="n"/>
      <c r="AB33" s="3934" t="n"/>
      <c r="AC33" s="3934" t="n"/>
      <c r="AD33" s="3934" t="n"/>
      <c r="AE33" s="3934" t="n"/>
      <c r="AF33" s="3934" t="n"/>
      <c r="AG33" s="3934" t="n"/>
      <c r="AH33" s="3934" t="n"/>
      <c r="AI33" s="3934" t="n"/>
      <c r="AJ33" s="3934" t="n"/>
      <c r="AK33" s="3934" t="n"/>
      <c r="AL33" s="3934" t="n"/>
      <c r="AM33" s="3934" t="n"/>
      <c r="AN33" s="3934" t="n"/>
      <c r="AO33" s="3934" t="n"/>
      <c r="AP33" s="3934" t="n"/>
      <c r="AQ33" s="3934" t="n"/>
      <c r="AR33" s="3934" t="n"/>
    </row>
    <row r="34">
      <c r="A34" s="3944" t="n"/>
      <c r="B34" s="3944" t="n"/>
      <c r="C34" s="3944" t="n"/>
      <c r="D34" s="3944" t="n"/>
      <c r="E34" s="3944" t="n"/>
      <c r="F34" s="3944" t="n"/>
      <c r="G34" s="3944" t="n"/>
      <c r="H34" s="3944" t="n"/>
      <c r="I34" s="3944" t="n"/>
      <c r="J34" s="3934" t="n"/>
      <c r="K34" s="3934" t="n"/>
      <c r="L34" s="3934" t="n"/>
      <c r="M34" s="3934" t="n"/>
      <c r="N34" s="3934" t="n"/>
      <c r="O34" s="3934" t="n"/>
      <c r="P34" s="3934" t="n"/>
      <c r="Q34" s="3934" t="n"/>
      <c r="R34" s="3934" t="n"/>
      <c r="S34" s="3934" t="n"/>
      <c r="T34" s="3934" t="n"/>
      <c r="U34" s="3934" t="n"/>
      <c r="V34" s="3934" t="n"/>
      <c r="W34" s="3934" t="n"/>
      <c r="X34" s="3934" t="n"/>
      <c r="Y34" s="3934" t="n"/>
      <c r="Z34" s="3934" t="n"/>
      <c r="AA34" s="3934" t="n"/>
      <c r="AB34" s="3934" t="n"/>
      <c r="AC34" s="3934" t="n"/>
      <c r="AD34" s="3934" t="n"/>
      <c r="AE34" s="3934" t="n"/>
      <c r="AF34" s="3934" t="n"/>
      <c r="AG34" s="3934" t="n"/>
      <c r="AH34" s="3934" t="n"/>
      <c r="AI34" s="3934" t="n"/>
      <c r="AJ34" s="3934" t="n"/>
      <c r="AK34" s="3934" t="n"/>
      <c r="AL34" s="3934" t="n"/>
      <c r="AM34" s="3934" t="n"/>
      <c r="AN34" s="3934" t="n"/>
      <c r="AO34" s="3934" t="n"/>
      <c r="AP34" s="3934" t="n"/>
      <c r="AQ34" s="3934" t="n"/>
      <c r="AR34" s="3934" t="n"/>
    </row>
    <row r="35">
      <c r="A35" s="3944" t="n"/>
      <c r="B35" s="3944" t="n"/>
      <c r="C35" s="3944" t="n"/>
      <c r="D35" s="3944" t="n"/>
      <c r="E35" s="3944" t="n"/>
      <c r="F35" s="3944" t="n"/>
      <c r="G35" s="3944" t="n"/>
      <c r="H35" s="3944" t="n"/>
      <c r="I35" s="3944" t="n"/>
      <c r="J35" s="3934" t="n"/>
      <c r="K35" s="3934" t="n"/>
      <c r="L35" s="3934" t="n"/>
      <c r="M35" s="3934" t="n"/>
      <c r="N35" s="3934" t="n"/>
      <c r="O35" s="3934" t="n"/>
      <c r="P35" s="3934" t="n"/>
      <c r="Q35" s="3934" t="n"/>
      <c r="R35" s="3934" t="n"/>
      <c r="S35" s="3934" t="n"/>
      <c r="T35" s="3934" t="n"/>
      <c r="U35" s="3934" t="n"/>
      <c r="V35" s="3934" t="n"/>
      <c r="W35" s="3934" t="n"/>
      <c r="X35" s="3934" t="n"/>
      <c r="Y35" s="3934" t="n"/>
      <c r="Z35" s="3934" t="n"/>
      <c r="AA35" s="3934" t="n"/>
      <c r="AB35" s="3934" t="n"/>
      <c r="AC35" s="3934" t="n"/>
      <c r="AD35" s="3934" t="n"/>
      <c r="AE35" s="3934" t="n"/>
      <c r="AF35" s="3934" t="n"/>
      <c r="AG35" s="3934" t="n"/>
      <c r="AH35" s="3934" t="n"/>
      <c r="AI35" s="3934" t="n"/>
      <c r="AJ35" s="3934" t="n"/>
      <c r="AK35" s="3934" t="n"/>
      <c r="AL35" s="3934" t="n"/>
      <c r="AM35" s="3934" t="n"/>
      <c r="AN35" s="3934" t="n"/>
      <c r="AO35" s="3934" t="n"/>
      <c r="AP35" s="3934" t="n"/>
      <c r="AQ35" s="3934" t="n"/>
      <c r="AR35" s="3934" t="n"/>
    </row>
    <row r="36">
      <c r="A36" s="3944" t="n"/>
      <c r="B36" s="3944" t="n"/>
      <c r="C36" s="3944" t="n"/>
      <c r="D36" s="3944" t="n"/>
      <c r="E36" s="3944" t="n"/>
      <c r="F36" s="3944" t="n"/>
      <c r="G36" s="3944" t="n"/>
      <c r="H36" s="3944" t="n"/>
      <c r="I36" s="3944" t="n"/>
      <c r="J36" s="3934" t="n"/>
      <c r="K36" s="3934" t="n"/>
      <c r="L36" s="3934" t="n"/>
      <c r="M36" s="3934" t="n"/>
      <c r="N36" s="3934" t="n"/>
      <c r="O36" s="3934" t="n"/>
      <c r="P36" s="3934" t="n"/>
      <c r="Q36" s="3934" t="n"/>
      <c r="R36" s="3934" t="n"/>
      <c r="S36" s="3934" t="n"/>
      <c r="T36" s="3934" t="n"/>
      <c r="U36" s="3934" t="n"/>
      <c r="V36" s="3934" t="n"/>
      <c r="W36" s="3934" t="n"/>
      <c r="X36" s="3934" t="n"/>
      <c r="Y36" s="3934" t="n"/>
      <c r="Z36" s="3934" t="n"/>
      <c r="AA36" s="3934" t="n"/>
      <c r="AB36" s="3934" t="n"/>
      <c r="AC36" s="3934" t="n"/>
      <c r="AD36" s="3934" t="n"/>
      <c r="AE36" s="3934" t="n"/>
      <c r="AF36" s="3934" t="n"/>
      <c r="AG36" s="3934" t="n"/>
      <c r="AH36" s="3934" t="n"/>
      <c r="AI36" s="3934" t="n"/>
      <c r="AJ36" s="3934" t="n"/>
      <c r="AK36" s="3934" t="n"/>
      <c r="AL36" s="3934" t="n"/>
      <c r="AM36" s="3934" t="n"/>
      <c r="AN36" s="3934" t="n"/>
      <c r="AO36" s="3934" t="n"/>
      <c r="AP36" s="3934" t="n"/>
      <c r="AQ36" s="3934" t="n"/>
      <c r="AR36" s="3934" t="n"/>
    </row>
    <row r="37">
      <c r="A37" s="3944" t="n"/>
      <c r="B37" s="3944" t="n"/>
      <c r="C37" s="3944" t="n"/>
      <c r="D37" s="3944" t="n"/>
      <c r="E37" s="3944" t="n"/>
      <c r="F37" s="3944" t="n"/>
      <c r="G37" s="3944" t="n"/>
      <c r="H37" s="3944" t="n"/>
      <c r="I37" s="3944" t="n"/>
      <c r="J37" s="3934" t="n"/>
      <c r="K37" s="3934" t="n"/>
      <c r="L37" s="3934" t="n"/>
      <c r="M37" s="3934" t="n"/>
      <c r="N37" s="3934" t="n"/>
      <c r="O37" s="3934" t="n"/>
      <c r="P37" s="3934" t="n"/>
      <c r="Q37" s="3934" t="n"/>
      <c r="R37" s="3934" t="n"/>
      <c r="S37" s="3934" t="n"/>
      <c r="T37" s="3934" t="n"/>
      <c r="U37" s="3934" t="n"/>
      <c r="V37" s="3934" t="n"/>
      <c r="W37" s="3934" t="n"/>
      <c r="X37" s="3934" t="n"/>
      <c r="Y37" s="3934" t="n"/>
      <c r="Z37" s="3934" t="n"/>
      <c r="AA37" s="3934" t="n"/>
      <c r="AB37" s="3934" t="n"/>
      <c r="AC37" s="3934" t="n"/>
      <c r="AD37" s="3934" t="n"/>
      <c r="AE37" s="3934" t="n"/>
      <c r="AF37" s="3934" t="n"/>
      <c r="AG37" s="3934" t="n"/>
      <c r="AH37" s="3934" t="n"/>
      <c r="AI37" s="3934" t="n"/>
      <c r="AJ37" s="3934" t="n"/>
      <c r="AK37" s="3934" t="n"/>
      <c r="AL37" s="3934" t="n"/>
      <c r="AM37" s="3934" t="n"/>
      <c r="AN37" s="3934" t="n"/>
      <c r="AO37" s="3934" t="n"/>
      <c r="AP37" s="3934" t="n"/>
      <c r="AQ37" s="3934" t="n"/>
      <c r="AR37" s="3934" t="n"/>
    </row>
    <row r="38">
      <c r="A38" s="3944" t="n"/>
      <c r="B38" s="3944" t="n"/>
      <c r="C38" s="3944" t="n"/>
      <c r="D38" s="3944" t="n"/>
      <c r="E38" s="3944" t="n"/>
      <c r="F38" s="3944" t="n"/>
      <c r="G38" s="3944" t="n"/>
      <c r="H38" s="3944" t="n"/>
      <c r="I38" s="3944" t="n"/>
      <c r="J38" s="3934" t="n"/>
      <c r="K38" s="3934" t="n"/>
      <c r="L38" s="3934" t="n"/>
      <c r="M38" s="3934" t="n"/>
      <c r="N38" s="3934" t="n"/>
      <c r="O38" s="3934" t="n"/>
      <c r="P38" s="3934" t="n"/>
      <c r="Q38" s="3934" t="n"/>
      <c r="R38" s="3934" t="n"/>
      <c r="S38" s="3934" t="n"/>
      <c r="T38" s="3934" t="n"/>
      <c r="U38" s="3934" t="n"/>
      <c r="V38" s="3934" t="n"/>
      <c r="W38" s="3934" t="n"/>
      <c r="X38" s="3934" t="n"/>
      <c r="Y38" s="3934" t="n"/>
      <c r="Z38" s="3934" t="n"/>
      <c r="AA38" s="3934" t="n"/>
      <c r="AB38" s="3934" t="n"/>
      <c r="AC38" s="3934" t="n"/>
      <c r="AD38" s="3934" t="n"/>
      <c r="AE38" s="3934" t="n"/>
      <c r="AF38" s="3934" t="n"/>
      <c r="AG38" s="3934" t="n"/>
      <c r="AH38" s="3934" t="n"/>
      <c r="AI38" s="3934" t="n"/>
      <c r="AJ38" s="3934" t="n"/>
      <c r="AK38" s="3934" t="n"/>
      <c r="AL38" s="3934" t="n"/>
      <c r="AM38" s="3934" t="n"/>
      <c r="AN38" s="3934" t="n"/>
      <c r="AO38" s="3934" t="n"/>
      <c r="AP38" s="3934" t="n"/>
      <c r="AQ38" s="3934" t="n"/>
      <c r="AR38" s="3934" t="n"/>
    </row>
    <row r="39">
      <c r="A39" s="3944" t="n"/>
      <c r="B39" s="3944" t="n"/>
      <c r="C39" s="3944" t="n"/>
      <c r="D39" s="3944" t="n"/>
      <c r="E39" s="3944" t="n"/>
      <c r="F39" s="3944" t="n"/>
      <c r="G39" s="3944" t="n"/>
      <c r="H39" s="3944" t="n"/>
      <c r="I39" s="3944" t="n"/>
      <c r="J39" s="3934" t="n"/>
      <c r="K39" s="3934" t="n"/>
      <c r="L39" s="3934" t="n"/>
      <c r="M39" s="3934" t="n"/>
      <c r="N39" s="3934" t="n"/>
      <c r="O39" s="3934" t="n"/>
      <c r="P39" s="3934" t="n"/>
      <c r="Q39" s="3934" t="n"/>
      <c r="R39" s="3934" t="n"/>
      <c r="S39" s="3934" t="n"/>
      <c r="T39" s="3934" t="n"/>
      <c r="U39" s="3934" t="n"/>
      <c r="V39" s="3934" t="n"/>
      <c r="W39" s="3934" t="n"/>
      <c r="X39" s="3934" t="n"/>
      <c r="Y39" s="3934" t="n"/>
      <c r="Z39" s="3934" t="n"/>
      <c r="AA39" s="3934" t="n"/>
      <c r="AB39" s="3934" t="n"/>
      <c r="AC39" s="3934" t="n"/>
      <c r="AD39" s="3934" t="n"/>
      <c r="AE39" s="3934" t="n"/>
      <c r="AF39" s="3934" t="n"/>
      <c r="AG39" s="3934" t="n"/>
      <c r="AH39" s="3934" t="n"/>
      <c r="AI39" s="3934" t="n"/>
      <c r="AJ39" s="3934" t="n"/>
      <c r="AK39" s="3934" t="n"/>
      <c r="AL39" s="3934" t="n"/>
      <c r="AM39" s="3934" t="n"/>
      <c r="AN39" s="3934" t="n"/>
      <c r="AO39" s="3934" t="n"/>
      <c r="AP39" s="3934" t="n"/>
      <c r="AQ39" s="3934" t="n"/>
      <c r="AR39" s="3934" t="n"/>
    </row>
    <row r="40">
      <c r="A40" s="3944" t="n"/>
      <c r="B40" s="3944" t="n"/>
      <c r="C40" s="3944" t="n"/>
      <c r="D40" s="3944" t="n"/>
      <c r="E40" s="3944" t="n"/>
      <c r="F40" s="3944" t="n"/>
      <c r="G40" s="3944" t="n"/>
      <c r="H40" s="3944" t="n"/>
      <c r="I40" s="3944" t="n"/>
      <c r="J40" s="3934" t="n"/>
      <c r="K40" s="3934" t="n"/>
      <c r="L40" s="3934" t="n"/>
      <c r="M40" s="3934" t="n"/>
      <c r="N40" s="3934" t="n"/>
      <c r="O40" s="3934" t="n"/>
      <c r="P40" s="3934" t="n"/>
      <c r="Q40" s="3934" t="n"/>
      <c r="R40" s="3934" t="n"/>
      <c r="S40" s="3934" t="n"/>
      <c r="T40" s="3934" t="n"/>
      <c r="U40" s="3934" t="n"/>
      <c r="V40" s="3934" t="n"/>
      <c r="W40" s="3934" t="n"/>
      <c r="X40" s="3934" t="n"/>
      <c r="Y40" s="3934" t="n"/>
      <c r="Z40" s="3934" t="n"/>
      <c r="AA40" s="3934" t="n"/>
      <c r="AB40" s="3934" t="n"/>
      <c r="AC40" s="3934" t="n"/>
      <c r="AD40" s="3934" t="n"/>
      <c r="AE40" s="3934" t="n"/>
      <c r="AF40" s="3934" t="n"/>
      <c r="AG40" s="3934" t="n"/>
      <c r="AH40" s="3934" t="n"/>
      <c r="AI40" s="3934" t="n"/>
      <c r="AJ40" s="3934" t="n"/>
      <c r="AK40" s="3934" t="n"/>
      <c r="AL40" s="3934" t="n"/>
      <c r="AM40" s="3934" t="n"/>
      <c r="AN40" s="3934" t="n"/>
      <c r="AO40" s="3934" t="n"/>
      <c r="AP40" s="3934" t="n"/>
      <c r="AQ40" s="3934" t="n"/>
      <c r="AR40" s="3934" t="n"/>
    </row>
    <row r="41">
      <c r="A41" s="3944" t="n"/>
      <c r="B41" s="3944" t="n"/>
      <c r="C41" s="3944" t="n"/>
      <c r="D41" s="3944" t="n"/>
      <c r="E41" s="3944" t="n"/>
      <c r="F41" s="3944" t="n"/>
      <c r="G41" s="3944" t="n"/>
      <c r="H41" s="3944" t="n"/>
      <c r="I41" s="3944" t="n"/>
      <c r="J41" s="3934" t="n"/>
      <c r="K41" s="3934" t="n"/>
      <c r="L41" s="3934" t="n"/>
      <c r="M41" s="3934" t="n"/>
      <c r="N41" s="3934" t="n"/>
      <c r="O41" s="3934" t="n"/>
      <c r="P41" s="3934" t="n"/>
      <c r="Q41" s="3934" t="n"/>
      <c r="R41" s="3934" t="n"/>
      <c r="S41" s="3934" t="n"/>
      <c r="T41" s="3934" t="n"/>
      <c r="U41" s="3934" t="n"/>
      <c r="V41" s="3934" t="n"/>
      <c r="W41" s="3934" t="n"/>
      <c r="X41" s="3934" t="n"/>
      <c r="Y41" s="3934" t="n"/>
      <c r="Z41" s="3934" t="n"/>
      <c r="AA41" s="3934" t="n"/>
      <c r="AB41" s="3934" t="n"/>
      <c r="AC41" s="3934" t="n"/>
      <c r="AD41" s="3934" t="n"/>
      <c r="AE41" s="3934" t="n"/>
      <c r="AF41" s="3934" t="n"/>
      <c r="AG41" s="3934" t="n"/>
      <c r="AH41" s="3934" t="n"/>
      <c r="AI41" s="3934" t="n"/>
      <c r="AJ41" s="3934" t="n"/>
      <c r="AK41" s="3934" t="n"/>
      <c r="AL41" s="3934" t="n"/>
      <c r="AM41" s="3934" t="n"/>
      <c r="AN41" s="3934" t="n"/>
      <c r="AO41" s="3934" t="n"/>
      <c r="AP41" s="3934" t="n"/>
      <c r="AQ41" s="3934" t="n"/>
      <c r="AR41" s="3934" t="n"/>
    </row>
    <row r="42">
      <c r="A42" s="3944" t="n"/>
      <c r="B42" s="3944" t="n"/>
      <c r="C42" s="3944" t="n"/>
      <c r="D42" s="3944" t="n"/>
      <c r="E42" s="3944" t="n"/>
      <c r="F42" s="3944" t="n"/>
      <c r="G42" s="3944" t="n"/>
      <c r="H42" s="3944" t="n"/>
      <c r="I42" s="3944" t="n"/>
      <c r="J42" s="3934" t="n"/>
      <c r="K42" s="3934" t="n"/>
      <c r="L42" s="3934" t="n"/>
      <c r="M42" s="3934" t="n"/>
      <c r="N42" s="3934" t="n"/>
      <c r="O42" s="3934" t="n"/>
      <c r="P42" s="3934" t="n"/>
      <c r="Q42" s="3934" t="n"/>
      <c r="R42" s="3934" t="n"/>
      <c r="S42" s="3934" t="n"/>
      <c r="T42" s="3934" t="n"/>
      <c r="U42" s="3934" t="n"/>
      <c r="V42" s="3934" t="n"/>
      <c r="W42" s="3934" t="n"/>
      <c r="X42" s="3934" t="n"/>
      <c r="Y42" s="3934" t="n"/>
      <c r="Z42" s="3934" t="n"/>
      <c r="AA42" s="3934" t="n"/>
      <c r="AB42" s="3934" t="n"/>
      <c r="AC42" s="3934" t="n"/>
      <c r="AD42" s="3934" t="n"/>
      <c r="AE42" s="3934" t="n"/>
      <c r="AF42" s="3934" t="n"/>
      <c r="AG42" s="3934" t="n"/>
      <c r="AH42" s="3934" t="n"/>
      <c r="AI42" s="3934" t="n"/>
      <c r="AJ42" s="3934" t="n"/>
      <c r="AK42" s="3934" t="n"/>
      <c r="AL42" s="3934" t="n"/>
      <c r="AM42" s="3934" t="n"/>
      <c r="AN42" s="3934" t="n"/>
      <c r="AO42" s="3934" t="n"/>
      <c r="AP42" s="3934" t="n"/>
      <c r="AQ42" s="3934" t="n"/>
      <c r="AR42" s="3934" t="n"/>
    </row>
    <row r="43">
      <c r="A43" s="3944" t="n"/>
      <c r="B43" s="3944" t="n"/>
      <c r="C43" s="3944" t="n"/>
      <c r="D43" s="3944" t="n"/>
      <c r="E43" s="3944" t="n"/>
      <c r="F43" s="3944" t="n"/>
      <c r="G43" s="3944" t="n"/>
      <c r="H43" s="3944" t="n"/>
      <c r="I43" s="3944" t="n"/>
      <c r="J43" s="3934" t="n"/>
      <c r="K43" s="3934" t="n"/>
      <c r="L43" s="3934" t="n"/>
      <c r="M43" s="3934" t="n"/>
      <c r="N43" s="3934" t="n"/>
      <c r="O43" s="3934" t="n"/>
      <c r="P43" s="3934" t="n"/>
      <c r="Q43" s="3934" t="n"/>
      <c r="R43" s="3934" t="n"/>
      <c r="S43" s="3934" t="n"/>
      <c r="T43" s="3934" t="n"/>
      <c r="U43" s="3934" t="n"/>
      <c r="V43" s="3934" t="n"/>
      <c r="W43" s="3934" t="n"/>
      <c r="X43" s="3934" t="n"/>
      <c r="Y43" s="3934" t="n"/>
      <c r="Z43" s="3934" t="n"/>
      <c r="AA43" s="3934" t="n"/>
      <c r="AB43" s="3934" t="n"/>
      <c r="AC43" s="3934" t="n"/>
      <c r="AD43" s="3934" t="n"/>
      <c r="AE43" s="3934" t="n"/>
      <c r="AF43" s="3934" t="n"/>
      <c r="AG43" s="3934" t="n"/>
      <c r="AH43" s="3934" t="n"/>
      <c r="AI43" s="3934" t="n"/>
      <c r="AJ43" s="3934" t="n"/>
      <c r="AK43" s="3934" t="n"/>
      <c r="AL43" s="3934" t="n"/>
      <c r="AM43" s="3934" t="n"/>
      <c r="AN43" s="3934" t="n"/>
      <c r="AO43" s="3934" t="n"/>
      <c r="AP43" s="3934" t="n"/>
      <c r="AQ43" s="3934" t="n"/>
      <c r="AR43" s="3934" t="n"/>
    </row>
    <row r="44">
      <c r="A44" s="3944" t="n"/>
      <c r="B44" s="3944" t="n"/>
      <c r="C44" s="3944" t="n"/>
      <c r="D44" s="3944" t="n"/>
      <c r="E44" s="3944" t="n"/>
      <c r="F44" s="3944" t="n"/>
      <c r="G44" s="3944" t="n"/>
      <c r="H44" s="3944" t="n"/>
      <c r="I44" s="3944" t="n"/>
      <c r="J44" s="3934" t="n"/>
      <c r="K44" s="3934" t="n"/>
      <c r="L44" s="3934" t="n"/>
      <c r="M44" s="3934" t="n"/>
      <c r="N44" s="3934" t="n"/>
      <c r="O44" s="3934" t="n"/>
      <c r="P44" s="3934" t="n"/>
      <c r="Q44" s="3934" t="n"/>
      <c r="R44" s="3934" t="n"/>
      <c r="S44" s="3934" t="n"/>
      <c r="T44" s="3934" t="n"/>
      <c r="U44" s="3934" t="n"/>
      <c r="V44" s="3934" t="n"/>
      <c r="W44" s="3934" t="n"/>
      <c r="X44" s="3934" t="n"/>
      <c r="Y44" s="3934" t="n"/>
      <c r="Z44" s="3934" t="n"/>
      <c r="AA44" s="3934" t="n"/>
      <c r="AB44" s="3934" t="n"/>
      <c r="AC44" s="3934" t="n"/>
      <c r="AD44" s="3934" t="n"/>
      <c r="AE44" s="3934" t="n"/>
      <c r="AF44" s="3934" t="n"/>
      <c r="AG44" s="3934" t="n"/>
      <c r="AH44" s="3934" t="n"/>
      <c r="AI44" s="3934" t="n"/>
      <c r="AJ44" s="3934" t="n"/>
      <c r="AK44" s="3934" t="n"/>
      <c r="AL44" s="3934" t="n"/>
      <c r="AM44" s="3934" t="n"/>
      <c r="AN44" s="3934" t="n"/>
      <c r="AO44" s="3934" t="n"/>
      <c r="AP44" s="3934" t="n"/>
      <c r="AQ44" s="3934" t="n"/>
      <c r="AR44" s="3934" t="n"/>
    </row>
    <row r="45">
      <c r="A45" s="3944" t="n"/>
      <c r="B45" s="3944" t="n"/>
      <c r="C45" s="3944" t="n"/>
      <c r="D45" s="3944" t="n"/>
      <c r="E45" s="3944" t="n"/>
      <c r="F45" s="3944" t="n"/>
      <c r="G45" s="3944" t="n"/>
      <c r="H45" s="3944" t="n"/>
      <c r="I45" s="3944" t="n"/>
      <c r="J45" s="3934" t="n"/>
      <c r="K45" s="3934" t="n"/>
      <c r="L45" s="3934" t="n"/>
      <c r="M45" s="3934" t="n"/>
      <c r="N45" s="3934" t="n"/>
      <c r="O45" s="3934" t="n"/>
      <c r="P45" s="3934" t="n"/>
      <c r="Q45" s="3934" t="n"/>
      <c r="R45" s="3934" t="n"/>
      <c r="S45" s="3934" t="n"/>
      <c r="T45" s="3934" t="n"/>
      <c r="U45" s="3934" t="n"/>
      <c r="V45" s="3934" t="n"/>
      <c r="W45" s="3934" t="n"/>
      <c r="X45" s="3934" t="n"/>
      <c r="Y45" s="3934" t="n"/>
      <c r="Z45" s="3934" t="n"/>
      <c r="AA45" s="3934" t="n"/>
      <c r="AB45" s="3934" t="n"/>
      <c r="AC45" s="3934" t="n"/>
      <c r="AD45" s="3934" t="n"/>
      <c r="AE45" s="3934" t="n"/>
      <c r="AF45" s="3934" t="n"/>
      <c r="AG45" s="3934" t="n"/>
      <c r="AH45" s="3934" t="n"/>
      <c r="AI45" s="3934" t="n"/>
      <c r="AJ45" s="3934" t="n"/>
      <c r="AK45" s="3934" t="n"/>
      <c r="AL45" s="3934" t="n"/>
      <c r="AM45" s="3934" t="n"/>
      <c r="AN45" s="3934" t="n"/>
      <c r="AO45" s="3934" t="n"/>
      <c r="AP45" s="3934" t="n"/>
      <c r="AQ45" s="3934" t="n"/>
      <c r="AR45" s="3934" t="n"/>
    </row>
    <row r="46">
      <c r="A46" s="3944" t="n"/>
      <c r="B46" s="3944" t="n"/>
      <c r="C46" s="3944" t="n"/>
      <c r="D46" s="3944" t="n"/>
      <c r="E46" s="3944" t="n"/>
      <c r="F46" s="3944" t="n"/>
      <c r="G46" s="3944" t="n"/>
      <c r="H46" s="3944" t="n"/>
      <c r="I46" s="3944" t="n"/>
      <c r="J46" s="3934" t="n"/>
      <c r="K46" s="3934" t="n"/>
      <c r="L46" s="3934" t="n"/>
      <c r="M46" s="3934" t="n"/>
      <c r="N46" s="3934" t="n"/>
      <c r="O46" s="3934" t="n"/>
      <c r="P46" s="3934" t="n"/>
      <c r="Q46" s="3934" t="n"/>
      <c r="R46" s="3934" t="n"/>
      <c r="S46" s="3934" t="n"/>
      <c r="T46" s="3934" t="n"/>
      <c r="U46" s="3934" t="n"/>
      <c r="V46" s="3934" t="n"/>
      <c r="W46" s="3934" t="n"/>
      <c r="X46" s="3934" t="n"/>
      <c r="Y46" s="3934" t="n"/>
      <c r="Z46" s="3934" t="n"/>
      <c r="AA46" s="3934" t="n"/>
      <c r="AB46" s="3934" t="n"/>
      <c r="AC46" s="3934" t="n"/>
      <c r="AD46" s="3934" t="n"/>
      <c r="AE46" s="3934" t="n"/>
      <c r="AF46" s="3934" t="n"/>
      <c r="AG46" s="3934" t="n"/>
      <c r="AH46" s="3934" t="n"/>
      <c r="AI46" s="3934" t="n"/>
      <c r="AJ46" s="3934" t="n"/>
      <c r="AK46" s="3934" t="n"/>
      <c r="AL46" s="3934" t="n"/>
      <c r="AM46" s="3934" t="n"/>
      <c r="AN46" s="3934" t="n"/>
      <c r="AO46" s="3934" t="n"/>
      <c r="AP46" s="3934" t="n"/>
      <c r="AQ46" s="3934" t="n"/>
      <c r="AR46" s="3934" t="n"/>
    </row>
    <row r="47">
      <c r="A47" s="3944" t="n"/>
      <c r="B47" s="3944" t="n"/>
      <c r="C47" s="3944" t="n"/>
      <c r="D47" s="3944" t="n"/>
      <c r="E47" s="3944" t="n"/>
      <c r="F47" s="3944" t="n"/>
      <c r="G47" s="3944" t="n"/>
      <c r="H47" s="3944" t="n"/>
      <c r="I47" s="3944" t="n"/>
      <c r="J47" s="3934" t="n"/>
      <c r="K47" s="3934" t="n"/>
      <c r="L47" s="3934" t="n"/>
      <c r="M47" s="3934" t="n"/>
      <c r="N47" s="3934" t="n"/>
      <c r="O47" s="3934" t="n"/>
      <c r="P47" s="3934" t="n"/>
      <c r="Q47" s="3934" t="n"/>
      <c r="R47" s="3934" t="n"/>
      <c r="S47" s="3934" t="n"/>
      <c r="T47" s="3934" t="n"/>
      <c r="U47" s="3934" t="n"/>
      <c r="V47" s="3934" t="n"/>
      <c r="W47" s="3934" t="n"/>
      <c r="X47" s="3934" t="n"/>
      <c r="Y47" s="3934" t="n"/>
      <c r="Z47" s="3934" t="n"/>
      <c r="AA47" s="3934" t="n"/>
      <c r="AB47" s="3934" t="n"/>
      <c r="AC47" s="3934" t="n"/>
      <c r="AD47" s="3934" t="n"/>
      <c r="AE47" s="3934" t="n"/>
      <c r="AF47" s="3934" t="n"/>
      <c r="AG47" s="3934" t="n"/>
      <c r="AH47" s="3934" t="n"/>
      <c r="AI47" s="3934" t="n"/>
      <c r="AJ47" s="3934" t="n"/>
      <c r="AK47" s="3934" t="n"/>
      <c r="AL47" s="3934" t="n"/>
      <c r="AM47" s="3934" t="n"/>
      <c r="AN47" s="3934" t="n"/>
      <c r="AO47" s="3934" t="n"/>
      <c r="AP47" s="3934" t="n"/>
      <c r="AQ47" s="3934" t="n"/>
      <c r="AR47" s="3934" t="n"/>
    </row>
    <row r="48">
      <c r="A48" s="3944" t="n"/>
      <c r="B48" s="3944" t="n"/>
      <c r="C48" s="3944" t="n"/>
      <c r="D48" s="3944" t="n"/>
      <c r="E48" s="3944" t="n"/>
      <c r="F48" s="3944" t="n"/>
      <c r="G48" s="3944" t="n"/>
      <c r="H48" s="3944" t="n"/>
      <c r="I48" s="3944" t="n"/>
      <c r="J48" s="3934" t="n"/>
      <c r="K48" s="3934" t="n"/>
      <c r="L48" s="3934" t="n"/>
      <c r="M48" s="3934" t="n"/>
      <c r="N48" s="3934" t="n"/>
      <c r="O48" s="3934" t="n"/>
      <c r="P48" s="3934" t="n"/>
      <c r="Q48" s="3934" t="n"/>
      <c r="R48" s="3934" t="n"/>
      <c r="S48" s="3934" t="n"/>
      <c r="T48" s="3934" t="n"/>
      <c r="U48" s="3934" t="n"/>
      <c r="V48" s="3934" t="n"/>
      <c r="W48" s="3934" t="n"/>
      <c r="X48" s="3934" t="n"/>
      <c r="Y48" s="3934" t="n"/>
      <c r="Z48" s="3934" t="n"/>
      <c r="AA48" s="3934" t="n"/>
      <c r="AB48" s="3934" t="n"/>
      <c r="AC48" s="3934" t="n"/>
      <c r="AD48" s="3934" t="n"/>
      <c r="AE48" s="3934" t="n"/>
      <c r="AF48" s="3934" t="n"/>
      <c r="AG48" s="3934" t="n"/>
      <c r="AH48" s="3934" t="n"/>
      <c r="AI48" s="3934" t="n"/>
      <c r="AJ48" s="3934" t="n"/>
      <c r="AK48" s="3934" t="n"/>
      <c r="AL48" s="3934" t="n"/>
      <c r="AM48" s="3934" t="n"/>
      <c r="AN48" s="3934" t="n"/>
      <c r="AO48" s="3934" t="n"/>
      <c r="AP48" s="3934" t="n"/>
      <c r="AQ48" s="3934" t="n"/>
      <c r="AR48" s="3934" t="n"/>
    </row>
    <row r="49">
      <c r="A49" s="3944" t="n"/>
      <c r="B49" s="3944" t="n"/>
      <c r="C49" s="3944" t="n"/>
      <c r="D49" s="3944" t="n"/>
      <c r="E49" s="3944" t="n"/>
      <c r="F49" s="3944" t="n"/>
      <c r="G49" s="3944" t="n"/>
      <c r="H49" s="3944" t="n"/>
      <c r="I49" s="3944" t="n"/>
      <c r="J49" s="3934" t="n"/>
      <c r="K49" s="3934" t="n"/>
      <c r="L49" s="3934" t="n"/>
      <c r="M49" s="3934" t="n"/>
      <c r="N49" s="3934" t="n"/>
      <c r="O49" s="3934" t="n"/>
      <c r="P49" s="3934" t="n"/>
      <c r="Q49" s="3934" t="n"/>
      <c r="R49" s="3934" t="n"/>
      <c r="S49" s="3934" t="n"/>
      <c r="T49" s="3934" t="n"/>
      <c r="U49" s="3934" t="n"/>
      <c r="V49" s="3934" t="n"/>
      <c r="W49" s="3934" t="n"/>
      <c r="X49" s="3934" t="n"/>
      <c r="Y49" s="3934" t="n"/>
      <c r="Z49" s="3934" t="n"/>
      <c r="AA49" s="3934" t="n"/>
      <c r="AB49" s="3934" t="n"/>
      <c r="AC49" s="3934" t="n"/>
      <c r="AD49" s="3934" t="n"/>
      <c r="AE49" s="3934" t="n"/>
      <c r="AF49" s="3934" t="n"/>
      <c r="AG49" s="3934" t="n"/>
      <c r="AH49" s="3934" t="n"/>
      <c r="AI49" s="3934" t="n"/>
      <c r="AJ49" s="3934" t="n"/>
      <c r="AK49" s="3934" t="n"/>
      <c r="AL49" s="3934" t="n"/>
      <c r="AM49" s="3934" t="n"/>
      <c r="AN49" s="3934" t="n"/>
      <c r="AO49" s="3934" t="n"/>
      <c r="AP49" s="3934" t="n"/>
      <c r="AQ49" s="3934" t="n"/>
      <c r="AR49" s="3934" t="n"/>
    </row>
    <row r="50">
      <c r="A50" s="3944" t="n"/>
      <c r="B50" s="3944" t="n"/>
      <c r="C50" s="3944" t="n"/>
      <c r="D50" s="3944" t="n"/>
      <c r="E50" s="3944" t="n"/>
      <c r="F50" s="3944" t="n"/>
      <c r="G50" s="3944" t="n"/>
      <c r="H50" s="3944" t="n"/>
      <c r="I50" s="3944" t="n"/>
      <c r="J50" s="3934" t="n"/>
      <c r="K50" s="3934" t="n"/>
      <c r="L50" s="3934" t="n"/>
      <c r="M50" s="3934" t="n"/>
      <c r="N50" s="3934" t="n"/>
      <c r="O50" s="3934" t="n"/>
      <c r="P50" s="3934" t="n"/>
      <c r="Q50" s="3934" t="n"/>
      <c r="R50" s="3934" t="n"/>
      <c r="S50" s="3934" t="n"/>
      <c r="T50" s="3934" t="n"/>
      <c r="U50" s="3934" t="n"/>
      <c r="V50" s="3934" t="n"/>
      <c r="W50" s="3934" t="n"/>
      <c r="X50" s="3934" t="n"/>
      <c r="Y50" s="3934" t="n"/>
      <c r="Z50" s="3934" t="n"/>
      <c r="AA50" s="3934" t="n"/>
      <c r="AB50" s="3934" t="n"/>
      <c r="AC50" s="3934" t="n"/>
      <c r="AD50" s="3934" t="n"/>
      <c r="AE50" s="3934" t="n"/>
      <c r="AF50" s="3934" t="n"/>
      <c r="AG50" s="3934" t="n"/>
      <c r="AH50" s="3934" t="n"/>
      <c r="AI50" s="3934" t="n"/>
      <c r="AJ50" s="3934" t="n"/>
      <c r="AK50" s="3934" t="n"/>
      <c r="AL50" s="3934" t="n"/>
      <c r="AM50" s="3934" t="n"/>
      <c r="AN50" s="3934" t="n"/>
      <c r="AO50" s="3934" t="n"/>
      <c r="AP50" s="3934" t="n"/>
      <c r="AQ50" s="3934" t="n"/>
      <c r="AR50" s="3934" t="n"/>
    </row>
    <row r="51">
      <c r="A51" s="3944" t="n"/>
      <c r="B51" s="3944" t="n"/>
      <c r="C51" s="3944" t="n"/>
      <c r="D51" s="3944" t="n"/>
      <c r="E51" s="3944" t="n"/>
      <c r="F51" s="3944" t="n"/>
      <c r="G51" s="3944" t="n"/>
      <c r="H51" s="3944" t="n"/>
      <c r="I51" s="3944" t="n"/>
      <c r="J51" s="3934" t="n"/>
      <c r="K51" s="3934" t="n"/>
      <c r="L51" s="3934" t="n"/>
      <c r="M51" s="3934" t="n"/>
      <c r="N51" s="3934" t="n"/>
      <c r="O51" s="3934" t="n"/>
      <c r="P51" s="3934" t="n"/>
      <c r="Q51" s="3934" t="n"/>
      <c r="R51" s="3934" t="n"/>
      <c r="S51" s="3934" t="n"/>
      <c r="T51" s="3934" t="n"/>
      <c r="U51" s="3934" t="n"/>
      <c r="V51" s="3934" t="n"/>
      <c r="W51" s="3934" t="n"/>
      <c r="X51" s="3934" t="n"/>
      <c r="Y51" s="3934" t="n"/>
      <c r="Z51" s="3934" t="n"/>
      <c r="AA51" s="3934" t="n"/>
      <c r="AB51" s="3934" t="n"/>
      <c r="AC51" s="3934" t="n"/>
      <c r="AD51" s="3934" t="n"/>
      <c r="AE51" s="3934" t="n"/>
      <c r="AF51" s="3934" t="n"/>
      <c r="AG51" s="3934" t="n"/>
      <c r="AH51" s="3934" t="n"/>
      <c r="AI51" s="3934" t="n"/>
      <c r="AJ51" s="3934" t="n"/>
      <c r="AK51" s="3934" t="n"/>
      <c r="AL51" s="3934" t="n"/>
      <c r="AM51" s="3934" t="n"/>
      <c r="AN51" s="3934" t="n"/>
      <c r="AO51" s="3934" t="n"/>
      <c r="AP51" s="3934" t="n"/>
      <c r="AQ51" s="3934" t="n"/>
      <c r="AR51" s="3934" t="n"/>
    </row>
    <row r="52">
      <c r="A52" s="3944" t="n"/>
      <c r="B52" s="3944" t="n"/>
      <c r="C52" s="3944" t="n"/>
      <c r="D52" s="3944" t="n"/>
      <c r="E52" s="3944" t="n"/>
      <c r="F52" s="3944" t="n"/>
      <c r="G52" s="3944" t="n"/>
      <c r="H52" s="3944" t="n"/>
      <c r="I52" s="3944" t="n"/>
      <c r="J52" s="3934" t="n"/>
      <c r="K52" s="3934" t="n"/>
      <c r="L52" s="3934" t="n"/>
      <c r="M52" s="3934" t="n"/>
      <c r="N52" s="3934" t="n"/>
      <c r="O52" s="3934" t="n"/>
      <c r="P52" s="3934" t="n"/>
      <c r="Q52" s="3934" t="n"/>
      <c r="R52" s="3934" t="n"/>
      <c r="S52" s="3934" t="n"/>
      <c r="T52" s="3934" t="n"/>
      <c r="U52" s="3934" t="n"/>
      <c r="V52" s="3934" t="n"/>
      <c r="W52" s="3934" t="n"/>
      <c r="X52" s="3934" t="n"/>
      <c r="Y52" s="3934" t="n"/>
      <c r="Z52" s="3934" t="n"/>
      <c r="AA52" s="3934" t="n"/>
      <c r="AB52" s="3934" t="n"/>
      <c r="AC52" s="3934" t="n"/>
      <c r="AD52" s="3934" t="n"/>
      <c r="AE52" s="3934" t="n"/>
      <c r="AF52" s="3934" t="n"/>
      <c r="AG52" s="3934" t="n"/>
      <c r="AH52" s="3934" t="n"/>
      <c r="AI52" s="3934" t="n"/>
      <c r="AJ52" s="3934" t="n"/>
      <c r="AK52" s="3934" t="n"/>
      <c r="AL52" s="3934" t="n"/>
      <c r="AM52" s="3934" t="n"/>
      <c r="AN52" s="3934" t="n"/>
      <c r="AO52" s="3934" t="n"/>
      <c r="AP52" s="3934" t="n"/>
      <c r="AQ52" s="3934" t="n"/>
      <c r="AR52" s="3934" t="n"/>
    </row>
    <row r="53">
      <c r="A53" s="3944" t="n"/>
      <c r="B53" s="3944" t="n"/>
      <c r="C53" s="3944" t="n"/>
      <c r="D53" s="3944" t="n"/>
      <c r="E53" s="3944" t="n"/>
      <c r="F53" s="3944" t="n"/>
      <c r="G53" s="3944" t="n"/>
      <c r="H53" s="3944" t="n"/>
      <c r="I53" s="3944" t="n"/>
      <c r="J53" s="3934" t="n"/>
      <c r="K53" s="3934" t="n"/>
      <c r="L53" s="3934" t="n"/>
      <c r="M53" s="3934" t="n"/>
      <c r="N53" s="3934" t="n"/>
      <c r="O53" s="3934" t="n"/>
      <c r="P53" s="3934" t="n"/>
      <c r="Q53" s="3934" t="n"/>
      <c r="R53" s="3934" t="n"/>
      <c r="S53" s="3934" t="n"/>
      <c r="T53" s="3934" t="n"/>
      <c r="U53" s="3934" t="n"/>
      <c r="V53" s="3934" t="n"/>
      <c r="W53" s="3934" t="n"/>
      <c r="X53" s="3934" t="n"/>
      <c r="Y53" s="3934" t="n"/>
      <c r="Z53" s="3934" t="n"/>
      <c r="AA53" s="3934" t="n"/>
      <c r="AB53" s="3934" t="n"/>
      <c r="AC53" s="3934" t="n"/>
      <c r="AD53" s="3934" t="n"/>
      <c r="AE53" s="3934" t="n"/>
      <c r="AF53" s="3934" t="n"/>
      <c r="AG53" s="3934" t="n"/>
      <c r="AH53" s="3934" t="n"/>
      <c r="AI53" s="3934" t="n"/>
      <c r="AJ53" s="3934" t="n"/>
      <c r="AK53" s="3934" t="n"/>
      <c r="AL53" s="3934" t="n"/>
      <c r="AM53" s="3934" t="n"/>
      <c r="AN53" s="3934" t="n"/>
      <c r="AO53" s="3934" t="n"/>
      <c r="AP53" s="3934" t="n"/>
      <c r="AQ53" s="3934" t="n"/>
      <c r="AR53" s="3934" t="n"/>
    </row>
    <row r="54">
      <c r="A54" s="3944" t="n"/>
      <c r="B54" s="3944" t="n"/>
      <c r="C54" s="3944" t="n"/>
      <c r="D54" s="3944" t="n"/>
      <c r="E54" s="3944" t="n"/>
      <c r="F54" s="3944" t="n"/>
      <c r="G54" s="3944" t="n"/>
      <c r="H54" s="3944" t="n"/>
      <c r="I54" s="3944" t="n"/>
      <c r="J54" s="3934" t="n"/>
      <c r="K54" s="3934" t="n"/>
      <c r="L54" s="3934" t="n"/>
      <c r="M54" s="3934" t="n"/>
      <c r="N54" s="3934" t="n"/>
      <c r="O54" s="3934" t="n"/>
      <c r="P54" s="3934" t="n"/>
      <c r="Q54" s="3934" t="n"/>
      <c r="R54" s="3934" t="n"/>
      <c r="S54" s="3934" t="n"/>
      <c r="T54" s="3934" t="n"/>
      <c r="U54" s="3934" t="n"/>
      <c r="V54" s="3934" t="n"/>
      <c r="W54" s="3934" t="n"/>
      <c r="X54" s="3934" t="n"/>
      <c r="Y54" s="3934" t="n"/>
      <c r="Z54" s="3934" t="n"/>
      <c r="AA54" s="3934" t="n"/>
      <c r="AB54" s="3934" t="n"/>
      <c r="AC54" s="3934" t="n"/>
      <c r="AD54" s="3934" t="n"/>
      <c r="AE54" s="3934" t="n"/>
      <c r="AF54" s="3934" t="n"/>
      <c r="AG54" s="3934" t="n"/>
      <c r="AH54" s="3934" t="n"/>
      <c r="AI54" s="3934" t="n"/>
      <c r="AJ54" s="3934" t="n"/>
      <c r="AK54" s="3934" t="n"/>
      <c r="AL54" s="3934" t="n"/>
      <c r="AM54" s="3934" t="n"/>
      <c r="AN54" s="3934" t="n"/>
      <c r="AO54" s="3934" t="n"/>
      <c r="AP54" s="3934" t="n"/>
      <c r="AQ54" s="3934" t="n"/>
      <c r="AR54" s="3934" t="n"/>
    </row>
    <row r="55">
      <c r="A55" s="3944" t="n"/>
      <c r="B55" s="3944" t="n"/>
      <c r="C55" s="3944" t="n"/>
      <c r="D55" s="3944" t="n"/>
      <c r="E55" s="3944" t="n"/>
      <c r="F55" s="3944" t="n"/>
      <c r="G55" s="3944" t="n"/>
      <c r="H55" s="3944" t="n"/>
      <c r="I55" s="3944" t="n"/>
      <c r="J55" s="3934" t="n"/>
      <c r="K55" s="3934" t="n"/>
      <c r="L55" s="3934" t="n"/>
      <c r="M55" s="3934" t="n"/>
      <c r="N55" s="3934" t="n"/>
      <c r="O55" s="3934" t="n"/>
      <c r="P55" s="3934" t="n"/>
      <c r="Q55" s="3934" t="n"/>
      <c r="R55" s="3934" t="n"/>
      <c r="S55" s="3934" t="n"/>
      <c r="T55" s="3934" t="n"/>
      <c r="U55" s="3934" t="n"/>
      <c r="V55" s="3934" t="n"/>
      <c r="W55" s="3934" t="n"/>
      <c r="X55" s="3934" t="n"/>
      <c r="Y55" s="3934" t="n"/>
      <c r="Z55" s="3934" t="n"/>
      <c r="AA55" s="3934" t="n"/>
      <c r="AB55" s="3934" t="n"/>
      <c r="AC55" s="3934" t="n"/>
      <c r="AD55" s="3934" t="n"/>
      <c r="AE55" s="3934" t="n"/>
      <c r="AF55" s="3934" t="n"/>
      <c r="AG55" s="3934" t="n"/>
      <c r="AH55" s="3934" t="n"/>
      <c r="AI55" s="3934" t="n"/>
      <c r="AJ55" s="3934" t="n"/>
      <c r="AK55" s="3934" t="n"/>
      <c r="AL55" s="3934" t="n"/>
      <c r="AM55" s="3934" t="n"/>
      <c r="AN55" s="3934" t="n"/>
      <c r="AO55" s="3934" t="n"/>
      <c r="AP55" s="3934" t="n"/>
      <c r="AQ55" s="3934" t="n"/>
      <c r="AR55" s="3934" t="n"/>
    </row>
    <row r="56">
      <c r="A56" s="3944" t="n"/>
      <c r="B56" s="3944" t="n"/>
      <c r="C56" s="3944" t="n"/>
      <c r="D56" s="3944" t="n"/>
      <c r="E56" s="3944" t="n"/>
      <c r="F56" s="3944" t="n"/>
      <c r="G56" s="3944" t="n"/>
      <c r="H56" s="3944" t="n"/>
      <c r="I56" s="3944" t="n"/>
      <c r="J56" s="3934" t="n"/>
      <c r="K56" s="3934" t="n"/>
      <c r="L56" s="3934" t="n"/>
      <c r="M56" s="3934" t="n"/>
      <c r="N56" s="3934" t="n"/>
      <c r="O56" s="3934" t="n"/>
      <c r="P56" s="3934" t="n"/>
      <c r="Q56" s="3934" t="n"/>
      <c r="R56" s="3934" t="n"/>
      <c r="S56" s="3934" t="n"/>
      <c r="T56" s="3934" t="n"/>
      <c r="U56" s="3934" t="n"/>
      <c r="V56" s="3934" t="n"/>
      <c r="W56" s="3934" t="n"/>
      <c r="X56" s="3934" t="n"/>
      <c r="Y56" s="3934" t="n"/>
      <c r="Z56" s="3934" t="n"/>
      <c r="AA56" s="3934" t="n"/>
      <c r="AB56" s="3934" t="n"/>
      <c r="AC56" s="3934" t="n"/>
      <c r="AD56" s="3934" t="n"/>
      <c r="AE56" s="3934" t="n"/>
      <c r="AF56" s="3934" t="n"/>
      <c r="AG56" s="3934" t="n"/>
      <c r="AH56" s="3934" t="n"/>
      <c r="AI56" s="3934" t="n"/>
      <c r="AJ56" s="3934" t="n"/>
      <c r="AK56" s="3934" t="n"/>
      <c r="AL56" s="3934" t="n"/>
      <c r="AM56" s="3934" t="n"/>
      <c r="AN56" s="3934" t="n"/>
      <c r="AO56" s="3934" t="n"/>
      <c r="AP56" s="3934" t="n"/>
      <c r="AQ56" s="3934" t="n"/>
      <c r="AR56" s="3934" t="n"/>
    </row>
    <row r="57">
      <c r="A57" s="3944" t="n"/>
      <c r="B57" s="3944" t="n"/>
      <c r="C57" s="3944" t="n"/>
      <c r="D57" s="3944" t="n"/>
      <c r="E57" s="3944" t="n"/>
      <c r="F57" s="3944" t="n"/>
      <c r="G57" s="3944" t="n"/>
      <c r="H57" s="3944" t="n"/>
      <c r="I57" s="3944" t="n"/>
      <c r="J57" s="3934" t="n"/>
      <c r="K57" s="3934" t="n"/>
      <c r="L57" s="3934" t="n"/>
      <c r="M57" s="3934" t="n"/>
      <c r="N57" s="3934" t="n"/>
      <c r="O57" s="3934" t="n"/>
      <c r="P57" s="3934" t="n"/>
      <c r="Q57" s="3934" t="n"/>
      <c r="R57" s="3934" t="n"/>
      <c r="S57" s="3934" t="n"/>
      <c r="T57" s="3934" t="n"/>
      <c r="U57" s="3934" t="n"/>
      <c r="V57" s="3934" t="n"/>
      <c r="W57" s="3934" t="n"/>
      <c r="X57" s="3934" t="n"/>
      <c r="Y57" s="3934" t="n"/>
      <c r="Z57" s="3934" t="n"/>
      <c r="AA57" s="3934" t="n"/>
      <c r="AB57" s="3934" t="n"/>
      <c r="AC57" s="3934" t="n"/>
      <c r="AD57" s="3934" t="n"/>
      <c r="AE57" s="3934" t="n"/>
      <c r="AF57" s="3934" t="n"/>
      <c r="AG57" s="3934" t="n"/>
      <c r="AH57" s="3934" t="n"/>
      <c r="AI57" s="3934" t="n"/>
      <c r="AJ57" s="3934" t="n"/>
      <c r="AK57" s="3934" t="n"/>
      <c r="AL57" s="3934" t="n"/>
      <c r="AM57" s="3934" t="n"/>
      <c r="AN57" s="3934" t="n"/>
      <c r="AO57" s="3934" t="n"/>
      <c r="AP57" s="3934" t="n"/>
      <c r="AQ57" s="3934" t="n"/>
      <c r="AR57" s="3934" t="n"/>
    </row>
    <row r="58">
      <c r="A58" s="3944" t="n"/>
      <c r="B58" s="3944" t="n"/>
      <c r="C58" s="3944" t="n"/>
      <c r="D58" s="3944" t="n"/>
      <c r="E58" s="3944" t="n"/>
      <c r="F58" s="3944" t="n"/>
      <c r="G58" s="3944" t="n"/>
      <c r="H58" s="3944" t="n"/>
      <c r="I58" s="3944" t="n"/>
      <c r="J58" s="3934" t="n"/>
      <c r="K58" s="3934" t="n"/>
      <c r="L58" s="3934" t="n"/>
      <c r="M58" s="3934" t="n"/>
      <c r="N58" s="3934" t="n"/>
      <c r="O58" s="3934" t="n"/>
      <c r="P58" s="3934" t="n"/>
      <c r="Q58" s="3934" t="n"/>
      <c r="R58" s="3934" t="n"/>
      <c r="S58" s="3934" t="n"/>
      <c r="T58" s="3934" t="n"/>
      <c r="U58" s="3934" t="n"/>
      <c r="V58" s="3934" t="n"/>
      <c r="W58" s="3934" t="n"/>
      <c r="X58" s="3934" t="n"/>
      <c r="Y58" s="3934" t="n"/>
      <c r="Z58" s="3934" t="n"/>
      <c r="AA58" s="3934" t="n"/>
      <c r="AB58" s="3934" t="n"/>
      <c r="AC58" s="3934" t="n"/>
      <c r="AD58" s="3934" t="n"/>
      <c r="AE58" s="3934" t="n"/>
      <c r="AF58" s="3934" t="n"/>
      <c r="AG58" s="3934" t="n"/>
      <c r="AH58" s="3934" t="n"/>
      <c r="AI58" s="3934" t="n"/>
      <c r="AJ58" s="3934" t="n"/>
      <c r="AK58" s="3934" t="n"/>
      <c r="AL58" s="3934" t="n"/>
      <c r="AM58" s="3934" t="n"/>
      <c r="AN58" s="3934" t="n"/>
      <c r="AO58" s="3934" t="n"/>
      <c r="AP58" s="3934" t="n"/>
      <c r="AQ58" s="3934" t="n"/>
      <c r="AR58" s="3934" t="n"/>
    </row>
    <row r="59">
      <c r="A59" s="3944" t="n"/>
      <c r="B59" s="3944" t="n"/>
      <c r="C59" s="3944" t="n"/>
      <c r="D59" s="3944" t="n"/>
      <c r="E59" s="3944" t="n"/>
      <c r="F59" s="3944" t="n"/>
      <c r="G59" s="3944" t="n"/>
      <c r="H59" s="3944" t="n"/>
      <c r="I59" s="3944" t="n"/>
      <c r="J59" s="3934" t="n"/>
      <c r="K59" s="3934" t="n"/>
      <c r="L59" s="3934" t="n"/>
      <c r="M59" s="3934" t="n"/>
      <c r="N59" s="3934" t="n"/>
      <c r="O59" s="3934" t="n"/>
      <c r="P59" s="3934" t="n"/>
      <c r="Q59" s="3934" t="n"/>
      <c r="R59" s="3934" t="n"/>
      <c r="S59" s="3934" t="n"/>
      <c r="T59" s="3934" t="n"/>
      <c r="U59" s="3934" t="n"/>
      <c r="V59" s="3934" t="n"/>
      <c r="W59" s="3934" t="n"/>
      <c r="X59" s="3934" t="n"/>
      <c r="Y59" s="3934" t="n"/>
      <c r="Z59" s="3934" t="n"/>
      <c r="AA59" s="3934" t="n"/>
      <c r="AB59" s="3934" t="n"/>
      <c r="AC59" s="3934" t="n"/>
      <c r="AD59" s="3934" t="n"/>
      <c r="AE59" s="3934" t="n"/>
      <c r="AF59" s="3934" t="n"/>
      <c r="AG59" s="3934" t="n"/>
      <c r="AH59" s="3934" t="n"/>
      <c r="AI59" s="3934" t="n"/>
      <c r="AJ59" s="3934" t="n"/>
      <c r="AK59" s="3934" t="n"/>
      <c r="AL59" s="3934" t="n"/>
      <c r="AM59" s="3934" t="n"/>
      <c r="AN59" s="3934" t="n"/>
      <c r="AO59" s="3934" t="n"/>
      <c r="AP59" s="3934" t="n"/>
      <c r="AQ59" s="3934" t="n"/>
      <c r="AR59" s="3934" t="n"/>
    </row>
    <row r="60">
      <c r="A60" s="3944" t="n"/>
      <c r="B60" s="3944" t="n"/>
      <c r="C60" s="3944" t="n"/>
      <c r="D60" s="3944" t="n"/>
      <c r="E60" s="3944" t="n"/>
      <c r="F60" s="3944" t="n"/>
      <c r="G60" s="3944" t="n"/>
      <c r="H60" s="3944" t="n"/>
      <c r="I60" s="3944" t="n"/>
      <c r="J60" s="3934" t="n"/>
      <c r="K60" s="3934" t="n"/>
      <c r="L60" s="3934" t="n"/>
      <c r="M60" s="3934" t="n"/>
      <c r="N60" s="3934" t="n"/>
      <c r="O60" s="3934" t="n"/>
      <c r="P60" s="3934" t="n"/>
      <c r="Q60" s="3934" t="n"/>
      <c r="R60" s="3934" t="n"/>
      <c r="S60" s="3934" t="n"/>
      <c r="T60" s="3934" t="n"/>
      <c r="U60" s="3934" t="n"/>
      <c r="V60" s="3934" t="n"/>
      <c r="W60" s="3934" t="n"/>
      <c r="X60" s="3934" t="n"/>
      <c r="Y60" s="3934" t="n"/>
      <c r="Z60" s="3934" t="n"/>
      <c r="AA60" s="3934" t="n"/>
      <c r="AB60" s="3934" t="n"/>
      <c r="AC60" s="3934" t="n"/>
      <c r="AD60" s="3934" t="n"/>
      <c r="AE60" s="3934" t="n"/>
      <c r="AF60" s="3934" t="n"/>
      <c r="AG60" s="3934" t="n"/>
      <c r="AH60" s="3934" t="n"/>
      <c r="AI60" s="3934" t="n"/>
      <c r="AJ60" s="3934" t="n"/>
      <c r="AK60" s="3934" t="n"/>
      <c r="AL60" s="3934" t="n"/>
      <c r="AM60" s="3934" t="n"/>
      <c r="AN60" s="3934" t="n"/>
      <c r="AO60" s="3934" t="n"/>
      <c r="AP60" s="3934" t="n"/>
      <c r="AQ60" s="3934" t="n"/>
      <c r="AR60" s="3934" t="n"/>
    </row>
    <row r="61">
      <c r="A61" s="3944" t="n"/>
      <c r="B61" s="3944" t="n"/>
      <c r="C61" s="3944" t="n"/>
      <c r="D61" s="3944" t="n"/>
      <c r="E61" s="3944" t="n"/>
      <c r="F61" s="3944" t="n"/>
      <c r="G61" s="3944" t="n"/>
      <c r="H61" s="3944" t="n"/>
      <c r="I61" s="3944" t="n"/>
      <c r="J61" s="3934" t="n"/>
      <c r="K61" s="3934" t="n"/>
      <c r="L61" s="3934" t="n"/>
      <c r="M61" s="3934" t="n"/>
      <c r="N61" s="3934" t="n"/>
      <c r="O61" s="3934" t="n"/>
      <c r="P61" s="3934" t="n"/>
      <c r="Q61" s="3934" t="n"/>
      <c r="R61" s="3934" t="n"/>
      <c r="S61" s="3934" t="n"/>
      <c r="T61" s="3934" t="n"/>
      <c r="U61" s="3934" t="n"/>
      <c r="V61" s="3934" t="n"/>
      <c r="W61" s="3934" t="n"/>
      <c r="X61" s="3934" t="n"/>
      <c r="Y61" s="3934" t="n"/>
      <c r="Z61" s="3934" t="n"/>
      <c r="AA61" s="3934" t="n"/>
      <c r="AB61" s="3934" t="n"/>
      <c r="AC61" s="3934" t="n"/>
      <c r="AD61" s="3934" t="n"/>
      <c r="AE61" s="3934" t="n"/>
      <c r="AF61" s="3934" t="n"/>
      <c r="AG61" s="3934" t="n"/>
      <c r="AH61" s="3934" t="n"/>
      <c r="AI61" s="3934" t="n"/>
      <c r="AJ61" s="3934" t="n"/>
      <c r="AK61" s="3934" t="n"/>
      <c r="AL61" s="3934" t="n"/>
      <c r="AM61" s="3934" t="n"/>
      <c r="AN61" s="3934" t="n"/>
      <c r="AO61" s="3934" t="n"/>
      <c r="AP61" s="3934" t="n"/>
      <c r="AQ61" s="3934" t="n"/>
      <c r="AR61" s="3934" t="n"/>
    </row>
    <row r="62">
      <c r="A62" s="3944" t="n"/>
      <c r="B62" s="3944" t="n"/>
      <c r="C62" s="3944" t="n"/>
      <c r="D62" s="3944" t="n"/>
      <c r="E62" s="3944" t="n"/>
      <c r="F62" s="3944" t="n"/>
      <c r="G62" s="3944" t="n"/>
      <c r="H62" s="3944" t="n"/>
      <c r="I62" s="3944" t="n"/>
      <c r="J62" s="3934" t="n"/>
      <c r="K62" s="3934" t="n"/>
      <c r="L62" s="3934" t="n"/>
      <c r="M62" s="3934" t="n"/>
      <c r="N62" s="3934" t="n"/>
      <c r="O62" s="3934" t="n"/>
      <c r="P62" s="3934" t="n"/>
      <c r="Q62" s="3934" t="n"/>
      <c r="R62" s="3934" t="n"/>
      <c r="S62" s="3934" t="n"/>
      <c r="T62" s="3934" t="n"/>
      <c r="U62" s="3934" t="n"/>
      <c r="V62" s="3934" t="n"/>
      <c r="W62" s="3934" t="n"/>
      <c r="X62" s="3934" t="n"/>
      <c r="Y62" s="3934" t="n"/>
      <c r="Z62" s="3934" t="n"/>
      <c r="AA62" s="3934" t="n"/>
      <c r="AB62" s="3934" t="n"/>
      <c r="AC62" s="3934" t="n"/>
      <c r="AD62" s="3934" t="n"/>
      <c r="AE62" s="3934" t="n"/>
      <c r="AF62" s="3934" t="n"/>
      <c r="AG62" s="3934" t="n"/>
      <c r="AH62" s="3934" t="n"/>
      <c r="AI62" s="3934" t="n"/>
      <c r="AJ62" s="3934" t="n"/>
      <c r="AK62" s="3934" t="n"/>
      <c r="AL62" s="3934" t="n"/>
      <c r="AM62" s="3934" t="n"/>
      <c r="AN62" s="3934" t="n"/>
      <c r="AO62" s="3934" t="n"/>
      <c r="AP62" s="3934" t="n"/>
      <c r="AQ62" s="3934" t="n"/>
      <c r="AR62" s="3934" t="n"/>
    </row>
    <row r="63">
      <c r="A63" s="3944" t="n"/>
      <c r="B63" s="3944" t="n"/>
      <c r="C63" s="3944" t="n"/>
      <c r="D63" s="3944" t="n"/>
      <c r="E63" s="3944" t="n"/>
      <c r="F63" s="3944" t="n"/>
      <c r="G63" s="3944" t="n"/>
      <c r="H63" s="3944" t="n"/>
      <c r="I63" s="3944" t="n"/>
      <c r="J63" s="3934" t="n"/>
      <c r="K63" s="3934" t="n"/>
      <c r="L63" s="3934" t="n"/>
      <c r="M63" s="3934" t="n"/>
      <c r="N63" s="3934" t="n"/>
      <c r="O63" s="3934" t="n"/>
      <c r="P63" s="3934" t="n"/>
      <c r="Q63" s="3934" t="n"/>
      <c r="R63" s="3934" t="n"/>
      <c r="S63" s="3934" t="n"/>
      <c r="T63" s="3934" t="n"/>
      <c r="U63" s="3934" t="n"/>
      <c r="V63" s="3934" t="n"/>
      <c r="W63" s="3934" t="n"/>
      <c r="X63" s="3934" t="n"/>
      <c r="Y63" s="3934" t="n"/>
      <c r="Z63" s="3934" t="n"/>
      <c r="AA63" s="3934" t="n"/>
      <c r="AB63" s="3934" t="n"/>
      <c r="AC63" s="3934" t="n"/>
      <c r="AD63" s="3934" t="n"/>
      <c r="AE63" s="3934" t="n"/>
      <c r="AF63" s="3934" t="n"/>
      <c r="AG63" s="3934" t="n"/>
      <c r="AH63" s="3934" t="n"/>
      <c r="AI63" s="3934" t="n"/>
      <c r="AJ63" s="3934" t="n"/>
      <c r="AK63" s="3934" t="n"/>
      <c r="AL63" s="3934" t="n"/>
      <c r="AM63" s="3934" t="n"/>
      <c r="AN63" s="3934" t="n"/>
      <c r="AO63" s="3934" t="n"/>
      <c r="AP63" s="3934" t="n"/>
      <c r="AQ63" s="3934" t="n"/>
      <c r="AR63" s="3934" t="n"/>
    </row>
    <row r="64">
      <c r="A64" s="3944" t="n"/>
      <c r="B64" s="3944" t="n"/>
      <c r="C64" s="3944" t="n"/>
      <c r="D64" s="3944" t="n"/>
      <c r="E64" s="3944" t="n"/>
      <c r="F64" s="3944" t="n"/>
      <c r="G64" s="3944" t="n"/>
      <c r="H64" s="3944" t="n"/>
      <c r="I64" s="3944" t="n"/>
      <c r="J64" s="3934" t="n"/>
      <c r="K64" s="3934" t="n"/>
      <c r="L64" s="3934" t="n"/>
      <c r="M64" s="3934" t="n"/>
      <c r="N64" s="3934" t="n"/>
      <c r="O64" s="3934" t="n"/>
      <c r="P64" s="3934" t="n"/>
      <c r="Q64" s="3934" t="n"/>
      <c r="R64" s="3934" t="n"/>
      <c r="S64" s="3934" t="n"/>
      <c r="T64" s="3934" t="n"/>
      <c r="U64" s="3934" t="n"/>
      <c r="V64" s="3934" t="n"/>
      <c r="W64" s="3934" t="n"/>
      <c r="X64" s="3934" t="n"/>
      <c r="Y64" s="3934" t="n"/>
      <c r="Z64" s="3934" t="n"/>
      <c r="AA64" s="3934" t="n"/>
      <c r="AB64" s="3934" t="n"/>
      <c r="AC64" s="3934" t="n"/>
      <c r="AD64" s="3934" t="n"/>
      <c r="AE64" s="3934" t="n"/>
      <c r="AF64" s="3934" t="n"/>
      <c r="AG64" s="3934" t="n"/>
      <c r="AH64" s="3934" t="n"/>
      <c r="AI64" s="3934" t="n"/>
      <c r="AJ64" s="3934" t="n"/>
      <c r="AK64" s="3934" t="n"/>
      <c r="AL64" s="3934" t="n"/>
      <c r="AM64" s="3934" t="n"/>
      <c r="AN64" s="3934" t="n"/>
      <c r="AO64" s="3934" t="n"/>
      <c r="AP64" s="3934" t="n"/>
      <c r="AQ64" s="3934" t="n"/>
      <c r="AR64" s="3934" t="n"/>
    </row>
    <row r="65">
      <c r="A65" s="3944" t="n"/>
      <c r="B65" s="3944" t="n"/>
      <c r="C65" s="3944" t="n"/>
      <c r="D65" s="3944" t="n"/>
      <c r="E65" s="3944" t="n"/>
      <c r="F65" s="3944" t="n"/>
      <c r="G65" s="3944" t="n"/>
      <c r="H65" s="3944" t="n"/>
      <c r="I65" s="3944" t="n"/>
      <c r="J65" s="3934" t="n"/>
      <c r="K65" s="3934" t="n"/>
      <c r="L65" s="3934" t="n"/>
      <c r="M65" s="3934" t="n"/>
      <c r="N65" s="3934" t="n"/>
      <c r="O65" s="3934" t="n"/>
      <c r="P65" s="3934" t="n"/>
      <c r="Q65" s="3934" t="n"/>
      <c r="R65" s="3934" t="n"/>
      <c r="S65" s="3934" t="n"/>
      <c r="T65" s="3934" t="n"/>
      <c r="U65" s="3934" t="n"/>
      <c r="V65" s="3934" t="n"/>
      <c r="W65" s="3934" t="n"/>
      <c r="X65" s="3934" t="n"/>
      <c r="Y65" s="3934" t="n"/>
      <c r="Z65" s="3934" t="n"/>
      <c r="AA65" s="3934" t="n"/>
      <c r="AB65" s="3934" t="n"/>
      <c r="AC65" s="3934" t="n"/>
      <c r="AD65" s="3934" t="n"/>
      <c r="AE65" s="3934" t="n"/>
      <c r="AF65" s="3934" t="n"/>
      <c r="AG65" s="3934" t="n"/>
      <c r="AH65" s="3934" t="n"/>
      <c r="AI65" s="3934" t="n"/>
      <c r="AJ65" s="3934" t="n"/>
      <c r="AK65" s="3934" t="n"/>
      <c r="AL65" s="3934" t="n"/>
      <c r="AM65" s="3934" t="n"/>
      <c r="AN65" s="3934" t="n"/>
      <c r="AO65" s="3934" t="n"/>
      <c r="AP65" s="3934" t="n"/>
      <c r="AQ65" s="3934" t="n"/>
      <c r="AR65" s="3934" t="n"/>
    </row>
    <row r="66">
      <c r="A66" s="3944" t="n"/>
      <c r="B66" s="3944" t="n"/>
      <c r="C66" s="3944" t="n"/>
      <c r="D66" s="3944" t="n"/>
      <c r="E66" s="3944" t="n"/>
      <c r="F66" s="3944" t="n"/>
      <c r="G66" s="3944" t="n"/>
      <c r="H66" s="3944" t="n"/>
      <c r="I66" s="3944" t="n"/>
      <c r="J66" s="3934" t="n"/>
      <c r="K66" s="3934" t="n"/>
      <c r="L66" s="3934" t="n"/>
      <c r="M66" s="3934" t="n"/>
      <c r="N66" s="3934" t="n"/>
      <c r="O66" s="3934" t="n"/>
      <c r="P66" s="3934" t="n"/>
      <c r="Q66" s="3934" t="n"/>
      <c r="R66" s="3934" t="n"/>
      <c r="S66" s="3934" t="n"/>
      <c r="T66" s="3934" t="n"/>
      <c r="U66" s="3934" t="n"/>
      <c r="V66" s="3934" t="n"/>
      <c r="W66" s="3934" t="n"/>
      <c r="X66" s="3934" t="n"/>
      <c r="Y66" s="3934" t="n"/>
      <c r="Z66" s="3934" t="n"/>
      <c r="AA66" s="3934" t="n"/>
      <c r="AB66" s="3934" t="n"/>
      <c r="AC66" s="3934" t="n"/>
      <c r="AD66" s="3934" t="n"/>
      <c r="AE66" s="3934" t="n"/>
      <c r="AF66" s="3934" t="n"/>
      <c r="AG66" s="3934" t="n"/>
      <c r="AH66" s="3934" t="n"/>
      <c r="AI66" s="3934" t="n"/>
      <c r="AJ66" s="3934" t="n"/>
      <c r="AK66" s="3934" t="n"/>
      <c r="AL66" s="3934" t="n"/>
      <c r="AM66" s="3934" t="n"/>
      <c r="AN66" s="3934" t="n"/>
      <c r="AO66" s="3934" t="n"/>
      <c r="AP66" s="3934" t="n"/>
      <c r="AQ66" s="3934" t="n"/>
      <c r="AR66" s="3934" t="n"/>
    </row>
    <row r="67">
      <c r="A67" s="3944" t="n"/>
      <c r="B67" s="3944" t="n"/>
      <c r="C67" s="3944" t="n"/>
      <c r="D67" s="3944" t="n"/>
      <c r="E67" s="3944" t="n"/>
      <c r="F67" s="3944" t="n"/>
      <c r="G67" s="3944" t="n"/>
      <c r="H67" s="3944" t="n"/>
      <c r="I67" s="3944" t="n"/>
      <c r="J67" s="3934" t="n"/>
      <c r="K67" s="3934" t="n"/>
      <c r="L67" s="3934" t="n"/>
      <c r="M67" s="3934" t="n"/>
      <c r="N67" s="3934" t="n"/>
      <c r="O67" s="3934" t="n"/>
      <c r="P67" s="3934" t="n"/>
      <c r="Q67" s="3934" t="n"/>
      <c r="R67" s="3934" t="n"/>
      <c r="S67" s="3934" t="n"/>
      <c r="T67" s="3934" t="n"/>
      <c r="U67" s="3934" t="n"/>
      <c r="V67" s="3934" t="n"/>
      <c r="W67" s="3934" t="n"/>
      <c r="X67" s="3934" t="n"/>
      <c r="Y67" s="3934" t="n"/>
      <c r="Z67" s="3934" t="n"/>
      <c r="AA67" s="3934" t="n"/>
      <c r="AB67" s="3934" t="n"/>
      <c r="AC67" s="3934" t="n"/>
      <c r="AD67" s="3934" t="n"/>
      <c r="AE67" s="3934" t="n"/>
      <c r="AF67" s="3934" t="n"/>
      <c r="AG67" s="3934" t="n"/>
      <c r="AH67" s="3934" t="n"/>
      <c r="AI67" s="3934" t="n"/>
      <c r="AJ67" s="3934" t="n"/>
      <c r="AK67" s="3934" t="n"/>
      <c r="AL67" s="3934" t="n"/>
      <c r="AM67" s="3934" t="n"/>
      <c r="AN67" s="3934" t="n"/>
      <c r="AO67" s="3934" t="n"/>
      <c r="AP67" s="3934" t="n"/>
      <c r="AQ67" s="3934" t="n"/>
      <c r="AR67" s="3934" t="n"/>
    </row>
    <row r="68">
      <c r="A68" s="3944" t="n"/>
      <c r="B68" s="3944" t="n"/>
      <c r="C68" s="3944" t="n"/>
      <c r="D68" s="3944" t="n"/>
      <c r="E68" s="3944" t="n"/>
      <c r="F68" s="3944" t="n"/>
      <c r="G68" s="3944" t="n"/>
      <c r="H68" s="3944" t="n"/>
      <c r="I68" s="3944" t="n"/>
      <c r="J68" s="3934" t="n"/>
      <c r="K68" s="3934" t="n"/>
      <c r="L68" s="3934" t="n"/>
      <c r="M68" s="3934" t="n"/>
      <c r="N68" s="3934" t="n"/>
      <c r="O68" s="3934" t="n"/>
      <c r="P68" s="3934" t="n"/>
      <c r="Q68" s="3934" t="n"/>
      <c r="R68" s="3934" t="n"/>
      <c r="S68" s="3934" t="n"/>
      <c r="T68" s="3934" t="n"/>
      <c r="U68" s="3934" t="n"/>
      <c r="V68" s="3934" t="n"/>
      <c r="W68" s="3934" t="n"/>
      <c r="X68" s="3934" t="n"/>
      <c r="Y68" s="3934" t="n"/>
      <c r="Z68" s="3934" t="n"/>
      <c r="AA68" s="3934" t="n"/>
      <c r="AB68" s="3934" t="n"/>
      <c r="AC68" s="3934" t="n"/>
      <c r="AD68" s="3934" t="n"/>
      <c r="AE68" s="3934" t="n"/>
      <c r="AF68" s="3934" t="n"/>
      <c r="AG68" s="3934" t="n"/>
      <c r="AH68" s="3934" t="n"/>
      <c r="AI68" s="3934" t="n"/>
      <c r="AJ68" s="3934" t="n"/>
      <c r="AK68" s="3934" t="n"/>
      <c r="AL68" s="3934" t="n"/>
      <c r="AM68" s="3934" t="n"/>
      <c r="AN68" s="3934" t="n"/>
      <c r="AO68" s="3934" t="n"/>
      <c r="AP68" s="3934" t="n"/>
      <c r="AQ68" s="3934" t="n"/>
      <c r="AR68" s="3934" t="n"/>
    </row>
    <row r="69">
      <c r="A69" s="3944" t="n"/>
      <c r="B69" s="3944" t="n"/>
      <c r="C69" s="3944" t="n"/>
      <c r="D69" s="3944" t="n"/>
      <c r="E69" s="3944" t="n"/>
      <c r="F69" s="3944" t="n"/>
      <c r="G69" s="3944" t="n"/>
      <c r="H69" s="3944" t="n"/>
      <c r="I69" s="3944" t="n"/>
      <c r="J69" s="3934" t="n"/>
      <c r="K69" s="3934" t="n"/>
      <c r="L69" s="3934" t="n"/>
      <c r="M69" s="3934" t="n"/>
      <c r="N69" s="3934" t="n"/>
      <c r="O69" s="3934" t="n"/>
      <c r="P69" s="3934" t="n"/>
      <c r="Q69" s="3934" t="n"/>
      <c r="R69" s="3934" t="n"/>
      <c r="S69" s="3934" t="n"/>
      <c r="T69" s="3934" t="n"/>
      <c r="U69" s="3934" t="n"/>
      <c r="V69" s="3934" t="n"/>
      <c r="W69" s="3934" t="n"/>
      <c r="X69" s="3934" t="n"/>
      <c r="Y69" s="3934" t="n"/>
      <c r="Z69" s="3934" t="n"/>
      <c r="AA69" s="3934" t="n"/>
      <c r="AB69" s="3934" t="n"/>
      <c r="AC69" s="3934" t="n"/>
      <c r="AD69" s="3934" t="n"/>
      <c r="AE69" s="3934" t="n"/>
      <c r="AF69" s="3934" t="n"/>
      <c r="AG69" s="3934" t="n"/>
      <c r="AH69" s="3934" t="n"/>
      <c r="AI69" s="3934" t="n"/>
      <c r="AJ69" s="3934" t="n"/>
      <c r="AK69" s="3934" t="n"/>
      <c r="AL69" s="3934" t="n"/>
      <c r="AM69" s="3934" t="n"/>
      <c r="AN69" s="3934" t="n"/>
      <c r="AO69" s="3934" t="n"/>
      <c r="AP69" s="3934" t="n"/>
      <c r="AQ69" s="3934" t="n"/>
      <c r="AR69" s="3934" t="n"/>
    </row>
    <row r="70">
      <c r="A70" s="3944" t="n"/>
      <c r="B70" s="3944" t="n"/>
      <c r="C70" s="3944" t="n"/>
      <c r="D70" s="3944" t="n"/>
      <c r="E70" s="3944" t="n"/>
      <c r="F70" s="3944" t="n"/>
      <c r="G70" s="3944" t="n"/>
      <c r="H70" s="3944" t="n"/>
      <c r="I70" s="3944" t="n"/>
      <c r="J70" s="3934" t="n"/>
      <c r="K70" s="3934" t="n"/>
      <c r="L70" s="3934" t="n"/>
      <c r="M70" s="3934" t="n"/>
      <c r="N70" s="3934" t="n"/>
      <c r="O70" s="3934" t="n"/>
      <c r="P70" s="3934" t="n"/>
      <c r="Q70" s="3934" t="n"/>
      <c r="R70" s="3934" t="n"/>
      <c r="S70" s="3934" t="n"/>
      <c r="T70" s="3934" t="n"/>
      <c r="U70" s="3934" t="n"/>
      <c r="V70" s="3934" t="n"/>
      <c r="W70" s="3934" t="n"/>
      <c r="X70" s="3934" t="n"/>
      <c r="Y70" s="3934" t="n"/>
      <c r="Z70" s="3934" t="n"/>
      <c r="AA70" s="3934" t="n"/>
      <c r="AB70" s="3934" t="n"/>
      <c r="AC70" s="3934" t="n"/>
      <c r="AD70" s="3934" t="n"/>
      <c r="AE70" s="3934" t="n"/>
      <c r="AF70" s="3934" t="n"/>
      <c r="AG70" s="3934" t="n"/>
      <c r="AH70" s="3934" t="n"/>
      <c r="AI70" s="3934" t="n"/>
      <c r="AJ70" s="3934" t="n"/>
      <c r="AK70" s="3934" t="n"/>
      <c r="AL70" s="3934" t="n"/>
      <c r="AM70" s="3934" t="n"/>
      <c r="AN70" s="3934" t="n"/>
      <c r="AO70" s="3934" t="n"/>
      <c r="AP70" s="3934" t="n"/>
      <c r="AQ70" s="3934" t="n"/>
      <c r="AR70" s="3934" t="n"/>
    </row>
    <row r="71">
      <c r="A71" s="3944" t="n"/>
      <c r="B71" s="3944" t="n"/>
      <c r="C71" s="3944" t="n"/>
      <c r="D71" s="3944" t="n"/>
      <c r="E71" s="3944" t="n"/>
      <c r="F71" s="3944" t="n"/>
      <c r="G71" s="3944" t="n"/>
      <c r="H71" s="3944" t="n"/>
      <c r="I71" s="3944" t="n"/>
      <c r="J71" s="3934" t="n"/>
      <c r="K71" s="3934" t="n"/>
      <c r="L71" s="3934" t="n"/>
      <c r="M71" s="3934" t="n"/>
      <c r="N71" s="3934" t="n"/>
      <c r="O71" s="3934" t="n"/>
      <c r="P71" s="3934" t="n"/>
      <c r="Q71" s="3934" t="n"/>
      <c r="R71" s="3934" t="n"/>
      <c r="S71" s="3934" t="n"/>
      <c r="T71" s="3934" t="n"/>
      <c r="U71" s="3934" t="n"/>
      <c r="V71" s="3934" t="n"/>
      <c r="W71" s="3934" t="n"/>
      <c r="X71" s="3934" t="n"/>
      <c r="Y71" s="3934" t="n"/>
      <c r="Z71" s="3934" t="n"/>
      <c r="AA71" s="3934" t="n"/>
      <c r="AB71" s="3934" t="n"/>
      <c r="AC71" s="3934" t="n"/>
      <c r="AD71" s="3934" t="n"/>
      <c r="AE71" s="3934" t="n"/>
      <c r="AF71" s="3934" t="n"/>
      <c r="AG71" s="3934" t="n"/>
      <c r="AH71" s="3934" t="n"/>
      <c r="AI71" s="3934" t="n"/>
      <c r="AJ71" s="3934" t="n"/>
      <c r="AK71" s="3934" t="n"/>
      <c r="AL71" s="3934" t="n"/>
      <c r="AM71" s="3934" t="n"/>
      <c r="AN71" s="3934" t="n"/>
      <c r="AO71" s="3934" t="n"/>
      <c r="AP71" s="3934" t="n"/>
      <c r="AQ71" s="3934" t="n"/>
      <c r="AR71" s="3934" t="n"/>
    </row>
    <row r="72">
      <c r="A72" s="3944" t="n"/>
      <c r="B72" s="3944" t="n"/>
      <c r="C72" s="3944" t="n"/>
      <c r="D72" s="3944" t="n"/>
      <c r="E72" s="3944" t="n"/>
      <c r="F72" s="3944" t="n"/>
      <c r="G72" s="3944" t="n"/>
      <c r="H72" s="3944" t="n"/>
      <c r="I72" s="3944" t="n"/>
      <c r="J72" s="3934" t="n"/>
      <c r="K72" s="3934" t="n"/>
      <c r="L72" s="3934" t="n"/>
      <c r="M72" s="3934" t="n"/>
      <c r="N72" s="3934" t="n"/>
      <c r="O72" s="3934" t="n"/>
      <c r="P72" s="3934" t="n"/>
      <c r="Q72" s="3934" t="n"/>
      <c r="R72" s="3934" t="n"/>
      <c r="S72" s="3934" t="n"/>
      <c r="T72" s="3934" t="n"/>
      <c r="U72" s="3934" t="n"/>
      <c r="V72" s="3934" t="n"/>
      <c r="W72" s="3934" t="n"/>
      <c r="X72" s="3934" t="n"/>
      <c r="Y72" s="3934" t="n"/>
      <c r="Z72" s="3934" t="n"/>
      <c r="AA72" s="3934" t="n"/>
      <c r="AB72" s="3934" t="n"/>
      <c r="AC72" s="3934" t="n"/>
      <c r="AD72" s="3934" t="n"/>
      <c r="AE72" s="3934" t="n"/>
      <c r="AF72" s="3934" t="n"/>
      <c r="AG72" s="3934" t="n"/>
      <c r="AH72" s="3934" t="n"/>
      <c r="AI72" s="3934" t="n"/>
      <c r="AJ72" s="3934" t="n"/>
      <c r="AK72" s="3934" t="n"/>
      <c r="AL72" s="3934" t="n"/>
      <c r="AM72" s="3934" t="n"/>
      <c r="AN72" s="3934" t="n"/>
      <c r="AO72" s="3934" t="n"/>
      <c r="AP72" s="3934" t="n"/>
      <c r="AQ72" s="3934" t="n"/>
      <c r="AR72" s="3934" t="n"/>
    </row>
    <row r="73">
      <c r="A73" s="3944" t="n"/>
      <c r="B73" s="3944" t="n"/>
      <c r="C73" s="3944" t="n"/>
      <c r="D73" s="3944" t="n"/>
      <c r="E73" s="3944" t="n"/>
      <c r="F73" s="3944" t="n"/>
      <c r="G73" s="3944" t="n"/>
      <c r="H73" s="3944" t="n"/>
      <c r="I73" s="3944" t="n"/>
      <c r="J73" s="3934" t="n"/>
      <c r="K73" s="3934" t="n"/>
      <c r="L73" s="3934" t="n"/>
      <c r="M73" s="3934" t="n"/>
      <c r="N73" s="3934" t="n"/>
      <c r="O73" s="3934" t="n"/>
      <c r="P73" s="3934" t="n"/>
      <c r="Q73" s="3934" t="n"/>
      <c r="R73" s="3934" t="n"/>
      <c r="S73" s="3934" t="n"/>
      <c r="T73" s="3934" t="n"/>
      <c r="U73" s="3934" t="n"/>
      <c r="V73" s="3934" t="n"/>
      <c r="W73" s="3934" t="n"/>
      <c r="X73" s="3934" t="n"/>
      <c r="Y73" s="3934" t="n"/>
      <c r="Z73" s="3934" t="n"/>
      <c r="AA73" s="3934" t="n"/>
      <c r="AB73" s="3934" t="n"/>
      <c r="AC73" s="3934" t="n"/>
      <c r="AD73" s="3934" t="n"/>
      <c r="AE73" s="3934" t="n"/>
      <c r="AF73" s="3934" t="n"/>
      <c r="AG73" s="3934" t="n"/>
      <c r="AH73" s="3934" t="n"/>
      <c r="AI73" s="3934" t="n"/>
      <c r="AJ73" s="3934" t="n"/>
      <c r="AK73" s="3934" t="n"/>
      <c r="AL73" s="3934" t="n"/>
      <c r="AM73" s="3934" t="n"/>
      <c r="AN73" s="3934" t="n"/>
      <c r="AO73" s="3934" t="n"/>
      <c r="AP73" s="3934" t="n"/>
      <c r="AQ73" s="3934" t="n"/>
      <c r="AR73" s="3934" t="n"/>
    </row>
    <row r="74">
      <c r="A74" s="3944" t="n"/>
      <c r="B74" s="3944" t="n"/>
      <c r="C74" s="3944" t="n"/>
      <c r="D74" s="3944" t="n"/>
      <c r="E74" s="3944" t="n"/>
      <c r="F74" s="3944" t="n"/>
      <c r="G74" s="3944" t="n"/>
      <c r="H74" s="3944" t="n"/>
      <c r="I74" s="3944" t="n"/>
      <c r="J74" s="3934" t="n"/>
      <c r="K74" s="3934" t="n"/>
      <c r="L74" s="3934" t="n"/>
      <c r="M74" s="3934" t="n"/>
      <c r="N74" s="3934" t="n"/>
      <c r="O74" s="3934" t="n"/>
      <c r="P74" s="3934" t="n"/>
      <c r="Q74" s="3934" t="n"/>
      <c r="R74" s="3934" t="n"/>
      <c r="S74" s="3934" t="n"/>
      <c r="T74" s="3934" t="n"/>
      <c r="U74" s="3934" t="n"/>
      <c r="V74" s="3934" t="n"/>
      <c r="W74" s="3934" t="n"/>
      <c r="X74" s="3934" t="n"/>
      <c r="Y74" s="3934" t="n"/>
      <c r="Z74" s="3934" t="n"/>
      <c r="AA74" s="3934" t="n"/>
      <c r="AB74" s="3934" t="n"/>
      <c r="AC74" s="3934" t="n"/>
      <c r="AD74" s="3934" t="n"/>
      <c r="AE74" s="3934" t="n"/>
      <c r="AF74" s="3934" t="n"/>
      <c r="AG74" s="3934" t="n"/>
      <c r="AH74" s="3934" t="n"/>
      <c r="AI74" s="3934" t="n"/>
      <c r="AJ74" s="3934" t="n"/>
      <c r="AK74" s="3934" t="n"/>
      <c r="AL74" s="3934" t="n"/>
      <c r="AM74" s="3934" t="n"/>
      <c r="AN74" s="3934" t="n"/>
      <c r="AO74" s="3934" t="n"/>
      <c r="AP74" s="3934" t="n"/>
      <c r="AQ74" s="3934" t="n"/>
      <c r="AR74" s="3934" t="n"/>
    </row>
    <row r="75">
      <c r="A75" s="3944" t="n"/>
      <c r="B75" s="3944" t="n"/>
      <c r="C75" s="3944" t="n"/>
      <c r="D75" s="3944" t="n"/>
      <c r="E75" s="3944" t="n"/>
      <c r="F75" s="3944" t="n"/>
      <c r="G75" s="3944" t="n"/>
      <c r="H75" s="3944" t="n"/>
      <c r="I75" s="3944" t="n"/>
      <c r="J75" s="3934" t="n"/>
      <c r="K75" s="3934" t="n"/>
      <c r="L75" s="3934" t="n"/>
      <c r="M75" s="3934" t="n"/>
      <c r="N75" s="3934" t="n"/>
      <c r="O75" s="3934" t="n"/>
      <c r="P75" s="3934" t="n"/>
      <c r="Q75" s="3934" t="n"/>
      <c r="R75" s="3934" t="n"/>
      <c r="S75" s="3934" t="n"/>
      <c r="T75" s="3934" t="n"/>
      <c r="U75" s="3934" t="n"/>
      <c r="V75" s="3934" t="n"/>
      <c r="W75" s="3934" t="n"/>
      <c r="X75" s="3934" t="n"/>
      <c r="Y75" s="3934" t="n"/>
      <c r="Z75" s="3934" t="n"/>
      <c r="AA75" s="3934" t="n"/>
      <c r="AB75" s="3934" t="n"/>
      <c r="AC75" s="3934" t="n"/>
      <c r="AD75" s="3934" t="n"/>
      <c r="AE75" s="3934" t="n"/>
      <c r="AF75" s="3934" t="n"/>
      <c r="AG75" s="3934" t="n"/>
      <c r="AH75" s="3934" t="n"/>
      <c r="AI75" s="3934" t="n"/>
      <c r="AJ75" s="3934" t="n"/>
      <c r="AK75" s="3934" t="n"/>
      <c r="AL75" s="3934" t="n"/>
      <c r="AM75" s="3934" t="n"/>
      <c r="AN75" s="3934" t="n"/>
      <c r="AO75" s="3934" t="n"/>
      <c r="AP75" s="3934" t="n"/>
      <c r="AQ75" s="3934" t="n"/>
      <c r="AR75" s="3934" t="n"/>
    </row>
    <row r="76">
      <c r="A76" s="3944" t="n"/>
      <c r="B76" s="3944" t="n"/>
      <c r="C76" s="3944" t="n"/>
      <c r="D76" s="3944" t="n"/>
      <c r="E76" s="3944" t="n"/>
      <c r="F76" s="3944" t="n"/>
      <c r="G76" s="3944" t="n"/>
      <c r="H76" s="3944" t="n"/>
      <c r="I76" s="3944" t="n"/>
      <c r="J76" s="3934" t="n"/>
      <c r="K76" s="3934" t="n"/>
      <c r="L76" s="3934" t="n"/>
      <c r="M76" s="3934" t="n"/>
      <c r="N76" s="3934" t="n"/>
      <c r="O76" s="3934" t="n"/>
      <c r="P76" s="3934" t="n"/>
      <c r="Q76" s="3934" t="n"/>
      <c r="R76" s="3934" t="n"/>
      <c r="S76" s="3934" t="n"/>
      <c r="T76" s="3934" t="n"/>
      <c r="U76" s="3934" t="n"/>
      <c r="V76" s="3934" t="n"/>
      <c r="W76" s="3934" t="n"/>
      <c r="X76" s="3934" t="n"/>
      <c r="Y76" s="3934" t="n"/>
      <c r="Z76" s="3934" t="n"/>
      <c r="AA76" s="3934" t="n"/>
      <c r="AB76" s="3934" t="n"/>
      <c r="AC76" s="3934" t="n"/>
      <c r="AD76" s="3934" t="n"/>
      <c r="AE76" s="3934" t="n"/>
      <c r="AF76" s="3934" t="n"/>
      <c r="AG76" s="3934" t="n"/>
      <c r="AH76" s="3934" t="n"/>
      <c r="AI76" s="3934" t="n"/>
      <c r="AJ76" s="3934" t="n"/>
      <c r="AK76" s="3934" t="n"/>
      <c r="AL76" s="3934" t="n"/>
      <c r="AM76" s="3934" t="n"/>
      <c r="AN76" s="3934" t="n"/>
      <c r="AO76" s="3934" t="n"/>
      <c r="AP76" s="3934" t="n"/>
      <c r="AQ76" s="3934" t="n"/>
      <c r="AR76" s="3934" t="n"/>
    </row>
    <row r="77">
      <c r="A77" s="3944" t="n"/>
      <c r="B77" s="3944" t="n"/>
      <c r="C77" s="3944" t="n"/>
      <c r="D77" s="3944" t="n"/>
      <c r="E77" s="3944" t="n"/>
      <c r="F77" s="3944" t="n"/>
      <c r="G77" s="3944" t="n"/>
      <c r="H77" s="3944" t="n"/>
      <c r="I77" s="3944" t="n"/>
      <c r="J77" s="3934" t="n"/>
      <c r="K77" s="3934" t="n"/>
      <c r="L77" s="3934" t="n"/>
      <c r="M77" s="3934" t="n"/>
      <c r="N77" s="3934" t="n"/>
      <c r="O77" s="3934" t="n"/>
      <c r="P77" s="3934" t="n"/>
      <c r="Q77" s="3934" t="n"/>
      <c r="R77" s="3934" t="n"/>
      <c r="S77" s="3934" t="n"/>
      <c r="T77" s="3934" t="n"/>
      <c r="U77" s="3934" t="n"/>
      <c r="V77" s="3934" t="n"/>
      <c r="W77" s="3934" t="n"/>
      <c r="X77" s="3934" t="n"/>
      <c r="Y77" s="3934" t="n"/>
      <c r="Z77" s="3934" t="n"/>
      <c r="AA77" s="3934" t="n"/>
      <c r="AB77" s="3934" t="n"/>
      <c r="AC77" s="3934" t="n"/>
      <c r="AD77" s="3934" t="n"/>
      <c r="AE77" s="3934" t="n"/>
      <c r="AF77" s="3934" t="n"/>
      <c r="AG77" s="3934" t="n"/>
      <c r="AH77" s="3934" t="n"/>
      <c r="AI77" s="3934" t="n"/>
      <c r="AJ77" s="3934" t="n"/>
      <c r="AK77" s="3934" t="n"/>
      <c r="AL77" s="3934" t="n"/>
      <c r="AM77" s="3934" t="n"/>
      <c r="AN77" s="3934" t="n"/>
      <c r="AO77" s="3934" t="n"/>
      <c r="AP77" s="3934" t="n"/>
      <c r="AQ77" s="3934" t="n"/>
      <c r="AR77" s="3934" t="n"/>
    </row>
    <row r="78">
      <c r="A78" s="3944" t="n"/>
      <c r="B78" s="3944" t="n"/>
      <c r="C78" s="3944" t="n"/>
      <c r="D78" s="3944" t="n"/>
      <c r="E78" s="3944" t="n"/>
      <c r="F78" s="3944" t="n"/>
      <c r="G78" s="3944" t="n"/>
      <c r="H78" s="3944" t="n"/>
      <c r="I78" s="3944" t="n"/>
      <c r="J78" s="3934" t="n"/>
      <c r="K78" s="3934" t="n"/>
      <c r="L78" s="3934" t="n"/>
      <c r="M78" s="3934" t="n"/>
      <c r="N78" s="3934" t="n"/>
      <c r="O78" s="3934" t="n"/>
      <c r="P78" s="3934" t="n"/>
      <c r="Q78" s="3934" t="n"/>
      <c r="R78" s="3934" t="n"/>
      <c r="S78" s="3934" t="n"/>
      <c r="T78" s="3934" t="n"/>
      <c r="U78" s="3934" t="n"/>
      <c r="V78" s="3934" t="n"/>
      <c r="W78" s="3934" t="n"/>
      <c r="X78" s="3934" t="n"/>
      <c r="Y78" s="3934" t="n"/>
      <c r="Z78" s="3934" t="n"/>
      <c r="AA78" s="3934" t="n"/>
      <c r="AB78" s="3934" t="n"/>
      <c r="AC78" s="3934" t="n"/>
      <c r="AD78" s="3934" t="n"/>
      <c r="AE78" s="3934" t="n"/>
      <c r="AF78" s="3934" t="n"/>
      <c r="AG78" s="3934" t="n"/>
      <c r="AH78" s="3934" t="n"/>
      <c r="AI78" s="3934" t="n"/>
      <c r="AJ78" s="3934" t="n"/>
      <c r="AK78" s="3934" t="n"/>
      <c r="AL78" s="3934" t="n"/>
      <c r="AM78" s="3934" t="n"/>
      <c r="AN78" s="3934" t="n"/>
      <c r="AO78" s="3934" t="n"/>
      <c r="AP78" s="3934" t="n"/>
      <c r="AQ78" s="3934" t="n"/>
      <c r="AR78" s="3934" t="n"/>
    </row>
    <row r="79">
      <c r="A79" s="3944" t="n"/>
      <c r="B79" s="3944" t="n"/>
      <c r="C79" s="3944" t="n"/>
      <c r="D79" s="3944" t="n"/>
      <c r="E79" s="3944" t="n"/>
      <c r="F79" s="3944" t="n"/>
      <c r="G79" s="3944" t="n"/>
      <c r="H79" s="3944" t="n"/>
      <c r="I79" s="3944" t="n"/>
      <c r="J79" s="3934" t="n"/>
      <c r="K79" s="3934" t="n"/>
      <c r="L79" s="3934" t="n"/>
      <c r="M79" s="3934" t="n"/>
      <c r="N79" s="3934" t="n"/>
      <c r="O79" s="3934" t="n"/>
      <c r="P79" s="3934" t="n"/>
      <c r="Q79" s="3934" t="n"/>
      <c r="R79" s="3934" t="n"/>
      <c r="S79" s="3934" t="n"/>
      <c r="T79" s="3934" t="n"/>
      <c r="U79" s="3934" t="n"/>
      <c r="V79" s="3934" t="n"/>
      <c r="W79" s="3934" t="n"/>
      <c r="X79" s="3934" t="n"/>
      <c r="Y79" s="3934" t="n"/>
      <c r="Z79" s="3934" t="n"/>
      <c r="AA79" s="3934" t="n"/>
      <c r="AB79" s="3934" t="n"/>
      <c r="AC79" s="3934" t="n"/>
      <c r="AD79" s="3934" t="n"/>
      <c r="AE79" s="3934" t="n"/>
      <c r="AF79" s="3934" t="n"/>
      <c r="AG79" s="3934" t="n"/>
      <c r="AH79" s="3934" t="n"/>
      <c r="AI79" s="3934" t="n"/>
      <c r="AJ79" s="3934" t="n"/>
      <c r="AK79" s="3934" t="n"/>
      <c r="AL79" s="3934" t="n"/>
      <c r="AM79" s="3934" t="n"/>
      <c r="AN79" s="3934" t="n"/>
      <c r="AO79" s="3934" t="n"/>
      <c r="AP79" s="3934" t="n"/>
      <c r="AQ79" s="3934" t="n"/>
      <c r="AR79" s="3934" t="n"/>
    </row>
    <row r="80">
      <c r="A80" s="3944" t="n"/>
      <c r="B80" s="3944" t="n"/>
      <c r="C80" s="3944" t="n"/>
      <c r="D80" s="3944" t="n"/>
      <c r="E80" s="3944" t="n"/>
      <c r="F80" s="3944" t="n"/>
      <c r="G80" s="3944" t="n"/>
      <c r="H80" s="3944" t="n"/>
      <c r="I80" s="3944" t="n"/>
      <c r="J80" s="3934" t="n"/>
      <c r="K80" s="3934" t="n"/>
      <c r="L80" s="3934" t="n"/>
      <c r="M80" s="3934" t="n"/>
      <c r="N80" s="3934" t="n"/>
      <c r="O80" s="3934" t="n"/>
      <c r="P80" s="3934" t="n"/>
      <c r="Q80" s="3934" t="n"/>
      <c r="R80" s="3934" t="n"/>
      <c r="S80" s="3934" t="n"/>
      <c r="T80" s="3934" t="n"/>
      <c r="U80" s="3934" t="n"/>
      <c r="V80" s="3934" t="n"/>
      <c r="W80" s="3934" t="n"/>
      <c r="X80" s="3934" t="n"/>
      <c r="Y80" s="3934" t="n"/>
      <c r="Z80" s="3934" t="n"/>
      <c r="AA80" s="3934" t="n"/>
      <c r="AB80" s="3934" t="n"/>
      <c r="AC80" s="3934" t="n"/>
      <c r="AD80" s="3934" t="n"/>
      <c r="AE80" s="3934" t="n"/>
      <c r="AF80" s="3934" t="n"/>
      <c r="AG80" s="3934" t="n"/>
      <c r="AH80" s="3934" t="n"/>
      <c r="AI80" s="3934" t="n"/>
      <c r="AJ80" s="3934" t="n"/>
      <c r="AK80" s="3934" t="n"/>
      <c r="AL80" s="3934" t="n"/>
      <c r="AM80" s="3934" t="n"/>
      <c r="AN80" s="3934" t="n"/>
      <c r="AO80" s="3934" t="n"/>
      <c r="AP80" s="3934" t="n"/>
      <c r="AQ80" s="3934" t="n"/>
      <c r="AR80" s="3934" t="n"/>
    </row>
    <row r="81">
      <c r="A81" s="3944" t="n"/>
      <c r="B81" s="3944" t="n"/>
      <c r="C81" s="3944" t="n"/>
      <c r="D81" s="3944" t="n"/>
      <c r="E81" s="3944" t="n"/>
      <c r="F81" s="3944" t="n"/>
      <c r="G81" s="3944" t="n"/>
      <c r="H81" s="3944" t="n"/>
      <c r="I81" s="3944" t="n"/>
      <c r="J81" s="3934" t="n"/>
      <c r="K81" s="3934" t="n"/>
      <c r="L81" s="3934" t="n"/>
      <c r="M81" s="3934" t="n"/>
      <c r="N81" s="3934" t="n"/>
      <c r="O81" s="3934" t="n"/>
      <c r="P81" s="3934" t="n"/>
      <c r="Q81" s="3934" t="n"/>
      <c r="R81" s="3934" t="n"/>
      <c r="S81" s="3934" t="n"/>
      <c r="T81" s="3934" t="n"/>
      <c r="U81" s="3934" t="n"/>
      <c r="V81" s="3934" t="n"/>
      <c r="W81" s="3934" t="n"/>
      <c r="X81" s="3934" t="n"/>
      <c r="Y81" s="3934" t="n"/>
      <c r="Z81" s="3934" t="n"/>
      <c r="AA81" s="3934" t="n"/>
      <c r="AB81" s="3934" t="n"/>
      <c r="AC81" s="3934" t="n"/>
      <c r="AD81" s="3934" t="n"/>
      <c r="AE81" s="3934" t="n"/>
      <c r="AF81" s="3934" t="n"/>
      <c r="AG81" s="3934" t="n"/>
      <c r="AH81" s="3934" t="n"/>
      <c r="AI81" s="3934" t="n"/>
      <c r="AJ81" s="3934" t="n"/>
      <c r="AK81" s="3934" t="n"/>
      <c r="AL81" s="3934" t="n"/>
      <c r="AM81" s="3934" t="n"/>
      <c r="AN81" s="3934" t="n"/>
      <c r="AO81" s="3934" t="n"/>
      <c r="AP81" s="3934" t="n"/>
      <c r="AQ81" s="3934" t="n"/>
      <c r="AR81" s="3934" t="n"/>
    </row>
    <row r="82">
      <c r="A82" s="3944" t="n"/>
      <c r="B82" s="3944" t="n"/>
      <c r="C82" s="3944" t="n"/>
      <c r="D82" s="3944" t="n"/>
      <c r="E82" s="3944" t="n"/>
      <c r="F82" s="3944" t="n"/>
      <c r="G82" s="3944" t="n"/>
      <c r="H82" s="3944" t="n"/>
      <c r="I82" s="3944" t="n"/>
      <c r="J82" s="3934" t="n"/>
      <c r="K82" s="3934" t="n"/>
      <c r="L82" s="3934" t="n"/>
      <c r="M82" s="3934" t="n"/>
      <c r="N82" s="3934" t="n"/>
      <c r="O82" s="3934" t="n"/>
      <c r="P82" s="3934" t="n"/>
      <c r="Q82" s="3934" t="n"/>
      <c r="R82" s="3934" t="n"/>
      <c r="S82" s="3934" t="n"/>
      <c r="T82" s="3934" t="n"/>
      <c r="U82" s="3934" t="n"/>
      <c r="V82" s="3934" t="n"/>
      <c r="W82" s="3934" t="n"/>
      <c r="X82" s="3934" t="n"/>
      <c r="Y82" s="3934" t="n"/>
      <c r="Z82" s="3934" t="n"/>
      <c r="AA82" s="3934" t="n"/>
      <c r="AB82" s="3934" t="n"/>
      <c r="AC82" s="3934" t="n"/>
      <c r="AD82" s="3934" t="n"/>
      <c r="AE82" s="3934" t="n"/>
      <c r="AF82" s="3934" t="n"/>
      <c r="AG82" s="3934" t="n"/>
      <c r="AH82" s="3934" t="n"/>
      <c r="AI82" s="3934" t="n"/>
      <c r="AJ82" s="3934" t="n"/>
      <c r="AK82" s="3934" t="n"/>
      <c r="AL82" s="3934" t="n"/>
      <c r="AM82" s="3934" t="n"/>
      <c r="AN82" s="3934" t="n"/>
      <c r="AO82" s="3934" t="n"/>
      <c r="AP82" s="3934" t="n"/>
      <c r="AQ82" s="3934" t="n"/>
      <c r="AR82" s="3934" t="n"/>
    </row>
    <row r="83">
      <c r="A83" s="3944" t="n"/>
      <c r="B83" s="3944" t="n"/>
      <c r="C83" s="3944" t="n"/>
      <c r="D83" s="3944" t="n"/>
      <c r="E83" s="3944" t="n"/>
      <c r="F83" s="3944" t="n"/>
      <c r="G83" s="3944" t="n"/>
      <c r="H83" s="3944" t="n"/>
      <c r="I83" s="3944" t="n"/>
      <c r="J83" s="3934" t="n"/>
      <c r="K83" s="3934" t="n"/>
      <c r="L83" s="3934" t="n"/>
      <c r="M83" s="3934" t="n"/>
      <c r="N83" s="3934" t="n"/>
      <c r="O83" s="3934" t="n"/>
      <c r="P83" s="3934" t="n"/>
      <c r="Q83" s="3934" t="n"/>
      <c r="R83" s="3934" t="n"/>
      <c r="S83" s="3934" t="n"/>
      <c r="T83" s="3934" t="n"/>
      <c r="U83" s="3934" t="n"/>
      <c r="V83" s="3934" t="n"/>
      <c r="W83" s="3934" t="n"/>
      <c r="X83" s="3934" t="n"/>
      <c r="Y83" s="3934" t="n"/>
      <c r="Z83" s="3934" t="n"/>
      <c r="AA83" s="3934" t="n"/>
      <c r="AB83" s="3934" t="n"/>
      <c r="AC83" s="3934" t="n"/>
      <c r="AD83" s="3934" t="n"/>
      <c r="AE83" s="3934" t="n"/>
      <c r="AF83" s="3934" t="n"/>
      <c r="AG83" s="3934" t="n"/>
      <c r="AH83" s="3934" t="n"/>
      <c r="AI83" s="3934" t="n"/>
      <c r="AJ83" s="3934" t="n"/>
      <c r="AK83" s="3934" t="n"/>
      <c r="AL83" s="3934" t="n"/>
      <c r="AM83" s="3934" t="n"/>
      <c r="AN83" s="3934" t="n"/>
      <c r="AO83" s="3934" t="n"/>
      <c r="AP83" s="3934" t="n"/>
      <c r="AQ83" s="3934" t="n"/>
      <c r="AR83" s="3934" t="n"/>
    </row>
    <row r="84">
      <c r="A84" s="3944" t="n"/>
      <c r="B84" s="3944" t="n"/>
      <c r="C84" s="3944" t="n"/>
      <c r="D84" s="3944" t="n"/>
      <c r="E84" s="3944" t="n"/>
      <c r="F84" s="3944" t="n"/>
      <c r="G84" s="3944" t="n"/>
      <c r="H84" s="3944" t="n"/>
      <c r="I84" s="3944" t="n"/>
      <c r="J84" s="3934" t="n"/>
      <c r="K84" s="3934" t="n"/>
      <c r="L84" s="3934" t="n"/>
      <c r="M84" s="3934" t="n"/>
      <c r="N84" s="3934" t="n"/>
      <c r="O84" s="3934" t="n"/>
      <c r="P84" s="3934" t="n"/>
      <c r="Q84" s="3934" t="n"/>
      <c r="R84" s="3934" t="n"/>
      <c r="S84" s="3934" t="n"/>
      <c r="T84" s="3934" t="n"/>
      <c r="U84" s="3934" t="n"/>
      <c r="V84" s="3934" t="n"/>
      <c r="W84" s="3934" t="n"/>
      <c r="X84" s="3934" t="n"/>
      <c r="Y84" s="3934" t="n"/>
      <c r="Z84" s="3934" t="n"/>
      <c r="AA84" s="3934" t="n"/>
      <c r="AB84" s="3934" t="n"/>
      <c r="AC84" s="3934" t="n"/>
      <c r="AD84" s="3934" t="n"/>
      <c r="AE84" s="3934" t="n"/>
      <c r="AF84" s="3934" t="n"/>
      <c r="AG84" s="3934" t="n"/>
      <c r="AH84" s="3934" t="n"/>
      <c r="AI84" s="3934" t="n"/>
      <c r="AJ84" s="3934" t="n"/>
      <c r="AK84" s="3934" t="n"/>
      <c r="AL84" s="3934" t="n"/>
      <c r="AM84" s="3934" t="n"/>
      <c r="AN84" s="3934" t="n"/>
      <c r="AO84" s="3934" t="n"/>
      <c r="AP84" s="3934" t="n"/>
      <c r="AQ84" s="3934" t="n"/>
      <c r="AR84" s="3934" t="n"/>
    </row>
    <row r="85">
      <c r="A85" s="3944" t="n"/>
      <c r="B85" s="3944" t="n"/>
      <c r="C85" s="3944" t="n"/>
      <c r="D85" s="3944" t="n"/>
      <c r="E85" s="3944" t="n"/>
      <c r="F85" s="3944" t="n"/>
      <c r="G85" s="3944" t="n"/>
      <c r="H85" s="3944" t="n"/>
      <c r="I85" s="3944" t="n"/>
      <c r="J85" s="3934" t="n"/>
      <c r="K85" s="3934" t="n"/>
      <c r="L85" s="3934" t="n"/>
      <c r="M85" s="3934" t="n"/>
      <c r="N85" s="3934" t="n"/>
      <c r="O85" s="3934" t="n"/>
      <c r="P85" s="3934" t="n"/>
      <c r="Q85" s="3934" t="n"/>
      <c r="R85" s="3934" t="n"/>
      <c r="S85" s="3934" t="n"/>
      <c r="T85" s="3934" t="n"/>
      <c r="U85" s="3934" t="n"/>
      <c r="V85" s="3934" t="n"/>
      <c r="W85" s="3934" t="n"/>
      <c r="X85" s="3934" t="n"/>
      <c r="Y85" s="3934" t="n"/>
      <c r="Z85" s="3934" t="n"/>
      <c r="AA85" s="3934" t="n"/>
      <c r="AB85" s="3934" t="n"/>
      <c r="AC85" s="3934" t="n"/>
      <c r="AD85" s="3934" t="n"/>
      <c r="AE85" s="3934" t="n"/>
      <c r="AF85" s="3934" t="n"/>
      <c r="AG85" s="3934" t="n"/>
      <c r="AH85" s="3934" t="n"/>
      <c r="AI85" s="3934" t="n"/>
      <c r="AJ85" s="3934" t="n"/>
      <c r="AK85" s="3934" t="n"/>
      <c r="AL85" s="3934" t="n"/>
      <c r="AM85" s="3934" t="n"/>
      <c r="AN85" s="3934" t="n"/>
      <c r="AO85" s="3934" t="n"/>
      <c r="AP85" s="3934" t="n"/>
      <c r="AQ85" s="3934" t="n"/>
      <c r="AR85" s="3934" t="n"/>
    </row>
    <row r="86">
      <c r="A86" s="3944" t="n"/>
      <c r="B86" s="3944" t="n"/>
      <c r="C86" s="3944" t="n"/>
      <c r="D86" s="3944" t="n"/>
      <c r="E86" s="3944" t="n"/>
      <c r="F86" s="3944" t="n"/>
      <c r="G86" s="3944" t="n"/>
      <c r="H86" s="3944" t="n"/>
      <c r="I86" s="3944" t="n"/>
      <c r="J86" s="3934" t="n"/>
      <c r="K86" s="3934" t="n"/>
      <c r="L86" s="3934" t="n"/>
      <c r="M86" s="3934" t="n"/>
      <c r="N86" s="3934" t="n"/>
      <c r="O86" s="3934" t="n"/>
      <c r="P86" s="3934" t="n"/>
      <c r="Q86" s="3934" t="n"/>
      <c r="R86" s="3934" t="n"/>
      <c r="S86" s="3934" t="n"/>
      <c r="T86" s="3934" t="n"/>
      <c r="U86" s="3934" t="n"/>
      <c r="V86" s="3934" t="n"/>
      <c r="W86" s="3934" t="n"/>
      <c r="X86" s="3934" t="n"/>
      <c r="Y86" s="3934" t="n"/>
      <c r="Z86" s="3934" t="n"/>
      <c r="AA86" s="3934" t="n"/>
      <c r="AB86" s="3934" t="n"/>
      <c r="AC86" s="3934" t="n"/>
      <c r="AD86" s="3934" t="n"/>
      <c r="AE86" s="3934" t="n"/>
      <c r="AF86" s="3934" t="n"/>
      <c r="AG86" s="3934" t="n"/>
      <c r="AH86" s="3934" t="n"/>
      <c r="AI86" s="3934" t="n"/>
      <c r="AJ86" s="3934" t="n"/>
      <c r="AK86" s="3934" t="n"/>
      <c r="AL86" s="3934" t="n"/>
      <c r="AM86" s="3934" t="n"/>
      <c r="AN86" s="3934" t="n"/>
      <c r="AO86" s="3934" t="n"/>
      <c r="AP86" s="3934" t="n"/>
      <c r="AQ86" s="3934" t="n"/>
      <c r="AR86" s="3934" t="n"/>
    </row>
    <row r="87">
      <c r="A87" s="3944" t="n"/>
      <c r="B87" s="3944" t="n"/>
      <c r="C87" s="3944" t="n"/>
      <c r="D87" s="3944" t="n"/>
      <c r="E87" s="3944" t="n"/>
      <c r="F87" s="3944" t="n"/>
      <c r="G87" s="3944" t="n"/>
      <c r="H87" s="3944" t="n"/>
      <c r="I87" s="3944" t="n"/>
      <c r="J87" s="3934" t="n"/>
      <c r="K87" s="3934" t="n"/>
      <c r="L87" s="3934" t="n"/>
      <c r="M87" s="3934" t="n"/>
      <c r="N87" s="3934" t="n"/>
      <c r="O87" s="3934" t="n"/>
      <c r="P87" s="3934" t="n"/>
      <c r="Q87" s="3934" t="n"/>
      <c r="R87" s="3934" t="n"/>
      <c r="S87" s="3934" t="n"/>
      <c r="T87" s="3934" t="n"/>
      <c r="U87" s="3934" t="n"/>
      <c r="V87" s="3934" t="n"/>
      <c r="W87" s="3934" t="n"/>
      <c r="X87" s="3934" t="n"/>
      <c r="Y87" s="3934" t="n"/>
      <c r="Z87" s="3934" t="n"/>
      <c r="AA87" s="3934" t="n"/>
      <c r="AB87" s="3934" t="n"/>
      <c r="AC87" s="3934" t="n"/>
      <c r="AD87" s="3934" t="n"/>
      <c r="AE87" s="3934" t="n"/>
      <c r="AF87" s="3934" t="n"/>
      <c r="AG87" s="3934" t="n"/>
      <c r="AH87" s="3934" t="n"/>
      <c r="AI87" s="3934" t="n"/>
      <c r="AJ87" s="3934" t="n"/>
      <c r="AK87" s="3934" t="n"/>
      <c r="AL87" s="3934" t="n"/>
      <c r="AM87" s="3934" t="n"/>
      <c r="AN87" s="3934" t="n"/>
      <c r="AO87" s="3934" t="n"/>
      <c r="AP87" s="3934" t="n"/>
      <c r="AQ87" s="3934" t="n"/>
      <c r="AR87" s="3934" t="n"/>
    </row>
    <row r="88">
      <c r="A88" s="3944" t="n"/>
      <c r="B88" s="3944" t="n"/>
      <c r="C88" s="3944" t="n"/>
      <c r="D88" s="3944" t="n"/>
      <c r="E88" s="3944" t="n"/>
      <c r="F88" s="3944" t="n"/>
      <c r="G88" s="3944" t="n"/>
      <c r="H88" s="3944" t="n"/>
      <c r="I88" s="3944" t="n"/>
      <c r="J88" s="3934" t="n"/>
      <c r="K88" s="3934" t="n"/>
      <c r="L88" s="3934" t="n"/>
      <c r="M88" s="3934" t="n"/>
      <c r="N88" s="3934" t="n"/>
      <c r="O88" s="3934" t="n"/>
      <c r="P88" s="3934" t="n"/>
      <c r="Q88" s="3934" t="n"/>
      <c r="R88" s="3934" t="n"/>
      <c r="S88" s="3934" t="n"/>
      <c r="T88" s="3934" t="n"/>
      <c r="U88" s="3934" t="n"/>
      <c r="V88" s="3934" t="n"/>
      <c r="W88" s="3934" t="n"/>
      <c r="X88" s="3934" t="n"/>
      <c r="Y88" s="3934" t="n"/>
      <c r="Z88" s="3934" t="n"/>
      <c r="AA88" s="3934" t="n"/>
      <c r="AB88" s="3934" t="n"/>
      <c r="AC88" s="3934" t="n"/>
      <c r="AD88" s="3934" t="n"/>
      <c r="AE88" s="3934" t="n"/>
      <c r="AF88" s="3934" t="n"/>
      <c r="AG88" s="3934" t="n"/>
      <c r="AH88" s="3934" t="n"/>
      <c r="AI88" s="3934" t="n"/>
      <c r="AJ88" s="3934" t="n"/>
      <c r="AK88" s="3934" t="n"/>
      <c r="AL88" s="3934" t="n"/>
      <c r="AM88" s="3934" t="n"/>
      <c r="AN88" s="3934" t="n"/>
      <c r="AO88" s="3934" t="n"/>
      <c r="AP88" s="3934" t="n"/>
      <c r="AQ88" s="3934" t="n"/>
      <c r="AR88" s="3934" t="n"/>
    </row>
    <row r="89">
      <c r="A89" s="3944" t="n"/>
      <c r="B89" s="3944" t="n"/>
      <c r="C89" s="3944" t="n"/>
      <c r="D89" s="3944" t="n"/>
      <c r="E89" s="3944" t="n"/>
      <c r="F89" s="3944" t="n"/>
      <c r="G89" s="3944" t="n"/>
      <c r="H89" s="3944" t="n"/>
      <c r="I89" s="3944" t="n"/>
      <c r="J89" s="3934" t="n"/>
      <c r="K89" s="3934" t="n"/>
      <c r="L89" s="3934" t="n"/>
      <c r="M89" s="3934" t="n"/>
      <c r="N89" s="3934" t="n"/>
      <c r="O89" s="3934" t="n"/>
      <c r="P89" s="3934" t="n"/>
      <c r="Q89" s="3934" t="n"/>
      <c r="R89" s="3934" t="n"/>
      <c r="S89" s="3934" t="n"/>
      <c r="T89" s="3934" t="n"/>
      <c r="U89" s="3934" t="n"/>
      <c r="V89" s="3934" t="n"/>
      <c r="W89" s="3934" t="n"/>
      <c r="X89" s="3934" t="n"/>
      <c r="Y89" s="3934" t="n"/>
      <c r="Z89" s="3934" t="n"/>
      <c r="AA89" s="3934" t="n"/>
      <c r="AB89" s="3934" t="n"/>
      <c r="AC89" s="3934" t="n"/>
      <c r="AD89" s="3934" t="n"/>
      <c r="AE89" s="3934" t="n"/>
      <c r="AF89" s="3934" t="n"/>
      <c r="AG89" s="3934" t="n"/>
      <c r="AH89" s="3934" t="n"/>
      <c r="AI89" s="3934" t="n"/>
      <c r="AJ89" s="3934" t="n"/>
      <c r="AK89" s="3934" t="n"/>
      <c r="AL89" s="3934" t="n"/>
      <c r="AM89" s="3934" t="n"/>
      <c r="AN89" s="3934" t="n"/>
      <c r="AO89" s="3934" t="n"/>
      <c r="AP89" s="3934" t="n"/>
      <c r="AQ89" s="3934" t="n"/>
      <c r="AR89" s="3934" t="n"/>
    </row>
    <row r="90">
      <c r="A90" s="3944" t="n"/>
      <c r="B90" s="3944" t="n"/>
      <c r="C90" s="3944" t="n"/>
      <c r="D90" s="3944" t="n"/>
      <c r="E90" s="3944" t="n"/>
      <c r="F90" s="3944" t="n"/>
      <c r="G90" s="3944" t="n"/>
      <c r="H90" s="3944" t="n"/>
      <c r="I90" s="3944" t="n"/>
      <c r="J90" s="3934" t="n"/>
      <c r="K90" s="3934" t="n"/>
      <c r="L90" s="3934" t="n"/>
      <c r="M90" s="3934" t="n"/>
      <c r="N90" s="3934" t="n"/>
      <c r="O90" s="3934" t="n"/>
      <c r="P90" s="3934" t="n"/>
      <c r="Q90" s="3934" t="n"/>
      <c r="R90" s="3934" t="n"/>
      <c r="S90" s="3934" t="n"/>
      <c r="T90" s="3934" t="n"/>
      <c r="U90" s="3934" t="n"/>
      <c r="V90" s="3934" t="n"/>
      <c r="W90" s="3934" t="n"/>
      <c r="X90" s="3934" t="n"/>
      <c r="Y90" s="3934" t="n"/>
      <c r="Z90" s="3934" t="n"/>
      <c r="AA90" s="3934" t="n"/>
      <c r="AB90" s="3934" t="n"/>
      <c r="AC90" s="3934" t="n"/>
      <c r="AD90" s="3934" t="n"/>
      <c r="AE90" s="3934" t="n"/>
      <c r="AF90" s="3934" t="n"/>
      <c r="AG90" s="3934" t="n"/>
      <c r="AH90" s="3934" t="n"/>
      <c r="AI90" s="3934" t="n"/>
      <c r="AJ90" s="3934" t="n"/>
      <c r="AK90" s="3934" t="n"/>
      <c r="AL90" s="3934" t="n"/>
      <c r="AM90" s="3934" t="n"/>
      <c r="AN90" s="3934" t="n"/>
      <c r="AO90" s="3934" t="n"/>
      <c r="AP90" s="3934" t="n"/>
      <c r="AQ90" s="3934" t="n"/>
      <c r="AR90" s="3934" t="n"/>
    </row>
    <row r="91">
      <c r="A91" s="3944" t="n"/>
      <c r="B91" s="3944" t="n"/>
      <c r="C91" s="3944" t="n"/>
      <c r="D91" s="3944" t="n"/>
      <c r="E91" s="3944" t="n"/>
      <c r="F91" s="3944" t="n"/>
      <c r="G91" s="3944" t="n"/>
      <c r="H91" s="3944" t="n"/>
      <c r="I91" s="3944" t="n"/>
      <c r="J91" s="3934" t="n"/>
      <c r="K91" s="3934" t="n"/>
      <c r="L91" s="3934" t="n"/>
      <c r="M91" s="3934" t="n"/>
      <c r="N91" s="3934" t="n"/>
      <c r="O91" s="3934" t="n"/>
      <c r="P91" s="3934" t="n"/>
      <c r="Q91" s="3934" t="n"/>
      <c r="R91" s="3934" t="n"/>
      <c r="S91" s="3934" t="n"/>
      <c r="T91" s="3934" t="n"/>
      <c r="U91" s="3934" t="n"/>
      <c r="V91" s="3934" t="n"/>
      <c r="W91" s="3934" t="n"/>
      <c r="X91" s="3934" t="n"/>
      <c r="Y91" s="3934" t="n"/>
      <c r="Z91" s="3934" t="n"/>
      <c r="AA91" s="3934" t="n"/>
      <c r="AB91" s="3934" t="n"/>
      <c r="AC91" s="3934" t="n"/>
      <c r="AD91" s="3934" t="n"/>
      <c r="AE91" s="3934" t="n"/>
      <c r="AF91" s="3934" t="n"/>
      <c r="AG91" s="3934" t="n"/>
      <c r="AH91" s="3934" t="n"/>
      <c r="AI91" s="3934" t="n"/>
      <c r="AJ91" s="3934" t="n"/>
      <c r="AK91" s="3934" t="n"/>
      <c r="AL91" s="3934" t="n"/>
      <c r="AM91" s="3934" t="n"/>
      <c r="AN91" s="3934" t="n"/>
      <c r="AO91" s="3934" t="n"/>
      <c r="AP91" s="3934" t="n"/>
      <c r="AQ91" s="3934" t="n"/>
      <c r="AR91" s="3934" t="n"/>
    </row>
    <row r="92">
      <c r="A92" s="3944" t="n"/>
      <c r="B92" s="3944" t="n"/>
      <c r="C92" s="3944" t="n"/>
      <c r="D92" s="3944" t="n"/>
      <c r="E92" s="3944" t="n"/>
      <c r="F92" s="3944" t="n"/>
      <c r="G92" s="3944" t="n"/>
      <c r="H92" s="3944" t="n"/>
      <c r="I92" s="3944" t="n"/>
      <c r="J92" s="3934" t="n"/>
      <c r="K92" s="3934" t="n"/>
      <c r="L92" s="3934" t="n"/>
      <c r="M92" s="3934" t="n"/>
      <c r="N92" s="3934" t="n"/>
      <c r="O92" s="3934" t="n"/>
      <c r="P92" s="3934" t="n"/>
      <c r="Q92" s="3934" t="n"/>
      <c r="R92" s="3934" t="n"/>
      <c r="S92" s="3934" t="n"/>
      <c r="T92" s="3934" t="n"/>
      <c r="U92" s="3934" t="n"/>
      <c r="V92" s="3934" t="n"/>
      <c r="W92" s="3934" t="n"/>
      <c r="X92" s="3934" t="n"/>
      <c r="Y92" s="3934" t="n"/>
      <c r="Z92" s="3934" t="n"/>
      <c r="AA92" s="3934" t="n"/>
      <c r="AB92" s="3934" t="n"/>
      <c r="AC92" s="3934" t="n"/>
      <c r="AD92" s="3934" t="n"/>
      <c r="AE92" s="3934" t="n"/>
      <c r="AF92" s="3934" t="n"/>
      <c r="AG92" s="3934" t="n"/>
      <c r="AH92" s="3934" t="n"/>
      <c r="AI92" s="3934" t="n"/>
      <c r="AJ92" s="3934" t="n"/>
      <c r="AK92" s="3934" t="n"/>
      <c r="AL92" s="3934" t="n"/>
      <c r="AM92" s="3934" t="n"/>
      <c r="AN92" s="3934" t="n"/>
      <c r="AO92" s="3934" t="n"/>
      <c r="AP92" s="3934" t="n"/>
      <c r="AQ92" s="3934" t="n"/>
      <c r="AR92" s="3934" t="n"/>
    </row>
    <row r="93">
      <c r="A93" s="3944" t="n"/>
      <c r="B93" s="3944" t="n"/>
      <c r="C93" s="3944" t="n"/>
      <c r="D93" s="3944" t="n"/>
      <c r="E93" s="3944" t="n"/>
      <c r="F93" s="3944" t="n"/>
      <c r="G93" s="3944" t="n"/>
      <c r="H93" s="3944" t="n"/>
      <c r="I93" s="3944" t="n"/>
      <c r="J93" s="3934" t="n"/>
      <c r="K93" s="3934" t="n"/>
      <c r="L93" s="3934" t="n"/>
      <c r="M93" s="3934" t="n"/>
      <c r="N93" s="3934" t="n"/>
      <c r="O93" s="3934" t="n"/>
      <c r="P93" s="3934" t="n"/>
      <c r="Q93" s="3934" t="n"/>
      <c r="R93" s="3934" t="n"/>
      <c r="S93" s="3934" t="n"/>
      <c r="T93" s="3934" t="n"/>
      <c r="U93" s="3934" t="n"/>
      <c r="V93" s="3934" t="n"/>
      <c r="W93" s="3934" t="n"/>
      <c r="X93" s="3934" t="n"/>
      <c r="Y93" s="3934" t="n"/>
      <c r="Z93" s="3934" t="n"/>
      <c r="AA93" s="3934" t="n"/>
      <c r="AB93" s="3934" t="n"/>
      <c r="AC93" s="3934" t="n"/>
      <c r="AD93" s="3934" t="n"/>
      <c r="AE93" s="3934" t="n"/>
      <c r="AF93" s="3934" t="n"/>
      <c r="AG93" s="3934" t="n"/>
      <c r="AH93" s="3934" t="n"/>
      <c r="AI93" s="3934" t="n"/>
      <c r="AJ93" s="3934" t="n"/>
      <c r="AK93" s="3934" t="n"/>
      <c r="AL93" s="3934" t="n"/>
      <c r="AM93" s="3934" t="n"/>
      <c r="AN93" s="3934" t="n"/>
      <c r="AO93" s="3934" t="n"/>
      <c r="AP93" s="3934" t="n"/>
      <c r="AQ93" s="3934" t="n"/>
      <c r="AR93" s="3934" t="n"/>
    </row>
    <row r="94">
      <c r="A94" s="3944" t="n"/>
      <c r="B94" s="3944" t="n"/>
      <c r="C94" s="3944" t="n"/>
      <c r="D94" s="3944" t="n"/>
      <c r="E94" s="3944" t="n"/>
      <c r="F94" s="3944" t="n"/>
      <c r="G94" s="3944" t="n"/>
      <c r="H94" s="3944" t="n"/>
      <c r="I94" s="3944" t="n"/>
      <c r="J94" s="3934" t="n"/>
      <c r="K94" s="3934" t="n"/>
      <c r="L94" s="3934" t="n"/>
      <c r="M94" s="3934" t="n"/>
      <c r="N94" s="3934" t="n"/>
      <c r="O94" s="3934" t="n"/>
      <c r="P94" s="3934" t="n"/>
      <c r="Q94" s="3934" t="n"/>
      <c r="R94" s="3934" t="n"/>
      <c r="S94" s="3934" t="n"/>
      <c r="T94" s="3934" t="n"/>
      <c r="U94" s="3934" t="n"/>
      <c r="V94" s="3934" t="n"/>
      <c r="W94" s="3934" t="n"/>
      <c r="X94" s="3934" t="n"/>
      <c r="Y94" s="3934" t="n"/>
      <c r="Z94" s="3934" t="n"/>
      <c r="AA94" s="3934" t="n"/>
      <c r="AB94" s="3934" t="n"/>
      <c r="AC94" s="3934" t="n"/>
      <c r="AD94" s="3934" t="n"/>
      <c r="AE94" s="3934" t="n"/>
      <c r="AF94" s="3934" t="n"/>
      <c r="AG94" s="3934" t="n"/>
      <c r="AH94" s="3934" t="n"/>
      <c r="AI94" s="3934" t="n"/>
      <c r="AJ94" s="3934" t="n"/>
      <c r="AK94" s="3934" t="n"/>
      <c r="AL94" s="3934" t="n"/>
      <c r="AM94" s="3934" t="n"/>
      <c r="AN94" s="3934" t="n"/>
      <c r="AO94" s="3934" t="n"/>
      <c r="AP94" s="3934" t="n"/>
      <c r="AQ94" s="3934" t="n"/>
      <c r="AR94" s="3934" t="n"/>
    </row>
    <row r="95">
      <c r="A95" s="3944" t="n"/>
      <c r="B95" s="3944" t="n"/>
      <c r="C95" s="3944" t="n"/>
      <c r="D95" s="3944" t="n"/>
      <c r="E95" s="3944" t="n"/>
      <c r="F95" s="3944" t="n"/>
      <c r="G95" s="3944" t="n"/>
      <c r="H95" s="3944" t="n"/>
      <c r="I95" s="3944" t="n"/>
      <c r="J95" s="3934" t="n"/>
      <c r="K95" s="3934" t="n"/>
      <c r="L95" s="3934" t="n"/>
      <c r="M95" s="3934" t="n"/>
      <c r="N95" s="3934" t="n"/>
      <c r="O95" s="3934" t="n"/>
      <c r="P95" s="3934" t="n"/>
      <c r="Q95" s="3934" t="n"/>
      <c r="R95" s="3934" t="n"/>
      <c r="S95" s="3934" t="n"/>
      <c r="T95" s="3934" t="n"/>
      <c r="U95" s="3934" t="n"/>
      <c r="V95" s="3934" t="n"/>
      <c r="W95" s="3934" t="n"/>
      <c r="X95" s="3934" t="n"/>
      <c r="Y95" s="3934" t="n"/>
      <c r="Z95" s="3934" t="n"/>
      <c r="AA95" s="3934" t="n"/>
      <c r="AB95" s="3934" t="n"/>
      <c r="AC95" s="3934" t="n"/>
      <c r="AD95" s="3934" t="n"/>
      <c r="AE95" s="3934" t="n"/>
      <c r="AF95" s="3934" t="n"/>
      <c r="AG95" s="3934" t="n"/>
      <c r="AH95" s="3934" t="n"/>
      <c r="AI95" s="3934" t="n"/>
      <c r="AJ95" s="3934" t="n"/>
      <c r="AK95" s="3934" t="n"/>
      <c r="AL95" s="3934" t="n"/>
      <c r="AM95" s="3934" t="n"/>
      <c r="AN95" s="3934" t="n"/>
      <c r="AO95" s="3934" t="n"/>
      <c r="AP95" s="3934" t="n"/>
      <c r="AQ95" s="3934" t="n"/>
      <c r="AR95" s="3934" t="n"/>
    </row>
    <row r="96">
      <c r="A96" s="3944" t="n"/>
      <c r="B96" s="3944" t="n"/>
      <c r="C96" s="3944" t="n"/>
      <c r="D96" s="3944" t="n"/>
      <c r="E96" s="3944" t="n"/>
      <c r="F96" s="3944" t="n"/>
      <c r="G96" s="3944" t="n"/>
      <c r="H96" s="3944" t="n"/>
      <c r="I96" s="3944" t="n"/>
      <c r="J96" s="3934" t="n"/>
      <c r="K96" s="3934" t="n"/>
      <c r="L96" s="3934" t="n"/>
      <c r="M96" s="3934" t="n"/>
      <c r="N96" s="3934" t="n"/>
      <c r="O96" s="3934" t="n"/>
      <c r="P96" s="3934" t="n"/>
      <c r="Q96" s="3934" t="n"/>
      <c r="R96" s="3934" t="n"/>
      <c r="S96" s="3934" t="n"/>
      <c r="T96" s="3934" t="n"/>
      <c r="U96" s="3934" t="n"/>
      <c r="V96" s="3934" t="n"/>
      <c r="W96" s="3934" t="n"/>
      <c r="X96" s="3934" t="n"/>
      <c r="Y96" s="3934" t="n"/>
      <c r="Z96" s="3934" t="n"/>
      <c r="AA96" s="3934" t="n"/>
      <c r="AB96" s="3934" t="n"/>
      <c r="AC96" s="3934" t="n"/>
      <c r="AD96" s="3934" t="n"/>
      <c r="AE96" s="3934" t="n"/>
      <c r="AF96" s="3934" t="n"/>
      <c r="AG96" s="3934" t="n"/>
      <c r="AH96" s="3934" t="n"/>
      <c r="AI96" s="3934" t="n"/>
      <c r="AJ96" s="3934" t="n"/>
      <c r="AK96" s="3934" t="n"/>
      <c r="AL96" s="3934" t="n"/>
      <c r="AM96" s="3934" t="n"/>
      <c r="AN96" s="3934" t="n"/>
      <c r="AO96" s="3934" t="n"/>
      <c r="AP96" s="3934" t="n"/>
      <c r="AQ96" s="3934" t="n"/>
      <c r="AR96" s="3934" t="n"/>
    </row>
    <row r="97">
      <c r="A97" s="3944" t="n"/>
      <c r="B97" s="3944" t="n"/>
      <c r="C97" s="3944" t="n"/>
      <c r="D97" s="3944" t="n"/>
      <c r="E97" s="3944" t="n"/>
      <c r="F97" s="3944" t="n"/>
      <c r="G97" s="3944" t="n"/>
      <c r="H97" s="3944" t="n"/>
      <c r="I97" s="3944" t="n"/>
      <c r="J97" s="3934" t="n"/>
      <c r="K97" s="3934" t="n"/>
      <c r="L97" s="3934" t="n"/>
      <c r="M97" s="3934" t="n"/>
      <c r="N97" s="3934" t="n"/>
      <c r="O97" s="3934" t="n"/>
      <c r="P97" s="3934" t="n"/>
      <c r="Q97" s="3934" t="n"/>
      <c r="R97" s="3934" t="n"/>
      <c r="S97" s="3934" t="n"/>
      <c r="T97" s="3934" t="n"/>
      <c r="U97" s="3934" t="n"/>
      <c r="V97" s="3934" t="n"/>
      <c r="W97" s="3934" t="n"/>
      <c r="X97" s="3934" t="n"/>
      <c r="Y97" s="3934" t="n"/>
      <c r="Z97" s="3934" t="n"/>
      <c r="AA97" s="3934" t="n"/>
      <c r="AB97" s="3934" t="n"/>
      <c r="AC97" s="3934" t="n"/>
      <c r="AD97" s="3934" t="n"/>
      <c r="AE97" s="3934" t="n"/>
      <c r="AF97" s="3934" t="n"/>
      <c r="AG97" s="3934" t="n"/>
      <c r="AH97" s="3934" t="n"/>
      <c r="AI97" s="3934" t="n"/>
      <c r="AJ97" s="3934" t="n"/>
      <c r="AK97" s="3934" t="n"/>
      <c r="AL97" s="3934" t="n"/>
      <c r="AM97" s="3934" t="n"/>
      <c r="AN97" s="3934" t="n"/>
      <c r="AO97" s="3934" t="n"/>
      <c r="AP97" s="3934" t="n"/>
      <c r="AQ97" s="3934" t="n"/>
      <c r="AR97" s="3934" t="n"/>
    </row>
    <row r="98">
      <c r="A98" s="3944" t="n"/>
      <c r="B98" s="3944" t="n"/>
      <c r="C98" s="3944" t="n"/>
      <c r="D98" s="3944" t="n"/>
      <c r="E98" s="3944" t="n"/>
      <c r="F98" s="3944" t="n"/>
      <c r="G98" s="3944" t="n"/>
      <c r="H98" s="3944" t="n"/>
      <c r="I98" s="3944" t="n"/>
      <c r="J98" s="3934" t="n"/>
      <c r="K98" s="3934" t="n"/>
      <c r="L98" s="3934" t="n"/>
      <c r="M98" s="3934" t="n"/>
      <c r="N98" s="3934" t="n"/>
      <c r="O98" s="3934" t="n"/>
      <c r="P98" s="3934" t="n"/>
      <c r="Q98" s="3934" t="n"/>
      <c r="R98" s="3934" t="n"/>
      <c r="S98" s="3934" t="n"/>
      <c r="T98" s="3934" t="n"/>
      <c r="U98" s="3934" t="n"/>
      <c r="V98" s="3934" t="n"/>
      <c r="W98" s="3934" t="n"/>
      <c r="X98" s="3934" t="n"/>
      <c r="Y98" s="3934" t="n"/>
      <c r="Z98" s="3934" t="n"/>
      <c r="AA98" s="3934" t="n"/>
      <c r="AB98" s="3934" t="n"/>
      <c r="AC98" s="3934" t="n"/>
      <c r="AD98" s="3934" t="n"/>
      <c r="AE98" s="3934" t="n"/>
      <c r="AF98" s="3934" t="n"/>
      <c r="AG98" s="3934" t="n"/>
      <c r="AH98" s="3934" t="n"/>
      <c r="AI98" s="3934" t="n"/>
      <c r="AJ98" s="3934" t="n"/>
      <c r="AK98" s="3934" t="n"/>
      <c r="AL98" s="3934" t="n"/>
      <c r="AM98" s="3934" t="n"/>
      <c r="AN98" s="3934" t="n"/>
      <c r="AO98" s="3934" t="n"/>
      <c r="AP98" s="3934" t="n"/>
      <c r="AQ98" s="3934" t="n"/>
      <c r="AR98" s="3934" t="n"/>
    </row>
    <row r="99">
      <c r="A99" s="3944" t="n"/>
      <c r="B99" s="3944" t="n"/>
      <c r="C99" s="3944" t="n"/>
      <c r="D99" s="3944" t="n"/>
      <c r="E99" s="3944" t="n"/>
      <c r="F99" s="3944" t="n"/>
      <c r="G99" s="3944" t="n"/>
      <c r="H99" s="3944" t="n"/>
      <c r="I99" s="3944" t="n"/>
      <c r="J99" s="3934" t="n"/>
      <c r="K99" s="3934" t="n"/>
      <c r="L99" s="3934" t="n"/>
      <c r="M99" s="3934" t="n"/>
      <c r="N99" s="3934" t="n"/>
      <c r="O99" s="3934" t="n"/>
      <c r="P99" s="3934" t="n"/>
      <c r="Q99" s="3934" t="n"/>
      <c r="R99" s="3934" t="n"/>
      <c r="S99" s="3934" t="n"/>
      <c r="T99" s="3934" t="n"/>
      <c r="U99" s="3934" t="n"/>
      <c r="V99" s="3934" t="n"/>
      <c r="W99" s="3934" t="n"/>
      <c r="X99" s="3934" t="n"/>
      <c r="Y99" s="3934" t="n"/>
      <c r="Z99" s="3934" t="n"/>
      <c r="AA99" s="3934" t="n"/>
      <c r="AB99" s="3934" t="n"/>
      <c r="AC99" s="3934" t="n"/>
      <c r="AD99" s="3934" t="n"/>
      <c r="AE99" s="3934" t="n"/>
      <c r="AF99" s="3934" t="n"/>
      <c r="AG99" s="3934" t="n"/>
      <c r="AH99" s="3934" t="n"/>
      <c r="AI99" s="3934" t="n"/>
      <c r="AJ99" s="3934" t="n"/>
      <c r="AK99" s="3934" t="n"/>
      <c r="AL99" s="3934" t="n"/>
      <c r="AM99" s="3934" t="n"/>
      <c r="AN99" s="3934" t="n"/>
      <c r="AO99" s="3934" t="n"/>
      <c r="AP99" s="3934" t="n"/>
      <c r="AQ99" s="3934" t="n"/>
      <c r="AR99" s="3934" t="n"/>
    </row>
    <row r="100">
      <c r="A100" s="3944" t="n"/>
      <c r="B100" s="3944" t="n"/>
      <c r="C100" s="3944" t="n"/>
      <c r="D100" s="3944" t="n"/>
      <c r="E100" s="3944" t="n"/>
      <c r="F100" s="3944" t="n"/>
      <c r="G100" s="3944" t="n"/>
      <c r="H100" s="3944" t="n"/>
      <c r="I100" s="3944" t="n"/>
      <c r="J100" s="3934" t="n"/>
      <c r="K100" s="3934" t="n"/>
      <c r="L100" s="3934" t="n"/>
      <c r="M100" s="3934" t="n"/>
      <c r="N100" s="3934" t="n"/>
      <c r="O100" s="3934" t="n"/>
      <c r="P100" s="3934" t="n"/>
      <c r="Q100" s="3934" t="n"/>
      <c r="R100" s="3934" t="n"/>
      <c r="S100" s="3934" t="n"/>
      <c r="T100" s="3934" t="n"/>
      <c r="U100" s="3934" t="n"/>
      <c r="V100" s="3934" t="n"/>
      <c r="W100" s="3934" t="n"/>
      <c r="X100" s="3934" t="n"/>
      <c r="Y100" s="3934" t="n"/>
      <c r="Z100" s="3934" t="n"/>
      <c r="AA100" s="3934" t="n"/>
      <c r="AB100" s="3934" t="n"/>
      <c r="AC100" s="3934" t="n"/>
      <c r="AD100" s="3934" t="n"/>
      <c r="AE100" s="3934" t="n"/>
      <c r="AF100" s="3934" t="n"/>
      <c r="AG100" s="3934" t="n"/>
      <c r="AH100" s="3934" t="n"/>
      <c r="AI100" s="3934" t="n"/>
      <c r="AJ100" s="3934" t="n"/>
      <c r="AK100" s="3934" t="n"/>
      <c r="AL100" s="3934" t="n"/>
      <c r="AM100" s="3934" t="n"/>
      <c r="AN100" s="3934" t="n"/>
      <c r="AO100" s="3934" t="n"/>
      <c r="AP100" s="3934" t="n"/>
      <c r="AQ100" s="3934" t="n"/>
      <c r="AR100" s="3934" t="n"/>
    </row>
    <row r="101">
      <c r="A101" s="3944" t="n"/>
      <c r="B101" s="3944" t="n"/>
      <c r="C101" s="3944" t="n"/>
      <c r="D101" s="3944" t="n"/>
      <c r="E101" s="3944" t="n"/>
      <c r="F101" s="3944" t="n"/>
      <c r="G101" s="3944" t="n"/>
      <c r="H101" s="3944" t="n"/>
      <c r="I101" s="3944" t="n"/>
      <c r="J101" s="3934" t="n"/>
      <c r="K101" s="3934" t="n"/>
      <c r="L101" s="3934" t="n"/>
      <c r="M101" s="3934" t="n"/>
      <c r="N101" s="3934" t="n"/>
      <c r="O101" s="3934" t="n"/>
      <c r="P101" s="3934" t="n"/>
      <c r="Q101" s="3934" t="n"/>
      <c r="R101" s="3934" t="n"/>
      <c r="S101" s="3934" t="n"/>
      <c r="T101" s="3934" t="n"/>
      <c r="U101" s="3934" t="n"/>
      <c r="V101" s="3934" t="n"/>
      <c r="W101" s="3934" t="n"/>
      <c r="X101" s="3934" t="n"/>
      <c r="Y101" s="3934" t="n"/>
      <c r="Z101" s="3934" t="n"/>
      <c r="AA101" s="3934" t="n"/>
      <c r="AB101" s="3934" t="n"/>
      <c r="AC101" s="3934" t="n"/>
      <c r="AD101" s="3934" t="n"/>
      <c r="AE101" s="3934" t="n"/>
      <c r="AF101" s="3934" t="n"/>
      <c r="AG101" s="3934" t="n"/>
      <c r="AH101" s="3934" t="n"/>
      <c r="AI101" s="3934" t="n"/>
      <c r="AJ101" s="3934" t="n"/>
      <c r="AK101" s="3934" t="n"/>
      <c r="AL101" s="3934" t="n"/>
      <c r="AM101" s="3934" t="n"/>
      <c r="AN101" s="3934" t="n"/>
      <c r="AO101" s="3934" t="n"/>
      <c r="AP101" s="3934" t="n"/>
      <c r="AQ101" s="3934" t="n"/>
      <c r="AR101" s="3934" t="n"/>
    </row>
    <row r="102">
      <c r="A102" s="3944" t="n"/>
      <c r="B102" s="3944" t="n"/>
      <c r="C102" s="3944" t="n"/>
      <c r="D102" s="3944" t="n"/>
      <c r="E102" s="3944" t="n"/>
      <c r="F102" s="3944" t="n"/>
      <c r="G102" s="3944" t="n"/>
      <c r="H102" s="3944" t="n"/>
      <c r="I102" s="3944" t="n"/>
      <c r="J102" s="3934" t="n"/>
      <c r="K102" s="3934" t="n"/>
      <c r="L102" s="3934" t="n"/>
      <c r="M102" s="3934" t="n"/>
      <c r="N102" s="3934" t="n"/>
      <c r="O102" s="3934" t="n"/>
      <c r="P102" s="3934" t="n"/>
      <c r="Q102" s="3934" t="n"/>
      <c r="R102" s="3934" t="n"/>
      <c r="S102" s="3934" t="n"/>
      <c r="T102" s="3934" t="n"/>
      <c r="U102" s="3934" t="n"/>
      <c r="V102" s="3934" t="n"/>
      <c r="W102" s="3934" t="n"/>
      <c r="X102" s="3934" t="n"/>
      <c r="Y102" s="3934" t="n"/>
      <c r="Z102" s="3934" t="n"/>
      <c r="AA102" s="3934" t="n"/>
      <c r="AB102" s="3934" t="n"/>
      <c r="AC102" s="3934" t="n"/>
      <c r="AD102" s="3934" t="n"/>
      <c r="AE102" s="3934" t="n"/>
      <c r="AF102" s="3934" t="n"/>
      <c r="AG102" s="3934" t="n"/>
      <c r="AH102" s="3934" t="n"/>
      <c r="AI102" s="3934" t="n"/>
      <c r="AJ102" s="3934" t="n"/>
      <c r="AK102" s="3934" t="n"/>
      <c r="AL102" s="3934" t="n"/>
      <c r="AM102" s="3934" t="n"/>
      <c r="AN102" s="3934" t="n"/>
      <c r="AO102" s="3934" t="n"/>
      <c r="AP102" s="3934" t="n"/>
      <c r="AQ102" s="3934" t="n"/>
      <c r="AR102" s="3934" t="n"/>
    </row>
    <row r="103">
      <c r="A103" s="3944" t="n"/>
      <c r="B103" s="3944" t="n"/>
      <c r="C103" s="3944" t="n"/>
      <c r="D103" s="3944" t="n"/>
      <c r="E103" s="3944" t="n"/>
      <c r="F103" s="3944" t="n"/>
      <c r="G103" s="3944" t="n"/>
      <c r="H103" s="3944" t="n"/>
      <c r="I103" s="3944" t="n"/>
      <c r="J103" s="3934" t="n"/>
      <c r="K103" s="3934" t="n"/>
      <c r="L103" s="3934" t="n"/>
      <c r="M103" s="3934" t="n"/>
      <c r="N103" s="3934" t="n"/>
      <c r="O103" s="3934" t="n"/>
      <c r="P103" s="3934" t="n"/>
      <c r="Q103" s="3934" t="n"/>
      <c r="R103" s="3934" t="n"/>
      <c r="S103" s="3934" t="n"/>
      <c r="T103" s="3934" t="n"/>
      <c r="U103" s="3934" t="n"/>
      <c r="V103" s="3934" t="n"/>
      <c r="W103" s="3934" t="n"/>
      <c r="X103" s="3934" t="n"/>
      <c r="Y103" s="3934" t="n"/>
      <c r="Z103" s="3934" t="n"/>
      <c r="AA103" s="3934" t="n"/>
      <c r="AB103" s="3934" t="n"/>
      <c r="AC103" s="3934" t="n"/>
      <c r="AD103" s="3934" t="n"/>
      <c r="AE103" s="3934" t="n"/>
      <c r="AF103" s="3934" t="n"/>
      <c r="AG103" s="3934" t="n"/>
      <c r="AH103" s="3934" t="n"/>
      <c r="AI103" s="3934" t="n"/>
      <c r="AJ103" s="3934" t="n"/>
      <c r="AK103" s="3934" t="n"/>
      <c r="AL103" s="3934" t="n"/>
      <c r="AM103" s="3934" t="n"/>
      <c r="AN103" s="3934" t="n"/>
      <c r="AO103" s="3934" t="n"/>
      <c r="AP103" s="3934" t="n"/>
      <c r="AQ103" s="3934" t="n"/>
      <c r="AR103" s="3934" t="n"/>
    </row>
    <row r="104">
      <c r="A104" s="3944" t="n"/>
      <c r="B104" s="3944" t="n"/>
      <c r="C104" s="3944" t="n"/>
      <c r="D104" s="3944" t="n"/>
      <c r="E104" s="3944" t="n"/>
      <c r="F104" s="3944" t="n"/>
      <c r="G104" s="3944" t="n"/>
      <c r="H104" s="3944" t="n"/>
      <c r="I104" s="3944" t="n"/>
      <c r="J104" s="3934" t="n"/>
      <c r="K104" s="3934" t="n"/>
      <c r="L104" s="3934" t="n"/>
      <c r="M104" s="3934" t="n"/>
      <c r="N104" s="3934" t="n"/>
      <c r="O104" s="3934" t="n"/>
      <c r="P104" s="3934" t="n"/>
      <c r="Q104" s="3934" t="n"/>
      <c r="R104" s="3934" t="n"/>
      <c r="S104" s="3934" t="n"/>
      <c r="T104" s="3934" t="n"/>
      <c r="U104" s="3934" t="n"/>
      <c r="V104" s="3934" t="n"/>
      <c r="W104" s="3934" t="n"/>
      <c r="X104" s="3934" t="n"/>
      <c r="Y104" s="3934" t="n"/>
      <c r="Z104" s="3934" t="n"/>
      <c r="AA104" s="3934" t="n"/>
      <c r="AB104" s="3934" t="n"/>
      <c r="AC104" s="3934" t="n"/>
      <c r="AD104" s="3934" t="n"/>
      <c r="AE104" s="3934" t="n"/>
      <c r="AF104" s="3934" t="n"/>
      <c r="AG104" s="3934" t="n"/>
      <c r="AH104" s="3934" t="n"/>
      <c r="AI104" s="3934" t="n"/>
      <c r="AJ104" s="3934" t="n"/>
      <c r="AK104" s="3934" t="n"/>
      <c r="AL104" s="3934" t="n"/>
      <c r="AM104" s="3934" t="n"/>
      <c r="AN104" s="3934" t="n"/>
      <c r="AO104" s="3934" t="n"/>
      <c r="AP104" s="3934" t="n"/>
      <c r="AQ104" s="3934" t="n"/>
      <c r="AR104" s="3934" t="n"/>
    </row>
    <row r="105">
      <c r="A105" s="3944" t="n"/>
      <c r="B105" s="3944" t="n"/>
      <c r="C105" s="3944" t="n"/>
      <c r="D105" s="3944" t="n"/>
      <c r="E105" s="3944" t="n"/>
      <c r="F105" s="3944" t="n"/>
      <c r="G105" s="3944" t="n"/>
      <c r="H105" s="3944" t="n"/>
      <c r="I105" s="3944" t="n"/>
      <c r="J105" s="3934" t="n"/>
      <c r="K105" s="3934" t="n"/>
      <c r="L105" s="3934" t="n"/>
      <c r="M105" s="3934" t="n"/>
      <c r="N105" s="3934" t="n"/>
      <c r="O105" s="3934" t="n"/>
      <c r="P105" s="3934" t="n"/>
      <c r="Q105" s="3934" t="n"/>
      <c r="R105" s="3934" t="n"/>
      <c r="S105" s="3934" t="n"/>
      <c r="T105" s="3934" t="n"/>
      <c r="U105" s="3934" t="n"/>
      <c r="V105" s="3934" t="n"/>
      <c r="W105" s="3934" t="n"/>
      <c r="X105" s="3934" t="n"/>
      <c r="Y105" s="3934" t="n"/>
      <c r="Z105" s="3934" t="n"/>
      <c r="AA105" s="3934" t="n"/>
      <c r="AB105" s="3934" t="n"/>
      <c r="AC105" s="3934" t="n"/>
      <c r="AD105" s="3934" t="n"/>
      <c r="AE105" s="3934" t="n"/>
      <c r="AF105" s="3934" t="n"/>
      <c r="AG105" s="3934" t="n"/>
      <c r="AH105" s="3934" t="n"/>
      <c r="AI105" s="3934" t="n"/>
      <c r="AJ105" s="3934" t="n"/>
      <c r="AK105" s="3934" t="n"/>
      <c r="AL105" s="3934" t="n"/>
      <c r="AM105" s="3934" t="n"/>
      <c r="AN105" s="3934" t="n"/>
      <c r="AO105" s="3934" t="n"/>
      <c r="AP105" s="3934" t="n"/>
      <c r="AQ105" s="3934" t="n"/>
      <c r="AR105" s="3934" t="n"/>
    </row>
    <row r="106">
      <c r="A106" s="3944" t="n"/>
      <c r="B106" s="3944" t="n"/>
      <c r="C106" s="3944" t="n"/>
      <c r="D106" s="3944" t="n"/>
      <c r="E106" s="3944" t="n"/>
      <c r="F106" s="3944" t="n"/>
      <c r="G106" s="3944" t="n"/>
      <c r="H106" s="3944" t="n"/>
      <c r="I106" s="3944" t="n"/>
      <c r="J106" s="3934" t="n"/>
      <c r="K106" s="3934" t="n"/>
      <c r="L106" s="3934" t="n"/>
      <c r="M106" s="3934" t="n"/>
      <c r="N106" s="3934" t="n"/>
      <c r="O106" s="3934" t="n"/>
      <c r="P106" s="3934" t="n"/>
      <c r="Q106" s="3934" t="n"/>
      <c r="R106" s="3934" t="n"/>
      <c r="S106" s="3934" t="n"/>
      <c r="T106" s="3934" t="n"/>
      <c r="U106" s="3934" t="n"/>
      <c r="V106" s="3934" t="n"/>
      <c r="W106" s="3934" t="n"/>
      <c r="X106" s="3934" t="n"/>
      <c r="Y106" s="3934" t="n"/>
      <c r="Z106" s="3934" t="n"/>
      <c r="AA106" s="3934" t="n"/>
      <c r="AB106" s="3934" t="n"/>
      <c r="AC106" s="3934" t="n"/>
      <c r="AD106" s="3934" t="n"/>
      <c r="AE106" s="3934" t="n"/>
      <c r="AF106" s="3934" t="n"/>
      <c r="AG106" s="3934" t="n"/>
      <c r="AH106" s="3934" t="n"/>
      <c r="AI106" s="3934" t="n"/>
      <c r="AJ106" s="3934" t="n"/>
      <c r="AK106" s="3934" t="n"/>
      <c r="AL106" s="3934" t="n"/>
      <c r="AM106" s="3934" t="n"/>
      <c r="AN106" s="3934" t="n"/>
      <c r="AO106" s="3934" t="n"/>
      <c r="AP106" s="3934" t="n"/>
      <c r="AQ106" s="3934" t="n"/>
      <c r="AR106" s="3934" t="n"/>
    </row>
    <row r="107">
      <c r="A107" s="3944" t="n"/>
      <c r="B107" s="3944" t="n"/>
      <c r="C107" s="3944" t="n"/>
      <c r="D107" s="3944" t="n"/>
      <c r="E107" s="3944" t="n"/>
      <c r="F107" s="3944" t="n"/>
      <c r="G107" s="3944" t="n"/>
      <c r="H107" s="3944" t="n"/>
      <c r="I107" s="3944" t="n"/>
      <c r="J107" s="3934" t="n"/>
      <c r="K107" s="3934" t="n"/>
      <c r="L107" s="3934" t="n"/>
      <c r="M107" s="3934" t="n"/>
      <c r="N107" s="3934" t="n"/>
      <c r="O107" s="3934" t="n"/>
      <c r="P107" s="3934" t="n"/>
      <c r="Q107" s="3934" t="n"/>
      <c r="R107" s="3934" t="n"/>
      <c r="S107" s="3934" t="n"/>
      <c r="T107" s="3934" t="n"/>
      <c r="U107" s="3934" t="n"/>
      <c r="V107" s="3934" t="n"/>
      <c r="W107" s="3934" t="n"/>
      <c r="X107" s="3934" t="n"/>
      <c r="Y107" s="3934" t="n"/>
      <c r="Z107" s="3934" t="n"/>
      <c r="AA107" s="3934" t="n"/>
      <c r="AB107" s="3934" t="n"/>
      <c r="AC107" s="3934" t="n"/>
      <c r="AD107" s="3934" t="n"/>
      <c r="AE107" s="3934" t="n"/>
      <c r="AF107" s="3934" t="n"/>
      <c r="AG107" s="3934" t="n"/>
      <c r="AH107" s="3934" t="n"/>
      <c r="AI107" s="3934" t="n"/>
      <c r="AJ107" s="3934" t="n"/>
      <c r="AK107" s="3934" t="n"/>
      <c r="AL107" s="3934" t="n"/>
      <c r="AM107" s="3934" t="n"/>
      <c r="AN107" s="3934" t="n"/>
      <c r="AO107" s="3934" t="n"/>
      <c r="AP107" s="3934" t="n"/>
      <c r="AQ107" s="3934" t="n"/>
      <c r="AR107" s="3934" t="n"/>
    </row>
    <row r="108">
      <c r="A108" s="3944" t="n"/>
      <c r="B108" s="3944" t="n"/>
      <c r="C108" s="3944" t="n"/>
      <c r="D108" s="3944" t="n"/>
      <c r="E108" s="3944" t="n"/>
      <c r="F108" s="3944" t="n"/>
      <c r="G108" s="3944" t="n"/>
      <c r="H108" s="3944" t="n"/>
      <c r="I108" s="3944" t="n"/>
      <c r="J108" s="3934" t="n"/>
      <c r="K108" s="3934" t="n"/>
      <c r="L108" s="3934" t="n"/>
      <c r="M108" s="3934" t="n"/>
      <c r="N108" s="3934" t="n"/>
      <c r="O108" s="3934" t="n"/>
      <c r="P108" s="3934" t="n"/>
      <c r="Q108" s="3934" t="n"/>
      <c r="R108" s="3934" t="n"/>
      <c r="S108" s="3934" t="n"/>
      <c r="T108" s="3934" t="n"/>
      <c r="U108" s="3934" t="n"/>
      <c r="V108" s="3934" t="n"/>
      <c r="W108" s="3934" t="n"/>
      <c r="X108" s="3934" t="n"/>
      <c r="Y108" s="3934" t="n"/>
      <c r="Z108" s="3934" t="n"/>
      <c r="AA108" s="3934" t="n"/>
      <c r="AB108" s="3934" t="n"/>
      <c r="AC108" s="3934" t="n"/>
      <c r="AD108" s="3934" t="n"/>
      <c r="AE108" s="3934" t="n"/>
      <c r="AF108" s="3934" t="n"/>
      <c r="AG108" s="3934" t="n"/>
      <c r="AH108" s="3934" t="n"/>
      <c r="AI108" s="3934" t="n"/>
      <c r="AJ108" s="3934" t="n"/>
      <c r="AK108" s="3934" t="n"/>
      <c r="AL108" s="3934" t="n"/>
      <c r="AM108" s="3934" t="n"/>
      <c r="AN108" s="3934" t="n"/>
      <c r="AO108" s="3934" t="n"/>
      <c r="AP108" s="3934" t="n"/>
      <c r="AQ108" s="3934" t="n"/>
      <c r="AR108" s="3934" t="n"/>
    </row>
    <row r="109">
      <c r="A109" s="3944" t="n"/>
      <c r="B109" s="3944" t="n"/>
      <c r="C109" s="3944" t="n"/>
      <c r="D109" s="3944" t="n"/>
      <c r="E109" s="3944" t="n"/>
      <c r="F109" s="3944" t="n"/>
      <c r="G109" s="3944" t="n"/>
      <c r="H109" s="3944" t="n"/>
      <c r="I109" s="3944" t="n"/>
      <c r="J109" s="3934" t="n"/>
      <c r="K109" s="3934" t="n"/>
      <c r="L109" s="3934" t="n"/>
      <c r="M109" s="3934" t="n"/>
      <c r="N109" s="3934" t="n"/>
      <c r="O109" s="3934" t="n"/>
      <c r="P109" s="3934" t="n"/>
      <c r="Q109" s="3934" t="n"/>
      <c r="R109" s="3934" t="n"/>
      <c r="S109" s="3934" t="n"/>
      <c r="T109" s="3934" t="n"/>
      <c r="U109" s="3934" t="n"/>
      <c r="V109" s="3934" t="n"/>
      <c r="W109" s="3934" t="n"/>
      <c r="X109" s="3934" t="n"/>
      <c r="Y109" s="3934" t="n"/>
      <c r="Z109" s="3934" t="n"/>
      <c r="AA109" s="3934" t="n"/>
      <c r="AB109" s="3934" t="n"/>
      <c r="AC109" s="3934" t="n"/>
      <c r="AD109" s="3934" t="n"/>
      <c r="AE109" s="3934" t="n"/>
      <c r="AF109" s="3934" t="n"/>
      <c r="AG109" s="3934" t="n"/>
      <c r="AH109" s="3934" t="n"/>
      <c r="AI109" s="3934" t="n"/>
      <c r="AJ109" s="3934" t="n"/>
      <c r="AK109" s="3934" t="n"/>
      <c r="AL109" s="3934" t="n"/>
      <c r="AM109" s="3934" t="n"/>
      <c r="AN109" s="3934" t="n"/>
      <c r="AO109" s="3934" t="n"/>
      <c r="AP109" s="3934" t="n"/>
      <c r="AQ109" s="3934" t="n"/>
      <c r="AR109" s="3934" t="n"/>
    </row>
    <row r="110">
      <c r="A110" s="3944" t="n"/>
      <c r="B110" s="3944" t="n"/>
      <c r="C110" s="3944" t="n"/>
      <c r="D110" s="3944" t="n"/>
      <c r="E110" s="3944" t="n"/>
      <c r="F110" s="3944" t="n"/>
      <c r="G110" s="3944" t="n"/>
      <c r="H110" s="3944" t="n"/>
      <c r="I110" s="3944" t="n"/>
      <c r="J110" s="3934" t="n"/>
      <c r="K110" s="3934" t="n"/>
      <c r="L110" s="3934" t="n"/>
      <c r="M110" s="3934" t="n"/>
      <c r="N110" s="3934" t="n"/>
      <c r="O110" s="3934" t="n"/>
      <c r="P110" s="3934" t="n"/>
      <c r="Q110" s="3934" t="n"/>
      <c r="R110" s="3934" t="n"/>
      <c r="S110" s="3934" t="n"/>
      <c r="T110" s="3934" t="n"/>
      <c r="U110" s="3934" t="n"/>
      <c r="V110" s="3934" t="n"/>
      <c r="W110" s="3934" t="n"/>
      <c r="X110" s="3934" t="n"/>
      <c r="Y110" s="3934" t="n"/>
      <c r="Z110" s="3934" t="n"/>
      <c r="AA110" s="3934" t="n"/>
      <c r="AB110" s="3934" t="n"/>
      <c r="AC110" s="3934" t="n"/>
      <c r="AD110" s="3934" t="n"/>
      <c r="AE110" s="3934" t="n"/>
      <c r="AF110" s="3934" t="n"/>
      <c r="AG110" s="3934" t="n"/>
      <c r="AH110" s="3934" t="n"/>
      <c r="AI110" s="3934" t="n"/>
      <c r="AJ110" s="3934" t="n"/>
      <c r="AK110" s="3934" t="n"/>
      <c r="AL110" s="3934" t="n"/>
      <c r="AM110" s="3934" t="n"/>
      <c r="AN110" s="3934" t="n"/>
      <c r="AO110" s="3934" t="n"/>
      <c r="AP110" s="3934" t="n"/>
      <c r="AQ110" s="3934" t="n"/>
      <c r="AR110" s="3934" t="n"/>
    </row>
    <row r="111">
      <c r="A111" s="3944" t="n"/>
      <c r="B111" s="3944" t="n"/>
      <c r="C111" s="3944" t="n"/>
      <c r="D111" s="3944" t="n"/>
      <c r="E111" s="3944" t="n"/>
      <c r="F111" s="3944" t="n"/>
      <c r="G111" s="3944" t="n"/>
      <c r="H111" s="3944" t="n"/>
      <c r="I111" s="3944" t="n"/>
      <c r="J111" s="3934" t="n"/>
      <c r="K111" s="3934" t="n"/>
      <c r="L111" s="3934" t="n"/>
      <c r="M111" s="3934" t="n"/>
      <c r="N111" s="3934" t="n"/>
      <c r="O111" s="3934" t="n"/>
      <c r="P111" s="3934" t="n"/>
      <c r="Q111" s="3934" t="n"/>
      <c r="R111" s="3934" t="n"/>
      <c r="S111" s="3934" t="n"/>
      <c r="T111" s="3934" t="n"/>
      <c r="U111" s="3934" t="n"/>
      <c r="V111" s="3934" t="n"/>
      <c r="W111" s="3934" t="n"/>
      <c r="X111" s="3934" t="n"/>
      <c r="Y111" s="3934" t="n"/>
      <c r="Z111" s="3934" t="n"/>
      <c r="AA111" s="3934" t="n"/>
      <c r="AB111" s="3934" t="n"/>
      <c r="AC111" s="3934" t="n"/>
      <c r="AD111" s="3934" t="n"/>
      <c r="AE111" s="3934" t="n"/>
      <c r="AF111" s="3934" t="n"/>
      <c r="AG111" s="3934" t="n"/>
      <c r="AH111" s="3934" t="n"/>
      <c r="AI111" s="3934" t="n"/>
      <c r="AJ111" s="3934" t="n"/>
      <c r="AK111" s="3934" t="n"/>
      <c r="AL111" s="3934" t="n"/>
      <c r="AM111" s="3934" t="n"/>
      <c r="AN111" s="3934" t="n"/>
      <c r="AO111" s="3934" t="n"/>
      <c r="AP111" s="3934" t="n"/>
      <c r="AQ111" s="3934" t="n"/>
      <c r="AR111" s="3934" t="n"/>
    </row>
    <row r="112">
      <c r="A112" s="3944" t="n"/>
      <c r="B112" s="3944" t="n"/>
      <c r="C112" s="3944" t="n"/>
      <c r="D112" s="3944" t="n"/>
      <c r="E112" s="3944" t="n"/>
      <c r="F112" s="3944" t="n"/>
      <c r="G112" s="3944" t="n"/>
      <c r="H112" s="3944" t="n"/>
      <c r="I112" s="3944" t="n"/>
      <c r="J112" s="3934" t="n"/>
      <c r="K112" s="3934" t="n"/>
      <c r="L112" s="3934" t="n"/>
      <c r="M112" s="3934" t="n"/>
      <c r="N112" s="3934" t="n"/>
      <c r="O112" s="3934" t="n"/>
      <c r="P112" s="3934" t="n"/>
      <c r="Q112" s="3934" t="n"/>
      <c r="R112" s="3934" t="n"/>
      <c r="S112" s="3934" t="n"/>
      <c r="T112" s="3934" t="n"/>
      <c r="U112" s="3934" t="n"/>
      <c r="V112" s="3934" t="n"/>
      <c r="W112" s="3934" t="n"/>
      <c r="X112" s="3934" t="n"/>
      <c r="Y112" s="3934" t="n"/>
      <c r="Z112" s="3934" t="n"/>
      <c r="AA112" s="3934" t="n"/>
      <c r="AB112" s="3934" t="n"/>
      <c r="AC112" s="3934" t="n"/>
      <c r="AD112" s="3934" t="n"/>
      <c r="AE112" s="3934" t="n"/>
      <c r="AF112" s="3934" t="n"/>
      <c r="AG112" s="3934" t="n"/>
      <c r="AH112" s="3934" t="n"/>
      <c r="AI112" s="3934" t="n"/>
      <c r="AJ112" s="3934" t="n"/>
      <c r="AK112" s="3934" t="n"/>
      <c r="AL112" s="3934" t="n"/>
      <c r="AM112" s="3934" t="n"/>
      <c r="AN112" s="3934" t="n"/>
      <c r="AO112" s="3934" t="n"/>
      <c r="AP112" s="3934" t="n"/>
      <c r="AQ112" s="3934" t="n"/>
      <c r="AR112" s="3934" t="n"/>
    </row>
    <row r="113">
      <c r="A113" s="3944" t="n"/>
      <c r="B113" s="3944" t="n"/>
      <c r="C113" s="3944" t="n"/>
      <c r="D113" s="3944" t="n"/>
      <c r="E113" s="3944" t="n"/>
      <c r="F113" s="3944" t="n"/>
      <c r="G113" s="3944" t="n"/>
      <c r="H113" s="3944" t="n"/>
      <c r="I113" s="3944" t="n"/>
      <c r="J113" s="3934" t="n"/>
      <c r="K113" s="3934" t="n"/>
      <c r="L113" s="3934" t="n"/>
      <c r="M113" s="3934" t="n"/>
      <c r="N113" s="3934" t="n"/>
      <c r="O113" s="3934" t="n"/>
      <c r="P113" s="3934" t="n"/>
      <c r="Q113" s="3934" t="n"/>
      <c r="R113" s="3934" t="n"/>
      <c r="S113" s="3934" t="n"/>
      <c r="T113" s="3934" t="n"/>
      <c r="U113" s="3934" t="n"/>
      <c r="V113" s="3934" t="n"/>
      <c r="W113" s="3934" t="n"/>
      <c r="X113" s="3934" t="n"/>
      <c r="Y113" s="3934" t="n"/>
      <c r="Z113" s="3934" t="n"/>
      <c r="AA113" s="3934" t="n"/>
      <c r="AB113" s="3934" t="n"/>
      <c r="AC113" s="3934" t="n"/>
      <c r="AD113" s="3934" t="n"/>
      <c r="AE113" s="3934" t="n"/>
      <c r="AF113" s="3934" t="n"/>
      <c r="AG113" s="3934" t="n"/>
      <c r="AH113" s="3934" t="n"/>
      <c r="AI113" s="3934" t="n"/>
      <c r="AJ113" s="3934" t="n"/>
      <c r="AK113" s="3934" t="n"/>
      <c r="AL113" s="3934" t="n"/>
      <c r="AM113" s="3934" t="n"/>
      <c r="AN113" s="3934" t="n"/>
      <c r="AO113" s="3934" t="n"/>
      <c r="AP113" s="3934" t="n"/>
      <c r="AQ113" s="3934" t="n"/>
      <c r="AR113" s="3934" t="n"/>
    </row>
    <row r="114">
      <c r="A114" s="3944" t="n"/>
      <c r="B114" s="3944" t="n"/>
      <c r="C114" s="3944" t="n"/>
      <c r="D114" s="3944" t="n"/>
      <c r="E114" s="3944" t="n"/>
      <c r="F114" s="3944" t="n"/>
      <c r="G114" s="3944" t="n"/>
      <c r="H114" s="3944" t="n"/>
      <c r="I114" s="3944" t="n"/>
      <c r="J114" s="3934" t="n"/>
      <c r="K114" s="3934" t="n"/>
      <c r="L114" s="3934" t="n"/>
      <c r="M114" s="3934" t="n"/>
      <c r="N114" s="3934" t="n"/>
      <c r="O114" s="3934" t="n"/>
      <c r="P114" s="3934" t="n"/>
      <c r="Q114" s="3934" t="n"/>
      <c r="R114" s="3934" t="n"/>
      <c r="S114" s="3934" t="n"/>
      <c r="T114" s="3934" t="n"/>
      <c r="U114" s="3934" t="n"/>
      <c r="V114" s="3934" t="n"/>
      <c r="W114" s="3934" t="n"/>
      <c r="X114" s="3934" t="n"/>
      <c r="Y114" s="3934" t="n"/>
      <c r="Z114" s="3934" t="n"/>
      <c r="AA114" s="3934" t="n"/>
      <c r="AB114" s="3934" t="n"/>
      <c r="AC114" s="3934" t="n"/>
      <c r="AD114" s="3934" t="n"/>
      <c r="AE114" s="3934" t="n"/>
      <c r="AF114" s="3934" t="n"/>
      <c r="AG114" s="3934" t="n"/>
      <c r="AH114" s="3934" t="n"/>
      <c r="AI114" s="3934" t="n"/>
      <c r="AJ114" s="3934" t="n"/>
      <c r="AK114" s="3934" t="n"/>
      <c r="AL114" s="3934" t="n"/>
      <c r="AM114" s="3934" t="n"/>
      <c r="AN114" s="3934" t="n"/>
      <c r="AO114" s="3934" t="n"/>
      <c r="AP114" s="3934" t="n"/>
      <c r="AQ114" s="3934" t="n"/>
      <c r="AR114" s="3934" t="n"/>
    </row>
    <row r="115">
      <c r="A115" s="3944" t="n"/>
      <c r="B115" s="3944" t="n"/>
      <c r="C115" s="3944" t="n"/>
      <c r="D115" s="3944" t="n"/>
      <c r="E115" s="3944" t="n"/>
      <c r="F115" s="3944" t="n"/>
      <c r="G115" s="3944" t="n"/>
      <c r="H115" s="3944" t="n"/>
      <c r="I115" s="3944" t="n"/>
      <c r="J115" s="3934" t="n"/>
      <c r="K115" s="3934" t="n"/>
      <c r="L115" s="3934" t="n"/>
      <c r="M115" s="3934" t="n"/>
      <c r="N115" s="3934" t="n"/>
      <c r="O115" s="3934" t="n"/>
      <c r="P115" s="3934" t="n"/>
      <c r="Q115" s="3934" t="n"/>
      <c r="R115" s="3934" t="n"/>
      <c r="S115" s="3934" t="n"/>
      <c r="T115" s="3934" t="n"/>
      <c r="U115" s="3934" t="n"/>
      <c r="V115" s="3934" t="n"/>
      <c r="W115" s="3934" t="n"/>
      <c r="X115" s="3934" t="n"/>
      <c r="Y115" s="3934" t="n"/>
      <c r="Z115" s="3934" t="n"/>
      <c r="AA115" s="3934" t="n"/>
      <c r="AB115" s="3934" t="n"/>
      <c r="AC115" s="3934" t="n"/>
      <c r="AD115" s="3934" t="n"/>
      <c r="AE115" s="3934" t="n"/>
      <c r="AF115" s="3934" t="n"/>
      <c r="AG115" s="3934" t="n"/>
      <c r="AH115" s="3934" t="n"/>
      <c r="AI115" s="3934" t="n"/>
      <c r="AJ115" s="3934" t="n"/>
      <c r="AK115" s="3934" t="n"/>
      <c r="AL115" s="3934" t="n"/>
      <c r="AM115" s="3934" t="n"/>
      <c r="AN115" s="3934" t="n"/>
      <c r="AO115" s="3934" t="n"/>
      <c r="AP115" s="3934" t="n"/>
      <c r="AQ115" s="3934" t="n"/>
      <c r="AR115" s="3934" t="n"/>
    </row>
    <row r="116">
      <c r="A116" s="3944" t="n"/>
      <c r="B116" s="3944" t="n"/>
      <c r="C116" s="3944" t="n"/>
      <c r="D116" s="3944" t="n"/>
      <c r="E116" s="3944" t="n"/>
      <c r="F116" s="3944" t="n"/>
      <c r="G116" s="3944" t="n"/>
      <c r="H116" s="3944" t="n"/>
      <c r="I116" s="3944" t="n"/>
      <c r="J116" s="3934" t="n"/>
      <c r="K116" s="3934" t="n"/>
      <c r="L116" s="3934" t="n"/>
      <c r="M116" s="3934" t="n"/>
      <c r="N116" s="3934" t="n"/>
      <c r="O116" s="3934" t="n"/>
      <c r="P116" s="3934" t="n"/>
      <c r="Q116" s="3934" t="n"/>
      <c r="R116" s="3934" t="n"/>
      <c r="S116" s="3934" t="n"/>
      <c r="T116" s="3934" t="n"/>
      <c r="U116" s="3934" t="n"/>
      <c r="V116" s="3934" t="n"/>
      <c r="W116" s="3934" t="n"/>
      <c r="X116" s="3934" t="n"/>
      <c r="Y116" s="3934" t="n"/>
      <c r="Z116" s="3934" t="n"/>
      <c r="AA116" s="3934" t="n"/>
      <c r="AB116" s="3934" t="n"/>
      <c r="AC116" s="3934" t="n"/>
      <c r="AD116" s="3934" t="n"/>
      <c r="AE116" s="3934" t="n"/>
      <c r="AF116" s="3934" t="n"/>
      <c r="AG116" s="3934" t="n"/>
      <c r="AH116" s="3934" t="n"/>
      <c r="AI116" s="3934" t="n"/>
      <c r="AJ116" s="3934" t="n"/>
      <c r="AK116" s="3934" t="n"/>
      <c r="AL116" s="3934" t="n"/>
      <c r="AM116" s="3934" t="n"/>
      <c r="AN116" s="3934" t="n"/>
      <c r="AO116" s="3934" t="n"/>
      <c r="AP116" s="3934" t="n"/>
      <c r="AQ116" s="3934" t="n"/>
      <c r="AR116" s="3934" t="n"/>
    </row>
    <row r="117">
      <c r="A117" s="3944" t="n"/>
      <c r="B117" s="3944" t="n"/>
      <c r="C117" s="3944" t="n"/>
      <c r="D117" s="3944" t="n"/>
      <c r="E117" s="3944" t="n"/>
      <c r="F117" s="3944" t="n"/>
      <c r="G117" s="3944" t="n"/>
      <c r="H117" s="3944" t="n"/>
      <c r="I117" s="3944" t="n"/>
      <c r="J117" s="3934" t="n"/>
      <c r="K117" s="3934" t="n"/>
      <c r="L117" s="3934" t="n"/>
      <c r="M117" s="3934" t="n"/>
      <c r="N117" s="3934" t="n"/>
      <c r="O117" s="3934" t="n"/>
      <c r="P117" s="3934" t="n"/>
      <c r="Q117" s="3934" t="n"/>
      <c r="R117" s="3934" t="n"/>
      <c r="S117" s="3934" t="n"/>
      <c r="T117" s="3934" t="n"/>
      <c r="U117" s="3934" t="n"/>
      <c r="V117" s="3934" t="n"/>
      <c r="W117" s="3934" t="n"/>
      <c r="X117" s="3934" t="n"/>
      <c r="Y117" s="3934" t="n"/>
      <c r="Z117" s="3934" t="n"/>
      <c r="AA117" s="3934" t="n"/>
      <c r="AB117" s="3934" t="n"/>
      <c r="AC117" s="3934" t="n"/>
      <c r="AD117" s="3934" t="n"/>
      <c r="AE117" s="3934" t="n"/>
      <c r="AF117" s="3934" t="n"/>
      <c r="AG117" s="3934" t="n"/>
      <c r="AH117" s="3934" t="n"/>
      <c r="AI117" s="3934" t="n"/>
      <c r="AJ117" s="3934" t="n"/>
      <c r="AK117" s="3934" t="n"/>
      <c r="AL117" s="3934" t="n"/>
      <c r="AM117" s="3934" t="n"/>
      <c r="AN117" s="3934" t="n"/>
      <c r="AO117" s="3934" t="n"/>
      <c r="AP117" s="3934" t="n"/>
      <c r="AQ117" s="3934" t="n"/>
      <c r="AR117" s="3934" t="n"/>
    </row>
    <row r="118">
      <c r="A118" s="3944" t="n"/>
      <c r="B118" s="3944" t="n"/>
      <c r="C118" s="3944" t="n"/>
      <c r="D118" s="3944" t="n"/>
      <c r="E118" s="3944" t="n"/>
      <c r="F118" s="3944" t="n"/>
      <c r="G118" s="3944" t="n"/>
      <c r="H118" s="3944" t="n"/>
      <c r="I118" s="3944" t="n"/>
      <c r="J118" s="3934" t="n"/>
      <c r="K118" s="3934" t="n"/>
      <c r="L118" s="3934" t="n"/>
      <c r="M118" s="3934" t="n"/>
      <c r="N118" s="3934" t="n"/>
      <c r="O118" s="3934" t="n"/>
      <c r="P118" s="3934" t="n"/>
      <c r="Q118" s="3934" t="n"/>
      <c r="R118" s="3934" t="n"/>
      <c r="S118" s="3934" t="n"/>
      <c r="T118" s="3934" t="n"/>
      <c r="U118" s="3934" t="n"/>
      <c r="V118" s="3934" t="n"/>
      <c r="W118" s="3934" t="n"/>
      <c r="X118" s="3934" t="n"/>
      <c r="Y118" s="3934" t="n"/>
      <c r="Z118" s="3934" t="n"/>
      <c r="AA118" s="3934" t="n"/>
      <c r="AB118" s="3934" t="n"/>
      <c r="AC118" s="3934" t="n"/>
      <c r="AD118" s="3934" t="n"/>
      <c r="AE118" s="3934" t="n"/>
      <c r="AF118" s="3934" t="n"/>
      <c r="AG118" s="3934" t="n"/>
      <c r="AH118" s="3934" t="n"/>
      <c r="AI118" s="3934" t="n"/>
      <c r="AJ118" s="3934" t="n"/>
      <c r="AK118" s="3934" t="n"/>
      <c r="AL118" s="3934" t="n"/>
      <c r="AM118" s="3934" t="n"/>
      <c r="AN118" s="3934" t="n"/>
      <c r="AO118" s="3934" t="n"/>
      <c r="AP118" s="3934" t="n"/>
      <c r="AQ118" s="3934" t="n"/>
      <c r="AR118" s="3934" t="n"/>
    </row>
    <row r="119">
      <c r="A119" s="3944" t="n"/>
      <c r="B119" s="3944" t="n"/>
      <c r="C119" s="3944" t="n"/>
      <c r="D119" s="3944" t="n"/>
      <c r="E119" s="3944" t="n"/>
      <c r="F119" s="3944" t="n"/>
      <c r="G119" s="3944" t="n"/>
      <c r="H119" s="3944" t="n"/>
      <c r="I119" s="3944" t="n"/>
      <c r="J119" s="3934" t="n"/>
      <c r="K119" s="3934" t="n"/>
      <c r="L119" s="3934" t="n"/>
      <c r="M119" s="3934" t="n"/>
      <c r="N119" s="3934" t="n"/>
      <c r="O119" s="3934" t="n"/>
      <c r="P119" s="3934" t="n"/>
      <c r="Q119" s="3934" t="n"/>
      <c r="R119" s="3934" t="n"/>
      <c r="S119" s="3934" t="n"/>
      <c r="T119" s="3934" t="n"/>
      <c r="U119" s="3934" t="n"/>
      <c r="V119" s="3934" t="n"/>
      <c r="W119" s="3934" t="n"/>
      <c r="X119" s="3934" t="n"/>
      <c r="Y119" s="3934" t="n"/>
      <c r="Z119" s="3934" t="n"/>
      <c r="AA119" s="3934" t="n"/>
      <c r="AB119" s="3934" t="n"/>
      <c r="AC119" s="3934" t="n"/>
      <c r="AD119" s="3934" t="n"/>
      <c r="AE119" s="3934" t="n"/>
      <c r="AF119" s="3934" t="n"/>
      <c r="AG119" s="3934" t="n"/>
      <c r="AH119" s="3934" t="n"/>
      <c r="AI119" s="3934" t="n"/>
      <c r="AJ119" s="3934" t="n"/>
      <c r="AK119" s="3934" t="n"/>
      <c r="AL119" s="3934" t="n"/>
      <c r="AM119" s="3934" t="n"/>
      <c r="AN119" s="3934" t="n"/>
      <c r="AO119" s="3934" t="n"/>
      <c r="AP119" s="3934" t="n"/>
      <c r="AQ119" s="3934" t="n"/>
      <c r="AR119" s="3934" t="n"/>
    </row>
    <row r="120">
      <c r="A120" s="3944" t="n"/>
      <c r="B120" s="3944" t="n"/>
      <c r="C120" s="3944" t="n"/>
      <c r="D120" s="3944" t="n"/>
      <c r="E120" s="3944" t="n"/>
      <c r="F120" s="3944" t="n"/>
      <c r="G120" s="3944" t="n"/>
      <c r="H120" s="3944" t="n"/>
      <c r="I120" s="3944" t="n"/>
      <c r="J120" s="3934" t="n"/>
      <c r="K120" s="3934" t="n"/>
      <c r="L120" s="3934" t="n"/>
      <c r="M120" s="3934" t="n"/>
      <c r="N120" s="3934" t="n"/>
      <c r="O120" s="3934" t="n"/>
      <c r="P120" s="3934" t="n"/>
      <c r="Q120" s="3934" t="n"/>
      <c r="R120" s="3934" t="n"/>
      <c r="S120" s="3934" t="n"/>
      <c r="T120" s="3934" t="n"/>
      <c r="U120" s="3934" t="n"/>
      <c r="V120" s="3934" t="n"/>
      <c r="W120" s="3934" t="n"/>
      <c r="X120" s="3934" t="n"/>
      <c r="Y120" s="3934" t="n"/>
      <c r="Z120" s="3934" t="n"/>
      <c r="AA120" s="3934" t="n"/>
      <c r="AB120" s="3934" t="n"/>
      <c r="AC120" s="3934" t="n"/>
      <c r="AD120" s="3934" t="n"/>
      <c r="AE120" s="3934" t="n"/>
      <c r="AF120" s="3934" t="n"/>
      <c r="AG120" s="3934" t="n"/>
      <c r="AH120" s="3934" t="n"/>
      <c r="AI120" s="3934" t="n"/>
      <c r="AJ120" s="3934" t="n"/>
      <c r="AK120" s="3934" t="n"/>
      <c r="AL120" s="3934" t="n"/>
      <c r="AM120" s="3934" t="n"/>
      <c r="AN120" s="3934" t="n"/>
      <c r="AO120" s="3934" t="n"/>
      <c r="AP120" s="3934" t="n"/>
      <c r="AQ120" s="3934" t="n"/>
      <c r="AR120" s="3934" t="n"/>
    </row>
    <row r="121">
      <c r="A121" s="3944" t="n"/>
      <c r="B121" s="3944" t="n"/>
      <c r="C121" s="3944" t="n"/>
      <c r="D121" s="3944" t="n"/>
      <c r="E121" s="3944" t="n"/>
      <c r="F121" s="3944" t="n"/>
      <c r="G121" s="3944" t="n"/>
      <c r="H121" s="3944" t="n"/>
      <c r="I121" s="3944" t="n"/>
      <c r="J121" s="3934" t="n"/>
      <c r="K121" s="3934" t="n"/>
      <c r="L121" s="3934" t="n"/>
      <c r="M121" s="3934" t="n"/>
      <c r="N121" s="3934" t="n"/>
      <c r="O121" s="3934" t="n"/>
      <c r="P121" s="3934" t="n"/>
      <c r="Q121" s="3934" t="n"/>
      <c r="R121" s="3934" t="n"/>
      <c r="S121" s="3934" t="n"/>
      <c r="T121" s="3934" t="n"/>
      <c r="U121" s="3934" t="n"/>
      <c r="V121" s="3934" t="n"/>
      <c r="W121" s="3934" t="n"/>
      <c r="X121" s="3934" t="n"/>
      <c r="Y121" s="3934" t="n"/>
      <c r="Z121" s="3934" t="n"/>
      <c r="AA121" s="3934" t="n"/>
      <c r="AB121" s="3934" t="n"/>
      <c r="AC121" s="3934" t="n"/>
      <c r="AD121" s="3934" t="n"/>
      <c r="AE121" s="3934" t="n"/>
      <c r="AF121" s="3934" t="n"/>
      <c r="AG121" s="3934" t="n"/>
      <c r="AH121" s="3934" t="n"/>
      <c r="AI121" s="3934" t="n"/>
      <c r="AJ121" s="3934" t="n"/>
      <c r="AK121" s="3934" t="n"/>
      <c r="AL121" s="3934" t="n"/>
      <c r="AM121" s="3934" t="n"/>
      <c r="AN121" s="3934" t="n"/>
      <c r="AO121" s="3934" t="n"/>
      <c r="AP121" s="3934" t="n"/>
      <c r="AQ121" s="3934" t="n"/>
      <c r="AR121" s="3934" t="n"/>
    </row>
    <row r="122">
      <c r="A122" s="3944" t="n"/>
      <c r="B122" s="3944" t="n"/>
      <c r="C122" s="3944" t="n"/>
      <c r="D122" s="3944" t="n"/>
      <c r="E122" s="3944" t="n"/>
      <c r="F122" s="3944" t="n"/>
      <c r="G122" s="3944" t="n"/>
      <c r="H122" s="3944" t="n"/>
      <c r="I122" s="3944" t="n"/>
      <c r="J122" s="3934" t="n"/>
      <c r="K122" s="3934" t="n"/>
      <c r="L122" s="3934" t="n"/>
      <c r="M122" s="3934" t="n"/>
      <c r="N122" s="3934" t="n"/>
      <c r="O122" s="3934" t="n"/>
      <c r="P122" s="3934" t="n"/>
      <c r="Q122" s="3934" t="n"/>
      <c r="R122" s="3934" t="n"/>
      <c r="S122" s="3934" t="n"/>
      <c r="T122" s="3934" t="n"/>
      <c r="U122" s="3934" t="n"/>
      <c r="V122" s="3934" t="n"/>
      <c r="W122" s="3934" t="n"/>
      <c r="X122" s="3934" t="n"/>
      <c r="Y122" s="3934" t="n"/>
      <c r="Z122" s="3934" t="n"/>
      <c r="AA122" s="3934" t="n"/>
      <c r="AB122" s="3934" t="n"/>
      <c r="AC122" s="3934" t="n"/>
      <c r="AD122" s="3934" t="n"/>
      <c r="AE122" s="3934" t="n"/>
      <c r="AF122" s="3934" t="n"/>
      <c r="AG122" s="3934" t="n"/>
      <c r="AH122" s="3934" t="n"/>
      <c r="AI122" s="3934" t="n"/>
      <c r="AJ122" s="3934" t="n"/>
      <c r="AK122" s="3934" t="n"/>
      <c r="AL122" s="3934" t="n"/>
      <c r="AM122" s="3934" t="n"/>
      <c r="AN122" s="3934" t="n"/>
      <c r="AO122" s="3934" t="n"/>
      <c r="AP122" s="3934" t="n"/>
      <c r="AQ122" s="3934" t="n"/>
      <c r="AR122" s="3934" t="n"/>
    </row>
    <row r="123">
      <c r="A123" s="3944" t="n"/>
      <c r="B123" s="3944" t="n"/>
      <c r="C123" s="3944" t="n"/>
      <c r="D123" s="3944" t="n"/>
      <c r="E123" s="3944" t="n"/>
      <c r="F123" s="3944" t="n"/>
      <c r="G123" s="3944" t="n"/>
      <c r="H123" s="3944" t="n"/>
      <c r="I123" s="3944" t="n"/>
      <c r="J123" s="3934" t="n"/>
      <c r="K123" s="3934" t="n"/>
      <c r="L123" s="3934" t="n"/>
      <c r="M123" s="3934" t="n"/>
      <c r="N123" s="3934" t="n"/>
      <c r="O123" s="3934" t="n"/>
      <c r="P123" s="3934" t="n"/>
      <c r="Q123" s="3934" t="n"/>
      <c r="R123" s="3934" t="n"/>
      <c r="S123" s="3934" t="n"/>
      <c r="T123" s="3934" t="n"/>
      <c r="U123" s="3934" t="n"/>
      <c r="V123" s="3934" t="n"/>
      <c r="W123" s="3934" t="n"/>
      <c r="X123" s="3934" t="n"/>
      <c r="Y123" s="3934" t="n"/>
      <c r="Z123" s="3934" t="n"/>
      <c r="AA123" s="3934" t="n"/>
      <c r="AB123" s="3934" t="n"/>
      <c r="AC123" s="3934" t="n"/>
      <c r="AD123" s="3934" t="n"/>
      <c r="AE123" s="3934" t="n"/>
      <c r="AF123" s="3934" t="n"/>
      <c r="AG123" s="3934" t="n"/>
      <c r="AH123" s="3934" t="n"/>
      <c r="AI123" s="3934" t="n"/>
      <c r="AJ123" s="3934" t="n"/>
      <c r="AK123" s="3934" t="n"/>
      <c r="AL123" s="3934" t="n"/>
      <c r="AM123" s="3934" t="n"/>
      <c r="AN123" s="3934" t="n"/>
      <c r="AO123" s="3934" t="n"/>
      <c r="AP123" s="3934" t="n"/>
      <c r="AQ123" s="3934" t="n"/>
      <c r="AR123" s="3934" t="n"/>
    </row>
    <row r="124">
      <c r="A124" s="3944" t="n"/>
      <c r="B124" s="3944" t="n"/>
      <c r="C124" s="3944" t="n"/>
      <c r="D124" s="3944" t="n"/>
      <c r="E124" s="3944" t="n"/>
      <c r="F124" s="3944" t="n"/>
      <c r="G124" s="3944" t="n"/>
      <c r="H124" s="3944" t="n"/>
      <c r="I124" s="3944" t="n"/>
      <c r="J124" s="3934" t="n"/>
      <c r="K124" s="3934" t="n"/>
      <c r="L124" s="3934" t="n"/>
      <c r="M124" s="3934" t="n"/>
      <c r="N124" s="3934" t="n"/>
      <c r="O124" s="3934" t="n"/>
      <c r="P124" s="3934" t="n"/>
      <c r="Q124" s="3934" t="n"/>
      <c r="R124" s="3934" t="n"/>
      <c r="S124" s="3934" t="n"/>
      <c r="T124" s="3934" t="n"/>
      <c r="U124" s="3934" t="n"/>
      <c r="V124" s="3934" t="n"/>
      <c r="W124" s="3934" t="n"/>
      <c r="X124" s="3934" t="n"/>
      <c r="Y124" s="3934" t="n"/>
      <c r="Z124" s="3934" t="n"/>
      <c r="AA124" s="3934" t="n"/>
      <c r="AB124" s="3934" t="n"/>
      <c r="AC124" s="3934" t="n"/>
      <c r="AD124" s="3934" t="n"/>
      <c r="AE124" s="3934" t="n"/>
      <c r="AF124" s="3934" t="n"/>
      <c r="AG124" s="3934" t="n"/>
      <c r="AH124" s="3934" t="n"/>
      <c r="AI124" s="3934" t="n"/>
      <c r="AJ124" s="3934" t="n"/>
      <c r="AK124" s="3934" t="n"/>
      <c r="AL124" s="3934" t="n"/>
      <c r="AM124" s="3934" t="n"/>
      <c r="AN124" s="3934" t="n"/>
      <c r="AO124" s="3934" t="n"/>
      <c r="AP124" s="3934" t="n"/>
      <c r="AQ124" s="3934" t="n"/>
      <c r="AR124" s="3934" t="n"/>
    </row>
    <row r="125">
      <c r="A125" s="3944" t="n"/>
      <c r="B125" s="3944" t="n"/>
      <c r="C125" s="3944" t="n"/>
      <c r="D125" s="3944" t="n"/>
      <c r="E125" s="3944" t="n"/>
      <c r="F125" s="3944" t="n"/>
      <c r="G125" s="3944" t="n"/>
      <c r="H125" s="3944" t="n"/>
      <c r="I125" s="3944" t="n"/>
      <c r="J125" s="3934" t="n"/>
      <c r="K125" s="3934" t="n"/>
      <c r="L125" s="3934" t="n"/>
      <c r="M125" s="3934" t="n"/>
      <c r="N125" s="3934" t="n"/>
      <c r="O125" s="3934" t="n"/>
      <c r="P125" s="3934" t="n"/>
      <c r="Q125" s="3934" t="n"/>
      <c r="R125" s="3934" t="n"/>
      <c r="S125" s="3934" t="n"/>
      <c r="T125" s="3934" t="n"/>
      <c r="U125" s="3934" t="n"/>
      <c r="V125" s="3934" t="n"/>
      <c r="W125" s="3934" t="n"/>
      <c r="X125" s="3934" t="n"/>
      <c r="Y125" s="3934" t="n"/>
      <c r="Z125" s="3934" t="n"/>
      <c r="AA125" s="3934" t="n"/>
      <c r="AB125" s="3934" t="n"/>
      <c r="AC125" s="3934" t="n"/>
      <c r="AD125" s="3934" t="n"/>
      <c r="AE125" s="3934" t="n"/>
      <c r="AF125" s="3934" t="n"/>
      <c r="AG125" s="3934" t="n"/>
      <c r="AH125" s="3934" t="n"/>
      <c r="AI125" s="3934" t="n"/>
      <c r="AJ125" s="3934" t="n"/>
      <c r="AK125" s="3934" t="n"/>
      <c r="AL125" s="3934" t="n"/>
      <c r="AM125" s="3934" t="n"/>
      <c r="AN125" s="3934" t="n"/>
      <c r="AO125" s="3934" t="n"/>
      <c r="AP125" s="3934" t="n"/>
      <c r="AQ125" s="3934" t="n"/>
      <c r="AR125" s="3934" t="n"/>
    </row>
    <row r="126">
      <c r="A126" s="3944" t="n"/>
      <c r="B126" s="3944" t="n"/>
      <c r="C126" s="3944" t="n"/>
      <c r="D126" s="3944" t="n"/>
      <c r="E126" s="3944" t="n"/>
      <c r="F126" s="3944" t="n"/>
      <c r="G126" s="3944" t="n"/>
      <c r="H126" s="3944" t="n"/>
      <c r="I126" s="3944" t="n"/>
      <c r="J126" s="3934" t="n"/>
      <c r="K126" s="3934" t="n"/>
      <c r="L126" s="3934" t="n"/>
      <c r="M126" s="3934" t="n"/>
      <c r="N126" s="3934" t="n"/>
      <c r="O126" s="3934" t="n"/>
      <c r="P126" s="3934" t="n"/>
      <c r="Q126" s="3934" t="n"/>
      <c r="R126" s="3934" t="n"/>
      <c r="S126" s="3934" t="n"/>
      <c r="T126" s="3934" t="n"/>
      <c r="U126" s="3934" t="n"/>
      <c r="V126" s="3934" t="n"/>
      <c r="W126" s="3934" t="n"/>
      <c r="X126" s="3934" t="n"/>
      <c r="Y126" s="3934" t="n"/>
      <c r="Z126" s="3934" t="n"/>
      <c r="AA126" s="3934" t="n"/>
      <c r="AB126" s="3934" t="n"/>
      <c r="AC126" s="3934" t="n"/>
      <c r="AD126" s="3934" t="n"/>
      <c r="AE126" s="3934" t="n"/>
      <c r="AF126" s="3934" t="n"/>
      <c r="AG126" s="3934" t="n"/>
      <c r="AH126" s="3934" t="n"/>
      <c r="AI126" s="3934" t="n"/>
      <c r="AJ126" s="3934" t="n"/>
      <c r="AK126" s="3934" t="n"/>
      <c r="AL126" s="3934" t="n"/>
      <c r="AM126" s="3934" t="n"/>
      <c r="AN126" s="3934" t="n"/>
      <c r="AO126" s="3934" t="n"/>
      <c r="AP126" s="3934" t="n"/>
      <c r="AQ126" s="3934" t="n"/>
      <c r="AR126" s="3934" t="n"/>
    </row>
    <row r="127">
      <c r="A127" s="3944" t="n"/>
      <c r="B127" s="3944" t="n"/>
      <c r="C127" s="3944" t="n"/>
      <c r="D127" s="3944" t="n"/>
      <c r="E127" s="3944" t="n"/>
      <c r="F127" s="3944" t="n"/>
      <c r="G127" s="3944" t="n"/>
      <c r="H127" s="3944" t="n"/>
      <c r="I127" s="3944" t="n"/>
      <c r="J127" s="3934" t="n"/>
      <c r="K127" s="3934" t="n"/>
      <c r="L127" s="3934" t="n"/>
      <c r="M127" s="3934" t="n"/>
      <c r="N127" s="3934" t="n"/>
      <c r="O127" s="3934" t="n"/>
      <c r="P127" s="3934" t="n"/>
      <c r="Q127" s="3934" t="n"/>
      <c r="R127" s="3934" t="n"/>
      <c r="S127" s="3934" t="n"/>
      <c r="T127" s="3934" t="n"/>
      <c r="U127" s="3934" t="n"/>
      <c r="V127" s="3934" t="n"/>
      <c r="W127" s="3934" t="n"/>
      <c r="X127" s="3934" t="n"/>
      <c r="Y127" s="3934" t="n"/>
      <c r="Z127" s="3934" t="n"/>
      <c r="AA127" s="3934" t="n"/>
      <c r="AB127" s="3934" t="n"/>
      <c r="AC127" s="3934" t="n"/>
      <c r="AD127" s="3934" t="n"/>
      <c r="AE127" s="3934" t="n"/>
      <c r="AF127" s="3934" t="n"/>
      <c r="AG127" s="3934" t="n"/>
      <c r="AH127" s="3934" t="n"/>
      <c r="AI127" s="3934" t="n"/>
      <c r="AJ127" s="3934" t="n"/>
      <c r="AK127" s="3934" t="n"/>
      <c r="AL127" s="3934" t="n"/>
      <c r="AM127" s="3934" t="n"/>
      <c r="AN127" s="3934" t="n"/>
      <c r="AO127" s="3934" t="n"/>
      <c r="AP127" s="3934" t="n"/>
      <c r="AQ127" s="3934" t="n"/>
      <c r="AR127" s="3934" t="n"/>
    </row>
    <row r="128">
      <c r="A128" s="3944" t="n"/>
      <c r="B128" s="3944" t="n"/>
      <c r="C128" s="3944" t="n"/>
      <c r="D128" s="3944" t="n"/>
      <c r="E128" s="3944" t="n"/>
      <c r="F128" s="3944" t="n"/>
      <c r="G128" s="3944" t="n"/>
      <c r="H128" s="3944" t="n"/>
      <c r="I128" s="3944" t="n"/>
      <c r="J128" s="3934" t="n"/>
      <c r="K128" s="3934" t="n"/>
      <c r="L128" s="3934" t="n"/>
      <c r="M128" s="3934" t="n"/>
      <c r="N128" s="3934" t="n"/>
      <c r="O128" s="3934" t="n"/>
      <c r="P128" s="3934" t="n"/>
      <c r="Q128" s="3934" t="n"/>
      <c r="R128" s="3934" t="n"/>
      <c r="S128" s="3934" t="n"/>
      <c r="T128" s="3934" t="n"/>
      <c r="U128" s="3934" t="n"/>
      <c r="V128" s="3934" t="n"/>
      <c r="W128" s="3934" t="n"/>
      <c r="X128" s="3934" t="n"/>
      <c r="Y128" s="3934" t="n"/>
      <c r="Z128" s="3934" t="n"/>
      <c r="AA128" s="3934" t="n"/>
      <c r="AB128" s="3934" t="n"/>
      <c r="AC128" s="3934" t="n"/>
      <c r="AD128" s="3934" t="n"/>
      <c r="AE128" s="3934" t="n"/>
      <c r="AF128" s="3934" t="n"/>
      <c r="AG128" s="3934" t="n"/>
      <c r="AH128" s="3934" t="n"/>
      <c r="AI128" s="3934" t="n"/>
      <c r="AJ128" s="3934" t="n"/>
      <c r="AK128" s="3934" t="n"/>
      <c r="AL128" s="3934" t="n"/>
      <c r="AM128" s="3934" t="n"/>
      <c r="AN128" s="3934" t="n"/>
      <c r="AO128" s="3934" t="n"/>
      <c r="AP128" s="3934" t="n"/>
      <c r="AQ128" s="3934" t="n"/>
      <c r="AR128" s="3934" t="n"/>
    </row>
    <row r="129">
      <c r="A129" s="3944" t="n"/>
      <c r="B129" s="3944" t="n"/>
      <c r="C129" s="3944" t="n"/>
      <c r="D129" s="3944" t="n"/>
      <c r="E129" s="3944" t="n"/>
      <c r="F129" s="3944" t="n"/>
      <c r="G129" s="3944" t="n"/>
      <c r="H129" s="3944" t="n"/>
      <c r="I129" s="3944" t="n"/>
      <c r="J129" s="3934" t="n"/>
      <c r="K129" s="3934" t="n"/>
      <c r="L129" s="3934" t="n"/>
      <c r="M129" s="3934" t="n"/>
      <c r="N129" s="3934" t="n"/>
      <c r="O129" s="3934" t="n"/>
      <c r="P129" s="3934" t="n"/>
      <c r="Q129" s="3934" t="n"/>
      <c r="R129" s="3934" t="n"/>
      <c r="S129" s="3934" t="n"/>
      <c r="T129" s="3934" t="n"/>
      <c r="U129" s="3934" t="n"/>
      <c r="V129" s="3934" t="n"/>
      <c r="W129" s="3934" t="n"/>
      <c r="X129" s="3934" t="n"/>
      <c r="Y129" s="3934" t="n"/>
      <c r="Z129" s="3934" t="n"/>
      <c r="AA129" s="3934" t="n"/>
      <c r="AB129" s="3934" t="n"/>
      <c r="AC129" s="3934" t="n"/>
      <c r="AD129" s="3934" t="n"/>
      <c r="AE129" s="3934" t="n"/>
      <c r="AF129" s="3934" t="n"/>
      <c r="AG129" s="3934" t="n"/>
      <c r="AH129" s="3934" t="n"/>
      <c r="AI129" s="3934" t="n"/>
      <c r="AJ129" s="3934" t="n"/>
      <c r="AK129" s="3934" t="n"/>
      <c r="AL129" s="3934" t="n"/>
      <c r="AM129" s="3934" t="n"/>
      <c r="AN129" s="3934" t="n"/>
      <c r="AO129" s="3934" t="n"/>
      <c r="AP129" s="3934" t="n"/>
      <c r="AQ129" s="3934" t="n"/>
      <c r="AR129" s="3934" t="n"/>
    </row>
    <row r="130">
      <c r="A130" s="3944" t="n"/>
      <c r="B130" s="3944" t="n"/>
      <c r="C130" s="3944" t="n"/>
      <c r="D130" s="3944" t="n"/>
      <c r="E130" s="3944" t="n"/>
      <c r="F130" s="3944" t="n"/>
      <c r="G130" s="3944" t="n"/>
      <c r="H130" s="3944" t="n"/>
      <c r="I130" s="3944" t="n"/>
      <c r="J130" s="3934" t="n"/>
      <c r="K130" s="3934" t="n"/>
      <c r="L130" s="3934" t="n"/>
      <c r="M130" s="3934" t="n"/>
      <c r="N130" s="3934" t="n"/>
      <c r="O130" s="3934" t="n"/>
      <c r="P130" s="3934" t="n"/>
      <c r="Q130" s="3934" t="n"/>
      <c r="R130" s="3934" t="n"/>
      <c r="S130" s="3934" t="n"/>
      <c r="T130" s="3934" t="n"/>
      <c r="U130" s="3934" t="n"/>
      <c r="V130" s="3934" t="n"/>
      <c r="W130" s="3934" t="n"/>
      <c r="X130" s="3934" t="n"/>
      <c r="Y130" s="3934" t="n"/>
      <c r="Z130" s="3934" t="n"/>
      <c r="AA130" s="3934" t="n"/>
      <c r="AB130" s="3934" t="n"/>
      <c r="AC130" s="3934" t="n"/>
      <c r="AD130" s="3934" t="n"/>
      <c r="AE130" s="3934" t="n"/>
      <c r="AF130" s="3934" t="n"/>
      <c r="AG130" s="3934" t="n"/>
      <c r="AH130" s="3934" t="n"/>
      <c r="AI130" s="3934" t="n"/>
      <c r="AJ130" s="3934" t="n"/>
      <c r="AK130" s="3934" t="n"/>
      <c r="AL130" s="3934" t="n"/>
      <c r="AM130" s="3934" t="n"/>
      <c r="AN130" s="3934" t="n"/>
      <c r="AO130" s="3934" t="n"/>
      <c r="AP130" s="3934" t="n"/>
      <c r="AQ130" s="3934" t="n"/>
      <c r="AR130" s="3934" t="n"/>
    </row>
    <row r="131">
      <c r="A131" s="3944" t="n"/>
      <c r="B131" s="3944" t="n"/>
      <c r="C131" s="3944" t="n"/>
      <c r="D131" s="3944" t="n"/>
      <c r="E131" s="3944" t="n"/>
      <c r="F131" s="3944" t="n"/>
      <c r="G131" s="3944" t="n"/>
      <c r="H131" s="3944" t="n"/>
      <c r="I131" s="3944" t="n"/>
      <c r="J131" s="3934" t="n"/>
      <c r="K131" s="3934" t="n"/>
      <c r="L131" s="3934" t="n"/>
      <c r="M131" s="3934" t="n"/>
      <c r="N131" s="3934" t="n"/>
      <c r="O131" s="3934" t="n"/>
      <c r="P131" s="3934" t="n"/>
      <c r="Q131" s="3934" t="n"/>
      <c r="R131" s="3934" t="n"/>
      <c r="S131" s="3934" t="n"/>
      <c r="T131" s="3934" t="n"/>
      <c r="U131" s="3934" t="n"/>
      <c r="V131" s="3934" t="n"/>
      <c r="W131" s="3934" t="n"/>
      <c r="X131" s="3934" t="n"/>
      <c r="Y131" s="3934" t="n"/>
      <c r="Z131" s="3934" t="n"/>
      <c r="AA131" s="3934" t="n"/>
      <c r="AB131" s="3934" t="n"/>
      <c r="AC131" s="3934" t="n"/>
      <c r="AD131" s="3934" t="n"/>
      <c r="AE131" s="3934" t="n"/>
      <c r="AF131" s="3934" t="n"/>
      <c r="AG131" s="3934" t="n"/>
      <c r="AH131" s="3934" t="n"/>
      <c r="AI131" s="3934" t="n"/>
      <c r="AJ131" s="3934" t="n"/>
      <c r="AK131" s="3934" t="n"/>
      <c r="AL131" s="3934" t="n"/>
      <c r="AM131" s="3934" t="n"/>
      <c r="AN131" s="3934" t="n"/>
      <c r="AO131" s="3934" t="n"/>
      <c r="AP131" s="3934" t="n"/>
      <c r="AQ131" s="3934" t="n"/>
      <c r="AR131" s="3934" t="n"/>
    </row>
    <row r="132">
      <c r="A132" s="3944" t="n"/>
      <c r="B132" s="3944" t="n"/>
      <c r="C132" s="3944" t="n"/>
      <c r="D132" s="3944" t="n"/>
      <c r="E132" s="3944" t="n"/>
      <c r="F132" s="3944" t="n"/>
      <c r="G132" s="3944" t="n"/>
      <c r="H132" s="3944" t="n"/>
      <c r="I132" s="3944" t="n"/>
      <c r="J132" s="3934" t="n"/>
      <c r="K132" s="3934" t="n"/>
      <c r="L132" s="3934" t="n"/>
      <c r="M132" s="3934" t="n"/>
      <c r="N132" s="3934" t="n"/>
      <c r="O132" s="3934" t="n"/>
      <c r="P132" s="3934" t="n"/>
      <c r="Q132" s="3934" t="n"/>
      <c r="R132" s="3934" t="n"/>
      <c r="S132" s="3934" t="n"/>
      <c r="T132" s="3934" t="n"/>
      <c r="U132" s="3934" t="n"/>
      <c r="V132" s="3934" t="n"/>
      <c r="W132" s="3934" t="n"/>
      <c r="X132" s="3934" t="n"/>
      <c r="Y132" s="3934" t="n"/>
      <c r="Z132" s="3934" t="n"/>
      <c r="AA132" s="3934" t="n"/>
      <c r="AB132" s="3934" t="n"/>
      <c r="AC132" s="3934" t="n"/>
      <c r="AD132" s="3934" t="n"/>
      <c r="AE132" s="3934" t="n"/>
      <c r="AF132" s="3934" t="n"/>
      <c r="AG132" s="3934" t="n"/>
      <c r="AH132" s="3934" t="n"/>
      <c r="AI132" s="3934" t="n"/>
      <c r="AJ132" s="3934" t="n"/>
      <c r="AK132" s="3934" t="n"/>
      <c r="AL132" s="3934" t="n"/>
      <c r="AM132" s="3934" t="n"/>
      <c r="AN132" s="3934" t="n"/>
      <c r="AO132" s="3934" t="n"/>
      <c r="AP132" s="3934" t="n"/>
      <c r="AQ132" s="3934" t="n"/>
      <c r="AR132" s="3934" t="n"/>
    </row>
    <row r="133">
      <c r="A133" s="3944" t="n"/>
      <c r="B133" s="3944" t="n"/>
      <c r="C133" s="3944" t="n"/>
      <c r="D133" s="3944" t="n"/>
      <c r="E133" s="3944" t="n"/>
      <c r="F133" s="3944" t="n"/>
      <c r="G133" s="3944" t="n"/>
      <c r="H133" s="3944" t="n"/>
      <c r="I133" s="3944" t="n"/>
      <c r="J133" s="3934" t="n"/>
      <c r="K133" s="3934" t="n"/>
      <c r="L133" s="3934" t="n"/>
      <c r="M133" s="3934" t="n"/>
      <c r="N133" s="3934" t="n"/>
      <c r="O133" s="3934" t="n"/>
      <c r="P133" s="3934" t="n"/>
      <c r="Q133" s="3934" t="n"/>
      <c r="R133" s="3934" t="n"/>
      <c r="S133" s="3934" t="n"/>
      <c r="T133" s="3934" t="n"/>
      <c r="U133" s="3934" t="n"/>
      <c r="V133" s="3934" t="n"/>
      <c r="W133" s="3934" t="n"/>
      <c r="X133" s="3934" t="n"/>
      <c r="Y133" s="3934" t="n"/>
      <c r="Z133" s="3934" t="n"/>
      <c r="AA133" s="3934" t="n"/>
      <c r="AB133" s="3934" t="n"/>
      <c r="AC133" s="3934" t="n"/>
      <c r="AD133" s="3934" t="n"/>
      <c r="AE133" s="3934" t="n"/>
      <c r="AF133" s="3934" t="n"/>
      <c r="AG133" s="3934" t="n"/>
      <c r="AH133" s="3934" t="n"/>
      <c r="AI133" s="3934" t="n"/>
      <c r="AJ133" s="3934" t="n"/>
      <c r="AK133" s="3934" t="n"/>
      <c r="AL133" s="3934" t="n"/>
      <c r="AM133" s="3934" t="n"/>
      <c r="AN133" s="3934" t="n"/>
      <c r="AO133" s="3934" t="n"/>
      <c r="AP133" s="3934" t="n"/>
      <c r="AQ133" s="3934" t="n"/>
      <c r="AR133" s="3934" t="n"/>
    </row>
    <row r="134">
      <c r="A134" s="3944" t="n"/>
      <c r="B134" s="3944" t="n"/>
      <c r="C134" s="3944" t="n"/>
      <c r="D134" s="3944" t="n"/>
      <c r="E134" s="3944" t="n"/>
      <c r="F134" s="3944" t="n"/>
      <c r="G134" s="3944" t="n"/>
      <c r="H134" s="3944" t="n"/>
      <c r="I134" s="3944" t="n"/>
      <c r="J134" s="3934" t="n"/>
      <c r="K134" s="3934" t="n"/>
      <c r="L134" s="3934" t="n"/>
      <c r="M134" s="3934" t="n"/>
      <c r="N134" s="3934" t="n"/>
      <c r="O134" s="3934" t="n"/>
      <c r="P134" s="3934" t="n"/>
      <c r="Q134" s="3934" t="n"/>
      <c r="R134" s="3934" t="n"/>
      <c r="S134" s="3934" t="n"/>
      <c r="T134" s="3934" t="n"/>
      <c r="U134" s="3934" t="n"/>
      <c r="V134" s="3934" t="n"/>
      <c r="W134" s="3934" t="n"/>
      <c r="X134" s="3934" t="n"/>
      <c r="Y134" s="3934" t="n"/>
      <c r="Z134" s="3934" t="n"/>
      <c r="AA134" s="3934" t="n"/>
      <c r="AB134" s="3934" t="n"/>
      <c r="AC134" s="3934" t="n"/>
      <c r="AD134" s="3934" t="n"/>
      <c r="AE134" s="3934" t="n"/>
      <c r="AF134" s="3934" t="n"/>
      <c r="AG134" s="3934" t="n"/>
      <c r="AH134" s="3934" t="n"/>
      <c r="AI134" s="3934" t="n"/>
      <c r="AJ134" s="3934" t="n"/>
      <c r="AK134" s="3934" t="n"/>
      <c r="AL134" s="3934" t="n"/>
      <c r="AM134" s="3934" t="n"/>
      <c r="AN134" s="3934" t="n"/>
      <c r="AO134" s="3934" t="n"/>
      <c r="AP134" s="3934" t="n"/>
      <c r="AQ134" s="3934" t="n"/>
      <c r="AR134" s="3934" t="n"/>
    </row>
    <row r="135">
      <c r="A135" s="3944" t="n"/>
      <c r="B135" s="3944" t="n"/>
      <c r="C135" s="3944" t="n"/>
      <c r="D135" s="3944" t="n"/>
      <c r="E135" s="3944" t="n"/>
      <c r="F135" s="3944" t="n"/>
      <c r="G135" s="3944" t="n"/>
      <c r="H135" s="3944" t="n"/>
      <c r="I135" s="3944" t="n"/>
      <c r="J135" s="3934" t="n"/>
      <c r="K135" s="3934" t="n"/>
      <c r="L135" s="3934" t="n"/>
      <c r="M135" s="3934" t="n"/>
      <c r="N135" s="3934" t="n"/>
      <c r="O135" s="3934" t="n"/>
      <c r="P135" s="3934" t="n"/>
      <c r="Q135" s="3934" t="n"/>
      <c r="R135" s="3934" t="n"/>
      <c r="S135" s="3934" t="n"/>
      <c r="T135" s="3934" t="n"/>
      <c r="U135" s="3934" t="n"/>
      <c r="V135" s="3934" t="n"/>
      <c r="W135" s="3934" t="n"/>
      <c r="X135" s="3934" t="n"/>
      <c r="Y135" s="3934" t="n"/>
      <c r="Z135" s="3934" t="n"/>
      <c r="AA135" s="3934" t="n"/>
      <c r="AB135" s="3934" t="n"/>
      <c r="AC135" s="3934" t="n"/>
      <c r="AD135" s="3934" t="n"/>
      <c r="AE135" s="3934" t="n"/>
      <c r="AF135" s="3934" t="n"/>
      <c r="AG135" s="3934" t="n"/>
      <c r="AH135" s="3934" t="n"/>
      <c r="AI135" s="3934" t="n"/>
      <c r="AJ135" s="3934" t="n"/>
      <c r="AK135" s="3934" t="n"/>
      <c r="AL135" s="3934" t="n"/>
      <c r="AM135" s="3934" t="n"/>
      <c r="AN135" s="3934" t="n"/>
      <c r="AO135" s="3934" t="n"/>
      <c r="AP135" s="3934" t="n"/>
      <c r="AQ135" s="3934" t="n"/>
      <c r="AR135" s="3934" t="n"/>
    </row>
    <row r="136">
      <c r="A136" s="3944" t="n"/>
      <c r="B136" s="3944" t="n"/>
      <c r="C136" s="3944" t="n"/>
      <c r="D136" s="3944" t="n"/>
      <c r="E136" s="3944" t="n"/>
      <c r="F136" s="3944" t="n"/>
      <c r="G136" s="3944" t="n"/>
      <c r="H136" s="3944" t="n"/>
      <c r="I136" s="3944" t="n"/>
      <c r="J136" s="3934" t="n"/>
      <c r="K136" s="3934" t="n"/>
      <c r="L136" s="3934" t="n"/>
      <c r="M136" s="3934" t="n"/>
      <c r="N136" s="3934" t="n"/>
      <c r="O136" s="3934" t="n"/>
      <c r="P136" s="3934" t="n"/>
      <c r="Q136" s="3934" t="n"/>
      <c r="R136" s="3934" t="n"/>
      <c r="S136" s="3934" t="n"/>
      <c r="T136" s="3934" t="n"/>
      <c r="U136" s="3934" t="n"/>
      <c r="V136" s="3934" t="n"/>
      <c r="W136" s="3934" t="n"/>
      <c r="X136" s="3934" t="n"/>
      <c r="Y136" s="3934" t="n"/>
      <c r="Z136" s="3934" t="n"/>
      <c r="AA136" s="3934" t="n"/>
      <c r="AB136" s="3934" t="n"/>
      <c r="AC136" s="3934" t="n"/>
      <c r="AD136" s="3934" t="n"/>
      <c r="AE136" s="3934" t="n"/>
      <c r="AF136" s="3934" t="n"/>
      <c r="AG136" s="3934" t="n"/>
      <c r="AH136" s="3934" t="n"/>
      <c r="AI136" s="3934" t="n"/>
      <c r="AJ136" s="3934" t="n"/>
      <c r="AK136" s="3934" t="n"/>
      <c r="AL136" s="3934" t="n"/>
      <c r="AM136" s="3934" t="n"/>
      <c r="AN136" s="3934" t="n"/>
      <c r="AO136" s="3934" t="n"/>
      <c r="AP136" s="3934" t="n"/>
      <c r="AQ136" s="3934" t="n"/>
      <c r="AR136" s="3934" t="n"/>
    </row>
    <row r="137">
      <c r="A137" s="3944" t="n"/>
      <c r="B137" s="3944" t="n"/>
      <c r="C137" s="3944" t="n"/>
      <c r="D137" s="3944" t="n"/>
      <c r="E137" s="3944" t="n"/>
      <c r="F137" s="3944" t="n"/>
      <c r="G137" s="3944" t="n"/>
      <c r="H137" s="3944" t="n"/>
      <c r="I137" s="3944" t="n"/>
      <c r="J137" s="3934" t="n"/>
      <c r="K137" s="3934" t="n"/>
      <c r="L137" s="3934" t="n"/>
      <c r="M137" s="3934" t="n"/>
      <c r="N137" s="3934" t="n"/>
      <c r="O137" s="3934" t="n"/>
      <c r="P137" s="3934" t="n"/>
      <c r="Q137" s="3934" t="n"/>
      <c r="R137" s="3934" t="n"/>
      <c r="S137" s="3934" t="n"/>
      <c r="T137" s="3934" t="n"/>
      <c r="U137" s="3934" t="n"/>
      <c r="V137" s="3934" t="n"/>
      <c r="W137" s="3934" t="n"/>
      <c r="X137" s="3934" t="n"/>
      <c r="Y137" s="3934" t="n"/>
      <c r="Z137" s="3934" t="n"/>
      <c r="AA137" s="3934" t="n"/>
      <c r="AB137" s="3934" t="n"/>
      <c r="AC137" s="3934" t="n"/>
      <c r="AD137" s="3934" t="n"/>
      <c r="AE137" s="3934" t="n"/>
      <c r="AF137" s="3934" t="n"/>
      <c r="AG137" s="3934" t="n"/>
      <c r="AH137" s="3934" t="n"/>
      <c r="AI137" s="3934" t="n"/>
      <c r="AJ137" s="3934" t="n"/>
      <c r="AK137" s="3934" t="n"/>
      <c r="AL137" s="3934" t="n"/>
      <c r="AM137" s="3934" t="n"/>
      <c r="AN137" s="3934" t="n"/>
      <c r="AO137" s="3934" t="n"/>
      <c r="AP137" s="3934" t="n"/>
      <c r="AQ137" s="3934" t="n"/>
      <c r="AR137" s="3934" t="n"/>
    </row>
    <row r="138">
      <c r="A138" s="3944" t="n"/>
      <c r="B138" s="3944" t="n"/>
      <c r="C138" s="3944" t="n"/>
      <c r="D138" s="3944" t="n"/>
      <c r="E138" s="3944" t="n"/>
      <c r="F138" s="3944" t="n"/>
      <c r="G138" s="3944" t="n"/>
      <c r="H138" s="3944" t="n"/>
      <c r="I138" s="3944" t="n"/>
      <c r="J138" s="3934" t="n"/>
      <c r="K138" s="3934" t="n"/>
      <c r="L138" s="3934" t="n"/>
      <c r="M138" s="3934" t="n"/>
      <c r="N138" s="3934" t="n"/>
      <c r="O138" s="3934" t="n"/>
      <c r="P138" s="3934" t="n"/>
      <c r="Q138" s="3934" t="n"/>
      <c r="R138" s="3934" t="n"/>
      <c r="S138" s="3934" t="n"/>
      <c r="T138" s="3934" t="n"/>
      <c r="U138" s="3934" t="n"/>
      <c r="V138" s="3934" t="n"/>
      <c r="W138" s="3934" t="n"/>
      <c r="X138" s="3934" t="n"/>
      <c r="Y138" s="3934" t="n"/>
      <c r="Z138" s="3934" t="n"/>
      <c r="AA138" s="3934" t="n"/>
      <c r="AB138" s="3934" t="n"/>
      <c r="AC138" s="3934" t="n"/>
      <c r="AD138" s="3934" t="n"/>
      <c r="AE138" s="3934" t="n"/>
      <c r="AF138" s="3934" t="n"/>
      <c r="AG138" s="3934" t="n"/>
      <c r="AH138" s="3934" t="n"/>
      <c r="AI138" s="3934" t="n"/>
      <c r="AJ138" s="3934" t="n"/>
      <c r="AK138" s="3934" t="n"/>
      <c r="AL138" s="3934" t="n"/>
      <c r="AM138" s="3934" t="n"/>
      <c r="AN138" s="3934" t="n"/>
      <c r="AO138" s="3934" t="n"/>
      <c r="AP138" s="3934" t="n"/>
      <c r="AQ138" s="3934" t="n"/>
      <c r="AR138" s="3934" t="n"/>
    </row>
    <row r="139">
      <c r="A139" s="3944" t="n"/>
      <c r="B139" s="3944" t="n"/>
      <c r="C139" s="3944" t="n"/>
      <c r="D139" s="3944" t="n"/>
      <c r="E139" s="3944" t="n"/>
      <c r="F139" s="3944" t="n"/>
      <c r="G139" s="3944" t="n"/>
      <c r="H139" s="3944" t="n"/>
      <c r="I139" s="3944" t="n"/>
      <c r="J139" s="3934" t="n"/>
      <c r="K139" s="3934" t="n"/>
      <c r="L139" s="3934" t="n"/>
      <c r="M139" s="3934" t="n"/>
      <c r="N139" s="3934" t="n"/>
      <c r="O139" s="3934" t="n"/>
      <c r="P139" s="3934" t="n"/>
      <c r="Q139" s="3934" t="n"/>
      <c r="R139" s="3934" t="n"/>
      <c r="S139" s="3934" t="n"/>
      <c r="T139" s="3934" t="n"/>
      <c r="U139" s="3934" t="n"/>
      <c r="V139" s="3934" t="n"/>
      <c r="W139" s="3934" t="n"/>
      <c r="X139" s="3934" t="n"/>
      <c r="Y139" s="3934" t="n"/>
      <c r="Z139" s="3934" t="n"/>
      <c r="AA139" s="3934" t="n"/>
      <c r="AB139" s="3934" t="n"/>
      <c r="AC139" s="3934" t="n"/>
      <c r="AD139" s="3934" t="n"/>
      <c r="AE139" s="3934" t="n"/>
      <c r="AF139" s="3934" t="n"/>
      <c r="AG139" s="3934" t="n"/>
      <c r="AH139" s="3934" t="n"/>
      <c r="AI139" s="3934" t="n"/>
      <c r="AJ139" s="3934" t="n"/>
      <c r="AK139" s="3934" t="n"/>
      <c r="AL139" s="3934" t="n"/>
      <c r="AM139" s="3934" t="n"/>
      <c r="AN139" s="3934" t="n"/>
      <c r="AO139" s="3934" t="n"/>
      <c r="AP139" s="3934" t="n"/>
      <c r="AQ139" s="3934" t="n"/>
      <c r="AR139" s="3934" t="n"/>
    </row>
    <row r="140">
      <c r="A140" s="3944" t="n"/>
      <c r="B140" s="3944" t="n"/>
      <c r="C140" s="3944" t="n"/>
      <c r="D140" s="3944" t="n"/>
      <c r="E140" s="3944" t="n"/>
      <c r="F140" s="3944" t="n"/>
      <c r="G140" s="3944" t="n"/>
      <c r="H140" s="3944" t="n"/>
      <c r="I140" s="3944" t="n"/>
      <c r="J140" s="3934" t="n"/>
      <c r="K140" s="3934" t="n"/>
      <c r="L140" s="3934" t="n"/>
      <c r="M140" s="3934" t="n"/>
      <c r="N140" s="3934" t="n"/>
      <c r="O140" s="3934" t="n"/>
      <c r="P140" s="3934" t="n"/>
      <c r="Q140" s="3934" t="n"/>
      <c r="R140" s="3934" t="n"/>
      <c r="S140" s="3934" t="n"/>
      <c r="T140" s="3934" t="n"/>
      <c r="U140" s="3934" t="n"/>
      <c r="V140" s="3934" t="n"/>
      <c r="W140" s="3934" t="n"/>
      <c r="X140" s="3934" t="n"/>
      <c r="Y140" s="3934" t="n"/>
      <c r="Z140" s="3934" t="n"/>
      <c r="AA140" s="3934" t="n"/>
      <c r="AB140" s="3934" t="n"/>
      <c r="AC140" s="3934" t="n"/>
      <c r="AD140" s="3934" t="n"/>
      <c r="AE140" s="3934" t="n"/>
      <c r="AF140" s="3934" t="n"/>
      <c r="AG140" s="3934" t="n"/>
      <c r="AH140" s="3934" t="n"/>
      <c r="AI140" s="3934" t="n"/>
      <c r="AJ140" s="3934" t="n"/>
      <c r="AK140" s="3934" t="n"/>
      <c r="AL140" s="3934" t="n"/>
      <c r="AM140" s="3934" t="n"/>
      <c r="AN140" s="3934" t="n"/>
      <c r="AO140" s="3934" t="n"/>
      <c r="AP140" s="3934" t="n"/>
      <c r="AQ140" s="3934" t="n"/>
      <c r="AR140" s="3934" t="n"/>
    </row>
    <row r="141">
      <c r="A141" s="3944" t="n"/>
      <c r="B141" s="3944" t="n"/>
      <c r="C141" s="3944" t="n"/>
      <c r="D141" s="3944" t="n"/>
      <c r="E141" s="3944" t="n"/>
      <c r="F141" s="3944" t="n"/>
      <c r="G141" s="3944" t="n"/>
      <c r="H141" s="3944" t="n"/>
      <c r="I141" s="3944" t="n"/>
      <c r="J141" s="3934" t="n"/>
      <c r="K141" s="3934" t="n"/>
      <c r="L141" s="3934" t="n"/>
      <c r="M141" s="3934" t="n"/>
      <c r="N141" s="3934" t="n"/>
      <c r="O141" s="3934" t="n"/>
      <c r="P141" s="3934" t="n"/>
      <c r="Q141" s="3934" t="n"/>
      <c r="R141" s="3934" t="n"/>
      <c r="S141" s="3934" t="n"/>
      <c r="T141" s="3934" t="n"/>
      <c r="U141" s="3934" t="n"/>
      <c r="V141" s="3934" t="n"/>
      <c r="W141" s="3934" t="n"/>
      <c r="X141" s="3934" t="n"/>
      <c r="Y141" s="3934" t="n"/>
      <c r="Z141" s="3934" t="n"/>
      <c r="AA141" s="3934" t="n"/>
      <c r="AB141" s="3934" t="n"/>
      <c r="AC141" s="3934" t="n"/>
      <c r="AD141" s="3934" t="n"/>
      <c r="AE141" s="3934" t="n"/>
      <c r="AF141" s="3934" t="n"/>
      <c r="AG141" s="3934" t="n"/>
      <c r="AH141" s="3934" t="n"/>
      <c r="AI141" s="3934" t="n"/>
      <c r="AJ141" s="3934" t="n"/>
      <c r="AK141" s="3934" t="n"/>
      <c r="AL141" s="3934" t="n"/>
      <c r="AM141" s="3934" t="n"/>
      <c r="AN141" s="3934" t="n"/>
      <c r="AO141" s="3934" t="n"/>
      <c r="AP141" s="3934" t="n"/>
      <c r="AQ141" s="3934" t="n"/>
      <c r="AR141" s="3934" t="n"/>
    </row>
    <row r="142">
      <c r="A142" s="3944" t="n"/>
      <c r="B142" s="3944" t="n"/>
      <c r="C142" s="3944" t="n"/>
      <c r="D142" s="3944" t="n"/>
      <c r="E142" s="3944" t="n"/>
      <c r="F142" s="3944" t="n"/>
      <c r="G142" s="3944" t="n"/>
      <c r="H142" s="3944" t="n"/>
      <c r="I142" s="3944" t="n"/>
      <c r="J142" s="3934" t="n"/>
      <c r="K142" s="3934" t="n"/>
      <c r="L142" s="3934" t="n"/>
      <c r="M142" s="3934" t="n"/>
      <c r="N142" s="3934" t="n"/>
      <c r="O142" s="3934" t="n"/>
      <c r="P142" s="3934" t="n"/>
      <c r="Q142" s="3934" t="n"/>
      <c r="R142" s="3934" t="n"/>
      <c r="S142" s="3934" t="n"/>
      <c r="T142" s="3934" t="n"/>
      <c r="U142" s="3934" t="n"/>
      <c r="V142" s="3934" t="n"/>
      <c r="W142" s="3934" t="n"/>
      <c r="X142" s="3934" t="n"/>
      <c r="Y142" s="3934" t="n"/>
      <c r="Z142" s="3934" t="n"/>
      <c r="AA142" s="3934" t="n"/>
      <c r="AB142" s="3934" t="n"/>
      <c r="AC142" s="3934" t="n"/>
      <c r="AD142" s="3934" t="n"/>
      <c r="AE142" s="3934" t="n"/>
      <c r="AF142" s="3934" t="n"/>
      <c r="AG142" s="3934" t="n"/>
      <c r="AH142" s="3934" t="n"/>
      <c r="AI142" s="3934" t="n"/>
      <c r="AJ142" s="3934" t="n"/>
      <c r="AK142" s="3934" t="n"/>
      <c r="AL142" s="3934" t="n"/>
      <c r="AM142" s="3934" t="n"/>
      <c r="AN142" s="3934" t="n"/>
      <c r="AO142" s="3934" t="n"/>
      <c r="AP142" s="3934" t="n"/>
      <c r="AQ142" s="3934" t="n"/>
      <c r="AR142" s="3934" t="n"/>
    </row>
    <row r="143">
      <c r="A143" s="3944" t="n"/>
      <c r="B143" s="3944" t="n"/>
      <c r="C143" s="3944" t="n"/>
      <c r="D143" s="3944" t="n"/>
      <c r="E143" s="3944" t="n"/>
      <c r="F143" s="3944" t="n"/>
      <c r="G143" s="3944" t="n"/>
      <c r="H143" s="3944" t="n"/>
      <c r="I143" s="3944" t="n"/>
      <c r="J143" s="3934" t="n"/>
      <c r="K143" s="3934" t="n"/>
      <c r="L143" s="3934" t="n"/>
      <c r="M143" s="3934" t="n"/>
      <c r="N143" s="3934" t="n"/>
      <c r="O143" s="3934" t="n"/>
      <c r="P143" s="3934" t="n"/>
      <c r="Q143" s="3934" t="n"/>
      <c r="R143" s="3934" t="n"/>
      <c r="S143" s="3934" t="n"/>
      <c r="T143" s="3934" t="n"/>
      <c r="U143" s="3934" t="n"/>
      <c r="V143" s="3934" t="n"/>
      <c r="W143" s="3934" t="n"/>
      <c r="X143" s="3934" t="n"/>
      <c r="Y143" s="3934" t="n"/>
      <c r="Z143" s="3934" t="n"/>
      <c r="AA143" s="3934" t="n"/>
      <c r="AB143" s="3934" t="n"/>
      <c r="AC143" s="3934" t="n"/>
      <c r="AD143" s="3934" t="n"/>
      <c r="AE143" s="3934" t="n"/>
      <c r="AF143" s="3934" t="n"/>
      <c r="AG143" s="3934" t="n"/>
      <c r="AH143" s="3934" t="n"/>
      <c r="AI143" s="3934" t="n"/>
      <c r="AJ143" s="3934" t="n"/>
      <c r="AK143" s="3934" t="n"/>
      <c r="AL143" s="3934" t="n"/>
      <c r="AM143" s="3934" t="n"/>
      <c r="AN143" s="3934" t="n"/>
      <c r="AO143" s="3934" t="n"/>
      <c r="AP143" s="3934" t="n"/>
      <c r="AQ143" s="3934" t="n"/>
      <c r="AR143" s="3934" t="n"/>
    </row>
    <row r="144">
      <c r="A144" s="3944" t="n"/>
      <c r="B144" s="3944" t="n"/>
      <c r="C144" s="3944" t="n"/>
      <c r="D144" s="3944" t="n"/>
      <c r="E144" s="3944" t="n"/>
      <c r="F144" s="3944" t="n"/>
      <c r="G144" s="3944" t="n"/>
      <c r="H144" s="3944" t="n"/>
      <c r="I144" s="3944" t="n"/>
      <c r="J144" s="3934" t="n"/>
      <c r="K144" s="3934" t="n"/>
      <c r="L144" s="3934" t="n"/>
      <c r="M144" s="3934" t="n"/>
      <c r="N144" s="3934" t="n"/>
      <c r="O144" s="3934" t="n"/>
      <c r="P144" s="3934" t="n"/>
      <c r="Q144" s="3934" t="n"/>
      <c r="R144" s="3934" t="n"/>
      <c r="S144" s="3934" t="n"/>
      <c r="T144" s="3934" t="n"/>
      <c r="U144" s="3934" t="n"/>
      <c r="V144" s="3934" t="n"/>
      <c r="W144" s="3934" t="n"/>
      <c r="X144" s="3934" t="n"/>
      <c r="Y144" s="3934" t="n"/>
      <c r="Z144" s="3934" t="n"/>
      <c r="AA144" s="3934" t="n"/>
      <c r="AB144" s="3934" t="n"/>
      <c r="AC144" s="3934" t="n"/>
      <c r="AD144" s="3934" t="n"/>
      <c r="AE144" s="3934" t="n"/>
      <c r="AF144" s="3934" t="n"/>
      <c r="AG144" s="3934" t="n"/>
      <c r="AH144" s="3934" t="n"/>
      <c r="AI144" s="3934" t="n"/>
      <c r="AJ144" s="3934" t="n"/>
      <c r="AK144" s="3934" t="n"/>
      <c r="AL144" s="3934" t="n"/>
      <c r="AM144" s="3934" t="n"/>
      <c r="AN144" s="3934" t="n"/>
      <c r="AO144" s="3934" t="n"/>
      <c r="AP144" s="3934" t="n"/>
      <c r="AQ144" s="3934" t="n"/>
      <c r="AR144" s="3934" t="n"/>
    </row>
    <row r="145">
      <c r="A145" s="3944" t="n"/>
      <c r="B145" s="3944" t="n"/>
      <c r="C145" s="3944" t="n"/>
      <c r="D145" s="3944" t="n"/>
      <c r="E145" s="3944" t="n"/>
      <c r="F145" s="3944" t="n"/>
      <c r="G145" s="3944" t="n"/>
      <c r="H145" s="3944" t="n"/>
      <c r="I145" s="3944" t="n"/>
      <c r="J145" s="3934" t="n"/>
      <c r="K145" s="3934" t="n"/>
      <c r="L145" s="3934" t="n"/>
      <c r="M145" s="3934" t="n"/>
      <c r="N145" s="3934" t="n"/>
      <c r="O145" s="3934" t="n"/>
      <c r="P145" s="3934" t="n"/>
      <c r="Q145" s="3934" t="n"/>
      <c r="R145" s="3934" t="n"/>
      <c r="S145" s="3934" t="n"/>
      <c r="T145" s="3934" t="n"/>
      <c r="U145" s="3934" t="n"/>
      <c r="V145" s="3934" t="n"/>
      <c r="W145" s="3934" t="n"/>
      <c r="X145" s="3934" t="n"/>
      <c r="Y145" s="3934" t="n"/>
      <c r="Z145" s="3934" t="n"/>
      <c r="AA145" s="3934" t="n"/>
      <c r="AB145" s="3934" t="n"/>
      <c r="AC145" s="3934" t="n"/>
      <c r="AD145" s="3934" t="n"/>
      <c r="AE145" s="3934" t="n"/>
      <c r="AF145" s="3934" t="n"/>
      <c r="AG145" s="3934" t="n"/>
      <c r="AH145" s="3934" t="n"/>
      <c r="AI145" s="3934" t="n"/>
      <c r="AJ145" s="3934" t="n"/>
      <c r="AK145" s="3934" t="n"/>
      <c r="AL145" s="3934" t="n"/>
      <c r="AM145" s="3934" t="n"/>
      <c r="AN145" s="3934" t="n"/>
      <c r="AO145" s="3934" t="n"/>
      <c r="AP145" s="3934" t="n"/>
      <c r="AQ145" s="3934" t="n"/>
      <c r="AR145" s="3934" t="n"/>
    </row>
    <row r="146">
      <c r="A146" s="3944" t="n"/>
      <c r="B146" s="3944" t="n"/>
      <c r="C146" s="3944" t="n"/>
      <c r="D146" s="3944" t="n"/>
      <c r="E146" s="3944" t="n"/>
      <c r="F146" s="3944" t="n"/>
      <c r="G146" s="3944" t="n"/>
      <c r="H146" s="3944" t="n"/>
      <c r="I146" s="3944" t="n"/>
      <c r="J146" s="3934" t="n"/>
      <c r="K146" s="3934" t="n"/>
      <c r="L146" s="3934" t="n"/>
      <c r="M146" s="3934" t="n"/>
      <c r="N146" s="3934" t="n"/>
      <c r="O146" s="3934" t="n"/>
      <c r="P146" s="3934" t="n"/>
      <c r="Q146" s="3934" t="n"/>
      <c r="R146" s="3934" t="n"/>
      <c r="S146" s="3934" t="n"/>
      <c r="T146" s="3934" t="n"/>
      <c r="U146" s="3934" t="n"/>
      <c r="V146" s="3934" t="n"/>
      <c r="W146" s="3934" t="n"/>
      <c r="X146" s="3934" t="n"/>
      <c r="Y146" s="3934" t="n"/>
      <c r="Z146" s="3934" t="n"/>
      <c r="AA146" s="3934" t="n"/>
      <c r="AB146" s="3934" t="n"/>
      <c r="AC146" s="3934" t="n"/>
      <c r="AD146" s="3934" t="n"/>
      <c r="AE146" s="3934" t="n"/>
      <c r="AF146" s="3934" t="n"/>
      <c r="AG146" s="3934" t="n"/>
      <c r="AH146" s="3934" t="n"/>
      <c r="AI146" s="3934" t="n"/>
      <c r="AJ146" s="3934" t="n"/>
      <c r="AK146" s="3934" t="n"/>
      <c r="AL146" s="3934" t="n"/>
      <c r="AM146" s="3934" t="n"/>
      <c r="AN146" s="3934" t="n"/>
      <c r="AO146" s="3934" t="n"/>
      <c r="AP146" s="3934" t="n"/>
      <c r="AQ146" s="3934" t="n"/>
      <c r="AR146" s="3934" t="n"/>
    </row>
    <row r="147">
      <c r="A147" s="3944" t="n"/>
      <c r="B147" s="3944" t="n"/>
      <c r="C147" s="3944" t="n"/>
      <c r="D147" s="3944" t="n"/>
      <c r="E147" s="3944" t="n"/>
      <c r="F147" s="3944" t="n"/>
      <c r="G147" s="3944" t="n"/>
      <c r="H147" s="3944" t="n"/>
      <c r="I147" s="3944" t="n"/>
      <c r="J147" s="3934" t="n"/>
      <c r="K147" s="3934" t="n"/>
      <c r="L147" s="3934" t="n"/>
      <c r="M147" s="3934" t="n"/>
      <c r="N147" s="3934" t="n"/>
      <c r="O147" s="3934" t="n"/>
      <c r="P147" s="3934" t="n"/>
      <c r="Q147" s="3934" t="n"/>
      <c r="R147" s="3934" t="n"/>
      <c r="S147" s="3934" t="n"/>
      <c r="T147" s="3934" t="n"/>
      <c r="U147" s="3934" t="n"/>
      <c r="V147" s="3934" t="n"/>
      <c r="W147" s="3934" t="n"/>
      <c r="X147" s="3934" t="n"/>
      <c r="Y147" s="3934" t="n"/>
      <c r="Z147" s="3934" t="n"/>
      <c r="AA147" s="3934" t="n"/>
      <c r="AB147" s="3934" t="n"/>
      <c r="AC147" s="3934" t="n"/>
      <c r="AD147" s="3934" t="n"/>
      <c r="AE147" s="3934" t="n"/>
      <c r="AF147" s="3934" t="n"/>
      <c r="AG147" s="3934" t="n"/>
      <c r="AH147" s="3934" t="n"/>
      <c r="AI147" s="3934" t="n"/>
      <c r="AJ147" s="3934" t="n"/>
      <c r="AK147" s="3934" t="n"/>
      <c r="AL147" s="3934" t="n"/>
      <c r="AM147" s="3934" t="n"/>
      <c r="AN147" s="3934" t="n"/>
      <c r="AO147" s="3934" t="n"/>
      <c r="AP147" s="3934" t="n"/>
      <c r="AQ147" s="3934" t="n"/>
      <c r="AR147" s="3934" t="n"/>
    </row>
    <row r="148">
      <c r="A148" s="3944" t="n"/>
      <c r="B148" s="3944" t="n"/>
      <c r="C148" s="3944" t="n"/>
      <c r="D148" s="3944" t="n"/>
      <c r="E148" s="3944" t="n"/>
      <c r="F148" s="3944" t="n"/>
      <c r="G148" s="3944" t="n"/>
      <c r="H148" s="3944" t="n"/>
      <c r="I148" s="3944" t="n"/>
      <c r="J148" s="3934" t="n"/>
      <c r="K148" s="3934" t="n"/>
      <c r="L148" s="3934" t="n"/>
      <c r="M148" s="3934" t="n"/>
      <c r="N148" s="3934" t="n"/>
      <c r="O148" s="3934" t="n"/>
      <c r="P148" s="3934" t="n"/>
      <c r="Q148" s="3934" t="n"/>
      <c r="R148" s="3934" t="n"/>
      <c r="S148" s="3934" t="n"/>
      <c r="T148" s="3934" t="n"/>
      <c r="U148" s="3934" t="n"/>
      <c r="V148" s="3934" t="n"/>
      <c r="W148" s="3934" t="n"/>
      <c r="X148" s="3934" t="n"/>
      <c r="Y148" s="3934" t="n"/>
      <c r="Z148" s="3934" t="n"/>
      <c r="AA148" s="3934" t="n"/>
      <c r="AB148" s="3934" t="n"/>
      <c r="AC148" s="3934" t="n"/>
      <c r="AD148" s="3934" t="n"/>
      <c r="AE148" s="3934" t="n"/>
      <c r="AF148" s="3934" t="n"/>
      <c r="AG148" s="3934" t="n"/>
      <c r="AH148" s="3934" t="n"/>
      <c r="AI148" s="3934" t="n"/>
      <c r="AJ148" s="3934" t="n"/>
      <c r="AK148" s="3934" t="n"/>
      <c r="AL148" s="3934" t="n"/>
      <c r="AM148" s="3934" t="n"/>
      <c r="AN148" s="3934" t="n"/>
      <c r="AO148" s="3934" t="n"/>
      <c r="AP148" s="3934" t="n"/>
      <c r="AQ148" s="3934" t="n"/>
      <c r="AR148" s="3934" t="n"/>
    </row>
    <row r="149">
      <c r="A149" s="3944" t="n"/>
      <c r="B149" s="3944" t="n"/>
      <c r="C149" s="3944" t="n"/>
      <c r="D149" s="3944" t="n"/>
      <c r="E149" s="3944" t="n"/>
      <c r="F149" s="3944" t="n"/>
      <c r="G149" s="3944" t="n"/>
      <c r="H149" s="3944" t="n"/>
      <c r="I149" s="3944" t="n"/>
      <c r="J149" s="3934" t="n"/>
      <c r="K149" s="3934" t="n"/>
      <c r="L149" s="3934" t="n"/>
      <c r="M149" s="3934" t="n"/>
      <c r="N149" s="3934" t="n"/>
      <c r="O149" s="3934" t="n"/>
      <c r="P149" s="3934" t="n"/>
      <c r="Q149" s="3934" t="n"/>
      <c r="R149" s="3934" t="n"/>
      <c r="S149" s="3934" t="n"/>
      <c r="T149" s="3934" t="n"/>
      <c r="U149" s="3934" t="n"/>
      <c r="V149" s="3934" t="n"/>
      <c r="W149" s="3934" t="n"/>
      <c r="X149" s="3934" t="n"/>
      <c r="Y149" s="3934" t="n"/>
      <c r="Z149" s="3934" t="n"/>
      <c r="AA149" s="3934" t="n"/>
      <c r="AB149" s="3934" t="n"/>
      <c r="AC149" s="3934" t="n"/>
      <c r="AD149" s="3934" t="n"/>
      <c r="AE149" s="3934" t="n"/>
      <c r="AF149" s="3934" t="n"/>
      <c r="AG149" s="3934" t="n"/>
      <c r="AH149" s="3934" t="n"/>
      <c r="AI149" s="3934" t="n"/>
      <c r="AJ149" s="3934" t="n"/>
      <c r="AK149" s="3934" t="n"/>
      <c r="AL149" s="3934" t="n"/>
      <c r="AM149" s="3934" t="n"/>
      <c r="AN149" s="3934" t="n"/>
      <c r="AO149" s="3934" t="n"/>
      <c r="AP149" s="3934" t="n"/>
      <c r="AQ149" s="3934" t="n"/>
      <c r="AR149" s="3934" t="n"/>
    </row>
    <row r="150">
      <c r="A150" s="3944" t="n"/>
      <c r="B150" s="3944" t="n"/>
      <c r="C150" s="3944" t="n"/>
      <c r="D150" s="3944" t="n"/>
      <c r="E150" s="3944" t="n"/>
      <c r="F150" s="3944" t="n"/>
      <c r="G150" s="3944" t="n"/>
      <c r="H150" s="3944" t="n"/>
      <c r="I150" s="3944" t="n"/>
      <c r="J150" s="3934" t="n"/>
      <c r="K150" s="3934" t="n"/>
      <c r="L150" s="3934" t="n"/>
      <c r="M150" s="3934" t="n"/>
      <c r="N150" s="3934" t="n"/>
      <c r="O150" s="3934" t="n"/>
      <c r="P150" s="3934" t="n"/>
      <c r="Q150" s="3934" t="n"/>
      <c r="R150" s="3934" t="n"/>
      <c r="S150" s="3934" t="n"/>
      <c r="T150" s="3934" t="n"/>
      <c r="U150" s="3934" t="n"/>
      <c r="V150" s="3934" t="n"/>
      <c r="W150" s="3934" t="n"/>
      <c r="X150" s="3934" t="n"/>
      <c r="Y150" s="3934" t="n"/>
      <c r="Z150" s="3934" t="n"/>
      <c r="AA150" s="3934" t="n"/>
      <c r="AB150" s="3934" t="n"/>
      <c r="AC150" s="3934" t="n"/>
      <c r="AD150" s="3934" t="n"/>
      <c r="AE150" s="3934" t="n"/>
      <c r="AF150" s="3934" t="n"/>
      <c r="AG150" s="3934" t="n"/>
      <c r="AH150" s="3934" t="n"/>
      <c r="AI150" s="3934" t="n"/>
      <c r="AJ150" s="3934" t="n"/>
      <c r="AK150" s="3934" t="n"/>
      <c r="AL150" s="3934" t="n"/>
      <c r="AM150" s="3934" t="n"/>
      <c r="AN150" s="3934" t="n"/>
      <c r="AO150" s="3934" t="n"/>
      <c r="AP150" s="3934" t="n"/>
      <c r="AQ150" s="3934" t="n"/>
      <c r="AR150" s="3934" t="n"/>
    </row>
    <row r="151">
      <c r="A151" s="3944" t="n"/>
      <c r="B151" s="3944" t="n"/>
      <c r="C151" s="3944" t="n"/>
      <c r="D151" s="3944" t="n"/>
      <c r="E151" s="3944" t="n"/>
      <c r="F151" s="3944" t="n"/>
      <c r="G151" s="3944" t="n"/>
      <c r="H151" s="3944" t="n"/>
      <c r="I151" s="3944" t="n"/>
      <c r="J151" s="3934" t="n"/>
      <c r="K151" s="3934" t="n"/>
      <c r="L151" s="3934" t="n"/>
      <c r="M151" s="3934" t="n"/>
      <c r="N151" s="3934" t="n"/>
      <c r="O151" s="3934" t="n"/>
      <c r="P151" s="3934" t="n"/>
      <c r="Q151" s="3934" t="n"/>
      <c r="R151" s="3934" t="n"/>
      <c r="S151" s="3934" t="n"/>
      <c r="T151" s="3934" t="n"/>
      <c r="U151" s="3934" t="n"/>
      <c r="V151" s="3934" t="n"/>
      <c r="W151" s="3934" t="n"/>
      <c r="X151" s="3934" t="n"/>
      <c r="Y151" s="3934" t="n"/>
      <c r="Z151" s="3934" t="n"/>
      <c r="AA151" s="3934" t="n"/>
      <c r="AB151" s="3934" t="n"/>
      <c r="AC151" s="3934" t="n"/>
      <c r="AD151" s="3934" t="n"/>
      <c r="AE151" s="3934" t="n"/>
      <c r="AF151" s="3934" t="n"/>
      <c r="AG151" s="3934" t="n"/>
      <c r="AH151" s="3934" t="n"/>
      <c r="AI151" s="3934" t="n"/>
      <c r="AJ151" s="3934" t="n"/>
      <c r="AK151" s="3934" t="n"/>
      <c r="AL151" s="3934" t="n"/>
      <c r="AM151" s="3934" t="n"/>
      <c r="AN151" s="3934" t="n"/>
      <c r="AO151" s="3934" t="n"/>
      <c r="AP151" s="3934" t="n"/>
      <c r="AQ151" s="3934" t="n"/>
      <c r="AR151" s="3934" t="n"/>
    </row>
    <row r="152">
      <c r="A152" s="3944" t="n"/>
      <c r="B152" s="3944" t="n"/>
      <c r="C152" s="3944" t="n"/>
      <c r="D152" s="3944" t="n"/>
      <c r="E152" s="3944" t="n"/>
      <c r="F152" s="3944" t="n"/>
      <c r="G152" s="3944" t="n"/>
      <c r="H152" s="3944" t="n"/>
      <c r="I152" s="3944" t="n"/>
      <c r="J152" s="3934" t="n"/>
      <c r="K152" s="3934" t="n"/>
      <c r="L152" s="3934" t="n"/>
      <c r="M152" s="3934" t="n"/>
      <c r="N152" s="3934" t="n"/>
      <c r="O152" s="3934" t="n"/>
      <c r="P152" s="3934" t="n"/>
      <c r="Q152" s="3934" t="n"/>
      <c r="R152" s="3934" t="n"/>
      <c r="S152" s="3934" t="n"/>
      <c r="T152" s="3934" t="n"/>
      <c r="U152" s="3934" t="n"/>
      <c r="V152" s="3934" t="n"/>
      <c r="W152" s="3934" t="n"/>
      <c r="X152" s="3934" t="n"/>
      <c r="Y152" s="3934" t="n"/>
      <c r="Z152" s="3934" t="n"/>
      <c r="AA152" s="3934" t="n"/>
      <c r="AB152" s="3934" t="n"/>
      <c r="AC152" s="3934" t="n"/>
      <c r="AD152" s="3934" t="n"/>
      <c r="AE152" s="3934" t="n"/>
      <c r="AF152" s="3934" t="n"/>
      <c r="AG152" s="3934" t="n"/>
      <c r="AH152" s="3934" t="n"/>
      <c r="AI152" s="3934" t="n"/>
      <c r="AJ152" s="3934" t="n"/>
      <c r="AK152" s="3934" t="n"/>
      <c r="AL152" s="3934" t="n"/>
      <c r="AM152" s="3934" t="n"/>
      <c r="AN152" s="3934" t="n"/>
      <c r="AO152" s="3934" t="n"/>
      <c r="AP152" s="3934" t="n"/>
      <c r="AQ152" s="3934" t="n"/>
      <c r="AR152" s="3934" t="n"/>
    </row>
    <row r="153">
      <c r="A153" s="3944" t="n"/>
      <c r="B153" s="3944" t="n"/>
      <c r="C153" s="3944" t="n"/>
      <c r="D153" s="3944" t="n"/>
      <c r="E153" s="3944" t="n"/>
      <c r="F153" s="3944" t="n"/>
      <c r="G153" s="3944" t="n"/>
      <c r="H153" s="3944" t="n"/>
      <c r="I153" s="3944" t="n"/>
      <c r="J153" s="3934" t="n"/>
      <c r="K153" s="3934" t="n"/>
      <c r="L153" s="3934" t="n"/>
      <c r="M153" s="3934" t="n"/>
      <c r="N153" s="3934" t="n"/>
      <c r="O153" s="3934" t="n"/>
      <c r="P153" s="3934" t="n"/>
      <c r="Q153" s="3934" t="n"/>
      <c r="R153" s="3934" t="n"/>
      <c r="S153" s="3934" t="n"/>
      <c r="T153" s="3934" t="n"/>
      <c r="U153" s="3934" t="n"/>
      <c r="V153" s="3934" t="n"/>
      <c r="W153" s="3934" t="n"/>
      <c r="X153" s="3934" t="n"/>
      <c r="Y153" s="3934" t="n"/>
      <c r="Z153" s="3934" t="n"/>
      <c r="AA153" s="3934" t="n"/>
      <c r="AB153" s="3934" t="n"/>
      <c r="AC153" s="3934" t="n"/>
      <c r="AD153" s="3934" t="n"/>
      <c r="AE153" s="3934" t="n"/>
      <c r="AF153" s="3934" t="n"/>
      <c r="AG153" s="3934" t="n"/>
      <c r="AH153" s="3934" t="n"/>
      <c r="AI153" s="3934" t="n"/>
      <c r="AJ153" s="3934" t="n"/>
      <c r="AK153" s="3934" t="n"/>
      <c r="AL153" s="3934" t="n"/>
      <c r="AM153" s="3934" t="n"/>
      <c r="AN153" s="3934" t="n"/>
      <c r="AO153" s="3934" t="n"/>
      <c r="AP153" s="3934" t="n"/>
      <c r="AQ153" s="3934" t="n"/>
      <c r="AR153" s="3934" t="n"/>
    </row>
    <row r="154">
      <c r="A154" s="3944" t="n"/>
      <c r="B154" s="3944" t="n"/>
      <c r="C154" s="3944" t="n"/>
      <c r="D154" s="3944" t="n"/>
      <c r="E154" s="3944" t="n"/>
      <c r="F154" s="3944" t="n"/>
      <c r="G154" s="3944" t="n"/>
      <c r="H154" s="3944" t="n"/>
      <c r="I154" s="3944" t="n"/>
      <c r="J154" s="3934" t="n"/>
      <c r="K154" s="3934" t="n"/>
      <c r="L154" s="3934" t="n"/>
      <c r="M154" s="3934" t="n"/>
      <c r="N154" s="3934" t="n"/>
      <c r="O154" s="3934" t="n"/>
      <c r="P154" s="3934" t="n"/>
      <c r="Q154" s="3934" t="n"/>
      <c r="R154" s="3934" t="n"/>
      <c r="S154" s="3934" t="n"/>
      <c r="T154" s="3934" t="n"/>
      <c r="U154" s="3934" t="n"/>
      <c r="V154" s="3934" t="n"/>
      <c r="W154" s="3934" t="n"/>
      <c r="X154" s="3934" t="n"/>
      <c r="Y154" s="3934" t="n"/>
      <c r="Z154" s="3934" t="n"/>
      <c r="AA154" s="3934" t="n"/>
      <c r="AB154" s="3934" t="n"/>
      <c r="AC154" s="3934" t="n"/>
      <c r="AD154" s="3934" t="n"/>
      <c r="AE154" s="3934" t="n"/>
      <c r="AF154" s="3934" t="n"/>
      <c r="AG154" s="3934" t="n"/>
      <c r="AH154" s="3934" t="n"/>
      <c r="AI154" s="3934" t="n"/>
      <c r="AJ154" s="3934" t="n"/>
      <c r="AK154" s="3934" t="n"/>
      <c r="AL154" s="3934" t="n"/>
      <c r="AM154" s="3934" t="n"/>
      <c r="AN154" s="3934" t="n"/>
      <c r="AO154" s="3934" t="n"/>
      <c r="AP154" s="3934" t="n"/>
      <c r="AQ154" s="3934" t="n"/>
      <c r="AR154" s="3934" t="n"/>
    </row>
    <row r="155">
      <c r="A155" s="3944" t="n"/>
      <c r="B155" s="3944" t="n"/>
      <c r="C155" s="3944" t="n"/>
      <c r="D155" s="3944" t="n"/>
      <c r="E155" s="3944" t="n"/>
      <c r="F155" s="3944" t="n"/>
      <c r="G155" s="3944" t="n"/>
      <c r="H155" s="3944" t="n"/>
      <c r="I155" s="3944" t="n"/>
      <c r="J155" s="3934" t="n"/>
      <c r="K155" s="3934" t="n"/>
      <c r="L155" s="3934" t="n"/>
      <c r="M155" s="3934" t="n"/>
      <c r="N155" s="3934" t="n"/>
      <c r="O155" s="3934" t="n"/>
      <c r="P155" s="3934" t="n"/>
      <c r="Q155" s="3934" t="n"/>
      <c r="R155" s="3934" t="n"/>
      <c r="S155" s="3934" t="n"/>
      <c r="T155" s="3934" t="n"/>
      <c r="U155" s="3934" t="n"/>
      <c r="V155" s="3934" t="n"/>
      <c r="W155" s="3934" t="n"/>
      <c r="X155" s="3934" t="n"/>
      <c r="Y155" s="3934" t="n"/>
      <c r="Z155" s="3934" t="n"/>
      <c r="AA155" s="3934" t="n"/>
      <c r="AB155" s="3934" t="n"/>
      <c r="AC155" s="3934" t="n"/>
      <c r="AD155" s="3934" t="n"/>
      <c r="AE155" s="3934" t="n"/>
      <c r="AF155" s="3934" t="n"/>
      <c r="AG155" s="3934" t="n"/>
      <c r="AH155" s="3934" t="n"/>
      <c r="AI155" s="3934" t="n"/>
      <c r="AJ155" s="3934" t="n"/>
      <c r="AK155" s="3934" t="n"/>
      <c r="AL155" s="3934" t="n"/>
      <c r="AM155" s="3934" t="n"/>
      <c r="AN155" s="3934" t="n"/>
      <c r="AO155" s="3934" t="n"/>
      <c r="AP155" s="3934" t="n"/>
      <c r="AQ155" s="3934" t="n"/>
      <c r="AR155" s="3934" t="n"/>
    </row>
    <row r="156">
      <c r="A156" s="3944" t="n"/>
      <c r="B156" s="3944" t="n"/>
      <c r="C156" s="3944" t="n"/>
      <c r="D156" s="3944" t="n"/>
      <c r="E156" s="3944" t="n"/>
      <c r="F156" s="3944" t="n"/>
      <c r="G156" s="3944" t="n"/>
      <c r="H156" s="3944" t="n"/>
      <c r="I156" s="3944" t="n"/>
      <c r="J156" s="3934" t="n"/>
      <c r="K156" s="3934" t="n"/>
      <c r="L156" s="3934" t="n"/>
      <c r="M156" s="3934" t="n"/>
      <c r="N156" s="3934" t="n"/>
      <c r="O156" s="3934" t="n"/>
      <c r="P156" s="3934" t="n"/>
      <c r="Q156" s="3934" t="n"/>
      <c r="R156" s="3934" t="n"/>
      <c r="S156" s="3934" t="n"/>
      <c r="T156" s="3934" t="n"/>
      <c r="U156" s="3934" t="n"/>
      <c r="V156" s="3934" t="n"/>
      <c r="W156" s="3934" t="n"/>
      <c r="X156" s="3934" t="n"/>
      <c r="Y156" s="3934" t="n"/>
      <c r="Z156" s="3934" t="n"/>
      <c r="AA156" s="3934" t="n"/>
      <c r="AB156" s="3934" t="n"/>
      <c r="AC156" s="3934" t="n"/>
      <c r="AD156" s="3934" t="n"/>
      <c r="AE156" s="3934" t="n"/>
      <c r="AF156" s="3934" t="n"/>
      <c r="AG156" s="3934" t="n"/>
      <c r="AH156" s="3934" t="n"/>
      <c r="AI156" s="3934" t="n"/>
      <c r="AJ156" s="3934" t="n"/>
      <c r="AK156" s="3934" t="n"/>
      <c r="AL156" s="3934" t="n"/>
      <c r="AM156" s="3934" t="n"/>
      <c r="AN156" s="3934" t="n"/>
      <c r="AO156" s="3934" t="n"/>
      <c r="AP156" s="3934" t="n"/>
      <c r="AQ156" s="3934" t="n"/>
      <c r="AR156" s="3934" t="n"/>
    </row>
    <row r="157">
      <c r="A157" s="3944" t="n"/>
      <c r="B157" s="3944" t="n"/>
      <c r="C157" s="3944" t="n"/>
      <c r="D157" s="3944" t="n"/>
      <c r="E157" s="3944" t="n"/>
      <c r="F157" s="3944" t="n"/>
      <c r="G157" s="3944" t="n"/>
      <c r="H157" s="3944" t="n"/>
      <c r="I157" s="3944" t="n"/>
      <c r="J157" s="3934" t="n"/>
      <c r="K157" s="3934" t="n"/>
      <c r="L157" s="3934" t="n"/>
      <c r="M157" s="3934" t="n"/>
      <c r="N157" s="3934" t="n"/>
      <c r="O157" s="3934" t="n"/>
      <c r="P157" s="3934" t="n"/>
      <c r="Q157" s="3934" t="n"/>
      <c r="R157" s="3934" t="n"/>
      <c r="S157" s="3934" t="n"/>
      <c r="T157" s="3934" t="n"/>
      <c r="U157" s="3934" t="n"/>
      <c r="V157" s="3934" t="n"/>
      <c r="W157" s="3934" t="n"/>
      <c r="X157" s="3934" t="n"/>
      <c r="Y157" s="3934" t="n"/>
      <c r="Z157" s="3934" t="n"/>
      <c r="AA157" s="3934" t="n"/>
      <c r="AB157" s="3934" t="n"/>
      <c r="AC157" s="3934" t="n"/>
      <c r="AD157" s="3934" t="n"/>
      <c r="AE157" s="3934" t="n"/>
      <c r="AF157" s="3934" t="n"/>
      <c r="AG157" s="3934" t="n"/>
      <c r="AH157" s="3934" t="n"/>
      <c r="AI157" s="3934" t="n"/>
      <c r="AJ157" s="3934" t="n"/>
      <c r="AK157" s="3934" t="n"/>
      <c r="AL157" s="3934" t="n"/>
      <c r="AM157" s="3934" t="n"/>
      <c r="AN157" s="3934" t="n"/>
      <c r="AO157" s="3934" t="n"/>
      <c r="AP157" s="3934" t="n"/>
      <c r="AQ157" s="3934" t="n"/>
      <c r="AR157" s="3934" t="n"/>
    </row>
    <row r="158">
      <c r="A158" s="3944" t="n"/>
      <c r="B158" s="3944" t="n"/>
      <c r="C158" s="3944" t="n"/>
      <c r="D158" s="3944" t="n"/>
      <c r="E158" s="3944" t="n"/>
      <c r="F158" s="3944" t="n"/>
      <c r="G158" s="3944" t="n"/>
      <c r="H158" s="3944" t="n"/>
      <c r="I158" s="3944" t="n"/>
      <c r="J158" s="3934" t="n"/>
      <c r="K158" s="3934" t="n"/>
      <c r="L158" s="3934" t="n"/>
      <c r="M158" s="3934" t="n"/>
      <c r="N158" s="3934" t="n"/>
      <c r="O158" s="3934" t="n"/>
      <c r="P158" s="3934" t="n"/>
      <c r="Q158" s="3934" t="n"/>
      <c r="R158" s="3934" t="n"/>
      <c r="S158" s="3934" t="n"/>
      <c r="T158" s="3934" t="n"/>
      <c r="U158" s="3934" t="n"/>
      <c r="V158" s="3934" t="n"/>
      <c r="W158" s="3934" t="n"/>
      <c r="X158" s="3934" t="n"/>
      <c r="Y158" s="3934" t="n"/>
      <c r="Z158" s="3934" t="n"/>
      <c r="AA158" s="3934" t="n"/>
      <c r="AB158" s="3934" t="n"/>
      <c r="AC158" s="3934" t="n"/>
      <c r="AD158" s="3934" t="n"/>
      <c r="AE158" s="3934" t="n"/>
      <c r="AF158" s="3934" t="n"/>
      <c r="AG158" s="3934" t="n"/>
      <c r="AH158" s="3934" t="n"/>
      <c r="AI158" s="3934" t="n"/>
      <c r="AJ158" s="3934" t="n"/>
      <c r="AK158" s="3934" t="n"/>
      <c r="AL158" s="3934" t="n"/>
      <c r="AM158" s="3934" t="n"/>
      <c r="AN158" s="3934" t="n"/>
      <c r="AO158" s="3934" t="n"/>
      <c r="AP158" s="3934" t="n"/>
      <c r="AQ158" s="3934" t="n"/>
      <c r="AR158" s="3934" t="n"/>
    </row>
    <row r="159">
      <c r="A159" s="3944" t="n"/>
      <c r="B159" s="3944" t="n"/>
      <c r="C159" s="3944" t="n"/>
      <c r="D159" s="3944" t="n"/>
      <c r="E159" s="3944" t="n"/>
      <c r="F159" s="3944" t="n"/>
      <c r="G159" s="3944" t="n"/>
      <c r="H159" s="3944" t="n"/>
      <c r="I159" s="3944" t="n"/>
      <c r="J159" s="3934" t="n"/>
      <c r="K159" s="3934" t="n"/>
      <c r="L159" s="3934" t="n"/>
      <c r="M159" s="3934" t="n"/>
      <c r="N159" s="3934" t="n"/>
      <c r="O159" s="3934" t="n"/>
      <c r="P159" s="3934" t="n"/>
      <c r="Q159" s="3934" t="n"/>
      <c r="R159" s="3934" t="n"/>
      <c r="S159" s="3934" t="n"/>
      <c r="T159" s="3934" t="n"/>
      <c r="U159" s="3934" t="n"/>
      <c r="V159" s="3934" t="n"/>
      <c r="W159" s="3934" t="n"/>
      <c r="X159" s="3934" t="n"/>
      <c r="Y159" s="3934" t="n"/>
      <c r="Z159" s="3934" t="n"/>
      <c r="AA159" s="3934" t="n"/>
      <c r="AB159" s="3934" t="n"/>
      <c r="AC159" s="3934" t="n"/>
      <c r="AD159" s="3934" t="n"/>
      <c r="AE159" s="3934" t="n"/>
      <c r="AF159" s="3934" t="n"/>
      <c r="AG159" s="3934" t="n"/>
      <c r="AH159" s="3934" t="n"/>
      <c r="AI159" s="3934" t="n"/>
      <c r="AJ159" s="3934" t="n"/>
      <c r="AK159" s="3934" t="n"/>
      <c r="AL159" s="3934" t="n"/>
      <c r="AM159" s="3934" t="n"/>
      <c r="AN159" s="3934" t="n"/>
      <c r="AO159" s="3934" t="n"/>
      <c r="AP159" s="3934" t="n"/>
      <c r="AQ159" s="3934" t="n"/>
      <c r="AR159" s="3934" t="n"/>
    </row>
    <row r="160">
      <c r="A160" s="3944" t="n"/>
      <c r="B160" s="3944" t="n"/>
      <c r="C160" s="3944" t="n"/>
      <c r="D160" s="3944" t="n"/>
      <c r="E160" s="3944" t="n"/>
      <c r="F160" s="3944" t="n"/>
      <c r="G160" s="3944" t="n"/>
      <c r="H160" s="3944" t="n"/>
      <c r="I160" s="3944" t="n"/>
      <c r="J160" s="3934" t="n"/>
      <c r="K160" s="3934" t="n"/>
      <c r="L160" s="3934" t="n"/>
      <c r="M160" s="3934" t="n"/>
      <c r="N160" s="3934" t="n"/>
      <c r="O160" s="3934" t="n"/>
      <c r="P160" s="3934" t="n"/>
      <c r="Q160" s="3934" t="n"/>
      <c r="R160" s="3934" t="n"/>
      <c r="S160" s="3934" t="n"/>
      <c r="T160" s="3934" t="n"/>
      <c r="U160" s="3934" t="n"/>
      <c r="V160" s="3934" t="n"/>
      <c r="W160" s="3934" t="n"/>
      <c r="X160" s="3934" t="n"/>
      <c r="Y160" s="3934" t="n"/>
      <c r="Z160" s="3934" t="n"/>
      <c r="AA160" s="3934" t="n"/>
      <c r="AB160" s="3934" t="n"/>
      <c r="AC160" s="3934" t="n"/>
      <c r="AD160" s="3934" t="n"/>
      <c r="AE160" s="3934" t="n"/>
      <c r="AF160" s="3934" t="n"/>
      <c r="AG160" s="3934" t="n"/>
      <c r="AH160" s="3934" t="n"/>
      <c r="AI160" s="3934" t="n"/>
      <c r="AJ160" s="3934" t="n"/>
      <c r="AK160" s="3934" t="n"/>
      <c r="AL160" s="3934" t="n"/>
      <c r="AM160" s="3934" t="n"/>
      <c r="AN160" s="3934" t="n"/>
      <c r="AO160" s="3934" t="n"/>
      <c r="AP160" s="3934" t="n"/>
      <c r="AQ160" s="3934" t="n"/>
      <c r="AR160" s="3934" t="n"/>
    </row>
    <row r="161">
      <c r="A161" s="3944" t="n"/>
      <c r="B161" s="3944" t="n"/>
      <c r="C161" s="3944" t="n"/>
      <c r="D161" s="3944" t="n"/>
      <c r="E161" s="3944" t="n"/>
      <c r="F161" s="3944" t="n"/>
      <c r="G161" s="3944" t="n"/>
      <c r="H161" s="3944" t="n"/>
      <c r="I161" s="3944" t="n"/>
      <c r="J161" s="3934" t="n"/>
      <c r="K161" s="3934" t="n"/>
      <c r="L161" s="3934" t="n"/>
      <c r="M161" s="3934" t="n"/>
      <c r="N161" s="3934" t="n"/>
      <c r="O161" s="3934" t="n"/>
      <c r="P161" s="3934" t="n"/>
      <c r="Q161" s="3934" t="n"/>
      <c r="R161" s="3934" t="n"/>
      <c r="S161" s="3934" t="n"/>
      <c r="T161" s="3934" t="n"/>
      <c r="U161" s="3934" t="n"/>
      <c r="V161" s="3934" t="n"/>
      <c r="W161" s="3934" t="n"/>
      <c r="X161" s="3934" t="n"/>
      <c r="Y161" s="3934" t="n"/>
      <c r="Z161" s="3934" t="n"/>
      <c r="AA161" s="3934" t="n"/>
      <c r="AB161" s="3934" t="n"/>
      <c r="AC161" s="3934" t="n"/>
      <c r="AD161" s="3934" t="n"/>
      <c r="AE161" s="3934" t="n"/>
      <c r="AF161" s="3934" t="n"/>
      <c r="AG161" s="3934" t="n"/>
      <c r="AH161" s="3934" t="n"/>
      <c r="AI161" s="3934" t="n"/>
      <c r="AJ161" s="3934" t="n"/>
      <c r="AK161" s="3934" t="n"/>
      <c r="AL161" s="3934" t="n"/>
      <c r="AM161" s="3934" t="n"/>
      <c r="AN161" s="3934" t="n"/>
      <c r="AO161" s="3934" t="n"/>
      <c r="AP161" s="3934" t="n"/>
      <c r="AQ161" s="3934" t="n"/>
      <c r="AR161" s="3934" t="n"/>
    </row>
    <row r="162">
      <c r="A162" s="3944" t="n"/>
      <c r="B162" s="3944" t="n"/>
      <c r="C162" s="3944" t="n"/>
      <c r="D162" s="3944" t="n"/>
      <c r="E162" s="3944" t="n"/>
      <c r="F162" s="3944" t="n"/>
      <c r="G162" s="3944" t="n"/>
      <c r="H162" s="3944" t="n"/>
      <c r="I162" s="3944" t="n"/>
      <c r="J162" s="3934" t="n"/>
      <c r="K162" s="3934" t="n"/>
      <c r="L162" s="3934" t="n"/>
      <c r="M162" s="3934" t="n"/>
      <c r="N162" s="3934" t="n"/>
      <c r="O162" s="3934" t="n"/>
      <c r="P162" s="3934" t="n"/>
      <c r="Q162" s="3934" t="n"/>
      <c r="R162" s="3934" t="n"/>
      <c r="S162" s="3934" t="n"/>
      <c r="T162" s="3934" t="n"/>
      <c r="U162" s="3934" t="n"/>
      <c r="V162" s="3934" t="n"/>
      <c r="W162" s="3934" t="n"/>
      <c r="X162" s="3934" t="n"/>
      <c r="Y162" s="3934" t="n"/>
      <c r="Z162" s="3934" t="n"/>
      <c r="AA162" s="3934" t="n"/>
      <c r="AB162" s="3934" t="n"/>
      <c r="AC162" s="3934" t="n"/>
      <c r="AD162" s="3934" t="n"/>
      <c r="AE162" s="3934" t="n"/>
      <c r="AF162" s="3934" t="n"/>
      <c r="AG162" s="3934" t="n"/>
      <c r="AH162" s="3934" t="n"/>
      <c r="AI162" s="3934" t="n"/>
      <c r="AJ162" s="3934" t="n"/>
      <c r="AK162" s="3934" t="n"/>
      <c r="AL162" s="3934" t="n"/>
      <c r="AM162" s="3934" t="n"/>
      <c r="AN162" s="3934" t="n"/>
      <c r="AO162" s="3934" t="n"/>
      <c r="AP162" s="3934" t="n"/>
      <c r="AQ162" s="3934" t="n"/>
      <c r="AR162" s="3934" t="n"/>
    </row>
    <row r="163">
      <c r="A163" s="3944" t="n"/>
      <c r="B163" s="3944" t="n"/>
      <c r="C163" s="3944" t="n"/>
      <c r="D163" s="3944" t="n"/>
      <c r="E163" s="3944" t="n"/>
      <c r="F163" s="3944" t="n"/>
      <c r="G163" s="3944" t="n"/>
      <c r="H163" s="3944" t="n"/>
      <c r="I163" s="3944" t="n"/>
      <c r="J163" s="3934" t="n"/>
      <c r="K163" s="3934" t="n"/>
      <c r="L163" s="3934" t="n"/>
      <c r="M163" s="3934" t="n"/>
      <c r="N163" s="3934" t="n"/>
      <c r="O163" s="3934" t="n"/>
      <c r="P163" s="3934" t="n"/>
      <c r="Q163" s="3934" t="n"/>
      <c r="R163" s="3934" t="n"/>
      <c r="S163" s="3934" t="n"/>
      <c r="T163" s="3934" t="n"/>
      <c r="U163" s="3934" t="n"/>
      <c r="V163" s="3934" t="n"/>
      <c r="W163" s="3934" t="n"/>
      <c r="X163" s="3934" t="n"/>
      <c r="Y163" s="3934" t="n"/>
      <c r="Z163" s="3934" t="n"/>
      <c r="AA163" s="3934" t="n"/>
      <c r="AB163" s="3934" t="n"/>
      <c r="AC163" s="3934" t="n"/>
      <c r="AD163" s="3934" t="n"/>
      <c r="AE163" s="3934" t="n"/>
      <c r="AF163" s="3934" t="n"/>
      <c r="AG163" s="3934" t="n"/>
      <c r="AH163" s="3934" t="n"/>
      <c r="AI163" s="3934" t="n"/>
      <c r="AJ163" s="3934" t="n"/>
      <c r="AK163" s="3934" t="n"/>
      <c r="AL163" s="3934" t="n"/>
      <c r="AM163" s="3934" t="n"/>
      <c r="AN163" s="3934" t="n"/>
      <c r="AO163" s="3934" t="n"/>
      <c r="AP163" s="3934" t="n"/>
      <c r="AQ163" s="3934" t="n"/>
      <c r="AR163" s="3934" t="n"/>
    </row>
    <row r="164">
      <c r="A164" s="3944" t="n"/>
      <c r="B164" s="3944" t="n"/>
      <c r="C164" s="3944" t="n"/>
      <c r="D164" s="3944" t="n"/>
      <c r="E164" s="3944" t="n"/>
      <c r="F164" s="3944" t="n"/>
      <c r="G164" s="3944" t="n"/>
      <c r="H164" s="3944" t="n"/>
      <c r="I164" s="3944" t="n"/>
      <c r="J164" s="3934" t="n"/>
      <c r="K164" s="3934" t="n"/>
      <c r="L164" s="3934" t="n"/>
      <c r="M164" s="3934" t="n"/>
      <c r="N164" s="3934" t="n"/>
      <c r="O164" s="3934" t="n"/>
      <c r="P164" s="3934" t="n"/>
      <c r="Q164" s="3934" t="n"/>
      <c r="R164" s="3934" t="n"/>
      <c r="S164" s="3934" t="n"/>
      <c r="T164" s="3934" t="n"/>
      <c r="U164" s="3934" t="n"/>
      <c r="V164" s="3934" t="n"/>
      <c r="W164" s="3934" t="n"/>
      <c r="X164" s="3934" t="n"/>
      <c r="Y164" s="3934" t="n"/>
      <c r="Z164" s="3934" t="n"/>
      <c r="AA164" s="3934" t="n"/>
      <c r="AB164" s="3934" t="n"/>
      <c r="AC164" s="3934" t="n"/>
      <c r="AD164" s="3934" t="n"/>
      <c r="AE164" s="3934" t="n"/>
      <c r="AF164" s="3934" t="n"/>
      <c r="AG164" s="3934" t="n"/>
      <c r="AH164" s="3934" t="n"/>
      <c r="AI164" s="3934" t="n"/>
      <c r="AJ164" s="3934" t="n"/>
      <c r="AK164" s="3934" t="n"/>
      <c r="AL164" s="3934" t="n"/>
      <c r="AM164" s="3934" t="n"/>
      <c r="AN164" s="3934" t="n"/>
      <c r="AO164" s="3934" t="n"/>
      <c r="AP164" s="3934" t="n"/>
      <c r="AQ164" s="3934" t="n"/>
      <c r="AR164" s="3934" t="n"/>
    </row>
    <row r="165">
      <c r="A165" s="3944" t="n"/>
      <c r="B165" s="3944" t="n"/>
      <c r="C165" s="3944" t="n"/>
      <c r="D165" s="3944" t="n"/>
      <c r="E165" s="3944" t="n"/>
      <c r="F165" s="3944" t="n"/>
      <c r="G165" s="3944" t="n"/>
      <c r="H165" s="3944" t="n"/>
      <c r="I165" s="3944" t="n"/>
      <c r="J165" s="3934" t="n"/>
      <c r="K165" s="3934" t="n"/>
      <c r="L165" s="3934" t="n"/>
      <c r="M165" s="3934" t="n"/>
      <c r="N165" s="3934" t="n"/>
      <c r="O165" s="3934" t="n"/>
      <c r="P165" s="3934" t="n"/>
      <c r="Q165" s="3934" t="n"/>
      <c r="R165" s="3934" t="n"/>
      <c r="S165" s="3934" t="n"/>
      <c r="T165" s="3934" t="n"/>
      <c r="U165" s="3934" t="n"/>
      <c r="V165" s="3934" t="n"/>
      <c r="W165" s="3934" t="n"/>
      <c r="X165" s="3934" t="n"/>
      <c r="Y165" s="3934" t="n"/>
      <c r="Z165" s="3934" t="n"/>
      <c r="AA165" s="3934" t="n"/>
      <c r="AB165" s="3934" t="n"/>
      <c r="AC165" s="3934" t="n"/>
      <c r="AD165" s="3934" t="n"/>
      <c r="AE165" s="3934" t="n"/>
      <c r="AF165" s="3934" t="n"/>
      <c r="AG165" s="3934" t="n"/>
      <c r="AH165" s="3934" t="n"/>
      <c r="AI165" s="3934" t="n"/>
      <c r="AJ165" s="3934" t="n"/>
      <c r="AK165" s="3934" t="n"/>
      <c r="AL165" s="3934" t="n"/>
      <c r="AM165" s="3934" t="n"/>
      <c r="AN165" s="3934" t="n"/>
      <c r="AO165" s="3934" t="n"/>
      <c r="AP165" s="3934" t="n"/>
      <c r="AQ165" s="3934" t="n"/>
      <c r="AR165" s="3934" t="n"/>
    </row>
    <row r="166">
      <c r="A166" s="3944" t="n"/>
      <c r="B166" s="3944" t="n"/>
      <c r="C166" s="3944" t="n"/>
      <c r="D166" s="3944" t="n"/>
      <c r="E166" s="3944" t="n"/>
      <c r="F166" s="3944" t="n"/>
      <c r="G166" s="3944" t="n"/>
      <c r="H166" s="3944" t="n"/>
      <c r="I166" s="3944" t="n"/>
      <c r="J166" s="3934" t="n"/>
      <c r="K166" s="3934" t="n"/>
      <c r="L166" s="3934" t="n"/>
      <c r="M166" s="3934" t="n"/>
      <c r="N166" s="3934" t="n"/>
      <c r="O166" s="3934" t="n"/>
      <c r="P166" s="3934" t="n"/>
      <c r="Q166" s="3934" t="n"/>
      <c r="R166" s="3934" t="n"/>
      <c r="S166" s="3934" t="n"/>
      <c r="T166" s="3934" t="n"/>
      <c r="U166" s="3934" t="n"/>
      <c r="V166" s="3934" t="n"/>
      <c r="W166" s="3934" t="n"/>
      <c r="X166" s="3934" t="n"/>
      <c r="Y166" s="3934" t="n"/>
      <c r="Z166" s="3934" t="n"/>
      <c r="AA166" s="3934" t="n"/>
      <c r="AB166" s="3934" t="n"/>
      <c r="AC166" s="3934" t="n"/>
      <c r="AD166" s="3934" t="n"/>
      <c r="AE166" s="3934" t="n"/>
      <c r="AF166" s="3934" t="n"/>
      <c r="AG166" s="3934" t="n"/>
      <c r="AH166" s="3934" t="n"/>
      <c r="AI166" s="3934" t="n"/>
      <c r="AJ166" s="3934" t="n"/>
      <c r="AK166" s="3934" t="n"/>
      <c r="AL166" s="3934" t="n"/>
      <c r="AM166" s="3934" t="n"/>
      <c r="AN166" s="3934" t="n"/>
      <c r="AO166" s="3934" t="n"/>
      <c r="AP166" s="3934" t="n"/>
      <c r="AQ166" s="3934" t="n"/>
      <c r="AR166" s="3934" t="n"/>
    </row>
    <row r="167">
      <c r="A167" s="3944" t="n"/>
      <c r="B167" s="3944" t="n"/>
      <c r="C167" s="3944" t="n"/>
      <c r="D167" s="3944" t="n"/>
      <c r="E167" s="3944" t="n"/>
      <c r="F167" s="3944" t="n"/>
      <c r="G167" s="3944" t="n"/>
      <c r="H167" s="3944" t="n"/>
      <c r="I167" s="3944" t="n"/>
      <c r="J167" s="3934" t="n"/>
      <c r="K167" s="3934" t="n"/>
      <c r="L167" s="3934" t="n"/>
      <c r="M167" s="3934" t="n"/>
      <c r="N167" s="3934" t="n"/>
      <c r="O167" s="3934" t="n"/>
      <c r="P167" s="3934" t="n"/>
      <c r="Q167" s="3934" t="n"/>
      <c r="R167" s="3934" t="n"/>
      <c r="S167" s="3934" t="n"/>
      <c r="T167" s="3934" t="n"/>
      <c r="U167" s="3934" t="n"/>
      <c r="V167" s="3934" t="n"/>
      <c r="W167" s="3934" t="n"/>
      <c r="X167" s="3934" t="n"/>
      <c r="Y167" s="3934" t="n"/>
      <c r="Z167" s="3934" t="n"/>
      <c r="AA167" s="3934" t="n"/>
      <c r="AB167" s="3934" t="n"/>
      <c r="AC167" s="3934" t="n"/>
      <c r="AD167" s="3934" t="n"/>
      <c r="AE167" s="3934" t="n"/>
      <c r="AF167" s="3934" t="n"/>
      <c r="AG167" s="3934" t="n"/>
      <c r="AH167" s="3934" t="n"/>
      <c r="AI167" s="3934" t="n"/>
      <c r="AJ167" s="3934" t="n"/>
      <c r="AK167" s="3934" t="n"/>
      <c r="AL167" s="3934" t="n"/>
      <c r="AM167" s="3934" t="n"/>
      <c r="AN167" s="3934" t="n"/>
      <c r="AO167" s="3934" t="n"/>
      <c r="AP167" s="3934" t="n"/>
      <c r="AQ167" s="3934" t="n"/>
      <c r="AR167" s="3934" t="n"/>
    </row>
    <row r="168">
      <c r="A168" s="3944" t="n"/>
      <c r="B168" s="3944" t="n"/>
      <c r="C168" s="3944" t="n"/>
      <c r="D168" s="3944" t="n"/>
      <c r="E168" s="3944" t="n"/>
      <c r="F168" s="3944" t="n"/>
      <c r="G168" s="3944" t="n"/>
      <c r="H168" s="3944" t="n"/>
      <c r="I168" s="3944" t="n"/>
      <c r="J168" s="3934" t="n"/>
      <c r="K168" s="3934" t="n"/>
      <c r="L168" s="3934" t="n"/>
      <c r="M168" s="3934" t="n"/>
      <c r="N168" s="3934" t="n"/>
      <c r="O168" s="3934" t="n"/>
      <c r="P168" s="3934" t="n"/>
      <c r="Q168" s="3934" t="n"/>
      <c r="R168" s="3934" t="n"/>
      <c r="S168" s="3934" t="n"/>
      <c r="T168" s="3934" t="n"/>
      <c r="U168" s="3934" t="n"/>
      <c r="V168" s="3934" t="n"/>
      <c r="W168" s="3934" t="n"/>
      <c r="X168" s="3934" t="n"/>
      <c r="Y168" s="3934" t="n"/>
      <c r="Z168" s="3934" t="n"/>
      <c r="AA168" s="3934" t="n"/>
      <c r="AB168" s="3934" t="n"/>
      <c r="AC168" s="3934" t="n"/>
      <c r="AD168" s="3934" t="n"/>
      <c r="AE168" s="3934" t="n"/>
      <c r="AF168" s="3934" t="n"/>
      <c r="AG168" s="3934" t="n"/>
      <c r="AH168" s="3934" t="n"/>
      <c r="AI168" s="3934" t="n"/>
      <c r="AJ168" s="3934" t="n"/>
      <c r="AK168" s="3934" t="n"/>
      <c r="AL168" s="3934" t="n"/>
      <c r="AM168" s="3934" t="n"/>
      <c r="AN168" s="3934" t="n"/>
      <c r="AO168" s="3934" t="n"/>
      <c r="AP168" s="3934" t="n"/>
      <c r="AQ168" s="3934" t="n"/>
      <c r="AR168" s="3934" t="n"/>
    </row>
    <row r="169">
      <c r="A169" s="3944" t="n"/>
      <c r="B169" s="3944" t="n"/>
      <c r="C169" s="3944" t="n"/>
      <c r="D169" s="3944" t="n"/>
      <c r="E169" s="3944" t="n"/>
      <c r="F169" s="3944" t="n"/>
      <c r="G169" s="3944" t="n"/>
      <c r="H169" s="3944" t="n"/>
      <c r="I169" s="3944" t="n"/>
      <c r="J169" s="3934" t="n"/>
      <c r="K169" s="3934" t="n"/>
      <c r="L169" s="3934" t="n"/>
      <c r="M169" s="3934" t="n"/>
      <c r="N169" s="3934" t="n"/>
      <c r="O169" s="3934" t="n"/>
      <c r="P169" s="3934" t="n"/>
      <c r="Q169" s="3934" t="n"/>
      <c r="R169" s="3934" t="n"/>
      <c r="S169" s="3934" t="n"/>
      <c r="T169" s="3934" t="n"/>
      <c r="U169" s="3934" t="n"/>
      <c r="V169" s="3934" t="n"/>
      <c r="W169" s="3934" t="n"/>
      <c r="X169" s="3934" t="n"/>
      <c r="Y169" s="3934" t="n"/>
      <c r="Z169" s="3934" t="n"/>
      <c r="AA169" s="3934" t="n"/>
      <c r="AB169" s="3934" t="n"/>
      <c r="AC169" s="3934" t="n"/>
      <c r="AD169" s="3934" t="n"/>
      <c r="AE169" s="3934" t="n"/>
      <c r="AF169" s="3934" t="n"/>
      <c r="AG169" s="3934" t="n"/>
      <c r="AH169" s="3934" t="n"/>
      <c r="AI169" s="3934" t="n"/>
      <c r="AJ169" s="3934" t="n"/>
      <c r="AK169" s="3934" t="n"/>
      <c r="AL169" s="3934" t="n"/>
      <c r="AM169" s="3934" t="n"/>
      <c r="AN169" s="3934" t="n"/>
      <c r="AO169" s="3934" t="n"/>
      <c r="AP169" s="3934" t="n"/>
      <c r="AQ169" s="3934" t="n"/>
      <c r="AR169" s="3934" t="n"/>
    </row>
    <row r="170">
      <c r="A170" s="3944" t="n"/>
      <c r="B170" s="3944" t="n"/>
      <c r="C170" s="3944" t="n"/>
      <c r="D170" s="3944" t="n"/>
      <c r="E170" s="3944" t="n"/>
      <c r="F170" s="3944" t="n"/>
      <c r="G170" s="3944" t="n"/>
      <c r="H170" s="3944" t="n"/>
      <c r="I170" s="3944" t="n"/>
      <c r="J170" s="3934" t="n"/>
      <c r="K170" s="3934" t="n"/>
      <c r="L170" s="3934" t="n"/>
      <c r="M170" s="3934" t="n"/>
      <c r="N170" s="3934" t="n"/>
      <c r="O170" s="3934" t="n"/>
      <c r="P170" s="3934" t="n"/>
      <c r="Q170" s="3934" t="n"/>
      <c r="R170" s="3934" t="n"/>
      <c r="S170" s="3934" t="n"/>
      <c r="T170" s="3934" t="n"/>
      <c r="U170" s="3934" t="n"/>
      <c r="V170" s="3934" t="n"/>
      <c r="W170" s="3934" t="n"/>
      <c r="X170" s="3934" t="n"/>
      <c r="Y170" s="3934" t="n"/>
      <c r="Z170" s="3934" t="n"/>
      <c r="AA170" s="3934" t="n"/>
      <c r="AB170" s="3934" t="n"/>
      <c r="AC170" s="3934" t="n"/>
      <c r="AD170" s="3934" t="n"/>
      <c r="AE170" s="3934" t="n"/>
      <c r="AF170" s="3934" t="n"/>
      <c r="AG170" s="3934" t="n"/>
      <c r="AH170" s="3934" t="n"/>
      <c r="AI170" s="3934" t="n"/>
      <c r="AJ170" s="3934" t="n"/>
      <c r="AK170" s="3934" t="n"/>
      <c r="AL170" s="3934" t="n"/>
      <c r="AM170" s="3934" t="n"/>
      <c r="AN170" s="3934" t="n"/>
      <c r="AO170" s="3934" t="n"/>
      <c r="AP170" s="3934" t="n"/>
      <c r="AQ170" s="3934" t="n"/>
      <c r="AR170" s="3934" t="n"/>
    </row>
    <row r="171">
      <c r="A171" s="3944" t="n"/>
      <c r="B171" s="3944" t="n"/>
      <c r="C171" s="3944" t="n"/>
      <c r="D171" s="3944" t="n"/>
      <c r="E171" s="3944" t="n"/>
      <c r="F171" s="3944" t="n"/>
      <c r="G171" s="3944" t="n"/>
      <c r="H171" s="3944" t="n"/>
      <c r="I171" s="3944" t="n"/>
      <c r="J171" s="3934" t="n"/>
      <c r="K171" s="3934" t="n"/>
      <c r="L171" s="3934" t="n"/>
      <c r="M171" s="3934" t="n"/>
      <c r="N171" s="3934" t="n"/>
      <c r="O171" s="3934" t="n"/>
      <c r="P171" s="3934" t="n"/>
      <c r="Q171" s="3934" t="n"/>
      <c r="R171" s="3934" t="n"/>
      <c r="S171" s="3934" t="n"/>
      <c r="T171" s="3934" t="n"/>
      <c r="U171" s="3934" t="n"/>
      <c r="V171" s="3934" t="n"/>
      <c r="W171" s="3934" t="n"/>
      <c r="X171" s="3934" t="n"/>
      <c r="Y171" s="3934" t="n"/>
      <c r="Z171" s="3934" t="n"/>
      <c r="AA171" s="3934" t="n"/>
      <c r="AB171" s="3934" t="n"/>
      <c r="AC171" s="3934" t="n"/>
      <c r="AD171" s="3934" t="n"/>
      <c r="AE171" s="3934" t="n"/>
      <c r="AF171" s="3934" t="n"/>
      <c r="AG171" s="3934" t="n"/>
      <c r="AH171" s="3934" t="n"/>
      <c r="AI171" s="3934" t="n"/>
      <c r="AJ171" s="3934" t="n"/>
      <c r="AK171" s="3934" t="n"/>
      <c r="AL171" s="3934" t="n"/>
      <c r="AM171" s="3934" t="n"/>
      <c r="AN171" s="3934" t="n"/>
      <c r="AO171" s="3934" t="n"/>
      <c r="AP171" s="3934" t="n"/>
      <c r="AQ171" s="3934" t="n"/>
      <c r="AR171" s="3934" t="n"/>
    </row>
    <row r="172">
      <c r="A172" s="3944" t="n"/>
      <c r="B172" s="3944" t="n"/>
      <c r="C172" s="3944" t="n"/>
      <c r="D172" s="3944" t="n"/>
      <c r="E172" s="3944" t="n"/>
      <c r="F172" s="3944" t="n"/>
      <c r="G172" s="3944" t="n"/>
      <c r="H172" s="3944" t="n"/>
      <c r="I172" s="3944" t="n"/>
      <c r="J172" s="3934" t="n"/>
      <c r="K172" s="3934" t="n"/>
      <c r="L172" s="3934" t="n"/>
      <c r="M172" s="3934" t="n"/>
      <c r="N172" s="3934" t="n"/>
      <c r="O172" s="3934" t="n"/>
      <c r="P172" s="3934" t="n"/>
      <c r="Q172" s="3934" t="n"/>
      <c r="R172" s="3934" t="n"/>
      <c r="S172" s="3934" t="n"/>
      <c r="T172" s="3934" t="n"/>
      <c r="U172" s="3934" t="n"/>
      <c r="V172" s="3934" t="n"/>
      <c r="W172" s="3934" t="n"/>
      <c r="X172" s="3934" t="n"/>
      <c r="Y172" s="3934" t="n"/>
      <c r="Z172" s="3934" t="n"/>
      <c r="AA172" s="3934" t="n"/>
      <c r="AB172" s="3934" t="n"/>
      <c r="AC172" s="3934" t="n"/>
      <c r="AD172" s="3934" t="n"/>
      <c r="AE172" s="3934" t="n"/>
      <c r="AF172" s="3934" t="n"/>
      <c r="AG172" s="3934" t="n"/>
      <c r="AH172" s="3934" t="n"/>
      <c r="AI172" s="3934" t="n"/>
      <c r="AJ172" s="3934" t="n"/>
      <c r="AK172" s="3934" t="n"/>
      <c r="AL172" s="3934" t="n"/>
      <c r="AM172" s="3934" t="n"/>
      <c r="AN172" s="3934" t="n"/>
      <c r="AO172" s="3934" t="n"/>
      <c r="AP172" s="3934" t="n"/>
      <c r="AQ172" s="3934" t="n"/>
      <c r="AR172" s="3934" t="n"/>
    </row>
    <row r="173">
      <c r="A173" s="3944" t="n"/>
      <c r="B173" s="3944" t="n"/>
      <c r="C173" s="3944" t="n"/>
      <c r="D173" s="3944" t="n"/>
      <c r="E173" s="3944" t="n"/>
      <c r="F173" s="3944" t="n"/>
      <c r="G173" s="3944" t="n"/>
      <c r="H173" s="3944" t="n"/>
      <c r="I173" s="3944" t="n"/>
      <c r="J173" s="3934" t="n"/>
      <c r="K173" s="3934" t="n"/>
      <c r="L173" s="3934" t="n"/>
      <c r="M173" s="3934" t="n"/>
      <c r="N173" s="3934" t="n"/>
      <c r="O173" s="3934" t="n"/>
      <c r="P173" s="3934" t="n"/>
      <c r="Q173" s="3934" t="n"/>
      <c r="R173" s="3934" t="n"/>
      <c r="S173" s="3934" t="n"/>
      <c r="T173" s="3934" t="n"/>
      <c r="U173" s="3934" t="n"/>
      <c r="V173" s="3934" t="n"/>
      <c r="W173" s="3934" t="n"/>
      <c r="X173" s="3934" t="n"/>
      <c r="Y173" s="3934" t="n"/>
      <c r="Z173" s="3934" t="n"/>
      <c r="AA173" s="3934" t="n"/>
      <c r="AB173" s="3934" t="n"/>
      <c r="AC173" s="3934" t="n"/>
      <c r="AD173" s="3934" t="n"/>
      <c r="AE173" s="3934" t="n"/>
      <c r="AF173" s="3934" t="n"/>
      <c r="AG173" s="3934" t="n"/>
      <c r="AH173" s="3934" t="n"/>
      <c r="AI173" s="3934" t="n"/>
      <c r="AJ173" s="3934" t="n"/>
      <c r="AK173" s="3934" t="n"/>
      <c r="AL173" s="3934" t="n"/>
      <c r="AM173" s="3934" t="n"/>
      <c r="AN173" s="3934" t="n"/>
      <c r="AO173" s="3934" t="n"/>
      <c r="AP173" s="3934" t="n"/>
      <c r="AQ173" s="3934" t="n"/>
      <c r="AR173" s="3934" t="n"/>
    </row>
    <row r="174">
      <c r="A174" s="3944" t="n"/>
      <c r="B174" s="3944" t="n"/>
      <c r="C174" s="3944" t="n"/>
      <c r="D174" s="3944" t="n"/>
      <c r="E174" s="3944" t="n"/>
      <c r="F174" s="3944" t="n"/>
      <c r="G174" s="3944" t="n"/>
      <c r="H174" s="3944" t="n"/>
      <c r="I174" s="3944" t="n"/>
      <c r="J174" s="3934" t="n"/>
      <c r="K174" s="3934" t="n"/>
      <c r="L174" s="3934" t="n"/>
      <c r="M174" s="3934" t="n"/>
      <c r="N174" s="3934" t="n"/>
      <c r="O174" s="3934" t="n"/>
      <c r="P174" s="3934" t="n"/>
      <c r="Q174" s="3934" t="n"/>
      <c r="R174" s="3934" t="n"/>
      <c r="S174" s="3934" t="n"/>
      <c r="T174" s="3934" t="n"/>
      <c r="U174" s="3934" t="n"/>
      <c r="V174" s="3934" t="n"/>
      <c r="W174" s="3934" t="n"/>
      <c r="X174" s="3934" t="n"/>
      <c r="Y174" s="3934" t="n"/>
      <c r="Z174" s="3934" t="n"/>
      <c r="AA174" s="3934" t="n"/>
      <c r="AB174" s="3934" t="n"/>
      <c r="AC174" s="3934" t="n"/>
      <c r="AD174" s="3934" t="n"/>
      <c r="AE174" s="3934" t="n"/>
      <c r="AF174" s="3934" t="n"/>
      <c r="AG174" s="3934" t="n"/>
      <c r="AH174" s="3934" t="n"/>
      <c r="AI174" s="3934" t="n"/>
      <c r="AJ174" s="3934" t="n"/>
      <c r="AK174" s="3934" t="n"/>
      <c r="AL174" s="3934" t="n"/>
      <c r="AM174" s="3934" t="n"/>
      <c r="AN174" s="3934" t="n"/>
      <c r="AO174" s="3934" t="n"/>
      <c r="AP174" s="3934" t="n"/>
      <c r="AQ174" s="3934" t="n"/>
      <c r="AR174" s="3934" t="n"/>
    </row>
    <row r="175">
      <c r="A175" s="3944" t="n"/>
      <c r="B175" s="3944" t="n"/>
      <c r="C175" s="3944" t="n"/>
      <c r="D175" s="3944" t="n"/>
      <c r="E175" s="3944" t="n"/>
      <c r="F175" s="3944" t="n"/>
      <c r="G175" s="3944" t="n"/>
      <c r="H175" s="3944" t="n"/>
      <c r="I175" s="3944" t="n"/>
      <c r="J175" s="3934" t="n"/>
      <c r="K175" s="3934" t="n"/>
      <c r="L175" s="3934" t="n"/>
      <c r="M175" s="3934" t="n"/>
      <c r="N175" s="3934" t="n"/>
      <c r="O175" s="3934" t="n"/>
      <c r="P175" s="3934" t="n"/>
      <c r="Q175" s="3934" t="n"/>
      <c r="R175" s="3934" t="n"/>
      <c r="S175" s="3934" t="n"/>
      <c r="T175" s="3934" t="n"/>
      <c r="U175" s="3934" t="n"/>
      <c r="V175" s="3934" t="n"/>
      <c r="W175" s="3934" t="n"/>
      <c r="X175" s="3934" t="n"/>
      <c r="Y175" s="3934" t="n"/>
      <c r="Z175" s="3934" t="n"/>
      <c r="AA175" s="3934" t="n"/>
      <c r="AB175" s="3934" t="n"/>
      <c r="AC175" s="3934" t="n"/>
      <c r="AD175" s="3934" t="n"/>
      <c r="AE175" s="3934" t="n"/>
      <c r="AF175" s="3934" t="n"/>
      <c r="AG175" s="3934" t="n"/>
      <c r="AH175" s="3934" t="n"/>
      <c r="AI175" s="3934" t="n"/>
      <c r="AJ175" s="3934" t="n"/>
      <c r="AK175" s="3934" t="n"/>
      <c r="AL175" s="3934" t="n"/>
      <c r="AM175" s="3934" t="n"/>
      <c r="AN175" s="3934" t="n"/>
      <c r="AO175" s="3934" t="n"/>
      <c r="AP175" s="3934" t="n"/>
      <c r="AQ175" s="3934" t="n"/>
      <c r="AR175" s="3934" t="n"/>
    </row>
    <row r="176">
      <c r="A176" s="3944" t="n"/>
      <c r="B176" s="3944" t="n"/>
      <c r="C176" s="3944" t="n"/>
      <c r="D176" s="3944" t="n"/>
      <c r="E176" s="3944" t="n"/>
      <c r="F176" s="3944" t="n"/>
      <c r="G176" s="3944" t="n"/>
      <c r="H176" s="3944" t="n"/>
      <c r="I176" s="3944" t="n"/>
      <c r="J176" s="3934" t="n"/>
      <c r="K176" s="3934" t="n"/>
      <c r="L176" s="3934" t="n"/>
      <c r="M176" s="3934" t="n"/>
      <c r="N176" s="3934" t="n"/>
      <c r="O176" s="3934" t="n"/>
      <c r="P176" s="3934" t="n"/>
      <c r="Q176" s="3934" t="n"/>
      <c r="R176" s="3934" t="n"/>
      <c r="S176" s="3934" t="n"/>
      <c r="T176" s="3934" t="n"/>
      <c r="U176" s="3934" t="n"/>
      <c r="V176" s="3934" t="n"/>
      <c r="W176" s="3934" t="n"/>
      <c r="X176" s="3934" t="n"/>
      <c r="Y176" s="3934" t="n"/>
      <c r="Z176" s="3934" t="n"/>
      <c r="AA176" s="3934" t="n"/>
      <c r="AB176" s="3934" t="n"/>
      <c r="AC176" s="3934" t="n"/>
      <c r="AD176" s="3934" t="n"/>
      <c r="AE176" s="3934" t="n"/>
      <c r="AF176" s="3934" t="n"/>
      <c r="AG176" s="3934" t="n"/>
      <c r="AH176" s="3934" t="n"/>
      <c r="AI176" s="3934" t="n"/>
      <c r="AJ176" s="3934" t="n"/>
      <c r="AK176" s="3934" t="n"/>
      <c r="AL176" s="3934" t="n"/>
      <c r="AM176" s="3934" t="n"/>
      <c r="AN176" s="3934" t="n"/>
      <c r="AO176" s="3934" t="n"/>
      <c r="AP176" s="3934" t="n"/>
      <c r="AQ176" s="3934" t="n"/>
      <c r="AR176" s="3934" t="n"/>
    </row>
    <row r="177">
      <c r="A177" s="3944" t="n"/>
      <c r="B177" s="3944" t="n"/>
      <c r="C177" s="3944" t="n"/>
      <c r="D177" s="3944" t="n"/>
      <c r="E177" s="3944" t="n"/>
      <c r="F177" s="3944" t="n"/>
      <c r="G177" s="3944" t="n"/>
      <c r="H177" s="3944" t="n"/>
      <c r="I177" s="3944" t="n"/>
      <c r="J177" s="3934" t="n"/>
      <c r="K177" s="3934" t="n"/>
      <c r="L177" s="3934" t="n"/>
      <c r="M177" s="3934" t="n"/>
      <c r="N177" s="3934" t="n"/>
      <c r="O177" s="3934" t="n"/>
      <c r="P177" s="3934" t="n"/>
      <c r="Q177" s="3934" t="n"/>
      <c r="R177" s="3934" t="n"/>
      <c r="S177" s="3934" t="n"/>
      <c r="T177" s="3934" t="n"/>
      <c r="U177" s="3934" t="n"/>
      <c r="V177" s="3934" t="n"/>
      <c r="W177" s="3934" t="n"/>
      <c r="X177" s="3934" t="n"/>
      <c r="Y177" s="3934" t="n"/>
      <c r="Z177" s="3934" t="n"/>
      <c r="AA177" s="3934" t="n"/>
      <c r="AB177" s="3934" t="n"/>
      <c r="AC177" s="3934" t="n"/>
      <c r="AD177" s="3934" t="n"/>
      <c r="AE177" s="3934" t="n"/>
      <c r="AF177" s="3934" t="n"/>
      <c r="AG177" s="3934" t="n"/>
      <c r="AH177" s="3934" t="n"/>
      <c r="AI177" s="3934" t="n"/>
      <c r="AJ177" s="3934" t="n"/>
      <c r="AK177" s="3934" t="n"/>
      <c r="AL177" s="3934" t="n"/>
      <c r="AM177" s="3934" t="n"/>
      <c r="AN177" s="3934" t="n"/>
      <c r="AO177" s="3934" t="n"/>
      <c r="AP177" s="3934" t="n"/>
      <c r="AQ177" s="3934" t="n"/>
      <c r="AR177" s="3934" t="n"/>
    </row>
    <row r="178">
      <c r="A178" s="3944" t="n"/>
      <c r="B178" s="3944" t="n"/>
      <c r="C178" s="3944" t="n"/>
      <c r="D178" s="3944" t="n"/>
      <c r="E178" s="3944" t="n"/>
      <c r="F178" s="3944" t="n"/>
      <c r="G178" s="3944" t="n"/>
      <c r="H178" s="3944" t="n"/>
      <c r="I178" s="3944" t="n"/>
      <c r="J178" s="3934" t="n"/>
      <c r="K178" s="3934" t="n"/>
      <c r="L178" s="3934" t="n"/>
      <c r="M178" s="3934" t="n"/>
      <c r="N178" s="3934" t="n"/>
      <c r="O178" s="3934" t="n"/>
      <c r="P178" s="3934" t="n"/>
      <c r="Q178" s="3934" t="n"/>
      <c r="R178" s="3934" t="n"/>
      <c r="S178" s="3934" t="n"/>
      <c r="T178" s="3934" t="n"/>
      <c r="U178" s="3934" t="n"/>
      <c r="V178" s="3934" t="n"/>
      <c r="W178" s="3934" t="n"/>
      <c r="X178" s="3934" t="n"/>
      <c r="Y178" s="3934" t="n"/>
      <c r="Z178" s="3934" t="n"/>
      <c r="AA178" s="3934" t="n"/>
      <c r="AB178" s="3934" t="n"/>
      <c r="AC178" s="3934" t="n"/>
      <c r="AD178" s="3934" t="n"/>
      <c r="AE178" s="3934" t="n"/>
      <c r="AF178" s="3934" t="n"/>
      <c r="AG178" s="3934" t="n"/>
      <c r="AH178" s="3934" t="n"/>
      <c r="AI178" s="3934" t="n"/>
      <c r="AJ178" s="3934" t="n"/>
      <c r="AK178" s="3934" t="n"/>
      <c r="AL178" s="3934" t="n"/>
      <c r="AM178" s="3934" t="n"/>
      <c r="AN178" s="3934" t="n"/>
      <c r="AO178" s="3934" t="n"/>
      <c r="AP178" s="3934" t="n"/>
      <c r="AQ178" s="3934" t="n"/>
      <c r="AR178" s="3934" t="n"/>
    </row>
    <row r="179">
      <c r="A179" s="3944" t="n"/>
      <c r="B179" s="3944" t="n"/>
      <c r="C179" s="3944" t="n"/>
      <c r="D179" s="3944" t="n"/>
      <c r="E179" s="3944" t="n"/>
      <c r="F179" s="3944" t="n"/>
      <c r="G179" s="3944" t="n"/>
      <c r="H179" s="3944" t="n"/>
      <c r="I179" s="3944" t="n"/>
      <c r="J179" s="3934" t="n"/>
      <c r="K179" s="3934" t="n"/>
      <c r="L179" s="3934" t="n"/>
      <c r="M179" s="3934" t="n"/>
      <c r="N179" s="3934" t="n"/>
      <c r="O179" s="3934" t="n"/>
      <c r="P179" s="3934" t="n"/>
      <c r="Q179" s="3934" t="n"/>
      <c r="R179" s="3934" t="n"/>
      <c r="S179" s="3934" t="n"/>
      <c r="T179" s="3934" t="n"/>
      <c r="U179" s="3934" t="n"/>
      <c r="V179" s="3934" t="n"/>
      <c r="W179" s="3934" t="n"/>
      <c r="X179" s="3934" t="n"/>
      <c r="Y179" s="3934" t="n"/>
      <c r="Z179" s="3934" t="n"/>
      <c r="AA179" s="3934" t="n"/>
      <c r="AB179" s="3934" t="n"/>
      <c r="AC179" s="3934" t="n"/>
      <c r="AD179" s="3934" t="n"/>
      <c r="AE179" s="3934" t="n"/>
      <c r="AF179" s="3934" t="n"/>
      <c r="AG179" s="3934" t="n"/>
      <c r="AH179" s="3934" t="n"/>
      <c r="AI179" s="3934" t="n"/>
      <c r="AJ179" s="3934" t="n"/>
      <c r="AK179" s="3934" t="n"/>
      <c r="AL179" s="3934" t="n"/>
      <c r="AM179" s="3934" t="n"/>
      <c r="AN179" s="3934" t="n"/>
      <c r="AO179" s="3934" t="n"/>
      <c r="AP179" s="3934" t="n"/>
      <c r="AQ179" s="3934" t="n"/>
      <c r="AR179" s="3934" t="n"/>
    </row>
    <row r="180">
      <c r="A180" s="3944" t="n"/>
      <c r="B180" s="3944" t="n"/>
      <c r="C180" s="3944" t="n"/>
      <c r="D180" s="3944" t="n"/>
      <c r="E180" s="3944" t="n"/>
      <c r="F180" s="3944" t="n"/>
      <c r="G180" s="3944" t="n"/>
      <c r="H180" s="3944" t="n"/>
      <c r="I180" s="3944" t="n"/>
      <c r="J180" s="3934" t="n"/>
      <c r="K180" s="3934" t="n"/>
      <c r="L180" s="3934" t="n"/>
      <c r="M180" s="3934" t="n"/>
      <c r="N180" s="3934" t="n"/>
      <c r="O180" s="3934" t="n"/>
      <c r="P180" s="3934" t="n"/>
      <c r="Q180" s="3934" t="n"/>
      <c r="R180" s="3934" t="n"/>
      <c r="S180" s="3934" t="n"/>
      <c r="T180" s="3934" t="n"/>
      <c r="U180" s="3934" t="n"/>
      <c r="V180" s="3934" t="n"/>
      <c r="W180" s="3934" t="n"/>
      <c r="X180" s="3934" t="n"/>
      <c r="Y180" s="3934" t="n"/>
      <c r="Z180" s="3934" t="n"/>
      <c r="AA180" s="3934" t="n"/>
      <c r="AB180" s="3934" t="n"/>
      <c r="AC180" s="3934" t="n"/>
      <c r="AD180" s="3934" t="n"/>
      <c r="AE180" s="3934" t="n"/>
      <c r="AF180" s="3934" t="n"/>
      <c r="AG180" s="3934" t="n"/>
      <c r="AH180" s="3934" t="n"/>
      <c r="AI180" s="3934" t="n"/>
      <c r="AJ180" s="3934" t="n"/>
      <c r="AK180" s="3934" t="n"/>
      <c r="AL180" s="3934" t="n"/>
      <c r="AM180" s="3934" t="n"/>
      <c r="AN180" s="3934" t="n"/>
      <c r="AO180" s="3934" t="n"/>
      <c r="AP180" s="3934" t="n"/>
      <c r="AQ180" s="3934" t="n"/>
      <c r="AR180" s="3934" t="n"/>
    </row>
    <row r="181">
      <c r="A181" s="3944" t="n"/>
      <c r="B181" s="3944" t="n"/>
      <c r="C181" s="3944" t="n"/>
      <c r="D181" s="3944" t="n"/>
      <c r="E181" s="3944" t="n"/>
      <c r="F181" s="3944" t="n"/>
      <c r="G181" s="3944" t="n"/>
      <c r="H181" s="3944" t="n"/>
      <c r="I181" s="3944" t="n"/>
      <c r="J181" s="3934" t="n"/>
      <c r="K181" s="3934" t="n"/>
      <c r="L181" s="3934" t="n"/>
      <c r="M181" s="3934" t="n"/>
      <c r="N181" s="3934" t="n"/>
      <c r="O181" s="3934" t="n"/>
      <c r="P181" s="3934" t="n"/>
      <c r="Q181" s="3934" t="n"/>
      <c r="R181" s="3934" t="n"/>
      <c r="S181" s="3934" t="n"/>
      <c r="T181" s="3934" t="n"/>
      <c r="U181" s="3934" t="n"/>
      <c r="V181" s="3934" t="n"/>
      <c r="W181" s="3934" t="n"/>
      <c r="X181" s="3934" t="n"/>
      <c r="Y181" s="3934" t="n"/>
      <c r="Z181" s="3934" t="n"/>
      <c r="AA181" s="3934" t="n"/>
      <c r="AB181" s="3934" t="n"/>
      <c r="AC181" s="3934" t="n"/>
      <c r="AD181" s="3934" t="n"/>
      <c r="AE181" s="3934" t="n"/>
      <c r="AF181" s="3934" t="n"/>
      <c r="AG181" s="3934" t="n"/>
      <c r="AH181" s="3934" t="n"/>
      <c r="AI181" s="3934" t="n"/>
      <c r="AJ181" s="3934" t="n"/>
      <c r="AK181" s="3934" t="n"/>
      <c r="AL181" s="3934" t="n"/>
      <c r="AM181" s="3934" t="n"/>
      <c r="AN181" s="3934" t="n"/>
      <c r="AO181" s="3934" t="n"/>
      <c r="AP181" s="3934" t="n"/>
      <c r="AQ181" s="3934" t="n"/>
      <c r="AR181" s="3934" t="n"/>
    </row>
    <row r="182">
      <c r="A182" s="3944" t="n"/>
      <c r="B182" s="3944" t="n"/>
      <c r="C182" s="3944" t="n"/>
      <c r="D182" s="3944" t="n"/>
      <c r="E182" s="3944" t="n"/>
      <c r="F182" s="3944" t="n"/>
      <c r="G182" s="3944" t="n"/>
      <c r="H182" s="3944" t="n"/>
      <c r="I182" s="3944" t="n"/>
      <c r="J182" s="3934" t="n"/>
      <c r="K182" s="3934" t="n"/>
      <c r="L182" s="3934" t="n"/>
      <c r="M182" s="3934" t="n"/>
      <c r="N182" s="3934" t="n"/>
      <c r="O182" s="3934" t="n"/>
      <c r="P182" s="3934" t="n"/>
      <c r="Q182" s="3934" t="n"/>
      <c r="R182" s="3934" t="n"/>
      <c r="S182" s="3934" t="n"/>
      <c r="T182" s="3934" t="n"/>
      <c r="U182" s="3934" t="n"/>
      <c r="V182" s="3934" t="n"/>
      <c r="W182" s="3934" t="n"/>
      <c r="X182" s="3934" t="n"/>
      <c r="Y182" s="3934" t="n"/>
      <c r="Z182" s="3934" t="n"/>
      <c r="AA182" s="3934" t="n"/>
      <c r="AB182" s="3934" t="n"/>
      <c r="AC182" s="3934" t="n"/>
      <c r="AD182" s="3934" t="n"/>
      <c r="AE182" s="3934" t="n"/>
      <c r="AF182" s="3934" t="n"/>
      <c r="AG182" s="3934" t="n"/>
      <c r="AH182" s="3934" t="n"/>
      <c r="AI182" s="3934" t="n"/>
      <c r="AJ182" s="3934" t="n"/>
      <c r="AK182" s="3934" t="n"/>
      <c r="AL182" s="3934" t="n"/>
      <c r="AM182" s="3934" t="n"/>
      <c r="AN182" s="3934" t="n"/>
      <c r="AO182" s="3934" t="n"/>
      <c r="AP182" s="3934" t="n"/>
      <c r="AQ182" s="3934" t="n"/>
      <c r="AR182" s="3934" t="n"/>
    </row>
    <row r="183">
      <c r="A183" s="3944" t="n"/>
      <c r="B183" s="3944" t="n"/>
      <c r="C183" s="3944" t="n"/>
      <c r="D183" s="3944" t="n"/>
      <c r="E183" s="3944" t="n"/>
      <c r="F183" s="3944" t="n"/>
      <c r="G183" s="3944" t="n"/>
      <c r="H183" s="3944" t="n"/>
      <c r="I183" s="3944" t="n"/>
      <c r="J183" s="3934" t="n"/>
      <c r="K183" s="3934" t="n"/>
      <c r="L183" s="3934" t="n"/>
      <c r="M183" s="3934" t="n"/>
      <c r="N183" s="3934" t="n"/>
      <c r="O183" s="3934" t="n"/>
      <c r="P183" s="3934" t="n"/>
      <c r="Q183" s="3934" t="n"/>
      <c r="R183" s="3934" t="n"/>
      <c r="S183" s="3934" t="n"/>
      <c r="T183" s="3934" t="n"/>
      <c r="U183" s="3934" t="n"/>
      <c r="V183" s="3934" t="n"/>
      <c r="W183" s="3934" t="n"/>
      <c r="X183" s="3934" t="n"/>
      <c r="Y183" s="3934" t="n"/>
      <c r="Z183" s="3934" t="n"/>
      <c r="AA183" s="3934" t="n"/>
      <c r="AB183" s="3934" t="n"/>
      <c r="AC183" s="3934" t="n"/>
      <c r="AD183" s="3934" t="n"/>
      <c r="AE183" s="3934" t="n"/>
      <c r="AF183" s="3934" t="n"/>
      <c r="AG183" s="3934" t="n"/>
      <c r="AH183" s="3934" t="n"/>
      <c r="AI183" s="3934" t="n"/>
      <c r="AJ183" s="3934" t="n"/>
      <c r="AK183" s="3934" t="n"/>
      <c r="AL183" s="3934" t="n"/>
      <c r="AM183" s="3934" t="n"/>
      <c r="AN183" s="3934" t="n"/>
      <c r="AO183" s="3934" t="n"/>
      <c r="AP183" s="3934" t="n"/>
      <c r="AQ183" s="3934" t="n"/>
      <c r="AR183" s="3934" t="n"/>
    </row>
    <row r="184">
      <c r="A184" s="3944" t="n"/>
      <c r="B184" s="3944" t="n"/>
      <c r="C184" s="3944" t="n"/>
      <c r="D184" s="3944" t="n"/>
      <c r="E184" s="3944" t="n"/>
      <c r="F184" s="3944" t="n"/>
      <c r="G184" s="3944" t="n"/>
      <c r="H184" s="3944" t="n"/>
      <c r="I184" s="3944" t="n"/>
      <c r="J184" s="3934" t="n"/>
      <c r="K184" s="3934" t="n"/>
      <c r="L184" s="3934" t="n"/>
      <c r="M184" s="3934" t="n"/>
      <c r="N184" s="3934" t="n"/>
      <c r="O184" s="3934" t="n"/>
      <c r="P184" s="3934" t="n"/>
      <c r="Q184" s="3934" t="n"/>
      <c r="R184" s="3934" t="n"/>
      <c r="S184" s="3934" t="n"/>
      <c r="T184" s="3934" t="n"/>
      <c r="U184" s="3934" t="n"/>
      <c r="V184" s="3934" t="n"/>
      <c r="W184" s="3934" t="n"/>
      <c r="X184" s="3934" t="n"/>
      <c r="Y184" s="3934" t="n"/>
      <c r="Z184" s="3934" t="n"/>
      <c r="AA184" s="3934" t="n"/>
      <c r="AB184" s="3934" t="n"/>
      <c r="AC184" s="3934" t="n"/>
      <c r="AD184" s="3934" t="n"/>
      <c r="AE184" s="3934" t="n"/>
      <c r="AF184" s="3934" t="n"/>
      <c r="AG184" s="3934" t="n"/>
      <c r="AH184" s="3934" t="n"/>
      <c r="AI184" s="3934" t="n"/>
      <c r="AJ184" s="3934" t="n"/>
      <c r="AK184" s="3934" t="n"/>
      <c r="AL184" s="3934" t="n"/>
      <c r="AM184" s="3934" t="n"/>
      <c r="AN184" s="3934" t="n"/>
      <c r="AO184" s="3934" t="n"/>
      <c r="AP184" s="3934" t="n"/>
      <c r="AQ184" s="3934" t="n"/>
      <c r="AR184" s="3934" t="n"/>
    </row>
    <row r="185">
      <c r="A185" s="3944" t="n"/>
      <c r="B185" s="3944" t="n"/>
      <c r="C185" s="3944" t="n"/>
      <c r="D185" s="3944" t="n"/>
      <c r="E185" s="3944" t="n"/>
      <c r="F185" s="3944" t="n"/>
      <c r="G185" s="3944" t="n"/>
      <c r="H185" s="3944" t="n"/>
      <c r="I185" s="3944" t="n"/>
      <c r="J185" s="3934" t="n"/>
      <c r="K185" s="3934" t="n"/>
      <c r="L185" s="3934" t="n"/>
      <c r="M185" s="3934" t="n"/>
      <c r="N185" s="3934" t="n"/>
      <c r="O185" s="3934" t="n"/>
      <c r="P185" s="3934" t="n"/>
      <c r="Q185" s="3934" t="n"/>
      <c r="R185" s="3934" t="n"/>
      <c r="S185" s="3934" t="n"/>
      <c r="T185" s="3934" t="n"/>
      <c r="U185" s="3934" t="n"/>
      <c r="V185" s="3934" t="n"/>
      <c r="W185" s="3934" t="n"/>
      <c r="X185" s="3934" t="n"/>
      <c r="Y185" s="3934" t="n"/>
      <c r="Z185" s="3934" t="n"/>
      <c r="AA185" s="3934" t="n"/>
      <c r="AB185" s="3934" t="n"/>
      <c r="AC185" s="3934" t="n"/>
      <c r="AD185" s="3934" t="n"/>
      <c r="AE185" s="3934" t="n"/>
      <c r="AF185" s="3934" t="n"/>
      <c r="AG185" s="3934" t="n"/>
      <c r="AH185" s="3934" t="n"/>
      <c r="AI185" s="3934" t="n"/>
      <c r="AJ185" s="3934" t="n"/>
      <c r="AK185" s="3934" t="n"/>
      <c r="AL185" s="3934" t="n"/>
      <c r="AM185" s="3934" t="n"/>
      <c r="AN185" s="3934" t="n"/>
      <c r="AO185" s="3934" t="n"/>
      <c r="AP185" s="3934" t="n"/>
      <c r="AQ185" s="3934" t="n"/>
      <c r="AR185" s="3934" t="n"/>
    </row>
    <row r="186">
      <c r="A186" s="3944" t="n"/>
      <c r="B186" s="3944" t="n"/>
      <c r="C186" s="3944" t="n"/>
      <c r="D186" s="3944" t="n"/>
      <c r="E186" s="3944" t="n"/>
      <c r="F186" s="3944" t="n"/>
      <c r="G186" s="3944" t="n"/>
      <c r="H186" s="3944" t="n"/>
      <c r="I186" s="3944" t="n"/>
      <c r="J186" s="3934" t="n"/>
      <c r="K186" s="3934" t="n"/>
      <c r="L186" s="3934" t="n"/>
      <c r="M186" s="3934" t="n"/>
      <c r="N186" s="3934" t="n"/>
      <c r="O186" s="3934" t="n"/>
      <c r="P186" s="3934" t="n"/>
      <c r="Q186" s="3934" t="n"/>
      <c r="R186" s="3934" t="n"/>
      <c r="S186" s="3934" t="n"/>
      <c r="T186" s="3934" t="n"/>
      <c r="U186" s="3934" t="n"/>
      <c r="V186" s="3934" t="n"/>
      <c r="W186" s="3934" t="n"/>
      <c r="X186" s="3934" t="n"/>
      <c r="Y186" s="3934" t="n"/>
      <c r="Z186" s="3934" t="n"/>
      <c r="AA186" s="3934" t="n"/>
      <c r="AB186" s="3934" t="n"/>
      <c r="AC186" s="3934" t="n"/>
      <c r="AD186" s="3934" t="n"/>
      <c r="AE186" s="3934" t="n"/>
      <c r="AF186" s="3934" t="n"/>
      <c r="AG186" s="3934" t="n"/>
      <c r="AH186" s="3934" t="n"/>
      <c r="AI186" s="3934" t="n"/>
      <c r="AJ186" s="3934" t="n"/>
      <c r="AK186" s="3934" t="n"/>
      <c r="AL186" s="3934" t="n"/>
      <c r="AM186" s="3934" t="n"/>
      <c r="AN186" s="3934" t="n"/>
      <c r="AO186" s="3934" t="n"/>
      <c r="AP186" s="3934" t="n"/>
      <c r="AQ186" s="3934" t="n"/>
      <c r="AR186" s="3934" t="n"/>
    </row>
    <row r="187">
      <c r="A187" s="3944" t="n"/>
      <c r="B187" s="3944" t="n"/>
      <c r="C187" s="3944" t="n"/>
      <c r="D187" s="3944" t="n"/>
      <c r="E187" s="3944" t="n"/>
      <c r="F187" s="3944" t="n"/>
      <c r="G187" s="3944" t="n"/>
      <c r="H187" s="3944" t="n"/>
      <c r="I187" s="3944" t="n"/>
      <c r="J187" s="3934" t="n"/>
      <c r="K187" s="3934" t="n"/>
      <c r="L187" s="3934" t="n"/>
      <c r="M187" s="3934" t="n"/>
      <c r="N187" s="3934" t="n"/>
      <c r="O187" s="3934" t="n"/>
      <c r="P187" s="3934" t="n"/>
      <c r="Q187" s="3934" t="n"/>
      <c r="R187" s="3934" t="n"/>
      <c r="S187" s="3934" t="n"/>
      <c r="T187" s="3934" t="n"/>
      <c r="U187" s="3934" t="n"/>
      <c r="V187" s="3934" t="n"/>
      <c r="W187" s="3934" t="n"/>
      <c r="X187" s="3934" t="n"/>
      <c r="Y187" s="3934" t="n"/>
      <c r="Z187" s="3934" t="n"/>
      <c r="AA187" s="3934" t="n"/>
      <c r="AB187" s="3934" t="n"/>
      <c r="AC187" s="3934" t="n"/>
      <c r="AD187" s="3934" t="n"/>
      <c r="AE187" s="3934" t="n"/>
      <c r="AF187" s="3934" t="n"/>
      <c r="AG187" s="3934" t="n"/>
      <c r="AH187" s="3934" t="n"/>
      <c r="AI187" s="3934" t="n"/>
      <c r="AJ187" s="3934" t="n"/>
      <c r="AK187" s="3934" t="n"/>
      <c r="AL187" s="3934" t="n"/>
      <c r="AM187" s="3934" t="n"/>
      <c r="AN187" s="3934" t="n"/>
      <c r="AO187" s="3934" t="n"/>
      <c r="AP187" s="3934" t="n"/>
      <c r="AQ187" s="3934" t="n"/>
      <c r="AR187" s="3934" t="n"/>
    </row>
    <row r="188">
      <c r="A188" s="3944" t="n"/>
      <c r="B188" s="3944" t="n"/>
      <c r="C188" s="3944" t="n"/>
      <c r="D188" s="3944" t="n"/>
      <c r="E188" s="3944" t="n"/>
      <c r="F188" s="3944" t="n"/>
      <c r="G188" s="3944" t="n"/>
      <c r="H188" s="3944" t="n"/>
      <c r="I188" s="3944" t="n"/>
      <c r="J188" s="3934" t="n"/>
      <c r="K188" s="3934" t="n"/>
      <c r="L188" s="3934" t="n"/>
      <c r="M188" s="3934" t="n"/>
      <c r="N188" s="3934" t="n"/>
      <c r="O188" s="3934" t="n"/>
      <c r="P188" s="3934" t="n"/>
      <c r="Q188" s="3934" t="n"/>
      <c r="R188" s="3934" t="n"/>
      <c r="S188" s="3934" t="n"/>
      <c r="T188" s="3934" t="n"/>
      <c r="U188" s="3934" t="n"/>
      <c r="V188" s="3934" t="n"/>
      <c r="W188" s="3934" t="n"/>
      <c r="X188" s="3934" t="n"/>
      <c r="Y188" s="3934" t="n"/>
      <c r="Z188" s="3934" t="n"/>
      <c r="AA188" s="3934" t="n"/>
      <c r="AB188" s="3934" t="n"/>
      <c r="AC188" s="3934" t="n"/>
      <c r="AD188" s="3934" t="n"/>
      <c r="AE188" s="3934" t="n"/>
      <c r="AF188" s="3934" t="n"/>
      <c r="AG188" s="3934" t="n"/>
      <c r="AH188" s="3934" t="n"/>
      <c r="AI188" s="3934" t="n"/>
      <c r="AJ188" s="3934" t="n"/>
      <c r="AK188" s="3934" t="n"/>
      <c r="AL188" s="3934" t="n"/>
      <c r="AM188" s="3934" t="n"/>
      <c r="AN188" s="3934" t="n"/>
      <c r="AO188" s="3934" t="n"/>
      <c r="AP188" s="3934" t="n"/>
      <c r="AQ188" s="3934" t="n"/>
      <c r="AR188" s="3934" t="n"/>
    </row>
    <row r="189">
      <c r="A189" s="3944" t="n"/>
      <c r="B189" s="3944" t="n"/>
      <c r="C189" s="3944" t="n"/>
      <c r="D189" s="3944" t="n"/>
      <c r="E189" s="3944" t="n"/>
      <c r="F189" s="3944" t="n"/>
      <c r="G189" s="3944" t="n"/>
      <c r="H189" s="3944" t="n"/>
      <c r="I189" s="3944" t="n"/>
      <c r="J189" s="3934" t="n"/>
      <c r="K189" s="3934" t="n"/>
      <c r="L189" s="3934" t="n"/>
      <c r="M189" s="3934" t="n"/>
      <c r="N189" s="3934" t="n"/>
      <c r="O189" s="3934" t="n"/>
      <c r="P189" s="3934" t="n"/>
      <c r="Q189" s="3934" t="n"/>
      <c r="R189" s="3934" t="n"/>
      <c r="S189" s="3934" t="n"/>
      <c r="T189" s="3934" t="n"/>
      <c r="U189" s="3934" t="n"/>
      <c r="V189" s="3934" t="n"/>
      <c r="W189" s="3934" t="n"/>
      <c r="X189" s="3934" t="n"/>
      <c r="Y189" s="3934" t="n"/>
      <c r="Z189" s="3934" t="n"/>
      <c r="AA189" s="3934" t="n"/>
      <c r="AB189" s="3934" t="n"/>
      <c r="AC189" s="3934" t="n"/>
      <c r="AD189" s="3934" t="n"/>
      <c r="AE189" s="3934" t="n"/>
      <c r="AF189" s="3934" t="n"/>
      <c r="AG189" s="3934" t="n"/>
      <c r="AH189" s="3934" t="n"/>
      <c r="AI189" s="3934" t="n"/>
      <c r="AJ189" s="3934" t="n"/>
      <c r="AK189" s="3934" t="n"/>
      <c r="AL189" s="3934" t="n"/>
      <c r="AM189" s="3934" t="n"/>
      <c r="AN189" s="3934" t="n"/>
      <c r="AO189" s="3934" t="n"/>
      <c r="AP189" s="3934" t="n"/>
      <c r="AQ189" s="3934" t="n"/>
      <c r="AR189" s="3934" t="n"/>
    </row>
    <row r="190">
      <c r="A190" s="3944" t="n"/>
      <c r="B190" s="3944" t="n"/>
      <c r="C190" s="3944" t="n"/>
      <c r="D190" s="3944" t="n"/>
      <c r="E190" s="3944" t="n"/>
      <c r="F190" s="3944" t="n"/>
      <c r="G190" s="3944" t="n"/>
      <c r="H190" s="3944" t="n"/>
      <c r="I190" s="3944" t="n"/>
      <c r="J190" s="3934" t="n"/>
      <c r="K190" s="3934" t="n"/>
      <c r="L190" s="3934" t="n"/>
      <c r="M190" s="3934" t="n"/>
      <c r="N190" s="3934" t="n"/>
      <c r="O190" s="3934" t="n"/>
      <c r="P190" s="3934" t="n"/>
      <c r="Q190" s="3934" t="n"/>
      <c r="R190" s="3934" t="n"/>
      <c r="S190" s="3934" t="n"/>
      <c r="T190" s="3934" t="n"/>
      <c r="U190" s="3934" t="n"/>
      <c r="V190" s="3934" t="n"/>
      <c r="W190" s="3934" t="n"/>
      <c r="X190" s="3934" t="n"/>
      <c r="Y190" s="3934" t="n"/>
      <c r="Z190" s="3934" t="n"/>
      <c r="AA190" s="3934" t="n"/>
      <c r="AB190" s="3934" t="n"/>
      <c r="AC190" s="3934" t="n"/>
      <c r="AD190" s="3934" t="n"/>
      <c r="AE190" s="3934" t="n"/>
      <c r="AF190" s="3934" t="n"/>
      <c r="AG190" s="3934" t="n"/>
      <c r="AH190" s="3934" t="n"/>
      <c r="AI190" s="3934" t="n"/>
      <c r="AJ190" s="3934" t="n"/>
      <c r="AK190" s="3934" t="n"/>
      <c r="AL190" s="3934" t="n"/>
      <c r="AM190" s="3934" t="n"/>
      <c r="AN190" s="3934" t="n"/>
      <c r="AO190" s="3934" t="n"/>
      <c r="AP190" s="3934" t="n"/>
      <c r="AQ190" s="3934" t="n"/>
      <c r="AR190" s="3934" t="n"/>
    </row>
    <row r="191">
      <c r="A191" s="3944" t="n"/>
      <c r="B191" s="3944" t="n"/>
      <c r="C191" s="3944" t="n"/>
      <c r="D191" s="3944" t="n"/>
      <c r="E191" s="3944" t="n"/>
      <c r="F191" s="3944" t="n"/>
      <c r="G191" s="3944" t="n"/>
      <c r="H191" s="3944" t="n"/>
      <c r="I191" s="3944" t="n"/>
      <c r="J191" s="3934" t="n"/>
      <c r="K191" s="3934" t="n"/>
      <c r="L191" s="3934" t="n"/>
      <c r="M191" s="3934" t="n"/>
      <c r="N191" s="3934" t="n"/>
      <c r="O191" s="3934" t="n"/>
      <c r="P191" s="3934" t="n"/>
      <c r="Q191" s="3934" t="n"/>
      <c r="R191" s="3934" t="n"/>
      <c r="S191" s="3934" t="n"/>
      <c r="T191" s="3934" t="n"/>
      <c r="U191" s="3934" t="n"/>
      <c r="V191" s="3934" t="n"/>
      <c r="W191" s="3934" t="n"/>
      <c r="X191" s="3934" t="n"/>
      <c r="Y191" s="3934" t="n"/>
      <c r="Z191" s="3934" t="n"/>
      <c r="AA191" s="3934" t="n"/>
      <c r="AB191" s="3934" t="n"/>
      <c r="AC191" s="3934" t="n"/>
      <c r="AD191" s="3934" t="n"/>
      <c r="AE191" s="3934" t="n"/>
      <c r="AF191" s="3934" t="n"/>
      <c r="AG191" s="3934" t="n"/>
      <c r="AH191" s="3934" t="n"/>
      <c r="AI191" s="3934" t="n"/>
      <c r="AJ191" s="3934" t="n"/>
      <c r="AK191" s="3934" t="n"/>
      <c r="AL191" s="3934" t="n"/>
      <c r="AM191" s="3934" t="n"/>
      <c r="AN191" s="3934" t="n"/>
      <c r="AO191" s="3934" t="n"/>
      <c r="AP191" s="3934" t="n"/>
      <c r="AQ191" s="3934" t="n"/>
      <c r="AR191" s="3934" t="n"/>
    </row>
    <row r="192">
      <c r="A192" s="3944" t="n"/>
      <c r="B192" s="3944" t="n"/>
      <c r="C192" s="3944" t="n"/>
      <c r="D192" s="3944" t="n"/>
      <c r="E192" s="3944" t="n"/>
      <c r="F192" s="3944" t="n"/>
      <c r="G192" s="3944" t="n"/>
      <c r="H192" s="3944" t="n"/>
      <c r="I192" s="3944" t="n"/>
      <c r="J192" s="3934" t="n"/>
      <c r="K192" s="3934" t="n"/>
      <c r="L192" s="3934" t="n"/>
      <c r="M192" s="3934" t="n"/>
      <c r="N192" s="3934" t="n"/>
      <c r="O192" s="3934" t="n"/>
      <c r="P192" s="3934" t="n"/>
      <c r="Q192" s="3934" t="n"/>
      <c r="R192" s="3934" t="n"/>
      <c r="S192" s="3934" t="n"/>
      <c r="T192" s="3934" t="n"/>
      <c r="U192" s="3934" t="n"/>
      <c r="V192" s="3934" t="n"/>
      <c r="W192" s="3934" t="n"/>
      <c r="X192" s="3934" t="n"/>
      <c r="Y192" s="3934" t="n"/>
      <c r="Z192" s="3934" t="n"/>
      <c r="AA192" s="3934" t="n"/>
      <c r="AB192" s="3934" t="n"/>
      <c r="AC192" s="3934" t="n"/>
      <c r="AD192" s="3934" t="n"/>
      <c r="AE192" s="3934" t="n"/>
      <c r="AF192" s="3934" t="n"/>
      <c r="AG192" s="3934" t="n"/>
      <c r="AH192" s="3934" t="n"/>
      <c r="AI192" s="3934" t="n"/>
      <c r="AJ192" s="3934" t="n"/>
      <c r="AK192" s="3934" t="n"/>
      <c r="AL192" s="3934" t="n"/>
      <c r="AM192" s="3934" t="n"/>
      <c r="AN192" s="3934" t="n"/>
      <c r="AO192" s="3934" t="n"/>
      <c r="AP192" s="3934" t="n"/>
      <c r="AQ192" s="3934" t="n"/>
      <c r="AR192" s="3934" t="n"/>
    </row>
    <row r="193">
      <c r="A193" s="3944" t="n"/>
      <c r="B193" s="3944" t="n"/>
      <c r="C193" s="3944" t="n"/>
      <c r="D193" s="3944" t="n"/>
      <c r="E193" s="3944" t="n"/>
      <c r="F193" s="3944" t="n"/>
      <c r="G193" s="3944" t="n"/>
      <c r="H193" s="3944" t="n"/>
      <c r="I193" s="3944" t="n"/>
      <c r="J193" s="3934" t="n"/>
      <c r="K193" s="3934" t="n"/>
      <c r="L193" s="3934" t="n"/>
      <c r="M193" s="3934" t="n"/>
      <c r="N193" s="3934" t="n"/>
      <c r="O193" s="3934" t="n"/>
      <c r="P193" s="3934" t="n"/>
      <c r="Q193" s="3934" t="n"/>
      <c r="R193" s="3934" t="n"/>
      <c r="S193" s="3934" t="n"/>
      <c r="T193" s="3934" t="n"/>
      <c r="U193" s="3934" t="n"/>
      <c r="V193" s="3934" t="n"/>
      <c r="W193" s="3934" t="n"/>
      <c r="X193" s="3934" t="n"/>
      <c r="Y193" s="3934" t="n"/>
      <c r="Z193" s="3934" t="n"/>
      <c r="AA193" s="3934" t="n"/>
      <c r="AB193" s="3934" t="n"/>
      <c r="AC193" s="3934" t="n"/>
      <c r="AD193" s="3934" t="n"/>
      <c r="AE193" s="3934" t="n"/>
      <c r="AF193" s="3934" t="n"/>
      <c r="AG193" s="3934" t="n"/>
      <c r="AH193" s="3934" t="n"/>
      <c r="AI193" s="3934" t="n"/>
      <c r="AJ193" s="3934" t="n"/>
      <c r="AK193" s="3934" t="n"/>
      <c r="AL193" s="3934" t="n"/>
      <c r="AM193" s="3934" t="n"/>
      <c r="AN193" s="3934" t="n"/>
      <c r="AO193" s="3934" t="n"/>
      <c r="AP193" s="3934" t="n"/>
      <c r="AQ193" s="3934" t="n"/>
      <c r="AR193" s="3934" t="n"/>
    </row>
    <row r="194">
      <c r="A194" s="3944" t="n"/>
      <c r="B194" s="3944" t="n"/>
      <c r="C194" s="3944" t="n"/>
      <c r="D194" s="3944" t="n"/>
      <c r="E194" s="3944" t="n"/>
      <c r="F194" s="3944" t="n"/>
      <c r="G194" s="3944" t="n"/>
      <c r="H194" s="3944" t="n"/>
      <c r="I194" s="3944" t="n"/>
      <c r="J194" s="3934" t="n"/>
      <c r="K194" s="3934" t="n"/>
      <c r="L194" s="3934" t="n"/>
      <c r="M194" s="3934" t="n"/>
      <c r="N194" s="3934" t="n"/>
      <c r="O194" s="3934" t="n"/>
      <c r="P194" s="3934" t="n"/>
      <c r="Q194" s="3934" t="n"/>
      <c r="R194" s="3934" t="n"/>
      <c r="S194" s="3934" t="n"/>
      <c r="T194" s="3934" t="n"/>
      <c r="U194" s="3934" t="n"/>
      <c r="V194" s="3934" t="n"/>
      <c r="W194" s="3934" t="n"/>
      <c r="X194" s="3934" t="n"/>
      <c r="Y194" s="3934" t="n"/>
      <c r="Z194" s="3934" t="n"/>
      <c r="AA194" s="3934" t="n"/>
      <c r="AB194" s="3934" t="n"/>
      <c r="AC194" s="3934" t="n"/>
      <c r="AD194" s="3934" t="n"/>
      <c r="AE194" s="3934" t="n"/>
      <c r="AF194" s="3934" t="n"/>
      <c r="AG194" s="3934" t="n"/>
      <c r="AH194" s="3934" t="n"/>
      <c r="AI194" s="3934" t="n"/>
      <c r="AJ194" s="3934" t="n"/>
      <c r="AK194" s="3934" t="n"/>
      <c r="AL194" s="3934" t="n"/>
      <c r="AM194" s="3934" t="n"/>
      <c r="AN194" s="3934" t="n"/>
      <c r="AO194" s="3934" t="n"/>
      <c r="AP194" s="3934" t="n"/>
      <c r="AQ194" s="3934" t="n"/>
      <c r="AR194" s="3934" t="n"/>
    </row>
    <row r="195">
      <c r="A195" s="3944" t="n"/>
      <c r="B195" s="3944" t="n"/>
      <c r="C195" s="3944" t="n"/>
      <c r="D195" s="3944" t="n"/>
      <c r="E195" s="3944" t="n"/>
      <c r="F195" s="3944" t="n"/>
      <c r="G195" s="3944" t="n"/>
      <c r="H195" s="3944" t="n"/>
      <c r="I195" s="3944" t="n"/>
      <c r="J195" s="3934" t="n"/>
      <c r="K195" s="3934" t="n"/>
      <c r="L195" s="3934" t="n"/>
      <c r="M195" s="3934" t="n"/>
      <c r="N195" s="3934" t="n"/>
      <c r="O195" s="3934" t="n"/>
      <c r="P195" s="3934" t="n"/>
      <c r="Q195" s="3934" t="n"/>
      <c r="R195" s="3934" t="n"/>
      <c r="S195" s="3934" t="n"/>
      <c r="T195" s="3934" t="n"/>
      <c r="U195" s="3934" t="n"/>
      <c r="V195" s="3934" t="n"/>
      <c r="W195" s="3934" t="n"/>
      <c r="X195" s="3934" t="n"/>
      <c r="Y195" s="3934" t="n"/>
      <c r="Z195" s="3934" t="n"/>
      <c r="AA195" s="3934" t="n"/>
      <c r="AB195" s="3934" t="n"/>
      <c r="AC195" s="3934" t="n"/>
      <c r="AD195" s="3934" t="n"/>
      <c r="AE195" s="3934" t="n"/>
      <c r="AF195" s="3934" t="n"/>
      <c r="AG195" s="3934" t="n"/>
      <c r="AH195" s="3934" t="n"/>
      <c r="AI195" s="3934" t="n"/>
      <c r="AJ195" s="3934" t="n"/>
      <c r="AK195" s="3934" t="n"/>
      <c r="AL195" s="3934" t="n"/>
      <c r="AM195" s="3934" t="n"/>
      <c r="AN195" s="3934" t="n"/>
      <c r="AO195" s="3934" t="n"/>
      <c r="AP195" s="3934" t="n"/>
      <c r="AQ195" s="3934" t="n"/>
      <c r="AR195" s="3934" t="n"/>
    </row>
    <row r="196">
      <c r="A196" s="3944" t="n"/>
      <c r="B196" s="3944" t="n"/>
      <c r="C196" s="3944" t="n"/>
      <c r="D196" s="3944" t="n"/>
      <c r="E196" s="3944" t="n"/>
      <c r="F196" s="3944" t="n"/>
      <c r="G196" s="3944" t="n"/>
      <c r="H196" s="3944" t="n"/>
      <c r="I196" s="3944" t="n"/>
      <c r="J196" s="3934" t="n"/>
      <c r="K196" s="3934" t="n"/>
      <c r="L196" s="3934" t="n"/>
      <c r="M196" s="3934" t="n"/>
      <c r="N196" s="3934" t="n"/>
      <c r="O196" s="3934" t="n"/>
      <c r="P196" s="3934" t="n"/>
      <c r="Q196" s="3934" t="n"/>
      <c r="R196" s="3934" t="n"/>
      <c r="S196" s="3934" t="n"/>
      <c r="T196" s="3934" t="n"/>
      <c r="U196" s="3934" t="n"/>
      <c r="V196" s="3934" t="n"/>
      <c r="W196" s="3934" t="n"/>
      <c r="X196" s="3934" t="n"/>
      <c r="Y196" s="3934" t="n"/>
      <c r="Z196" s="3934" t="n"/>
      <c r="AA196" s="3934" t="n"/>
      <c r="AB196" s="3934" t="n"/>
      <c r="AC196" s="3934" t="n"/>
      <c r="AD196" s="3934" t="n"/>
      <c r="AE196" s="3934" t="n"/>
      <c r="AF196" s="3934" t="n"/>
      <c r="AG196" s="3934" t="n"/>
      <c r="AH196" s="3934" t="n"/>
      <c r="AI196" s="3934" t="n"/>
      <c r="AJ196" s="3934" t="n"/>
      <c r="AK196" s="3934" t="n"/>
      <c r="AL196" s="3934" t="n"/>
      <c r="AM196" s="3934" t="n"/>
      <c r="AN196" s="3934" t="n"/>
      <c r="AO196" s="3934" t="n"/>
      <c r="AP196" s="3934" t="n"/>
      <c r="AQ196" s="3934" t="n"/>
      <c r="AR196" s="3934" t="n"/>
    </row>
    <row r="197">
      <c r="A197" s="3944" t="n"/>
      <c r="B197" s="3944" t="n"/>
      <c r="C197" s="3944" t="n"/>
      <c r="D197" s="3944" t="n"/>
      <c r="E197" s="3944" t="n"/>
      <c r="F197" s="3944" t="n"/>
      <c r="G197" s="3944" t="n"/>
      <c r="H197" s="3944" t="n"/>
      <c r="I197" s="3944" t="n"/>
      <c r="J197" s="3934" t="n"/>
      <c r="K197" s="3934" t="n"/>
      <c r="L197" s="3934" t="n"/>
      <c r="M197" s="3934" t="n"/>
      <c r="N197" s="3934" t="n"/>
      <c r="O197" s="3934" t="n"/>
      <c r="P197" s="3934" t="n"/>
      <c r="Q197" s="3934" t="n"/>
      <c r="R197" s="3934" t="n"/>
      <c r="S197" s="3934" t="n"/>
      <c r="T197" s="3934" t="n"/>
      <c r="U197" s="3934" t="n"/>
      <c r="V197" s="3934" t="n"/>
      <c r="W197" s="3934" t="n"/>
      <c r="X197" s="3934" t="n"/>
      <c r="Y197" s="3934" t="n"/>
      <c r="Z197" s="3934" t="n"/>
      <c r="AA197" s="3934" t="n"/>
      <c r="AB197" s="3934" t="n"/>
      <c r="AC197" s="3934" t="n"/>
      <c r="AD197" s="3934" t="n"/>
      <c r="AE197" s="3934" t="n"/>
      <c r="AF197" s="3934" t="n"/>
      <c r="AG197" s="3934" t="n"/>
      <c r="AH197" s="3934" t="n"/>
      <c r="AI197" s="3934" t="n"/>
      <c r="AJ197" s="3934" t="n"/>
      <c r="AK197" s="3934" t="n"/>
      <c r="AL197" s="3934" t="n"/>
      <c r="AM197" s="3934" t="n"/>
      <c r="AN197" s="3934" t="n"/>
      <c r="AO197" s="3934" t="n"/>
      <c r="AP197" s="3934" t="n"/>
      <c r="AQ197" s="3934" t="n"/>
      <c r="AR197" s="3934" t="n"/>
    </row>
    <row r="198">
      <c r="A198" s="3944" t="n"/>
      <c r="B198" s="3944" t="n"/>
      <c r="C198" s="3944" t="n"/>
      <c r="D198" s="3944" t="n"/>
      <c r="E198" s="3944" t="n"/>
      <c r="F198" s="3944" t="n"/>
      <c r="G198" s="3944" t="n"/>
      <c r="H198" s="3944" t="n"/>
      <c r="I198" s="3944" t="n"/>
      <c r="J198" s="3934" t="n"/>
      <c r="K198" s="3934" t="n"/>
      <c r="L198" s="3934" t="n"/>
      <c r="M198" s="3934" t="n"/>
      <c r="N198" s="3934" t="n"/>
      <c r="O198" s="3934" t="n"/>
      <c r="P198" s="3934" t="n"/>
      <c r="Q198" s="3934" t="n"/>
      <c r="R198" s="3934" t="n"/>
      <c r="S198" s="3934" t="n"/>
      <c r="T198" s="3934" t="n"/>
      <c r="U198" s="3934" t="n"/>
      <c r="V198" s="3934" t="n"/>
      <c r="W198" s="3934" t="n"/>
      <c r="X198" s="3934" t="n"/>
      <c r="Y198" s="3934" t="n"/>
      <c r="Z198" s="3934" t="n"/>
      <c r="AA198" s="3934" t="n"/>
      <c r="AB198" s="3934" t="n"/>
      <c r="AC198" s="3934" t="n"/>
      <c r="AD198" s="3934" t="n"/>
      <c r="AE198" s="3934" t="n"/>
      <c r="AF198" s="3934" t="n"/>
      <c r="AG198" s="3934" t="n"/>
      <c r="AH198" s="3934" t="n"/>
      <c r="AI198" s="3934" t="n"/>
      <c r="AJ198" s="3934" t="n"/>
      <c r="AK198" s="3934" t="n"/>
      <c r="AL198" s="3934" t="n"/>
      <c r="AM198" s="3934" t="n"/>
      <c r="AN198" s="3934" t="n"/>
      <c r="AO198" s="3934" t="n"/>
      <c r="AP198" s="3934" t="n"/>
      <c r="AQ198" s="3934" t="n"/>
      <c r="AR198" s="3934" t="n"/>
    </row>
    <row r="199">
      <c r="A199" s="3944" t="n"/>
      <c r="B199" s="3944" t="n"/>
      <c r="C199" s="3944" t="n"/>
      <c r="D199" s="3944" t="n"/>
      <c r="E199" s="3944" t="n"/>
      <c r="F199" s="3944" t="n"/>
      <c r="G199" s="3944" t="n"/>
      <c r="H199" s="3944" t="n"/>
      <c r="I199" s="3944" t="n"/>
      <c r="J199" s="3934" t="n"/>
      <c r="K199" s="3934" t="n"/>
      <c r="L199" s="3934" t="n"/>
      <c r="M199" s="3934" t="n"/>
      <c r="N199" s="3934" t="n"/>
      <c r="O199" s="3934" t="n"/>
      <c r="P199" s="3934" t="n"/>
      <c r="Q199" s="3934" t="n"/>
      <c r="R199" s="3934" t="n"/>
      <c r="S199" s="3934" t="n"/>
      <c r="T199" s="3934" t="n"/>
      <c r="U199" s="3934" t="n"/>
      <c r="V199" s="3934" t="n"/>
      <c r="W199" s="3934" t="n"/>
      <c r="X199" s="3934" t="n"/>
      <c r="Y199" s="3934" t="n"/>
      <c r="Z199" s="3934" t="n"/>
      <c r="AA199" s="3934" t="n"/>
      <c r="AB199" s="3934" t="n"/>
      <c r="AC199" s="3934" t="n"/>
      <c r="AD199" s="3934" t="n"/>
      <c r="AE199" s="3934" t="n"/>
      <c r="AF199" s="3934" t="n"/>
      <c r="AG199" s="3934" t="n"/>
      <c r="AH199" s="3934" t="n"/>
      <c r="AI199" s="3934" t="n"/>
      <c r="AJ199" s="3934" t="n"/>
      <c r="AK199" s="3934" t="n"/>
      <c r="AL199" s="3934" t="n"/>
      <c r="AM199" s="3934" t="n"/>
      <c r="AN199" s="3934" t="n"/>
      <c r="AO199" s="3934" t="n"/>
      <c r="AP199" s="3934" t="n"/>
      <c r="AQ199" s="3934" t="n"/>
      <c r="AR199" s="3934" t="n"/>
    </row>
    <row r="200">
      <c r="A200" s="3944" t="n"/>
      <c r="B200" s="3944" t="n"/>
      <c r="C200" s="3944" t="n"/>
      <c r="D200" s="3944" t="n"/>
      <c r="E200" s="3944" t="n"/>
      <c r="F200" s="3944" t="n"/>
      <c r="G200" s="3944" t="n"/>
      <c r="H200" s="3944" t="n"/>
      <c r="I200" s="3944" t="n"/>
      <c r="J200" s="3934" t="n"/>
      <c r="K200" s="3934" t="n"/>
      <c r="L200" s="3934" t="n"/>
      <c r="M200" s="3934" t="n"/>
      <c r="N200" s="3934" t="n"/>
      <c r="O200" s="3934" t="n"/>
      <c r="P200" s="3934" t="n"/>
      <c r="Q200" s="3934" t="n"/>
      <c r="R200" s="3934" t="n"/>
      <c r="S200" s="3934" t="n"/>
      <c r="T200" s="3934" t="n"/>
      <c r="U200" s="3934" t="n"/>
      <c r="V200" s="3934" t="n"/>
      <c r="W200" s="3934" t="n"/>
      <c r="X200" s="3934" t="n"/>
      <c r="Y200" s="3934" t="n"/>
      <c r="Z200" s="3934" t="n"/>
      <c r="AA200" s="3934" t="n"/>
      <c r="AB200" s="3934" t="n"/>
      <c r="AC200" s="3934" t="n"/>
      <c r="AD200" s="3934" t="n"/>
      <c r="AE200" s="3934" t="n"/>
      <c r="AF200" s="3934" t="n"/>
      <c r="AG200" s="3934" t="n"/>
      <c r="AH200" s="3934" t="n"/>
      <c r="AI200" s="3934" t="n"/>
      <c r="AJ200" s="3934" t="n"/>
      <c r="AK200" s="3934" t="n"/>
      <c r="AL200" s="3934" t="n"/>
      <c r="AM200" s="3934" t="n"/>
      <c r="AN200" s="3934" t="n"/>
      <c r="AO200" s="3934" t="n"/>
      <c r="AP200" s="3934" t="n"/>
      <c r="AQ200" s="3934" t="n"/>
      <c r="AR200" s="3934" t="n"/>
    </row>
    <row r="201">
      <c r="A201" s="3944" t="n"/>
      <c r="B201" s="3944" t="n"/>
      <c r="C201" s="3944" t="n"/>
      <c r="D201" s="3944" t="n"/>
      <c r="E201" s="3944" t="n"/>
      <c r="F201" s="3944" t="n"/>
      <c r="G201" s="3944" t="n"/>
      <c r="H201" s="3944" t="n"/>
      <c r="I201" s="3944" t="n"/>
      <c r="J201" s="3934" t="n"/>
      <c r="K201" s="3934" t="n"/>
      <c r="L201" s="3934" t="n"/>
      <c r="M201" s="3934" t="n"/>
      <c r="N201" s="3934" t="n"/>
      <c r="O201" s="3934" t="n"/>
      <c r="P201" s="3934" t="n"/>
      <c r="Q201" s="3934" t="n"/>
      <c r="R201" s="3934" t="n"/>
      <c r="S201" s="3934" t="n"/>
      <c r="T201" s="3934" t="n"/>
      <c r="U201" s="3934" t="n"/>
      <c r="V201" s="3934" t="n"/>
      <c r="W201" s="3934" t="n"/>
      <c r="X201" s="3934" t="n"/>
      <c r="Y201" s="3934" t="n"/>
      <c r="Z201" s="3934" t="n"/>
      <c r="AA201" s="3934" t="n"/>
      <c r="AB201" s="3934" t="n"/>
      <c r="AC201" s="3934" t="n"/>
      <c r="AD201" s="3934" t="n"/>
      <c r="AE201" s="3934" t="n"/>
      <c r="AF201" s="3934" t="n"/>
      <c r="AG201" s="3934" t="n"/>
      <c r="AH201" s="3934" t="n"/>
      <c r="AI201" s="3934" t="n"/>
      <c r="AJ201" s="3934" t="n"/>
      <c r="AK201" s="3934" t="n"/>
      <c r="AL201" s="3934" t="n"/>
      <c r="AM201" s="3934" t="n"/>
      <c r="AN201" s="3934" t="n"/>
      <c r="AO201" s="3934" t="n"/>
      <c r="AP201" s="3934" t="n"/>
      <c r="AQ201" s="3934" t="n"/>
      <c r="AR201" s="3934" t="n"/>
    </row>
    <row r="202">
      <c r="A202" s="3944" t="n"/>
      <c r="B202" s="3944" t="n"/>
      <c r="C202" s="3944" t="n"/>
      <c r="D202" s="3944" t="n"/>
      <c r="E202" s="3944" t="n"/>
      <c r="F202" s="3944" t="n"/>
      <c r="G202" s="3944" t="n"/>
      <c r="H202" s="3944" t="n"/>
      <c r="I202" s="3944" t="n"/>
      <c r="J202" s="3934" t="n"/>
      <c r="K202" s="3934" t="n"/>
      <c r="L202" s="3934" t="n"/>
      <c r="M202" s="3934" t="n"/>
      <c r="N202" s="3934" t="n"/>
      <c r="O202" s="3934" t="n"/>
      <c r="P202" s="3934" t="n"/>
      <c r="Q202" s="3934" t="n"/>
      <c r="R202" s="3934" t="n"/>
      <c r="S202" s="3934" t="n"/>
      <c r="T202" s="3934" t="n"/>
      <c r="U202" s="3934" t="n"/>
      <c r="V202" s="3934" t="n"/>
      <c r="W202" s="3934" t="n"/>
      <c r="X202" s="3934" t="n"/>
      <c r="Y202" s="3934" t="n"/>
      <c r="Z202" s="3934" t="n"/>
      <c r="AA202" s="3934" t="n"/>
      <c r="AB202" s="3934" t="n"/>
      <c r="AC202" s="3934" t="n"/>
      <c r="AD202" s="3934" t="n"/>
      <c r="AE202" s="3934" t="n"/>
      <c r="AF202" s="3934" t="n"/>
      <c r="AG202" s="3934" t="n"/>
      <c r="AH202" s="3934" t="n"/>
      <c r="AI202" s="3934" t="n"/>
      <c r="AJ202" s="3934" t="n"/>
      <c r="AK202" s="3934" t="n"/>
      <c r="AL202" s="3934" t="n"/>
      <c r="AM202" s="3934" t="n"/>
      <c r="AN202" s="3934" t="n"/>
      <c r="AO202" s="3934" t="n"/>
      <c r="AP202" s="3934" t="n"/>
      <c r="AQ202" s="3934" t="n"/>
      <c r="AR202" s="3934" t="n"/>
    </row>
    <row r="203">
      <c r="A203" s="3944" t="n"/>
      <c r="B203" s="3944" t="n"/>
      <c r="C203" s="3944" t="n"/>
      <c r="D203" s="3944" t="n"/>
      <c r="E203" s="3944" t="n"/>
      <c r="F203" s="3944" t="n"/>
      <c r="G203" s="3944" t="n"/>
      <c r="H203" s="3944" t="n"/>
      <c r="I203" s="3944" t="n"/>
      <c r="J203" s="3934" t="n"/>
      <c r="K203" s="3934" t="n"/>
      <c r="L203" s="3934" t="n"/>
      <c r="M203" s="3934" t="n"/>
      <c r="N203" s="3934" t="n"/>
      <c r="O203" s="3934" t="n"/>
      <c r="P203" s="3934" t="n"/>
      <c r="Q203" s="3934" t="n"/>
      <c r="R203" s="3934" t="n"/>
      <c r="S203" s="3934" t="n"/>
      <c r="T203" s="3934" t="n"/>
      <c r="U203" s="3934" t="n"/>
      <c r="V203" s="3934" t="n"/>
      <c r="W203" s="3934" t="n"/>
      <c r="X203" s="3934" t="n"/>
      <c r="Y203" s="3934" t="n"/>
      <c r="Z203" s="3934" t="n"/>
      <c r="AA203" s="3934" t="n"/>
      <c r="AB203" s="3934" t="n"/>
      <c r="AC203" s="3934" t="n"/>
      <c r="AD203" s="3934" t="n"/>
      <c r="AE203" s="3934" t="n"/>
      <c r="AF203" s="3934" t="n"/>
      <c r="AG203" s="3934" t="n"/>
      <c r="AH203" s="3934" t="n"/>
      <c r="AI203" s="3934" t="n"/>
      <c r="AJ203" s="3934" t="n"/>
      <c r="AK203" s="3934" t="n"/>
      <c r="AL203" s="3934" t="n"/>
      <c r="AM203" s="3934" t="n"/>
      <c r="AN203" s="3934" t="n"/>
      <c r="AO203" s="3934" t="n"/>
      <c r="AP203" s="3934" t="n"/>
      <c r="AQ203" s="3934" t="n"/>
      <c r="AR203" s="3934" t="n"/>
    </row>
    <row r="204">
      <c r="A204" s="3944" t="n"/>
      <c r="B204" s="3944" t="n"/>
      <c r="C204" s="3944" t="n"/>
      <c r="D204" s="3944" t="n"/>
      <c r="E204" s="3944" t="n"/>
      <c r="F204" s="3944" t="n"/>
      <c r="G204" s="3944" t="n"/>
      <c r="H204" s="3944" t="n"/>
      <c r="I204" s="3944" t="n"/>
      <c r="J204" s="3934" t="n"/>
      <c r="K204" s="3934" t="n"/>
      <c r="L204" s="3934" t="n"/>
      <c r="M204" s="3934" t="n"/>
      <c r="N204" s="3934" t="n"/>
      <c r="O204" s="3934" t="n"/>
      <c r="P204" s="3934" t="n"/>
      <c r="Q204" s="3934" t="n"/>
      <c r="R204" s="3934" t="n"/>
      <c r="S204" s="3934" t="n"/>
      <c r="T204" s="3934" t="n"/>
      <c r="U204" s="3934" t="n"/>
      <c r="V204" s="3934" t="n"/>
      <c r="W204" s="3934" t="n"/>
      <c r="X204" s="3934" t="n"/>
      <c r="Y204" s="3934" t="n"/>
      <c r="Z204" s="3934" t="n"/>
      <c r="AA204" s="3934" t="n"/>
      <c r="AB204" s="3934" t="n"/>
      <c r="AC204" s="3934" t="n"/>
      <c r="AD204" s="3934" t="n"/>
      <c r="AE204" s="3934" t="n"/>
      <c r="AF204" s="3934" t="n"/>
      <c r="AG204" s="3934" t="n"/>
      <c r="AH204" s="3934" t="n"/>
      <c r="AI204" s="3934" t="n"/>
      <c r="AJ204" s="3934" t="n"/>
      <c r="AK204" s="3934" t="n"/>
      <c r="AL204" s="3934" t="n"/>
      <c r="AM204" s="3934" t="n"/>
      <c r="AN204" s="3934" t="n"/>
      <c r="AO204" s="3934" t="n"/>
      <c r="AP204" s="3934" t="n"/>
      <c r="AQ204" s="3934" t="n"/>
      <c r="AR204" s="3934" t="n"/>
    </row>
    <row r="205">
      <c r="A205" s="3944" t="n"/>
      <c r="B205" s="3944" t="n"/>
      <c r="C205" s="3944" t="n"/>
      <c r="D205" s="3944" t="n"/>
      <c r="E205" s="3944" t="n"/>
      <c r="F205" s="3944" t="n"/>
      <c r="G205" s="3944" t="n"/>
      <c r="H205" s="3944" t="n"/>
      <c r="I205" s="3944" t="n"/>
      <c r="J205" s="3934" t="n"/>
      <c r="K205" s="3934" t="n"/>
      <c r="L205" s="3934" t="n"/>
      <c r="M205" s="3934" t="n"/>
      <c r="N205" s="3934" t="n"/>
      <c r="O205" s="3934" t="n"/>
      <c r="P205" s="3934" t="n"/>
      <c r="Q205" s="3934" t="n"/>
      <c r="R205" s="3934" t="n"/>
      <c r="S205" s="3934" t="n"/>
      <c r="T205" s="3934" t="n"/>
      <c r="U205" s="3934" t="n"/>
      <c r="V205" s="3934" t="n"/>
      <c r="W205" s="3934" t="n"/>
      <c r="X205" s="3934" t="n"/>
      <c r="Y205" s="3934" t="n"/>
      <c r="Z205" s="3934" t="n"/>
      <c r="AA205" s="3934" t="n"/>
      <c r="AB205" s="3934" t="n"/>
      <c r="AC205" s="3934" t="n"/>
      <c r="AD205" s="3934" t="n"/>
      <c r="AE205" s="3934" t="n"/>
      <c r="AF205" s="3934" t="n"/>
      <c r="AG205" s="3934" t="n"/>
      <c r="AH205" s="3934" t="n"/>
      <c r="AI205" s="3934" t="n"/>
      <c r="AJ205" s="3934" t="n"/>
      <c r="AK205" s="3934" t="n"/>
      <c r="AL205" s="3934" t="n"/>
      <c r="AM205" s="3934" t="n"/>
      <c r="AN205" s="3934" t="n"/>
      <c r="AO205" s="3934" t="n"/>
      <c r="AP205" s="3934" t="n"/>
      <c r="AQ205" s="3934" t="n"/>
      <c r="AR205" s="3934" t="n"/>
    </row>
    <row r="206">
      <c r="A206" s="3944" t="n"/>
      <c r="B206" s="3944" t="n"/>
      <c r="C206" s="3944" t="n"/>
      <c r="D206" s="3944" t="n"/>
      <c r="E206" s="3944" t="n"/>
      <c r="F206" s="3944" t="n"/>
      <c r="G206" s="3944" t="n"/>
      <c r="H206" s="3944" t="n"/>
      <c r="I206" s="3944" t="n"/>
      <c r="J206" s="3934" t="n"/>
      <c r="K206" s="3934" t="n"/>
      <c r="L206" s="3934" t="n"/>
      <c r="M206" s="3934" t="n"/>
      <c r="N206" s="3934" t="n"/>
      <c r="O206" s="3934" t="n"/>
      <c r="P206" s="3934" t="n"/>
      <c r="Q206" s="3934" t="n"/>
      <c r="R206" s="3934" t="n"/>
      <c r="S206" s="3934" t="n"/>
      <c r="T206" s="3934" t="n"/>
      <c r="U206" s="3934" t="n"/>
      <c r="V206" s="3934" t="n"/>
      <c r="W206" s="3934" t="n"/>
      <c r="X206" s="3934" t="n"/>
      <c r="Y206" s="3934" t="n"/>
      <c r="Z206" s="3934" t="n"/>
      <c r="AA206" s="3934" t="n"/>
      <c r="AB206" s="3934" t="n"/>
      <c r="AC206" s="3934" t="n"/>
      <c r="AD206" s="3934" t="n"/>
      <c r="AE206" s="3934" t="n"/>
      <c r="AF206" s="3934" t="n"/>
      <c r="AG206" s="3934" t="n"/>
      <c r="AH206" s="3934" t="n"/>
      <c r="AI206" s="3934" t="n"/>
      <c r="AJ206" s="3934" t="n"/>
      <c r="AK206" s="3934" t="n"/>
      <c r="AL206" s="3934" t="n"/>
      <c r="AM206" s="3934" t="n"/>
      <c r="AN206" s="3934" t="n"/>
      <c r="AO206" s="3934" t="n"/>
      <c r="AP206" s="3934" t="n"/>
      <c r="AQ206" s="3934" t="n"/>
      <c r="AR206" s="3934" t="n"/>
    </row>
    <row r="207">
      <c r="A207" s="3944" t="n"/>
      <c r="B207" s="3944" t="n"/>
      <c r="C207" s="3944" t="n"/>
      <c r="D207" s="3944" t="n"/>
      <c r="E207" s="3944" t="n"/>
      <c r="F207" s="3944" t="n"/>
      <c r="G207" s="3944" t="n"/>
      <c r="H207" s="3944" t="n"/>
      <c r="I207" s="3944" t="n"/>
      <c r="J207" s="3934" t="n"/>
      <c r="K207" s="3934" t="n"/>
      <c r="L207" s="3934" t="n"/>
      <c r="M207" s="3934" t="n"/>
      <c r="N207" s="3934" t="n"/>
      <c r="O207" s="3934" t="n"/>
      <c r="P207" s="3934" t="n"/>
      <c r="Q207" s="3934" t="n"/>
      <c r="R207" s="3934" t="n"/>
      <c r="S207" s="3934" t="n"/>
      <c r="T207" s="3934" t="n"/>
      <c r="U207" s="3934" t="n"/>
      <c r="V207" s="3934" t="n"/>
      <c r="W207" s="3934" t="n"/>
      <c r="X207" s="3934" t="n"/>
      <c r="Y207" s="3934" t="n"/>
      <c r="Z207" s="3934" t="n"/>
      <c r="AA207" s="3934" t="n"/>
      <c r="AB207" s="3934" t="n"/>
      <c r="AC207" s="3934" t="n"/>
      <c r="AD207" s="3934" t="n"/>
      <c r="AE207" s="3934" t="n"/>
      <c r="AF207" s="3934" t="n"/>
      <c r="AG207" s="3934" t="n"/>
      <c r="AH207" s="3934" t="n"/>
      <c r="AI207" s="3934" t="n"/>
      <c r="AJ207" s="3934" t="n"/>
      <c r="AK207" s="3934" t="n"/>
      <c r="AL207" s="3934" t="n"/>
      <c r="AM207" s="3934" t="n"/>
      <c r="AN207" s="3934" t="n"/>
      <c r="AO207" s="3934" t="n"/>
      <c r="AP207" s="3934" t="n"/>
      <c r="AQ207" s="3934" t="n"/>
      <c r="AR207" s="3934" t="n"/>
    </row>
    <row r="208">
      <c r="A208" s="3944" t="n"/>
      <c r="B208" s="3944" t="n"/>
      <c r="C208" s="3944" t="n"/>
      <c r="D208" s="3944" t="n"/>
      <c r="E208" s="3944" t="n"/>
      <c r="F208" s="3944" t="n"/>
      <c r="G208" s="3944" t="n"/>
      <c r="H208" s="3944" t="n"/>
      <c r="I208" s="3944" t="n"/>
      <c r="J208" s="3934" t="n"/>
      <c r="K208" s="3934" t="n"/>
      <c r="L208" s="3934" t="n"/>
      <c r="M208" s="3934" t="n"/>
      <c r="N208" s="3934" t="n"/>
      <c r="O208" s="3934" t="n"/>
      <c r="P208" s="3934" t="n"/>
      <c r="Q208" s="3934" t="n"/>
      <c r="R208" s="3934" t="n"/>
      <c r="S208" s="3934" t="n"/>
      <c r="T208" s="3934" t="n"/>
      <c r="U208" s="3934" t="n"/>
      <c r="V208" s="3934" t="n"/>
      <c r="W208" s="3934" t="n"/>
      <c r="X208" s="3934" t="n"/>
      <c r="Y208" s="3934" t="n"/>
      <c r="Z208" s="3934" t="n"/>
      <c r="AA208" s="3934" t="n"/>
      <c r="AB208" s="3934" t="n"/>
      <c r="AC208" s="3934" t="n"/>
      <c r="AD208" s="3934" t="n"/>
      <c r="AE208" s="3934" t="n"/>
      <c r="AF208" s="3934" t="n"/>
      <c r="AG208" s="3934" t="n"/>
      <c r="AH208" s="3934" t="n"/>
      <c r="AI208" s="3934" t="n"/>
      <c r="AJ208" s="3934" t="n"/>
      <c r="AK208" s="3934" t="n"/>
      <c r="AL208" s="3934" t="n"/>
      <c r="AM208" s="3934" t="n"/>
      <c r="AN208" s="3934" t="n"/>
      <c r="AO208" s="3934" t="n"/>
      <c r="AP208" s="3934" t="n"/>
      <c r="AQ208" s="3934" t="n"/>
      <c r="AR208" s="3934" t="n"/>
    </row>
    <row r="209">
      <c r="A209" s="3944" t="n"/>
      <c r="B209" s="3944" t="n"/>
      <c r="C209" s="3944" t="n"/>
      <c r="D209" s="3944" t="n"/>
      <c r="E209" s="3944" t="n"/>
      <c r="F209" s="3944" t="n"/>
      <c r="G209" s="3944" t="n"/>
      <c r="H209" s="3944" t="n"/>
      <c r="I209" s="3944" t="n"/>
      <c r="J209" s="3934" t="n"/>
      <c r="K209" s="3934" t="n"/>
      <c r="L209" s="3934" t="n"/>
      <c r="M209" s="3934" t="n"/>
      <c r="N209" s="3934" t="n"/>
      <c r="O209" s="3934" t="n"/>
      <c r="P209" s="3934" t="n"/>
      <c r="Q209" s="3934" t="n"/>
      <c r="R209" s="3934" t="n"/>
      <c r="S209" s="3934" t="n"/>
      <c r="T209" s="3934" t="n"/>
      <c r="U209" s="3934" t="n"/>
      <c r="V209" s="3934" t="n"/>
      <c r="W209" s="3934" t="n"/>
      <c r="X209" s="3934" t="n"/>
      <c r="Y209" s="3934" t="n"/>
      <c r="Z209" s="3934" t="n"/>
      <c r="AA209" s="3934" t="n"/>
      <c r="AB209" s="3934" t="n"/>
      <c r="AC209" s="3934" t="n"/>
      <c r="AD209" s="3934" t="n"/>
      <c r="AE209" s="3934" t="n"/>
      <c r="AF209" s="3934" t="n"/>
      <c r="AG209" s="3934" t="n"/>
      <c r="AH209" s="3934" t="n"/>
      <c r="AI209" s="3934" t="n"/>
      <c r="AJ209" s="3934" t="n"/>
      <c r="AK209" s="3934" t="n"/>
      <c r="AL209" s="3934" t="n"/>
      <c r="AM209" s="3934" t="n"/>
      <c r="AN209" s="3934" t="n"/>
      <c r="AO209" s="3934" t="n"/>
      <c r="AP209" s="3934" t="n"/>
      <c r="AQ209" s="3934" t="n"/>
      <c r="AR209" s="3934" t="n"/>
    </row>
    <row r="210">
      <c r="A210" s="3944" t="n"/>
      <c r="B210" s="3944" t="n"/>
      <c r="C210" s="3944" t="n"/>
      <c r="D210" s="3944" t="n"/>
      <c r="E210" s="3944" t="n"/>
      <c r="F210" s="3944" t="n"/>
      <c r="G210" s="3944" t="n"/>
      <c r="H210" s="3944" t="n"/>
      <c r="I210" s="3944" t="n"/>
      <c r="J210" s="3934" t="n"/>
      <c r="K210" s="3934" t="n"/>
      <c r="L210" s="3934" t="n"/>
      <c r="M210" s="3934" t="n"/>
      <c r="N210" s="3934" t="n"/>
      <c r="O210" s="3934" t="n"/>
      <c r="P210" s="3934" t="n"/>
      <c r="Q210" s="3934" t="n"/>
      <c r="R210" s="3934" t="n"/>
      <c r="S210" s="3934" t="n"/>
      <c r="T210" s="3934" t="n"/>
      <c r="U210" s="3934" t="n"/>
      <c r="V210" s="3934" t="n"/>
      <c r="W210" s="3934" t="n"/>
      <c r="X210" s="3934" t="n"/>
      <c r="Y210" s="3934" t="n"/>
      <c r="Z210" s="3934" t="n"/>
      <c r="AA210" s="3934" t="n"/>
      <c r="AB210" s="3934" t="n"/>
      <c r="AC210" s="3934" t="n"/>
      <c r="AD210" s="3934" t="n"/>
      <c r="AE210" s="3934" t="n"/>
      <c r="AF210" s="3934" t="n"/>
      <c r="AG210" s="3934" t="n"/>
      <c r="AH210" s="3934" t="n"/>
      <c r="AI210" s="3934" t="n"/>
      <c r="AJ210" s="3934" t="n"/>
      <c r="AK210" s="3934" t="n"/>
      <c r="AL210" s="3934" t="n"/>
      <c r="AM210" s="3934" t="n"/>
      <c r="AN210" s="3934" t="n"/>
      <c r="AO210" s="3934" t="n"/>
      <c r="AP210" s="3934" t="n"/>
      <c r="AQ210" s="3934" t="n"/>
      <c r="AR210" s="3934" t="n"/>
    </row>
    <row r="211">
      <c r="A211" s="3944" t="n"/>
      <c r="B211" s="3944" t="n"/>
      <c r="C211" s="3944" t="n"/>
      <c r="D211" s="3944" t="n"/>
      <c r="E211" s="3944" t="n"/>
      <c r="F211" s="3944" t="n"/>
      <c r="G211" s="3944" t="n"/>
      <c r="H211" s="3944" t="n"/>
      <c r="I211" s="3944" t="n"/>
      <c r="J211" s="3934" t="n"/>
      <c r="K211" s="3934" t="n"/>
      <c r="L211" s="3934" t="n"/>
      <c r="M211" s="3934" t="n"/>
      <c r="N211" s="3934" t="n"/>
      <c r="O211" s="3934" t="n"/>
      <c r="P211" s="3934" t="n"/>
      <c r="Q211" s="3934" t="n"/>
      <c r="R211" s="3934" t="n"/>
      <c r="S211" s="3934" t="n"/>
      <c r="T211" s="3934" t="n"/>
      <c r="U211" s="3934" t="n"/>
      <c r="V211" s="3934" t="n"/>
      <c r="W211" s="3934" t="n"/>
      <c r="X211" s="3934" t="n"/>
      <c r="Y211" s="3934" t="n"/>
      <c r="Z211" s="3934" t="n"/>
      <c r="AA211" s="3934" t="n"/>
      <c r="AB211" s="3934" t="n"/>
      <c r="AC211" s="3934" t="n"/>
      <c r="AD211" s="3934" t="n"/>
      <c r="AE211" s="3934" t="n"/>
      <c r="AF211" s="3934" t="n"/>
      <c r="AG211" s="3934" t="n"/>
      <c r="AH211" s="3934" t="n"/>
      <c r="AI211" s="3934" t="n"/>
      <c r="AJ211" s="3934" t="n"/>
      <c r="AK211" s="3934" t="n"/>
      <c r="AL211" s="3934" t="n"/>
      <c r="AM211" s="3934" t="n"/>
      <c r="AN211" s="3934" t="n"/>
      <c r="AO211" s="3934" t="n"/>
      <c r="AP211" s="3934" t="n"/>
      <c r="AQ211" s="3934" t="n"/>
      <c r="AR211" s="3934" t="n"/>
    </row>
    <row r="212">
      <c r="A212" s="3944" t="n"/>
      <c r="B212" s="3944" t="n"/>
      <c r="C212" s="3944" t="n"/>
      <c r="D212" s="3944" t="n"/>
      <c r="E212" s="3944" t="n"/>
      <c r="F212" s="3944" t="n"/>
      <c r="G212" s="3944" t="n"/>
      <c r="H212" s="3944" t="n"/>
      <c r="I212" s="3944" t="n"/>
      <c r="J212" s="3934" t="n"/>
      <c r="K212" s="3934" t="n"/>
      <c r="L212" s="3934" t="n"/>
      <c r="M212" s="3934" t="n"/>
      <c r="N212" s="3934" t="n"/>
      <c r="O212" s="3934" t="n"/>
      <c r="P212" s="3934" t="n"/>
      <c r="Q212" s="3934" t="n"/>
      <c r="R212" s="3934" t="n"/>
      <c r="S212" s="3934" t="n"/>
      <c r="T212" s="3934" t="n"/>
      <c r="U212" s="3934" t="n"/>
      <c r="V212" s="3934" t="n"/>
      <c r="W212" s="3934" t="n"/>
      <c r="X212" s="3934" t="n"/>
      <c r="Y212" s="3934" t="n"/>
      <c r="Z212" s="3934" t="n"/>
      <c r="AA212" s="3934" t="n"/>
      <c r="AB212" s="3934" t="n"/>
      <c r="AC212" s="3934" t="n"/>
      <c r="AD212" s="3934" t="n"/>
      <c r="AE212" s="3934" t="n"/>
      <c r="AF212" s="3934" t="n"/>
      <c r="AG212" s="3934" t="n"/>
      <c r="AH212" s="3934" t="n"/>
      <c r="AI212" s="3934" t="n"/>
      <c r="AJ212" s="3934" t="n"/>
      <c r="AK212" s="3934" t="n"/>
      <c r="AL212" s="3934" t="n"/>
      <c r="AM212" s="3934" t="n"/>
      <c r="AN212" s="3934" t="n"/>
      <c r="AO212" s="3934" t="n"/>
      <c r="AP212" s="3934" t="n"/>
      <c r="AQ212" s="3934" t="n"/>
      <c r="AR212" s="3934" t="n"/>
    </row>
    <row r="213">
      <c r="A213" s="3944" t="n"/>
      <c r="B213" s="3944" t="n"/>
      <c r="C213" s="3944" t="n"/>
      <c r="D213" s="3944" t="n"/>
      <c r="E213" s="3944" t="n"/>
      <c r="F213" s="3944" t="n"/>
      <c r="G213" s="3944" t="n"/>
      <c r="H213" s="3944" t="n"/>
      <c r="I213" s="3944" t="n"/>
      <c r="J213" s="3934" t="n"/>
      <c r="K213" s="3934" t="n"/>
      <c r="L213" s="3934" t="n"/>
      <c r="M213" s="3934" t="n"/>
      <c r="N213" s="3934" t="n"/>
      <c r="O213" s="3934" t="n"/>
      <c r="P213" s="3934" t="n"/>
      <c r="Q213" s="3934" t="n"/>
      <c r="R213" s="3934" t="n"/>
      <c r="S213" s="3934" t="n"/>
      <c r="T213" s="3934" t="n"/>
      <c r="U213" s="3934" t="n"/>
      <c r="V213" s="3934" t="n"/>
      <c r="W213" s="3934" t="n"/>
      <c r="X213" s="3934" t="n"/>
      <c r="Y213" s="3934" t="n"/>
      <c r="Z213" s="3934" t="n"/>
      <c r="AA213" s="3934" t="n"/>
      <c r="AB213" s="3934" t="n"/>
      <c r="AC213" s="3934" t="n"/>
      <c r="AD213" s="3934" t="n"/>
      <c r="AE213" s="3934" t="n"/>
      <c r="AF213" s="3934" t="n"/>
      <c r="AG213" s="3934" t="n"/>
      <c r="AH213" s="3934" t="n"/>
      <c r="AI213" s="3934" t="n"/>
      <c r="AJ213" s="3934" t="n"/>
      <c r="AK213" s="3934" t="n"/>
      <c r="AL213" s="3934" t="n"/>
      <c r="AM213" s="3934" t="n"/>
      <c r="AN213" s="3934" t="n"/>
      <c r="AO213" s="3934" t="n"/>
      <c r="AP213" s="3934" t="n"/>
      <c r="AQ213" s="3934" t="n"/>
      <c r="AR213" s="3934" t="n"/>
    </row>
    <row r="214">
      <c r="A214" s="3944" t="n"/>
      <c r="B214" s="3944" t="n"/>
      <c r="C214" s="3944" t="n"/>
      <c r="D214" s="3944" t="n"/>
      <c r="E214" s="3944" t="n"/>
      <c r="F214" s="3944" t="n"/>
      <c r="G214" s="3944" t="n"/>
      <c r="H214" s="3944" t="n"/>
      <c r="I214" s="3944" t="n"/>
      <c r="J214" s="3934" t="n"/>
      <c r="K214" s="3934" t="n"/>
      <c r="L214" s="3934" t="n"/>
      <c r="M214" s="3934" t="n"/>
      <c r="N214" s="3934" t="n"/>
      <c r="O214" s="3934" t="n"/>
      <c r="P214" s="3934" t="n"/>
      <c r="Q214" s="3934" t="n"/>
      <c r="R214" s="3934" t="n"/>
      <c r="S214" s="3934" t="n"/>
      <c r="T214" s="3934" t="n"/>
      <c r="U214" s="3934" t="n"/>
      <c r="V214" s="3934" t="n"/>
      <c r="W214" s="3934" t="n"/>
      <c r="X214" s="3934" t="n"/>
      <c r="Y214" s="3934" t="n"/>
      <c r="Z214" s="3934" t="n"/>
      <c r="AA214" s="3934" t="n"/>
      <c r="AB214" s="3934" t="n"/>
      <c r="AC214" s="3934" t="n"/>
      <c r="AD214" s="3934" t="n"/>
      <c r="AE214" s="3934" t="n"/>
      <c r="AF214" s="3934" t="n"/>
      <c r="AG214" s="3934" t="n"/>
      <c r="AH214" s="3934" t="n"/>
      <c r="AI214" s="3934" t="n"/>
      <c r="AJ214" s="3934" t="n"/>
      <c r="AK214" s="3934" t="n"/>
      <c r="AL214" s="3934" t="n"/>
      <c r="AM214" s="3934" t="n"/>
      <c r="AN214" s="3934" t="n"/>
      <c r="AO214" s="3934" t="n"/>
      <c r="AP214" s="3934" t="n"/>
      <c r="AQ214" s="3934" t="n"/>
      <c r="AR214" s="3934" t="n"/>
    </row>
    <row r="215">
      <c r="A215" s="3944" t="n"/>
      <c r="B215" s="3944" t="n"/>
      <c r="C215" s="3944" t="n"/>
      <c r="D215" s="3944" t="n"/>
      <c r="E215" s="3944" t="n"/>
      <c r="F215" s="3944" t="n"/>
      <c r="G215" s="3944" t="n"/>
      <c r="H215" s="3944" t="n"/>
      <c r="I215" s="3944" t="n"/>
      <c r="J215" s="3934" t="n"/>
      <c r="K215" s="3934" t="n"/>
      <c r="L215" s="3934" t="n"/>
      <c r="M215" s="3934" t="n"/>
      <c r="N215" s="3934" t="n"/>
      <c r="O215" s="3934" t="n"/>
      <c r="P215" s="3934" t="n"/>
      <c r="Q215" s="3934" t="n"/>
      <c r="R215" s="3934" t="n"/>
      <c r="S215" s="3934" t="n"/>
      <c r="T215" s="3934" t="n"/>
      <c r="U215" s="3934" t="n"/>
      <c r="V215" s="3934" t="n"/>
      <c r="W215" s="3934" t="n"/>
      <c r="X215" s="3934" t="n"/>
      <c r="Y215" s="3934" t="n"/>
      <c r="Z215" s="3934" t="n"/>
      <c r="AA215" s="3934" t="n"/>
      <c r="AB215" s="3934" t="n"/>
      <c r="AC215" s="3934" t="n"/>
      <c r="AD215" s="3934" t="n"/>
      <c r="AE215" s="3934" t="n"/>
      <c r="AF215" s="3934" t="n"/>
      <c r="AG215" s="3934" t="n"/>
      <c r="AH215" s="3934" t="n"/>
      <c r="AI215" s="3934" t="n"/>
      <c r="AJ215" s="3934" t="n"/>
      <c r="AK215" s="3934" t="n"/>
      <c r="AL215" s="3934" t="n"/>
      <c r="AM215" s="3934" t="n"/>
      <c r="AN215" s="3934" t="n"/>
      <c r="AO215" s="3934" t="n"/>
      <c r="AP215" s="3934" t="n"/>
      <c r="AQ215" s="3934" t="n"/>
      <c r="AR215" s="3934" t="n"/>
    </row>
    <row r="216">
      <c r="A216" s="3944" t="n"/>
      <c r="B216" s="3944" t="n"/>
      <c r="C216" s="3944" t="n"/>
      <c r="D216" s="3944" t="n"/>
      <c r="E216" s="3944" t="n"/>
      <c r="F216" s="3944" t="n"/>
      <c r="G216" s="3944" t="n"/>
      <c r="H216" s="3944" t="n"/>
      <c r="I216" s="3944" t="n"/>
      <c r="J216" s="3934" t="n"/>
      <c r="K216" s="3934" t="n"/>
      <c r="L216" s="3934" t="n"/>
      <c r="M216" s="3934" t="n"/>
      <c r="N216" s="3934" t="n"/>
      <c r="O216" s="3934" t="n"/>
      <c r="P216" s="3934" t="n"/>
      <c r="Q216" s="3934" t="n"/>
      <c r="R216" s="3934" t="n"/>
      <c r="S216" s="3934" t="n"/>
      <c r="T216" s="3934" t="n"/>
      <c r="U216" s="3934" t="n"/>
      <c r="V216" s="3934" t="n"/>
      <c r="W216" s="3934" t="n"/>
      <c r="X216" s="3934" t="n"/>
      <c r="Y216" s="3934" t="n"/>
      <c r="Z216" s="3934" t="n"/>
      <c r="AA216" s="3934" t="n"/>
      <c r="AB216" s="3934" t="n"/>
      <c r="AC216" s="3934" t="n"/>
      <c r="AD216" s="3934" t="n"/>
      <c r="AE216" s="3934" t="n"/>
      <c r="AF216" s="3934" t="n"/>
      <c r="AG216" s="3934" t="n"/>
      <c r="AH216" s="3934" t="n"/>
      <c r="AI216" s="3934" t="n"/>
      <c r="AJ216" s="3934" t="n"/>
      <c r="AK216" s="3934" t="n"/>
      <c r="AL216" s="3934" t="n"/>
      <c r="AM216" s="3934" t="n"/>
      <c r="AN216" s="3934" t="n"/>
      <c r="AO216" s="3934" t="n"/>
      <c r="AP216" s="3934" t="n"/>
      <c r="AQ216" s="3934" t="n"/>
      <c r="AR216" s="3934" t="n"/>
    </row>
    <row r="217">
      <c r="A217" s="3944" t="n"/>
      <c r="B217" s="3944" t="n"/>
      <c r="C217" s="3944" t="n"/>
      <c r="D217" s="3944" t="n"/>
      <c r="E217" s="3944" t="n"/>
      <c r="F217" s="3944" t="n"/>
      <c r="G217" s="3944" t="n"/>
      <c r="H217" s="3944" t="n"/>
      <c r="I217" s="3944" t="n"/>
      <c r="J217" s="3934" t="n"/>
      <c r="K217" s="3934" t="n"/>
      <c r="L217" s="3934" t="n"/>
      <c r="M217" s="3934" t="n"/>
      <c r="N217" s="3934" t="n"/>
      <c r="O217" s="3934" t="n"/>
      <c r="P217" s="3934" t="n"/>
      <c r="Q217" s="3934" t="n"/>
      <c r="R217" s="3934" t="n"/>
      <c r="S217" s="3934" t="n"/>
      <c r="T217" s="3934" t="n"/>
      <c r="U217" s="3934" t="n"/>
      <c r="V217" s="3934" t="n"/>
      <c r="W217" s="3934" t="n"/>
      <c r="X217" s="3934" t="n"/>
      <c r="Y217" s="3934" t="n"/>
      <c r="Z217" s="3934" t="n"/>
      <c r="AA217" s="3934" t="n"/>
      <c r="AB217" s="3934" t="n"/>
      <c r="AC217" s="3934" t="n"/>
      <c r="AD217" s="3934" t="n"/>
      <c r="AE217" s="3934" t="n"/>
      <c r="AF217" s="3934" t="n"/>
      <c r="AG217" s="3934" t="n"/>
      <c r="AH217" s="3934" t="n"/>
      <c r="AI217" s="3934" t="n"/>
      <c r="AJ217" s="3934" t="n"/>
      <c r="AK217" s="3934" t="n"/>
      <c r="AL217" s="3934" t="n"/>
      <c r="AM217" s="3934" t="n"/>
      <c r="AN217" s="3934" t="n"/>
      <c r="AO217" s="3934" t="n"/>
      <c r="AP217" s="3934" t="n"/>
      <c r="AQ217" s="3934" t="n"/>
      <c r="AR217" s="3934" t="n"/>
    </row>
    <row r="218">
      <c r="A218" s="3944" t="n"/>
      <c r="B218" s="3944" t="n"/>
      <c r="C218" s="3944" t="n"/>
      <c r="D218" s="3944" t="n"/>
      <c r="E218" s="3944" t="n"/>
      <c r="F218" s="3944" t="n"/>
      <c r="G218" s="3944" t="n"/>
      <c r="H218" s="3944" t="n"/>
      <c r="I218" s="3944" t="n"/>
      <c r="J218" s="3934" t="n"/>
      <c r="K218" s="3934" t="n"/>
      <c r="L218" s="3934" t="n"/>
      <c r="M218" s="3934" t="n"/>
      <c r="N218" s="3934" t="n"/>
      <c r="O218" s="3934" t="n"/>
      <c r="P218" s="3934" t="n"/>
      <c r="Q218" s="3934" t="n"/>
      <c r="R218" s="3934" t="n"/>
      <c r="S218" s="3934" t="n"/>
      <c r="T218" s="3934" t="n"/>
      <c r="U218" s="3934" t="n"/>
      <c r="V218" s="3934" t="n"/>
      <c r="W218" s="3934" t="n"/>
      <c r="X218" s="3934" t="n"/>
      <c r="Y218" s="3934" t="n"/>
      <c r="Z218" s="3934" t="n"/>
      <c r="AA218" s="3934" t="n"/>
      <c r="AB218" s="3934" t="n"/>
      <c r="AC218" s="3934" t="n"/>
      <c r="AD218" s="3934" t="n"/>
      <c r="AE218" s="3934" t="n"/>
      <c r="AF218" s="3934" t="n"/>
      <c r="AG218" s="3934" t="n"/>
      <c r="AH218" s="3934" t="n"/>
      <c r="AI218" s="3934" t="n"/>
      <c r="AJ218" s="3934" t="n"/>
      <c r="AK218" s="3934" t="n"/>
      <c r="AL218" s="3934" t="n"/>
      <c r="AM218" s="3934" t="n"/>
      <c r="AN218" s="3934" t="n"/>
      <c r="AO218" s="3934" t="n"/>
      <c r="AP218" s="3934" t="n"/>
      <c r="AQ218" s="3934" t="n"/>
      <c r="AR218" s="3934" t="n"/>
    </row>
    <row r="219">
      <c r="A219" s="3944" t="n"/>
      <c r="B219" s="3944" t="n"/>
      <c r="C219" s="3944" t="n"/>
      <c r="D219" s="3944" t="n"/>
      <c r="E219" s="3944" t="n"/>
      <c r="F219" s="3944" t="n"/>
      <c r="G219" s="3944" t="n"/>
      <c r="H219" s="3944" t="n"/>
      <c r="I219" s="3944" t="n"/>
      <c r="J219" s="3934" t="n"/>
      <c r="K219" s="3934" t="n"/>
      <c r="L219" s="3934" t="n"/>
      <c r="M219" s="3934" t="n"/>
      <c r="N219" s="3934" t="n"/>
      <c r="O219" s="3934" t="n"/>
      <c r="P219" s="3934" t="n"/>
      <c r="Q219" s="3934" t="n"/>
      <c r="R219" s="3934" t="n"/>
      <c r="S219" s="3934" t="n"/>
      <c r="T219" s="3934" t="n"/>
      <c r="U219" s="3934" t="n"/>
      <c r="V219" s="3934" t="n"/>
      <c r="W219" s="3934" t="n"/>
      <c r="X219" s="3934" t="n"/>
      <c r="Y219" s="3934" t="n"/>
      <c r="Z219" s="3934" t="n"/>
      <c r="AA219" s="3934" t="n"/>
      <c r="AB219" s="3934" t="n"/>
      <c r="AC219" s="3934" t="n"/>
      <c r="AD219" s="3934" t="n"/>
      <c r="AE219" s="3934" t="n"/>
      <c r="AF219" s="3934" t="n"/>
      <c r="AG219" s="3934" t="n"/>
      <c r="AH219" s="3934" t="n"/>
      <c r="AI219" s="3934" t="n"/>
      <c r="AJ219" s="3934" t="n"/>
      <c r="AK219" s="3934" t="n"/>
      <c r="AL219" s="3934" t="n"/>
      <c r="AM219" s="3934" t="n"/>
      <c r="AN219" s="3934" t="n"/>
      <c r="AO219" s="3934" t="n"/>
      <c r="AP219" s="3934" t="n"/>
      <c r="AQ219" s="3934" t="n"/>
      <c r="AR219" s="3934" t="n"/>
    </row>
    <row r="220">
      <c r="A220" s="3944" t="n"/>
      <c r="B220" s="3944" t="n"/>
      <c r="C220" s="3944" t="n"/>
      <c r="D220" s="3944" t="n"/>
      <c r="E220" s="3944" t="n"/>
      <c r="F220" s="3944" t="n"/>
      <c r="G220" s="3944" t="n"/>
      <c r="H220" s="3944" t="n"/>
      <c r="I220" s="3944" t="n"/>
      <c r="J220" s="3934" t="n"/>
      <c r="K220" s="3934" t="n"/>
      <c r="L220" s="3934" t="n"/>
      <c r="M220" s="3934" t="n"/>
      <c r="N220" s="3934" t="n"/>
      <c r="O220" s="3934" t="n"/>
      <c r="P220" s="3934" t="n"/>
      <c r="Q220" s="3934" t="n"/>
      <c r="R220" s="3934" t="n"/>
      <c r="S220" s="3934" t="n"/>
      <c r="T220" s="3934" t="n"/>
      <c r="U220" s="3934" t="n"/>
      <c r="V220" s="3934" t="n"/>
      <c r="W220" s="3934" t="n"/>
      <c r="X220" s="3934" t="n"/>
      <c r="Y220" s="3934" t="n"/>
      <c r="Z220" s="3934" t="n"/>
      <c r="AA220" s="3934" t="n"/>
      <c r="AB220" s="3934" t="n"/>
      <c r="AC220" s="3934" t="n"/>
      <c r="AD220" s="3934" t="n"/>
      <c r="AE220" s="3934" t="n"/>
      <c r="AF220" s="3934" t="n"/>
      <c r="AG220" s="3934" t="n"/>
      <c r="AH220" s="3934" t="n"/>
      <c r="AI220" s="3934" t="n"/>
      <c r="AJ220" s="3934" t="n"/>
      <c r="AK220" s="3934" t="n"/>
      <c r="AL220" s="3934" t="n"/>
      <c r="AM220" s="3934" t="n"/>
      <c r="AN220" s="3934" t="n"/>
      <c r="AO220" s="3934" t="n"/>
      <c r="AP220" s="3934" t="n"/>
      <c r="AQ220" s="3934" t="n"/>
      <c r="AR220" s="3934" t="n"/>
    </row>
    <row r="221">
      <c r="A221" s="3944" t="n"/>
      <c r="B221" s="3944" t="n"/>
      <c r="C221" s="3944" t="n"/>
      <c r="D221" s="3944" t="n"/>
      <c r="E221" s="3944" t="n"/>
      <c r="F221" s="3944" t="n"/>
      <c r="G221" s="3944" t="n"/>
      <c r="H221" s="3944" t="n"/>
      <c r="I221" s="3944" t="n"/>
      <c r="J221" s="3934" t="n"/>
      <c r="K221" s="3934" t="n"/>
      <c r="L221" s="3934" t="n"/>
      <c r="M221" s="3934" t="n"/>
      <c r="N221" s="3934" t="n"/>
      <c r="O221" s="3934" t="n"/>
      <c r="P221" s="3934" t="n"/>
      <c r="Q221" s="3934" t="n"/>
      <c r="R221" s="3934" t="n"/>
      <c r="S221" s="3934" t="n"/>
      <c r="T221" s="3934" t="n"/>
      <c r="U221" s="3934" t="n"/>
      <c r="V221" s="3934" t="n"/>
      <c r="W221" s="3934" t="n"/>
      <c r="X221" s="3934" t="n"/>
      <c r="Y221" s="3934" t="n"/>
      <c r="Z221" s="3934" t="n"/>
      <c r="AA221" s="3934" t="n"/>
      <c r="AB221" s="3934" t="n"/>
      <c r="AC221" s="3934" t="n"/>
      <c r="AD221" s="3934" t="n"/>
      <c r="AE221" s="3934" t="n"/>
      <c r="AF221" s="3934" t="n"/>
      <c r="AG221" s="3934" t="n"/>
      <c r="AH221" s="3934" t="n"/>
      <c r="AI221" s="3934" t="n"/>
      <c r="AJ221" s="3934" t="n"/>
      <c r="AK221" s="3934" t="n"/>
      <c r="AL221" s="3934" t="n"/>
      <c r="AM221" s="3934" t="n"/>
      <c r="AN221" s="3934" t="n"/>
      <c r="AO221" s="3934" t="n"/>
      <c r="AP221" s="3934" t="n"/>
      <c r="AQ221" s="3934" t="n"/>
      <c r="AR221" s="3934" t="n"/>
    </row>
    <row r="222">
      <c r="A222" s="3944" t="n"/>
      <c r="B222" s="3944" t="n"/>
      <c r="C222" s="3944" t="n"/>
      <c r="D222" s="3944" t="n"/>
      <c r="E222" s="3944" t="n"/>
      <c r="F222" s="3944" t="n"/>
      <c r="G222" s="3944" t="n"/>
      <c r="H222" s="3944" t="n"/>
      <c r="I222" s="3944" t="n"/>
      <c r="J222" s="3934" t="n"/>
      <c r="K222" s="3934" t="n"/>
      <c r="L222" s="3934" t="n"/>
      <c r="M222" s="3934" t="n"/>
      <c r="N222" s="3934" t="n"/>
      <c r="O222" s="3934" t="n"/>
      <c r="P222" s="3934" t="n"/>
      <c r="Q222" s="3934" t="n"/>
      <c r="R222" s="3934" t="n"/>
      <c r="S222" s="3934" t="n"/>
      <c r="T222" s="3934" t="n"/>
      <c r="U222" s="3934" t="n"/>
      <c r="V222" s="3934" t="n"/>
      <c r="W222" s="3934" t="n"/>
      <c r="X222" s="3934" t="n"/>
      <c r="Y222" s="3934" t="n"/>
      <c r="Z222" s="3934" t="n"/>
      <c r="AA222" s="3934" t="n"/>
      <c r="AB222" s="3934" t="n"/>
      <c r="AC222" s="3934" t="n"/>
      <c r="AD222" s="3934" t="n"/>
      <c r="AE222" s="3934" t="n"/>
      <c r="AF222" s="3934" t="n"/>
      <c r="AG222" s="3934" t="n"/>
      <c r="AH222" s="3934" t="n"/>
      <c r="AI222" s="3934" t="n"/>
      <c r="AJ222" s="3934" t="n"/>
      <c r="AK222" s="3934" t="n"/>
      <c r="AL222" s="3934" t="n"/>
      <c r="AM222" s="3934" t="n"/>
      <c r="AN222" s="3934" t="n"/>
      <c r="AO222" s="3934" t="n"/>
      <c r="AP222" s="3934" t="n"/>
      <c r="AQ222" s="3934" t="n"/>
      <c r="AR222" s="3934" t="n"/>
    </row>
    <row r="223">
      <c r="A223" s="3944" t="n"/>
      <c r="B223" s="3944" t="n"/>
      <c r="C223" s="3944" t="n"/>
      <c r="D223" s="3944" t="n"/>
      <c r="E223" s="3944" t="n"/>
      <c r="F223" s="3944" t="n"/>
      <c r="G223" s="3944" t="n"/>
      <c r="H223" s="3944" t="n"/>
      <c r="I223" s="3944" t="n"/>
      <c r="J223" s="3934" t="n"/>
      <c r="K223" s="3934" t="n"/>
      <c r="L223" s="3934" t="n"/>
      <c r="M223" s="3934" t="n"/>
      <c r="N223" s="3934" t="n"/>
      <c r="O223" s="3934" t="n"/>
      <c r="P223" s="3934" t="n"/>
      <c r="Q223" s="3934" t="n"/>
      <c r="R223" s="3934" t="n"/>
      <c r="S223" s="3934" t="n"/>
      <c r="T223" s="3934" t="n"/>
      <c r="U223" s="3934" t="n"/>
      <c r="V223" s="3934" t="n"/>
      <c r="W223" s="3934" t="n"/>
      <c r="X223" s="3934" t="n"/>
      <c r="Y223" s="3934" t="n"/>
      <c r="Z223" s="3934" t="n"/>
      <c r="AA223" s="3934" t="n"/>
      <c r="AB223" s="3934" t="n"/>
      <c r="AC223" s="3934" t="n"/>
      <c r="AD223" s="3934" t="n"/>
      <c r="AE223" s="3934" t="n"/>
      <c r="AF223" s="3934" t="n"/>
      <c r="AG223" s="3934" t="n"/>
      <c r="AH223" s="3934" t="n"/>
      <c r="AI223" s="3934" t="n"/>
      <c r="AJ223" s="3934" t="n"/>
      <c r="AK223" s="3934" t="n"/>
      <c r="AL223" s="3934" t="n"/>
      <c r="AM223" s="3934" t="n"/>
      <c r="AN223" s="3934" t="n"/>
      <c r="AO223" s="3934" t="n"/>
      <c r="AP223" s="3934" t="n"/>
      <c r="AQ223" s="3934" t="n"/>
      <c r="AR223" s="3934" t="n"/>
    </row>
    <row r="224">
      <c r="A224" s="3944" t="n"/>
      <c r="B224" s="3944" t="n"/>
      <c r="C224" s="3944" t="n"/>
      <c r="D224" s="3944" t="n"/>
      <c r="E224" s="3944" t="n"/>
      <c r="F224" s="3944" t="n"/>
      <c r="G224" s="3944" t="n"/>
      <c r="H224" s="3944" t="n"/>
      <c r="I224" s="3944" t="n"/>
      <c r="J224" s="3934" t="n"/>
      <c r="K224" s="3934" t="n"/>
      <c r="L224" s="3934" t="n"/>
      <c r="M224" s="3934" t="n"/>
      <c r="N224" s="3934" t="n"/>
      <c r="O224" s="3934" t="n"/>
      <c r="P224" s="3934" t="n"/>
      <c r="Q224" s="3934" t="n"/>
      <c r="R224" s="3934" t="n"/>
      <c r="S224" s="3934" t="n"/>
      <c r="T224" s="3934" t="n"/>
      <c r="U224" s="3934" t="n"/>
      <c r="V224" s="3934" t="n"/>
      <c r="W224" s="3934" t="n"/>
      <c r="X224" s="3934" t="n"/>
      <c r="Y224" s="3934" t="n"/>
      <c r="Z224" s="3934" t="n"/>
      <c r="AA224" s="3934" t="n"/>
      <c r="AB224" s="3934" t="n"/>
      <c r="AC224" s="3934" t="n"/>
      <c r="AD224" s="3934" t="n"/>
      <c r="AE224" s="3934" t="n"/>
      <c r="AF224" s="3934" t="n"/>
      <c r="AG224" s="3934" t="n"/>
      <c r="AH224" s="3934" t="n"/>
      <c r="AI224" s="3934" t="n"/>
      <c r="AJ224" s="3934" t="n"/>
      <c r="AK224" s="3934" t="n"/>
      <c r="AL224" s="3934" t="n"/>
      <c r="AM224" s="3934" t="n"/>
      <c r="AN224" s="3934" t="n"/>
      <c r="AO224" s="3934" t="n"/>
      <c r="AP224" s="3934" t="n"/>
      <c r="AQ224" s="3934" t="n"/>
      <c r="AR224" s="3934" t="n"/>
    </row>
    <row r="225">
      <c r="A225" s="3944" t="n"/>
      <c r="B225" s="3944" t="n"/>
      <c r="C225" s="3944" t="n"/>
      <c r="D225" s="3944" t="n"/>
      <c r="E225" s="3944" t="n"/>
      <c r="F225" s="3944" t="n"/>
      <c r="G225" s="3944" t="n"/>
      <c r="H225" s="3944" t="n"/>
      <c r="I225" s="3944" t="n"/>
      <c r="J225" s="3934" t="n"/>
      <c r="K225" s="3934" t="n"/>
      <c r="L225" s="3934" t="n"/>
      <c r="M225" s="3934" t="n"/>
      <c r="N225" s="3934" t="n"/>
      <c r="O225" s="3934" t="n"/>
      <c r="P225" s="3934" t="n"/>
      <c r="Q225" s="3934" t="n"/>
      <c r="R225" s="3934" t="n"/>
      <c r="S225" s="3934" t="n"/>
      <c r="T225" s="3934" t="n"/>
      <c r="U225" s="3934" t="n"/>
      <c r="V225" s="3934" t="n"/>
      <c r="W225" s="3934" t="n"/>
      <c r="X225" s="3934" t="n"/>
      <c r="Y225" s="3934" t="n"/>
      <c r="Z225" s="3934" t="n"/>
      <c r="AA225" s="3934" t="n"/>
      <c r="AB225" s="3934" t="n"/>
      <c r="AC225" s="3934" t="n"/>
      <c r="AD225" s="3934" t="n"/>
      <c r="AE225" s="3934" t="n"/>
      <c r="AF225" s="3934" t="n"/>
      <c r="AG225" s="3934" t="n"/>
      <c r="AH225" s="3934" t="n"/>
      <c r="AI225" s="3934" t="n"/>
      <c r="AJ225" s="3934" t="n"/>
      <c r="AK225" s="3934" t="n"/>
      <c r="AL225" s="3934" t="n"/>
      <c r="AM225" s="3934" t="n"/>
      <c r="AN225" s="3934" t="n"/>
      <c r="AO225" s="3934" t="n"/>
      <c r="AP225" s="3934" t="n"/>
      <c r="AQ225" s="3934" t="n"/>
      <c r="AR225" s="3934" t="n"/>
    </row>
    <row r="226">
      <c r="A226" s="3944" t="n"/>
      <c r="B226" s="3944" t="n"/>
      <c r="C226" s="3944" t="n"/>
      <c r="D226" s="3944" t="n"/>
      <c r="E226" s="3944" t="n"/>
      <c r="F226" s="3944" t="n"/>
      <c r="G226" s="3944" t="n"/>
      <c r="H226" s="3944" t="n"/>
      <c r="I226" s="3944" t="n"/>
      <c r="J226" s="3934" t="n"/>
      <c r="K226" s="3934" t="n"/>
      <c r="L226" s="3934" t="n"/>
      <c r="M226" s="3934" t="n"/>
      <c r="N226" s="3934" t="n"/>
      <c r="O226" s="3934" t="n"/>
      <c r="P226" s="3934" t="n"/>
      <c r="Q226" s="3934" t="n"/>
      <c r="R226" s="3934" t="n"/>
      <c r="S226" s="3934" t="n"/>
      <c r="T226" s="3934" t="n"/>
      <c r="U226" s="3934" t="n"/>
      <c r="V226" s="3934" t="n"/>
      <c r="W226" s="3934" t="n"/>
      <c r="X226" s="3934" t="n"/>
      <c r="Y226" s="3934" t="n"/>
      <c r="Z226" s="3934" t="n"/>
      <c r="AA226" s="3934" t="n"/>
      <c r="AB226" s="3934" t="n"/>
      <c r="AC226" s="3934" t="n"/>
      <c r="AD226" s="3934" t="n"/>
      <c r="AE226" s="3934" t="n"/>
      <c r="AF226" s="3934" t="n"/>
      <c r="AG226" s="3934" t="n"/>
      <c r="AH226" s="3934" t="n"/>
      <c r="AI226" s="3934" t="n"/>
      <c r="AJ226" s="3934" t="n"/>
      <c r="AK226" s="3934" t="n"/>
      <c r="AL226" s="3934" t="n"/>
      <c r="AM226" s="3934" t="n"/>
      <c r="AN226" s="3934" t="n"/>
      <c r="AO226" s="3934" t="n"/>
      <c r="AP226" s="3934" t="n"/>
      <c r="AQ226" s="3934" t="n"/>
      <c r="AR226" s="3934" t="n"/>
    </row>
    <row r="227">
      <c r="A227" s="3944" t="n"/>
      <c r="B227" s="3944" t="n"/>
      <c r="C227" s="3944" t="n"/>
      <c r="D227" s="3944" t="n"/>
      <c r="E227" s="3944" t="n"/>
      <c r="F227" s="3944" t="n"/>
      <c r="G227" s="3944" t="n"/>
      <c r="H227" s="3944" t="n"/>
      <c r="I227" s="3944" t="n"/>
      <c r="J227" s="3934" t="n"/>
      <c r="K227" s="3934" t="n"/>
      <c r="L227" s="3934" t="n"/>
      <c r="M227" s="3934" t="n"/>
      <c r="N227" s="3934" t="n"/>
      <c r="O227" s="3934" t="n"/>
      <c r="P227" s="3934" t="n"/>
      <c r="Q227" s="3934" t="n"/>
      <c r="R227" s="3934" t="n"/>
      <c r="S227" s="3934" t="n"/>
      <c r="T227" s="3934" t="n"/>
      <c r="U227" s="3934" t="n"/>
      <c r="V227" s="3934" t="n"/>
      <c r="W227" s="3934" t="n"/>
      <c r="X227" s="3934" t="n"/>
      <c r="Y227" s="3934" t="n"/>
      <c r="Z227" s="3934" t="n"/>
      <c r="AA227" s="3934" t="n"/>
      <c r="AB227" s="3934" t="n"/>
      <c r="AC227" s="3934" t="n"/>
      <c r="AD227" s="3934" t="n"/>
      <c r="AE227" s="3934" t="n"/>
      <c r="AF227" s="3934" t="n"/>
      <c r="AG227" s="3934" t="n"/>
      <c r="AH227" s="3934" t="n"/>
      <c r="AI227" s="3934" t="n"/>
      <c r="AJ227" s="3934" t="n"/>
      <c r="AK227" s="3934" t="n"/>
      <c r="AL227" s="3934" t="n"/>
      <c r="AM227" s="3934" t="n"/>
      <c r="AN227" s="3934" t="n"/>
      <c r="AO227" s="3934" t="n"/>
      <c r="AP227" s="3934" t="n"/>
      <c r="AQ227" s="3934" t="n"/>
      <c r="AR227" s="3934" t="n"/>
    </row>
    <row r="228">
      <c r="A228" s="3944" t="n"/>
      <c r="B228" s="3944" t="n"/>
      <c r="C228" s="3944" t="n"/>
      <c r="D228" s="3944" t="n"/>
      <c r="E228" s="3944" t="n"/>
      <c r="F228" s="3944" t="n"/>
      <c r="G228" s="3944" t="n"/>
      <c r="H228" s="3944" t="n"/>
      <c r="I228" s="3944" t="n"/>
      <c r="J228" s="3934" t="n"/>
      <c r="K228" s="3934" t="n"/>
      <c r="L228" s="3934" t="n"/>
      <c r="M228" s="3934" t="n"/>
      <c r="N228" s="3934" t="n"/>
      <c r="O228" s="3934" t="n"/>
      <c r="P228" s="3934" t="n"/>
      <c r="Q228" s="3934" t="n"/>
      <c r="R228" s="3934" t="n"/>
      <c r="S228" s="3934" t="n"/>
      <c r="T228" s="3934" t="n"/>
      <c r="U228" s="3934" t="n"/>
      <c r="V228" s="3934" t="n"/>
      <c r="W228" s="3934" t="n"/>
      <c r="X228" s="3934" t="n"/>
      <c r="Y228" s="3934" t="n"/>
      <c r="Z228" s="3934" t="n"/>
      <c r="AA228" s="3934" t="n"/>
      <c r="AB228" s="3934" t="n"/>
      <c r="AC228" s="3934" t="n"/>
      <c r="AD228" s="3934" t="n"/>
      <c r="AE228" s="3934" t="n"/>
      <c r="AF228" s="3934" t="n"/>
      <c r="AG228" s="3934" t="n"/>
      <c r="AH228" s="3934" t="n"/>
      <c r="AI228" s="3934" t="n"/>
      <c r="AJ228" s="3934" t="n"/>
      <c r="AK228" s="3934" t="n"/>
      <c r="AL228" s="3934" t="n"/>
      <c r="AM228" s="3934" t="n"/>
      <c r="AN228" s="3934" t="n"/>
      <c r="AO228" s="3934" t="n"/>
      <c r="AP228" s="3934" t="n"/>
      <c r="AQ228" s="3934" t="n"/>
      <c r="AR228" s="3934" t="n"/>
    </row>
    <row r="229">
      <c r="A229" s="3944" t="n"/>
      <c r="B229" s="3944" t="n"/>
      <c r="C229" s="3944" t="n"/>
      <c r="D229" s="3944" t="n"/>
      <c r="E229" s="3944" t="n"/>
      <c r="F229" s="3944" t="n"/>
      <c r="G229" s="3944" t="n"/>
      <c r="H229" s="3944" t="n"/>
      <c r="I229" s="3944" t="n"/>
      <c r="J229" s="3934" t="n"/>
      <c r="K229" s="3934" t="n"/>
      <c r="L229" s="3934" t="n"/>
      <c r="M229" s="3934" t="n"/>
      <c r="N229" s="3934" t="n"/>
      <c r="O229" s="3934" t="n"/>
      <c r="P229" s="3934" t="n"/>
      <c r="Q229" s="3934" t="n"/>
      <c r="R229" s="3934" t="n"/>
      <c r="S229" s="3934" t="n"/>
      <c r="T229" s="3934" t="n"/>
      <c r="U229" s="3934" t="n"/>
      <c r="V229" s="3934" t="n"/>
      <c r="W229" s="3934" t="n"/>
      <c r="X229" s="3934" t="n"/>
      <c r="Y229" s="3934" t="n"/>
      <c r="Z229" s="3934" t="n"/>
      <c r="AA229" s="3934" t="n"/>
      <c r="AB229" s="3934" t="n"/>
      <c r="AC229" s="3934" t="n"/>
      <c r="AD229" s="3934" t="n"/>
      <c r="AE229" s="3934" t="n"/>
      <c r="AF229" s="3934" t="n"/>
      <c r="AG229" s="3934" t="n"/>
      <c r="AH229" s="3934" t="n"/>
      <c r="AI229" s="3934" t="n"/>
      <c r="AJ229" s="3934" t="n"/>
      <c r="AK229" s="3934" t="n"/>
      <c r="AL229" s="3934" t="n"/>
      <c r="AM229" s="3934" t="n"/>
      <c r="AN229" s="3934" t="n"/>
      <c r="AO229" s="3934" t="n"/>
      <c r="AP229" s="3934" t="n"/>
      <c r="AQ229" s="3934" t="n"/>
      <c r="AR229" s="3934" t="n"/>
    </row>
    <row r="230">
      <c r="A230" s="3944" t="n"/>
      <c r="B230" s="3944" t="n"/>
      <c r="C230" s="3944" t="n"/>
      <c r="D230" s="3944" t="n"/>
      <c r="E230" s="3944" t="n"/>
      <c r="F230" s="3944" t="n"/>
      <c r="G230" s="3944" t="n"/>
      <c r="H230" s="3944" t="n"/>
      <c r="I230" s="3944" t="n"/>
      <c r="J230" s="3934" t="n"/>
      <c r="K230" s="3934" t="n"/>
      <c r="L230" s="3934" t="n"/>
      <c r="M230" s="3934" t="n"/>
      <c r="N230" s="3934" t="n"/>
      <c r="O230" s="3934" t="n"/>
      <c r="P230" s="3934" t="n"/>
      <c r="Q230" s="3934" t="n"/>
      <c r="R230" s="3934" t="n"/>
      <c r="S230" s="3934" t="n"/>
      <c r="T230" s="3934" t="n"/>
      <c r="U230" s="3934" t="n"/>
      <c r="V230" s="3934" t="n"/>
      <c r="W230" s="3934" t="n"/>
      <c r="X230" s="3934" t="n"/>
      <c r="Y230" s="3934" t="n"/>
      <c r="Z230" s="3934" t="n"/>
      <c r="AA230" s="3934" t="n"/>
      <c r="AB230" s="3934" t="n"/>
      <c r="AC230" s="3934" t="n"/>
      <c r="AD230" s="3934" t="n"/>
      <c r="AE230" s="3934" t="n"/>
      <c r="AF230" s="3934" t="n"/>
      <c r="AG230" s="3934" t="n"/>
      <c r="AH230" s="3934" t="n"/>
      <c r="AI230" s="3934" t="n"/>
      <c r="AJ230" s="3934" t="n"/>
      <c r="AK230" s="3934" t="n"/>
      <c r="AL230" s="3934" t="n"/>
      <c r="AM230" s="3934" t="n"/>
      <c r="AN230" s="3934" t="n"/>
      <c r="AO230" s="3934" t="n"/>
      <c r="AP230" s="3934" t="n"/>
      <c r="AQ230" s="3934" t="n"/>
      <c r="AR230" s="3934" t="n"/>
    </row>
    <row r="231">
      <c r="A231" s="3944" t="n"/>
      <c r="B231" s="3944" t="n"/>
      <c r="C231" s="3944" t="n"/>
      <c r="D231" s="3944" t="n"/>
      <c r="E231" s="3944" t="n"/>
      <c r="F231" s="3944" t="n"/>
      <c r="G231" s="3944" t="n"/>
      <c r="H231" s="3944" t="n"/>
      <c r="I231" s="3944" t="n"/>
      <c r="J231" s="3934" t="n"/>
      <c r="K231" s="3934" t="n"/>
      <c r="L231" s="3934" t="n"/>
      <c r="M231" s="3934" t="n"/>
      <c r="N231" s="3934" t="n"/>
      <c r="O231" s="3934" t="n"/>
      <c r="P231" s="3934" t="n"/>
      <c r="Q231" s="3934" t="n"/>
      <c r="R231" s="3934" t="n"/>
      <c r="S231" s="3934" t="n"/>
      <c r="T231" s="3934" t="n"/>
      <c r="U231" s="3934" t="n"/>
      <c r="V231" s="3934" t="n"/>
      <c r="W231" s="3934" t="n"/>
      <c r="X231" s="3934" t="n"/>
      <c r="Y231" s="3934" t="n"/>
      <c r="Z231" s="3934" t="n"/>
      <c r="AA231" s="3934" t="n"/>
      <c r="AB231" s="3934" t="n"/>
      <c r="AC231" s="3934" t="n"/>
      <c r="AD231" s="3934" t="n"/>
      <c r="AE231" s="3934" t="n"/>
      <c r="AF231" s="3934" t="n"/>
      <c r="AG231" s="3934" t="n"/>
      <c r="AH231" s="3934" t="n"/>
      <c r="AI231" s="3934" t="n"/>
      <c r="AJ231" s="3934" t="n"/>
      <c r="AK231" s="3934" t="n"/>
      <c r="AL231" s="3934" t="n"/>
      <c r="AM231" s="3934" t="n"/>
      <c r="AN231" s="3934" t="n"/>
      <c r="AO231" s="3934" t="n"/>
      <c r="AP231" s="3934" t="n"/>
      <c r="AQ231" s="3934" t="n"/>
      <c r="AR231" s="3934" t="n"/>
    </row>
    <row r="232">
      <c r="A232" s="3944" t="n"/>
      <c r="B232" s="3944" t="n"/>
      <c r="C232" s="3944" t="n"/>
      <c r="D232" s="3944" t="n"/>
      <c r="E232" s="3944" t="n"/>
      <c r="F232" s="3944" t="n"/>
      <c r="G232" s="3944" t="n"/>
      <c r="H232" s="3944" t="n"/>
      <c r="I232" s="3944" t="n"/>
      <c r="J232" s="3934" t="n"/>
      <c r="K232" s="3934" t="n"/>
      <c r="L232" s="3934" t="n"/>
      <c r="M232" s="3934" t="n"/>
      <c r="N232" s="3934" t="n"/>
      <c r="O232" s="3934" t="n"/>
      <c r="P232" s="3934" t="n"/>
      <c r="Q232" s="3934" t="n"/>
      <c r="R232" s="3934" t="n"/>
      <c r="S232" s="3934" t="n"/>
      <c r="T232" s="3934" t="n"/>
      <c r="U232" s="3934" t="n"/>
      <c r="V232" s="3934" t="n"/>
      <c r="W232" s="3934" t="n"/>
      <c r="X232" s="3934" t="n"/>
      <c r="Y232" s="3934" t="n"/>
      <c r="Z232" s="3934" t="n"/>
      <c r="AA232" s="3934" t="n"/>
      <c r="AB232" s="3934" t="n"/>
      <c r="AC232" s="3934" t="n"/>
      <c r="AD232" s="3934" t="n"/>
      <c r="AE232" s="3934" t="n"/>
      <c r="AF232" s="3934" t="n"/>
      <c r="AG232" s="3934" t="n"/>
      <c r="AH232" s="3934" t="n"/>
      <c r="AI232" s="3934" t="n"/>
      <c r="AJ232" s="3934" t="n"/>
      <c r="AK232" s="3934" t="n"/>
      <c r="AL232" s="3934" t="n"/>
      <c r="AM232" s="3934" t="n"/>
      <c r="AN232" s="3934" t="n"/>
      <c r="AO232" s="3934" t="n"/>
      <c r="AP232" s="3934" t="n"/>
      <c r="AQ232" s="3934" t="n"/>
      <c r="AR232" s="3934" t="n"/>
    </row>
    <row r="233">
      <c r="A233" s="3944" t="n"/>
      <c r="B233" s="3944" t="n"/>
      <c r="C233" s="3944" t="n"/>
      <c r="D233" s="3944" t="n"/>
      <c r="E233" s="3944" t="n"/>
      <c r="F233" s="3944" t="n"/>
      <c r="G233" s="3944" t="n"/>
      <c r="H233" s="3944" t="n"/>
      <c r="I233" s="3944" t="n"/>
      <c r="J233" s="3934" t="n"/>
      <c r="K233" s="3934" t="n"/>
      <c r="L233" s="3934" t="n"/>
      <c r="M233" s="3934" t="n"/>
      <c r="N233" s="3934" t="n"/>
      <c r="O233" s="3934" t="n"/>
      <c r="P233" s="3934" t="n"/>
      <c r="Q233" s="3934" t="n"/>
      <c r="R233" s="3934" t="n"/>
      <c r="S233" s="3934" t="n"/>
      <c r="T233" s="3934" t="n"/>
      <c r="U233" s="3934" t="n"/>
      <c r="V233" s="3934" t="n"/>
      <c r="W233" s="3934" t="n"/>
      <c r="X233" s="3934" t="n"/>
      <c r="Y233" s="3934" t="n"/>
      <c r="Z233" s="3934" t="n"/>
      <c r="AA233" s="3934" t="n"/>
      <c r="AB233" s="3934" t="n"/>
      <c r="AC233" s="3934" t="n"/>
      <c r="AD233" s="3934" t="n"/>
      <c r="AE233" s="3934" t="n"/>
      <c r="AF233" s="3934" t="n"/>
      <c r="AG233" s="3934" t="n"/>
      <c r="AH233" s="3934" t="n"/>
      <c r="AI233" s="3934" t="n"/>
      <c r="AJ233" s="3934" t="n"/>
      <c r="AK233" s="3934" t="n"/>
      <c r="AL233" s="3934" t="n"/>
      <c r="AM233" s="3934" t="n"/>
      <c r="AN233" s="3934" t="n"/>
      <c r="AO233" s="3934" t="n"/>
      <c r="AP233" s="3934" t="n"/>
      <c r="AQ233" s="3934" t="n"/>
      <c r="AR233" s="3934" t="n"/>
    </row>
    <row r="234">
      <c r="A234" s="3944" t="n"/>
      <c r="B234" s="3944" t="n"/>
      <c r="C234" s="3944" t="n"/>
      <c r="D234" s="3944" t="n"/>
      <c r="E234" s="3944" t="n"/>
      <c r="F234" s="3944" t="n"/>
      <c r="G234" s="3944" t="n"/>
      <c r="H234" s="3944" t="n"/>
      <c r="I234" s="3944" t="n"/>
      <c r="J234" s="3934" t="n"/>
      <c r="K234" s="3934" t="n"/>
      <c r="L234" s="3934" t="n"/>
      <c r="M234" s="3934" t="n"/>
      <c r="N234" s="3934" t="n"/>
      <c r="O234" s="3934" t="n"/>
      <c r="P234" s="3934" t="n"/>
      <c r="Q234" s="3934" t="n"/>
      <c r="R234" s="3934" t="n"/>
      <c r="S234" s="3934" t="n"/>
      <c r="T234" s="3934" t="n"/>
      <c r="U234" s="3934" t="n"/>
      <c r="V234" s="3934" t="n"/>
      <c r="W234" s="3934" t="n"/>
      <c r="X234" s="3934" t="n"/>
      <c r="Y234" s="3934" t="n"/>
      <c r="Z234" s="3934" t="n"/>
      <c r="AA234" s="3934" t="n"/>
      <c r="AB234" s="3934" t="n"/>
      <c r="AC234" s="3934" t="n"/>
      <c r="AD234" s="3934" t="n"/>
      <c r="AE234" s="3934" t="n"/>
      <c r="AF234" s="3934" t="n"/>
      <c r="AG234" s="3934" t="n"/>
      <c r="AH234" s="3934" t="n"/>
      <c r="AI234" s="3934" t="n"/>
      <c r="AJ234" s="3934" t="n"/>
      <c r="AK234" s="3934" t="n"/>
      <c r="AL234" s="3934" t="n"/>
      <c r="AM234" s="3934" t="n"/>
      <c r="AN234" s="3934" t="n"/>
      <c r="AO234" s="3934" t="n"/>
      <c r="AP234" s="3934" t="n"/>
      <c r="AQ234" s="3934" t="n"/>
      <c r="AR234" s="3934" t="n"/>
    </row>
    <row r="235">
      <c r="A235" s="3944" t="n"/>
      <c r="B235" s="3944" t="n"/>
      <c r="C235" s="3944" t="n"/>
      <c r="D235" s="3944" t="n"/>
      <c r="E235" s="3944" t="n"/>
      <c r="F235" s="3944" t="n"/>
      <c r="G235" s="3944" t="n"/>
      <c r="H235" s="3944" t="n"/>
      <c r="I235" s="3944" t="n"/>
      <c r="J235" s="3934" t="n"/>
      <c r="K235" s="3934" t="n"/>
      <c r="L235" s="3934" t="n"/>
      <c r="M235" s="3934" t="n"/>
      <c r="N235" s="3934" t="n"/>
      <c r="O235" s="3934" t="n"/>
      <c r="P235" s="3934" t="n"/>
      <c r="Q235" s="3934" t="n"/>
      <c r="R235" s="3934" t="n"/>
      <c r="S235" s="3934" t="n"/>
      <c r="T235" s="3934" t="n"/>
      <c r="U235" s="3934" t="n"/>
      <c r="V235" s="3934" t="n"/>
      <c r="W235" s="3934" t="n"/>
      <c r="X235" s="3934" t="n"/>
      <c r="Y235" s="3934" t="n"/>
      <c r="Z235" s="3934" t="n"/>
      <c r="AA235" s="3934" t="n"/>
      <c r="AB235" s="3934" t="n"/>
      <c r="AC235" s="3934" t="n"/>
      <c r="AD235" s="3934" t="n"/>
      <c r="AE235" s="3934" t="n"/>
      <c r="AF235" s="3934" t="n"/>
      <c r="AG235" s="3934" t="n"/>
      <c r="AH235" s="3934" t="n"/>
      <c r="AI235" s="3934" t="n"/>
      <c r="AJ235" s="3934" t="n"/>
      <c r="AK235" s="3934" t="n"/>
      <c r="AL235" s="3934" t="n"/>
      <c r="AM235" s="3934" t="n"/>
      <c r="AN235" s="3934" t="n"/>
      <c r="AO235" s="3934" t="n"/>
      <c r="AP235" s="3934" t="n"/>
      <c r="AQ235" s="3934" t="n"/>
      <c r="AR235" s="3934" t="n"/>
    </row>
    <row r="236">
      <c r="A236" s="3944" t="n"/>
      <c r="B236" s="3944" t="n"/>
      <c r="C236" s="3944" t="n"/>
      <c r="D236" s="3944" t="n"/>
      <c r="E236" s="3944" t="n"/>
      <c r="F236" s="3944" t="n"/>
      <c r="G236" s="3944" t="n"/>
      <c r="H236" s="3944" t="n"/>
      <c r="I236" s="3944" t="n"/>
      <c r="J236" s="3934" t="n"/>
      <c r="K236" s="3934" t="n"/>
      <c r="L236" s="3934" t="n"/>
      <c r="M236" s="3934" t="n"/>
      <c r="N236" s="3934" t="n"/>
      <c r="O236" s="3934" t="n"/>
      <c r="P236" s="3934" t="n"/>
      <c r="Q236" s="3934" t="n"/>
      <c r="R236" s="3934" t="n"/>
      <c r="S236" s="3934" t="n"/>
      <c r="T236" s="3934" t="n"/>
      <c r="U236" s="3934" t="n"/>
      <c r="V236" s="3934" t="n"/>
      <c r="W236" s="3934" t="n"/>
      <c r="X236" s="3934" t="n"/>
      <c r="Y236" s="3934" t="n"/>
      <c r="Z236" s="3934" t="n"/>
      <c r="AA236" s="3934" t="n"/>
      <c r="AB236" s="3934" t="n"/>
      <c r="AC236" s="3934" t="n"/>
      <c r="AD236" s="3934" t="n"/>
      <c r="AE236" s="3934" t="n"/>
      <c r="AF236" s="3934" t="n"/>
      <c r="AG236" s="3934" t="n"/>
      <c r="AH236" s="3934" t="n"/>
      <c r="AI236" s="3934" t="n"/>
      <c r="AJ236" s="3934" t="n"/>
      <c r="AK236" s="3934" t="n"/>
      <c r="AL236" s="3934" t="n"/>
      <c r="AM236" s="3934" t="n"/>
      <c r="AN236" s="3934" t="n"/>
      <c r="AO236" s="3934" t="n"/>
      <c r="AP236" s="3934" t="n"/>
      <c r="AQ236" s="3934" t="n"/>
      <c r="AR236" s="3934" t="n"/>
    </row>
    <row r="237">
      <c r="A237" s="3944" t="n"/>
      <c r="B237" s="3944" t="n"/>
      <c r="C237" s="3944" t="n"/>
      <c r="D237" s="3944" t="n"/>
      <c r="E237" s="3944" t="n"/>
      <c r="F237" s="3944" t="n"/>
      <c r="G237" s="3944" t="n"/>
      <c r="H237" s="3944" t="n"/>
      <c r="I237" s="3944" t="n"/>
      <c r="J237" s="3934" t="n"/>
      <c r="K237" s="3934" t="n"/>
      <c r="L237" s="3934" t="n"/>
      <c r="M237" s="3934" t="n"/>
      <c r="N237" s="3934" t="n"/>
      <c r="O237" s="3934" t="n"/>
      <c r="P237" s="3934" t="n"/>
      <c r="Q237" s="3934" t="n"/>
      <c r="R237" s="3934" t="n"/>
      <c r="S237" s="3934" t="n"/>
      <c r="T237" s="3934" t="n"/>
      <c r="U237" s="3934" t="n"/>
      <c r="V237" s="3934" t="n"/>
      <c r="W237" s="3934" t="n"/>
      <c r="X237" s="3934" t="n"/>
      <c r="Y237" s="3934" t="n"/>
      <c r="Z237" s="3934" t="n"/>
      <c r="AA237" s="3934" t="n"/>
      <c r="AB237" s="3934" t="n"/>
      <c r="AC237" s="3934" t="n"/>
      <c r="AD237" s="3934" t="n"/>
      <c r="AE237" s="3934" t="n"/>
      <c r="AF237" s="3934" t="n"/>
      <c r="AG237" s="3934" t="n"/>
      <c r="AH237" s="3934" t="n"/>
      <c r="AI237" s="3934" t="n"/>
      <c r="AJ237" s="3934" t="n"/>
      <c r="AK237" s="3934" t="n"/>
      <c r="AL237" s="3934" t="n"/>
      <c r="AM237" s="3934" t="n"/>
      <c r="AN237" s="3934" t="n"/>
      <c r="AO237" s="3934" t="n"/>
      <c r="AP237" s="3934" t="n"/>
      <c r="AQ237" s="3934" t="n"/>
      <c r="AR237" s="3934" t="n"/>
    </row>
    <row r="238">
      <c r="A238" s="3944" t="n"/>
      <c r="B238" s="3944" t="n"/>
      <c r="C238" s="3944" t="n"/>
      <c r="D238" s="3944" t="n"/>
      <c r="E238" s="3944" t="n"/>
      <c r="F238" s="3944" t="n"/>
      <c r="G238" s="3944" t="n"/>
      <c r="H238" s="3944" t="n"/>
      <c r="I238" s="3944" t="n"/>
      <c r="J238" s="3934" t="n"/>
      <c r="K238" s="3934" t="n"/>
      <c r="L238" s="3934" t="n"/>
      <c r="M238" s="3934" t="n"/>
      <c r="N238" s="3934" t="n"/>
      <c r="O238" s="3934" t="n"/>
      <c r="P238" s="3934" t="n"/>
      <c r="Q238" s="3934" t="n"/>
      <c r="R238" s="3934" t="n"/>
      <c r="S238" s="3934" t="n"/>
      <c r="T238" s="3934" t="n"/>
      <c r="U238" s="3934" t="n"/>
      <c r="V238" s="3934" t="n"/>
      <c r="W238" s="3934" t="n"/>
      <c r="X238" s="3934" t="n"/>
      <c r="Y238" s="3934" t="n"/>
      <c r="Z238" s="3934" t="n"/>
      <c r="AA238" s="3934" t="n"/>
      <c r="AB238" s="3934" t="n"/>
      <c r="AC238" s="3934" t="n"/>
      <c r="AD238" s="3934" t="n"/>
      <c r="AE238" s="3934" t="n"/>
      <c r="AF238" s="3934" t="n"/>
      <c r="AG238" s="3934" t="n"/>
      <c r="AH238" s="3934" t="n"/>
      <c r="AI238" s="3934" t="n"/>
      <c r="AJ238" s="3934" t="n"/>
      <c r="AK238" s="3934" t="n"/>
      <c r="AL238" s="3934" t="n"/>
      <c r="AM238" s="3934" t="n"/>
      <c r="AN238" s="3934" t="n"/>
      <c r="AO238" s="3934" t="n"/>
      <c r="AP238" s="3934" t="n"/>
      <c r="AQ238" s="3934" t="n"/>
      <c r="AR238" s="3934" t="n"/>
    </row>
    <row r="239">
      <c r="A239" s="3944" t="n"/>
      <c r="B239" s="3944" t="n"/>
      <c r="C239" s="3944" t="n"/>
      <c r="D239" s="3944" t="n"/>
      <c r="E239" s="3944" t="n"/>
      <c r="F239" s="3944" t="n"/>
      <c r="G239" s="3944" t="n"/>
      <c r="H239" s="3944" t="n"/>
      <c r="I239" s="3944" t="n"/>
      <c r="J239" s="3934" t="n"/>
      <c r="K239" s="3934" t="n"/>
      <c r="L239" s="3934" t="n"/>
      <c r="M239" s="3934" t="n"/>
      <c r="N239" s="3934" t="n"/>
      <c r="O239" s="3934" t="n"/>
      <c r="P239" s="3934" t="n"/>
      <c r="Q239" s="3934" t="n"/>
      <c r="R239" s="3934" t="n"/>
      <c r="S239" s="3934" t="n"/>
      <c r="T239" s="3934" t="n"/>
      <c r="U239" s="3934" t="n"/>
      <c r="V239" s="3934" t="n"/>
      <c r="W239" s="3934" t="n"/>
      <c r="X239" s="3934" t="n"/>
      <c r="Y239" s="3934" t="n"/>
      <c r="Z239" s="3934" t="n"/>
      <c r="AA239" s="3934" t="n"/>
      <c r="AB239" s="3934" t="n"/>
      <c r="AC239" s="3934" t="n"/>
      <c r="AD239" s="3934" t="n"/>
      <c r="AE239" s="3934" t="n"/>
      <c r="AF239" s="3934" t="n"/>
      <c r="AG239" s="3934" t="n"/>
      <c r="AH239" s="3934" t="n"/>
      <c r="AI239" s="3934" t="n"/>
      <c r="AJ239" s="3934" t="n"/>
      <c r="AK239" s="3934" t="n"/>
      <c r="AL239" s="3934" t="n"/>
      <c r="AM239" s="3934" t="n"/>
      <c r="AN239" s="3934" t="n"/>
      <c r="AO239" s="3934" t="n"/>
      <c r="AP239" s="3934" t="n"/>
      <c r="AQ239" s="3934" t="n"/>
      <c r="AR239" s="3934" t="n"/>
    </row>
    <row r="240">
      <c r="A240" s="3944" t="n"/>
      <c r="B240" s="3944" t="n"/>
      <c r="C240" s="3944" t="n"/>
      <c r="D240" s="3944" t="n"/>
      <c r="E240" s="3944" t="n"/>
      <c r="F240" s="3944" t="n"/>
      <c r="G240" s="3944" t="n"/>
      <c r="H240" s="3944" t="n"/>
      <c r="I240" s="3944" t="n"/>
      <c r="J240" s="3934" t="n"/>
      <c r="K240" s="3934" t="n"/>
      <c r="L240" s="3934" t="n"/>
      <c r="M240" s="3934" t="n"/>
      <c r="N240" s="3934" t="n"/>
      <c r="O240" s="3934" t="n"/>
      <c r="P240" s="3934" t="n"/>
      <c r="Q240" s="3934" t="n"/>
      <c r="R240" s="3934" t="n"/>
      <c r="S240" s="3934" t="n"/>
      <c r="T240" s="3934" t="n"/>
      <c r="U240" s="3934" t="n"/>
      <c r="V240" s="3934" t="n"/>
      <c r="W240" s="3934" t="n"/>
      <c r="X240" s="3934" t="n"/>
      <c r="Y240" s="3934" t="n"/>
      <c r="Z240" s="3934" t="n"/>
      <c r="AA240" s="3934" t="n"/>
      <c r="AB240" s="3934" t="n"/>
      <c r="AC240" s="3934" t="n"/>
      <c r="AD240" s="3934" t="n"/>
      <c r="AE240" s="3934" t="n"/>
      <c r="AF240" s="3934" t="n"/>
      <c r="AG240" s="3934" t="n"/>
      <c r="AH240" s="3934" t="n"/>
      <c r="AI240" s="3934" t="n"/>
      <c r="AJ240" s="3934" t="n"/>
      <c r="AK240" s="3934" t="n"/>
      <c r="AL240" s="3934" t="n"/>
      <c r="AM240" s="3934" t="n"/>
      <c r="AN240" s="3934" t="n"/>
      <c r="AO240" s="3934" t="n"/>
      <c r="AP240" s="3934" t="n"/>
      <c r="AQ240" s="3934" t="n"/>
      <c r="AR240" s="3934" t="n"/>
    </row>
    <row r="241">
      <c r="A241" s="3944" t="n"/>
      <c r="B241" s="3944" t="n"/>
      <c r="C241" s="3944" t="n"/>
      <c r="D241" s="3944" t="n"/>
      <c r="E241" s="3944" t="n"/>
      <c r="F241" s="3944" t="n"/>
      <c r="G241" s="3944" t="n"/>
      <c r="H241" s="3944" t="n"/>
      <c r="I241" s="3944" t="n"/>
      <c r="J241" s="3934" t="n"/>
      <c r="K241" s="3934" t="n"/>
      <c r="L241" s="3934" t="n"/>
      <c r="M241" s="3934" t="n"/>
      <c r="N241" s="3934" t="n"/>
      <c r="O241" s="3934" t="n"/>
      <c r="P241" s="3934" t="n"/>
      <c r="Q241" s="3934" t="n"/>
      <c r="R241" s="3934" t="n"/>
      <c r="S241" s="3934" t="n"/>
      <c r="T241" s="3934" t="n"/>
      <c r="U241" s="3934" t="n"/>
      <c r="V241" s="3934" t="n"/>
      <c r="W241" s="3934" t="n"/>
      <c r="X241" s="3934" t="n"/>
      <c r="Y241" s="3934" t="n"/>
      <c r="Z241" s="3934" t="n"/>
      <c r="AA241" s="3934" t="n"/>
      <c r="AB241" s="3934" t="n"/>
      <c r="AC241" s="3934" t="n"/>
      <c r="AD241" s="3934" t="n"/>
      <c r="AE241" s="3934" t="n"/>
      <c r="AF241" s="3934" t="n"/>
      <c r="AG241" s="3934" t="n"/>
      <c r="AH241" s="3934" t="n"/>
      <c r="AI241" s="3934" t="n"/>
      <c r="AJ241" s="3934" t="n"/>
      <c r="AK241" s="3934" t="n"/>
      <c r="AL241" s="3934" t="n"/>
      <c r="AM241" s="3934" t="n"/>
      <c r="AN241" s="3934" t="n"/>
      <c r="AO241" s="3934" t="n"/>
      <c r="AP241" s="3934" t="n"/>
      <c r="AQ241" s="3934" t="n"/>
      <c r="AR241" s="3934" t="n"/>
    </row>
    <row r="242">
      <c r="A242" s="3944" t="n"/>
      <c r="B242" s="3944" t="n"/>
      <c r="C242" s="3944" t="n"/>
      <c r="D242" s="3944" t="n"/>
      <c r="E242" s="3944" t="n"/>
      <c r="F242" s="3944" t="n"/>
      <c r="G242" s="3944" t="n"/>
      <c r="H242" s="3944" t="n"/>
      <c r="I242" s="3944" t="n"/>
      <c r="J242" s="3934" t="n"/>
      <c r="K242" s="3934" t="n"/>
      <c r="L242" s="3934" t="n"/>
      <c r="M242" s="3934" t="n"/>
      <c r="N242" s="3934" t="n"/>
      <c r="O242" s="3934" t="n"/>
      <c r="P242" s="3934" t="n"/>
      <c r="Q242" s="3934" t="n"/>
      <c r="R242" s="3934" t="n"/>
      <c r="S242" s="3934" t="n"/>
      <c r="T242" s="3934" t="n"/>
      <c r="U242" s="3934" t="n"/>
      <c r="V242" s="3934" t="n"/>
      <c r="W242" s="3934" t="n"/>
      <c r="X242" s="3934" t="n"/>
      <c r="Y242" s="3934" t="n"/>
      <c r="Z242" s="3934" t="n"/>
      <c r="AA242" s="3934" t="n"/>
      <c r="AB242" s="3934" t="n"/>
      <c r="AC242" s="3934" t="n"/>
      <c r="AD242" s="3934" t="n"/>
      <c r="AE242" s="3934" t="n"/>
      <c r="AF242" s="3934" t="n"/>
      <c r="AG242" s="3934" t="n"/>
      <c r="AH242" s="3934" t="n"/>
      <c r="AI242" s="3934" t="n"/>
      <c r="AJ242" s="3934" t="n"/>
      <c r="AK242" s="3934" t="n"/>
      <c r="AL242" s="3934" t="n"/>
      <c r="AM242" s="3934" t="n"/>
      <c r="AN242" s="3934" t="n"/>
      <c r="AO242" s="3934" t="n"/>
      <c r="AP242" s="3934" t="n"/>
      <c r="AQ242" s="3934" t="n"/>
      <c r="AR242" s="3934" t="n"/>
    </row>
    <row r="243">
      <c r="A243" s="3944" t="n"/>
      <c r="B243" s="3944" t="n"/>
      <c r="C243" s="3944" t="n"/>
      <c r="D243" s="3944" t="n"/>
      <c r="E243" s="3944" t="n"/>
      <c r="F243" s="3944" t="n"/>
      <c r="G243" s="3944" t="n"/>
      <c r="H243" s="3944" t="n"/>
      <c r="I243" s="3944" t="n"/>
      <c r="J243" s="3934" t="n"/>
      <c r="K243" s="3934" t="n"/>
      <c r="L243" s="3934" t="n"/>
      <c r="M243" s="3934" t="n"/>
      <c r="N243" s="3934" t="n"/>
      <c r="O243" s="3934" t="n"/>
      <c r="P243" s="3934" t="n"/>
      <c r="Q243" s="3934" t="n"/>
      <c r="R243" s="3934" t="n"/>
      <c r="S243" s="3934" t="n"/>
      <c r="T243" s="3934" t="n"/>
      <c r="U243" s="3934" t="n"/>
      <c r="V243" s="3934" t="n"/>
      <c r="W243" s="3934" t="n"/>
      <c r="X243" s="3934" t="n"/>
      <c r="Y243" s="3934" t="n"/>
      <c r="Z243" s="3934" t="n"/>
      <c r="AA243" s="3934" t="n"/>
      <c r="AB243" s="3934" t="n"/>
      <c r="AC243" s="3934" t="n"/>
      <c r="AD243" s="3934" t="n"/>
      <c r="AE243" s="3934" t="n"/>
      <c r="AF243" s="3934" t="n"/>
      <c r="AG243" s="3934" t="n"/>
      <c r="AH243" s="3934" t="n"/>
      <c r="AI243" s="3934" t="n"/>
      <c r="AJ243" s="3934" t="n"/>
      <c r="AK243" s="3934" t="n"/>
      <c r="AL243" s="3934" t="n"/>
      <c r="AM243" s="3934" t="n"/>
      <c r="AN243" s="3934" t="n"/>
      <c r="AO243" s="3934" t="n"/>
      <c r="AP243" s="3934" t="n"/>
      <c r="AQ243" s="3934" t="n"/>
      <c r="AR243" s="3934" t="n"/>
    </row>
    <row r="244">
      <c r="A244" s="3944" t="n"/>
      <c r="B244" s="3944" t="n"/>
      <c r="C244" s="3944" t="n"/>
      <c r="D244" s="3944" t="n"/>
      <c r="E244" s="3944" t="n"/>
      <c r="F244" s="3944" t="n"/>
      <c r="G244" s="3944" t="n"/>
      <c r="H244" s="3944" t="n"/>
      <c r="I244" s="3944" t="n"/>
      <c r="J244" s="3934" t="n"/>
      <c r="K244" s="3934" t="n"/>
      <c r="L244" s="3934" t="n"/>
      <c r="M244" s="3934" t="n"/>
      <c r="N244" s="3934" t="n"/>
      <c r="O244" s="3934" t="n"/>
      <c r="P244" s="3934" t="n"/>
      <c r="Q244" s="3934" t="n"/>
      <c r="R244" s="3934" t="n"/>
      <c r="S244" s="3934" t="n"/>
      <c r="T244" s="3934" t="n"/>
      <c r="U244" s="3934" t="n"/>
      <c r="V244" s="3934" t="n"/>
      <c r="W244" s="3934" t="n"/>
      <c r="X244" s="3934" t="n"/>
      <c r="Y244" s="3934" t="n"/>
      <c r="Z244" s="3934" t="n"/>
      <c r="AA244" s="3934" t="n"/>
      <c r="AB244" s="3934" t="n"/>
      <c r="AC244" s="3934" t="n"/>
      <c r="AD244" s="3934" t="n"/>
      <c r="AE244" s="3934" t="n"/>
      <c r="AF244" s="3934" t="n"/>
      <c r="AG244" s="3934" t="n"/>
      <c r="AH244" s="3934" t="n"/>
      <c r="AI244" s="3934" t="n"/>
      <c r="AJ244" s="3934" t="n"/>
      <c r="AK244" s="3934" t="n"/>
      <c r="AL244" s="3934" t="n"/>
      <c r="AM244" s="3934" t="n"/>
      <c r="AN244" s="3934" t="n"/>
      <c r="AO244" s="3934" t="n"/>
      <c r="AP244" s="3934" t="n"/>
      <c r="AQ244" s="3934" t="n"/>
      <c r="AR244" s="3934" t="n"/>
    </row>
    <row r="245">
      <c r="A245" s="3944" t="n"/>
      <c r="B245" s="3944" t="n"/>
      <c r="C245" s="3944" t="n"/>
      <c r="D245" s="3944" t="n"/>
      <c r="E245" s="3944" t="n"/>
      <c r="F245" s="3944" t="n"/>
      <c r="G245" s="3944" t="n"/>
      <c r="H245" s="3944" t="n"/>
      <c r="I245" s="3944" t="n"/>
      <c r="J245" s="3934" t="n"/>
      <c r="K245" s="3934" t="n"/>
      <c r="L245" s="3934" t="n"/>
      <c r="M245" s="3934" t="n"/>
      <c r="N245" s="3934" t="n"/>
      <c r="O245" s="3934" t="n"/>
      <c r="P245" s="3934" t="n"/>
      <c r="Q245" s="3934" t="n"/>
      <c r="R245" s="3934" t="n"/>
      <c r="S245" s="3934" t="n"/>
      <c r="T245" s="3934" t="n"/>
      <c r="U245" s="3934" t="n"/>
      <c r="V245" s="3934" t="n"/>
      <c r="W245" s="3934" t="n"/>
      <c r="X245" s="3934" t="n"/>
      <c r="Y245" s="3934" t="n"/>
      <c r="Z245" s="3934" t="n"/>
      <c r="AA245" s="3934" t="n"/>
      <c r="AB245" s="3934" t="n"/>
      <c r="AC245" s="3934" t="n"/>
      <c r="AD245" s="3934" t="n"/>
      <c r="AE245" s="3934" t="n"/>
      <c r="AF245" s="3934" t="n"/>
      <c r="AG245" s="3934" t="n"/>
      <c r="AH245" s="3934" t="n"/>
      <c r="AI245" s="3934" t="n"/>
      <c r="AJ245" s="3934" t="n"/>
      <c r="AK245" s="3934" t="n"/>
      <c r="AL245" s="3934" t="n"/>
      <c r="AM245" s="3934" t="n"/>
      <c r="AN245" s="3934" t="n"/>
      <c r="AO245" s="3934" t="n"/>
      <c r="AP245" s="3934" t="n"/>
      <c r="AQ245" s="3934" t="n"/>
      <c r="AR245" s="3934" t="n"/>
    </row>
    <row r="246">
      <c r="A246" s="3944" t="n"/>
      <c r="B246" s="3944" t="n"/>
      <c r="C246" s="3944" t="n"/>
      <c r="D246" s="3944" t="n"/>
      <c r="E246" s="3944" t="n"/>
      <c r="F246" s="3944" t="n"/>
      <c r="G246" s="3944" t="n"/>
      <c r="H246" s="3944" t="n"/>
      <c r="I246" s="3944" t="n"/>
      <c r="J246" s="3934" t="n"/>
      <c r="K246" s="3934" t="n"/>
      <c r="L246" s="3934" t="n"/>
      <c r="M246" s="3934" t="n"/>
      <c r="N246" s="3934" t="n"/>
      <c r="O246" s="3934" t="n"/>
      <c r="P246" s="3934" t="n"/>
      <c r="Q246" s="3934" t="n"/>
      <c r="R246" s="3934" t="n"/>
      <c r="S246" s="3934" t="n"/>
      <c r="T246" s="3934" t="n"/>
      <c r="U246" s="3934" t="n"/>
      <c r="V246" s="3934" t="n"/>
      <c r="W246" s="3934" t="n"/>
      <c r="X246" s="3934" t="n"/>
      <c r="Y246" s="3934" t="n"/>
      <c r="Z246" s="3934" t="n"/>
      <c r="AA246" s="3934" t="n"/>
      <c r="AB246" s="3934" t="n"/>
      <c r="AC246" s="3934" t="n"/>
      <c r="AD246" s="3934" t="n"/>
      <c r="AE246" s="3934" t="n"/>
      <c r="AF246" s="3934" t="n"/>
      <c r="AG246" s="3934" t="n"/>
      <c r="AH246" s="3934" t="n"/>
      <c r="AI246" s="3934" t="n"/>
      <c r="AJ246" s="3934" t="n"/>
      <c r="AK246" s="3934" t="n"/>
      <c r="AL246" s="3934" t="n"/>
      <c r="AM246" s="3934" t="n"/>
      <c r="AN246" s="3934" t="n"/>
      <c r="AO246" s="3934" t="n"/>
      <c r="AP246" s="3934" t="n"/>
      <c r="AQ246" s="3934" t="n"/>
      <c r="AR246" s="3934" t="n"/>
    </row>
    <row r="247">
      <c r="A247" s="3944" t="n"/>
      <c r="B247" s="3944" t="n"/>
      <c r="C247" s="3944" t="n"/>
      <c r="D247" s="3944" t="n"/>
      <c r="E247" s="3944" t="n"/>
      <c r="F247" s="3944" t="n"/>
      <c r="G247" s="3944" t="n"/>
      <c r="H247" s="3944" t="n"/>
      <c r="I247" s="3944" t="n"/>
      <c r="J247" s="3934" t="n"/>
      <c r="K247" s="3934" t="n"/>
      <c r="L247" s="3934" t="n"/>
      <c r="M247" s="3934" t="n"/>
      <c r="N247" s="3934" t="n"/>
      <c r="O247" s="3934" t="n"/>
      <c r="P247" s="3934" t="n"/>
      <c r="Q247" s="3934" t="n"/>
      <c r="R247" s="3934" t="n"/>
      <c r="S247" s="3934" t="n"/>
      <c r="T247" s="3934" t="n"/>
      <c r="U247" s="3934" t="n"/>
      <c r="V247" s="3934" t="n"/>
      <c r="W247" s="3934" t="n"/>
      <c r="X247" s="3934" t="n"/>
      <c r="Y247" s="3934" t="n"/>
      <c r="Z247" s="3934" t="n"/>
      <c r="AA247" s="3934" t="n"/>
      <c r="AB247" s="3934" t="n"/>
      <c r="AC247" s="3934" t="n"/>
      <c r="AD247" s="3934" t="n"/>
      <c r="AE247" s="3934" t="n"/>
      <c r="AF247" s="3934" t="n"/>
      <c r="AG247" s="3934" t="n"/>
      <c r="AH247" s="3934" t="n"/>
      <c r="AI247" s="3934" t="n"/>
      <c r="AJ247" s="3934" t="n"/>
      <c r="AK247" s="3934" t="n"/>
      <c r="AL247" s="3934" t="n"/>
      <c r="AM247" s="3934" t="n"/>
      <c r="AN247" s="3934" t="n"/>
      <c r="AO247" s="3934" t="n"/>
      <c r="AP247" s="3934" t="n"/>
      <c r="AQ247" s="3934" t="n"/>
      <c r="AR247" s="3934" t="n"/>
    </row>
    <row r="248">
      <c r="A248" s="3944" t="n"/>
      <c r="B248" s="3944" t="n"/>
      <c r="C248" s="3944" t="n"/>
      <c r="D248" s="3944" t="n"/>
      <c r="E248" s="3944" t="n"/>
      <c r="F248" s="3944" t="n"/>
      <c r="G248" s="3944" t="n"/>
      <c r="H248" s="3944" t="n"/>
      <c r="I248" s="3944" t="n"/>
      <c r="J248" s="3934" t="n"/>
      <c r="K248" s="3934" t="n"/>
      <c r="L248" s="3934" t="n"/>
      <c r="M248" s="3934" t="n"/>
      <c r="N248" s="3934" t="n"/>
      <c r="O248" s="3934" t="n"/>
      <c r="P248" s="3934" t="n"/>
      <c r="Q248" s="3934" t="n"/>
      <c r="R248" s="3934" t="n"/>
      <c r="S248" s="3934" t="n"/>
      <c r="T248" s="3934" t="n"/>
      <c r="U248" s="3934" t="n"/>
      <c r="V248" s="3934" t="n"/>
      <c r="W248" s="3934" t="n"/>
      <c r="X248" s="3934" t="n"/>
      <c r="Y248" s="3934" t="n"/>
      <c r="Z248" s="3934" t="n"/>
      <c r="AA248" s="3934" t="n"/>
      <c r="AB248" s="3934" t="n"/>
      <c r="AC248" s="3934" t="n"/>
      <c r="AD248" s="3934" t="n"/>
      <c r="AE248" s="3934" t="n"/>
      <c r="AF248" s="3934" t="n"/>
      <c r="AG248" s="3934" t="n"/>
      <c r="AH248" s="3934" t="n"/>
      <c r="AI248" s="3934" t="n"/>
      <c r="AJ248" s="3934" t="n"/>
      <c r="AK248" s="3934" t="n"/>
      <c r="AL248" s="3934" t="n"/>
      <c r="AM248" s="3934" t="n"/>
      <c r="AN248" s="3934" t="n"/>
      <c r="AO248" s="3934" t="n"/>
      <c r="AP248" s="3934" t="n"/>
      <c r="AQ248" s="3934" t="n"/>
      <c r="AR248" s="3934" t="n"/>
    </row>
    <row r="249">
      <c r="A249" s="3944" t="n"/>
      <c r="B249" s="3944" t="n"/>
      <c r="C249" s="3944" t="n"/>
      <c r="D249" s="3944" t="n"/>
      <c r="E249" s="3944" t="n"/>
      <c r="F249" s="3944" t="n"/>
      <c r="G249" s="3944" t="n"/>
      <c r="H249" s="3944" t="n"/>
      <c r="I249" s="3944" t="n"/>
      <c r="J249" s="3934" t="n"/>
      <c r="K249" s="3934" t="n"/>
      <c r="L249" s="3934" t="n"/>
      <c r="M249" s="3934" t="n"/>
      <c r="N249" s="3934" t="n"/>
      <c r="O249" s="3934" t="n"/>
      <c r="P249" s="3934" t="n"/>
      <c r="Q249" s="3934" t="n"/>
      <c r="R249" s="3934" t="n"/>
      <c r="S249" s="3934" t="n"/>
      <c r="T249" s="3934" t="n"/>
      <c r="U249" s="3934" t="n"/>
      <c r="V249" s="3934" t="n"/>
      <c r="W249" s="3934" t="n"/>
      <c r="X249" s="3934" t="n"/>
      <c r="Y249" s="3934" t="n"/>
      <c r="Z249" s="3934" t="n"/>
      <c r="AA249" s="3934" t="n"/>
      <c r="AB249" s="3934" t="n"/>
      <c r="AC249" s="3934" t="n"/>
      <c r="AD249" s="3934" t="n"/>
      <c r="AE249" s="3934" t="n"/>
      <c r="AF249" s="3934" t="n"/>
      <c r="AG249" s="3934" t="n"/>
      <c r="AH249" s="3934" t="n"/>
      <c r="AI249" s="3934" t="n"/>
      <c r="AJ249" s="3934" t="n"/>
      <c r="AK249" s="3934" t="n"/>
      <c r="AL249" s="3934" t="n"/>
      <c r="AM249" s="3934" t="n"/>
      <c r="AN249" s="3934" t="n"/>
      <c r="AO249" s="3934" t="n"/>
      <c r="AP249" s="3934" t="n"/>
      <c r="AQ249" s="3934" t="n"/>
      <c r="AR249" s="3934" t="n"/>
    </row>
    <row r="250">
      <c r="A250" s="3944" t="n"/>
      <c r="B250" s="3944" t="n"/>
      <c r="C250" s="3944" t="n"/>
      <c r="D250" s="3944" t="n"/>
      <c r="E250" s="3944" t="n"/>
      <c r="F250" s="3944" t="n"/>
      <c r="G250" s="3944" t="n"/>
      <c r="H250" s="3944" t="n"/>
      <c r="I250" s="3944" t="n"/>
      <c r="J250" s="3934" t="n"/>
      <c r="K250" s="3934" t="n"/>
      <c r="L250" s="3934" t="n"/>
      <c r="M250" s="3934" t="n"/>
      <c r="N250" s="3934" t="n"/>
      <c r="O250" s="3934" t="n"/>
      <c r="P250" s="3934" t="n"/>
      <c r="Q250" s="3934" t="n"/>
      <c r="R250" s="3934" t="n"/>
      <c r="S250" s="3934" t="n"/>
      <c r="T250" s="3934" t="n"/>
      <c r="U250" s="3934" t="n"/>
      <c r="V250" s="3934" t="n"/>
      <c r="W250" s="3934" t="n"/>
      <c r="X250" s="3934" t="n"/>
      <c r="Y250" s="3934" t="n"/>
      <c r="Z250" s="3934" t="n"/>
      <c r="AA250" s="3934" t="n"/>
      <c r="AB250" s="3934" t="n"/>
      <c r="AC250" s="3934" t="n"/>
      <c r="AD250" s="3934" t="n"/>
      <c r="AE250" s="3934" t="n"/>
      <c r="AF250" s="3934" t="n"/>
      <c r="AG250" s="3934" t="n"/>
      <c r="AH250" s="3934" t="n"/>
      <c r="AI250" s="3934" t="n"/>
      <c r="AJ250" s="3934" t="n"/>
      <c r="AK250" s="3934" t="n"/>
      <c r="AL250" s="3934" t="n"/>
      <c r="AM250" s="3934" t="n"/>
      <c r="AN250" s="3934" t="n"/>
      <c r="AO250" s="3934" t="n"/>
      <c r="AP250" s="3934" t="n"/>
      <c r="AQ250" s="3934" t="n"/>
      <c r="AR250" s="3934" t="n"/>
    </row>
    <row r="251">
      <c r="A251" s="3944" t="n"/>
      <c r="B251" s="3944" t="n"/>
      <c r="C251" s="3944" t="n"/>
      <c r="D251" s="3944" t="n"/>
      <c r="E251" s="3944" t="n"/>
      <c r="F251" s="3944" t="n"/>
      <c r="G251" s="3944" t="n"/>
      <c r="H251" s="3944" t="n"/>
      <c r="I251" s="3944" t="n"/>
      <c r="J251" s="3934" t="n"/>
      <c r="K251" s="3934" t="n"/>
      <c r="L251" s="3934" t="n"/>
      <c r="M251" s="3934" t="n"/>
      <c r="N251" s="3934" t="n"/>
      <c r="O251" s="3934" t="n"/>
      <c r="P251" s="3934" t="n"/>
      <c r="Q251" s="3934" t="n"/>
      <c r="R251" s="3934" t="n"/>
      <c r="S251" s="3934" t="n"/>
      <c r="T251" s="3934" t="n"/>
      <c r="U251" s="3934" t="n"/>
      <c r="V251" s="3934" t="n"/>
      <c r="W251" s="3934" t="n"/>
      <c r="X251" s="3934" t="n"/>
      <c r="Y251" s="3934" t="n"/>
      <c r="Z251" s="3934" t="n"/>
      <c r="AA251" s="3934" t="n"/>
      <c r="AB251" s="3934" t="n"/>
      <c r="AC251" s="3934" t="n"/>
      <c r="AD251" s="3934" t="n"/>
      <c r="AE251" s="3934" t="n"/>
      <c r="AF251" s="3934" t="n"/>
      <c r="AG251" s="3934" t="n"/>
      <c r="AH251" s="3934" t="n"/>
      <c r="AI251" s="3934" t="n"/>
      <c r="AJ251" s="3934" t="n"/>
      <c r="AK251" s="3934" t="n"/>
      <c r="AL251" s="3934" t="n"/>
      <c r="AM251" s="3934" t="n"/>
      <c r="AN251" s="3934" t="n"/>
      <c r="AO251" s="3934" t="n"/>
      <c r="AP251" s="3934" t="n"/>
      <c r="AQ251" s="3934" t="n"/>
      <c r="AR251" s="3934" t="n"/>
    </row>
    <row r="252">
      <c r="A252" s="3944" t="n"/>
      <c r="B252" s="3944" t="n"/>
      <c r="C252" s="3944" t="n"/>
      <c r="D252" s="3944" t="n"/>
      <c r="E252" s="3944" t="n"/>
      <c r="F252" s="3944" t="n"/>
      <c r="G252" s="3944" t="n"/>
      <c r="H252" s="3944" t="n"/>
      <c r="I252" s="3944" t="n"/>
      <c r="J252" s="3934" t="n"/>
      <c r="K252" s="3934" t="n"/>
      <c r="L252" s="3934" t="n"/>
      <c r="M252" s="3934" t="n"/>
      <c r="N252" s="3934" t="n"/>
      <c r="O252" s="3934" t="n"/>
      <c r="P252" s="3934" t="n"/>
      <c r="Q252" s="3934" t="n"/>
      <c r="R252" s="3934" t="n"/>
      <c r="S252" s="3934" t="n"/>
      <c r="T252" s="3934" t="n"/>
      <c r="U252" s="3934" t="n"/>
      <c r="V252" s="3934" t="n"/>
      <c r="W252" s="3934" t="n"/>
      <c r="X252" s="3934" t="n"/>
      <c r="Y252" s="3934" t="n"/>
      <c r="Z252" s="3934" t="n"/>
      <c r="AA252" s="3934" t="n"/>
      <c r="AB252" s="3934" t="n"/>
      <c r="AC252" s="3934" t="n"/>
      <c r="AD252" s="3934" t="n"/>
      <c r="AE252" s="3934" t="n"/>
      <c r="AF252" s="3934" t="n"/>
      <c r="AG252" s="3934" t="n"/>
      <c r="AH252" s="3934" t="n"/>
      <c r="AI252" s="3934" t="n"/>
      <c r="AJ252" s="3934" t="n"/>
      <c r="AK252" s="3934" t="n"/>
      <c r="AL252" s="3934" t="n"/>
      <c r="AM252" s="3934" t="n"/>
      <c r="AN252" s="3934" t="n"/>
      <c r="AO252" s="3934" t="n"/>
      <c r="AP252" s="3934" t="n"/>
      <c r="AQ252" s="3934" t="n"/>
      <c r="AR252" s="3934" t="n"/>
    </row>
    <row r="253">
      <c r="A253" s="3944" t="n"/>
      <c r="B253" s="3944" t="n"/>
      <c r="C253" s="3944" t="n"/>
      <c r="D253" s="3944" t="n"/>
      <c r="E253" s="3944" t="n"/>
      <c r="F253" s="3944" t="n"/>
      <c r="G253" s="3944" t="n"/>
      <c r="H253" s="3944" t="n"/>
      <c r="I253" s="3944" t="n"/>
      <c r="J253" s="3934" t="n"/>
      <c r="K253" s="3934" t="n"/>
      <c r="L253" s="3934" t="n"/>
      <c r="M253" s="3934" t="n"/>
      <c r="N253" s="3934" t="n"/>
      <c r="O253" s="3934" t="n"/>
      <c r="P253" s="3934" t="n"/>
      <c r="Q253" s="3934" t="n"/>
      <c r="R253" s="3934" t="n"/>
      <c r="S253" s="3934" t="n"/>
      <c r="T253" s="3934" t="n"/>
      <c r="U253" s="3934" t="n"/>
      <c r="V253" s="3934" t="n"/>
      <c r="W253" s="3934" t="n"/>
      <c r="X253" s="3934" t="n"/>
      <c r="Y253" s="3934" t="n"/>
      <c r="Z253" s="3934" t="n"/>
      <c r="AA253" s="3934" t="n"/>
      <c r="AB253" s="3934" t="n"/>
      <c r="AC253" s="3934" t="n"/>
      <c r="AD253" s="3934" t="n"/>
      <c r="AE253" s="3934" t="n"/>
      <c r="AF253" s="3934" t="n"/>
      <c r="AG253" s="3934" t="n"/>
      <c r="AH253" s="3934" t="n"/>
      <c r="AI253" s="3934" t="n"/>
      <c r="AJ253" s="3934" t="n"/>
      <c r="AK253" s="3934" t="n"/>
      <c r="AL253" s="3934" t="n"/>
      <c r="AM253" s="3934" t="n"/>
      <c r="AN253" s="3934" t="n"/>
      <c r="AO253" s="3934" t="n"/>
      <c r="AP253" s="3934" t="n"/>
      <c r="AQ253" s="3934" t="n"/>
      <c r="AR253" s="3934" t="n"/>
    </row>
    <row r="254">
      <c r="A254" s="3944" t="n"/>
      <c r="B254" s="3944" t="n"/>
      <c r="C254" s="3944" t="n"/>
      <c r="D254" s="3944" t="n"/>
      <c r="E254" s="3944" t="n"/>
      <c r="F254" s="3944" t="n"/>
      <c r="G254" s="3944" t="n"/>
      <c r="H254" s="3944" t="n"/>
      <c r="I254" s="3944" t="n"/>
      <c r="J254" s="3934" t="n"/>
      <c r="K254" s="3934" t="n"/>
      <c r="L254" s="3934" t="n"/>
      <c r="M254" s="3934" t="n"/>
      <c r="N254" s="3934" t="n"/>
      <c r="O254" s="3934" t="n"/>
      <c r="P254" s="3934" t="n"/>
      <c r="Q254" s="3934" t="n"/>
      <c r="R254" s="3934" t="n"/>
      <c r="S254" s="3934" t="n"/>
      <c r="T254" s="3934" t="n"/>
      <c r="U254" s="3934" t="n"/>
      <c r="V254" s="3934" t="n"/>
      <c r="W254" s="3934" t="n"/>
      <c r="X254" s="3934" t="n"/>
      <c r="Y254" s="3934" t="n"/>
      <c r="Z254" s="3934" t="n"/>
      <c r="AA254" s="3934" t="n"/>
      <c r="AB254" s="3934" t="n"/>
      <c r="AC254" s="3934" t="n"/>
      <c r="AD254" s="3934" t="n"/>
      <c r="AE254" s="3934" t="n"/>
      <c r="AF254" s="3934" t="n"/>
      <c r="AG254" s="3934" t="n"/>
      <c r="AH254" s="3934" t="n"/>
      <c r="AI254" s="3934" t="n"/>
      <c r="AJ254" s="3934" t="n"/>
      <c r="AK254" s="3934" t="n"/>
      <c r="AL254" s="3934" t="n"/>
      <c r="AM254" s="3934" t="n"/>
      <c r="AN254" s="3934" t="n"/>
      <c r="AO254" s="3934" t="n"/>
      <c r="AP254" s="3934" t="n"/>
      <c r="AQ254" s="3934" t="n"/>
      <c r="AR254" s="3934" t="n"/>
    </row>
    <row r="255">
      <c r="A255" s="3944" t="n"/>
      <c r="B255" s="3944" t="n"/>
      <c r="C255" s="3944" t="n"/>
      <c r="D255" s="3944" t="n"/>
      <c r="E255" s="3944" t="n"/>
      <c r="F255" s="3944" t="n"/>
      <c r="G255" s="3944" t="n"/>
      <c r="H255" s="3944" t="n"/>
      <c r="I255" s="3944" t="n"/>
      <c r="J255" s="3934" t="n"/>
      <c r="K255" s="3934" t="n"/>
      <c r="L255" s="3934" t="n"/>
      <c r="M255" s="3934" t="n"/>
      <c r="N255" s="3934" t="n"/>
      <c r="O255" s="3934" t="n"/>
      <c r="P255" s="3934" t="n"/>
      <c r="Q255" s="3934" t="n"/>
      <c r="R255" s="3934" t="n"/>
      <c r="S255" s="3934" t="n"/>
      <c r="T255" s="3934" t="n"/>
      <c r="U255" s="3934" t="n"/>
      <c r="V255" s="3934" t="n"/>
      <c r="W255" s="3934" t="n"/>
      <c r="X255" s="3934" t="n"/>
      <c r="Y255" s="3934" t="n"/>
      <c r="Z255" s="3934" t="n"/>
      <c r="AA255" s="3934" t="n"/>
      <c r="AB255" s="3934" t="n"/>
      <c r="AC255" s="3934" t="n"/>
      <c r="AD255" s="3934" t="n"/>
      <c r="AE255" s="3934" t="n"/>
      <c r="AF255" s="3934" t="n"/>
      <c r="AG255" s="3934" t="n"/>
      <c r="AH255" s="3934" t="n"/>
      <c r="AI255" s="3934" t="n"/>
      <c r="AJ255" s="3934" t="n"/>
      <c r="AK255" s="3934" t="n"/>
      <c r="AL255" s="3934" t="n"/>
      <c r="AM255" s="3934" t="n"/>
      <c r="AN255" s="3934" t="n"/>
      <c r="AO255" s="3934" t="n"/>
      <c r="AP255" s="3934" t="n"/>
      <c r="AQ255" s="3934" t="n"/>
      <c r="AR255" s="3934" t="n"/>
    </row>
    <row r="256">
      <c r="A256" s="3944" t="n"/>
      <c r="B256" s="3944" t="n"/>
      <c r="C256" s="3944" t="n"/>
      <c r="D256" s="3944" t="n"/>
      <c r="E256" s="3944" t="n"/>
      <c r="F256" s="3944" t="n"/>
      <c r="G256" s="3944" t="n"/>
      <c r="H256" s="3944" t="n"/>
      <c r="I256" s="3944" t="n"/>
      <c r="J256" s="3934" t="n"/>
      <c r="K256" s="3934" t="n"/>
      <c r="L256" s="3934" t="n"/>
      <c r="M256" s="3934" t="n"/>
      <c r="N256" s="3934" t="n"/>
      <c r="O256" s="3934" t="n"/>
      <c r="P256" s="3934" t="n"/>
      <c r="Q256" s="3934" t="n"/>
      <c r="R256" s="3934" t="n"/>
      <c r="S256" s="3934" t="n"/>
      <c r="T256" s="3934" t="n"/>
      <c r="U256" s="3934" t="n"/>
      <c r="V256" s="3934" t="n"/>
      <c r="W256" s="3934" t="n"/>
      <c r="X256" s="3934" t="n"/>
      <c r="Y256" s="3934" t="n"/>
      <c r="Z256" s="3934" t="n"/>
      <c r="AA256" s="3934" t="n"/>
      <c r="AB256" s="3934" t="n"/>
      <c r="AC256" s="3934" t="n"/>
      <c r="AD256" s="3934" t="n"/>
      <c r="AE256" s="3934" t="n"/>
      <c r="AF256" s="3934" t="n"/>
      <c r="AG256" s="3934" t="n"/>
      <c r="AH256" s="3934" t="n"/>
      <c r="AI256" s="3934" t="n"/>
      <c r="AJ256" s="3934" t="n"/>
      <c r="AK256" s="3934" t="n"/>
      <c r="AL256" s="3934" t="n"/>
      <c r="AM256" s="3934" t="n"/>
      <c r="AN256" s="3934" t="n"/>
      <c r="AO256" s="3934" t="n"/>
      <c r="AP256" s="3934" t="n"/>
      <c r="AQ256" s="3934" t="n"/>
      <c r="AR256" s="3934" t="n"/>
    </row>
    <row r="257">
      <c r="A257" s="3944" t="n"/>
      <c r="B257" s="3944" t="n"/>
      <c r="C257" s="3944" t="n"/>
      <c r="D257" s="3944" t="n"/>
      <c r="E257" s="3944" t="n"/>
      <c r="F257" s="3944" t="n"/>
      <c r="G257" s="3944" t="n"/>
      <c r="H257" s="3944" t="n"/>
      <c r="I257" s="3944" t="n"/>
      <c r="J257" s="3934" t="n"/>
      <c r="K257" s="3934" t="n"/>
      <c r="L257" s="3934" t="n"/>
      <c r="M257" s="3934" t="n"/>
      <c r="N257" s="3934" t="n"/>
      <c r="O257" s="3934" t="n"/>
      <c r="P257" s="3934" t="n"/>
      <c r="Q257" s="3934" t="n"/>
      <c r="R257" s="3934" t="n"/>
      <c r="S257" s="3934" t="n"/>
      <c r="T257" s="3934" t="n"/>
      <c r="U257" s="3934" t="n"/>
      <c r="V257" s="3934" t="n"/>
      <c r="W257" s="3934" t="n"/>
      <c r="X257" s="3934" t="n"/>
      <c r="Y257" s="3934" t="n"/>
      <c r="Z257" s="3934" t="n"/>
      <c r="AA257" s="3934" t="n"/>
      <c r="AB257" s="3934" t="n"/>
      <c r="AC257" s="3934" t="n"/>
      <c r="AD257" s="3934" t="n"/>
      <c r="AE257" s="3934" t="n"/>
      <c r="AF257" s="3934" t="n"/>
      <c r="AG257" s="3934" t="n"/>
      <c r="AH257" s="3934" t="n"/>
      <c r="AI257" s="3934" t="n"/>
      <c r="AJ257" s="3934" t="n"/>
      <c r="AK257" s="3934" t="n"/>
      <c r="AL257" s="3934" t="n"/>
      <c r="AM257" s="3934" t="n"/>
      <c r="AN257" s="3934" t="n"/>
      <c r="AO257" s="3934" t="n"/>
      <c r="AP257" s="3934" t="n"/>
      <c r="AQ257" s="3934" t="n"/>
      <c r="AR257" s="3934" t="n"/>
    </row>
    <row r="258">
      <c r="A258" s="3944" t="n"/>
      <c r="B258" s="3944" t="n"/>
      <c r="C258" s="3944" t="n"/>
      <c r="D258" s="3944" t="n"/>
      <c r="E258" s="3944" t="n"/>
      <c r="F258" s="3944" t="n"/>
      <c r="G258" s="3944" t="n"/>
      <c r="H258" s="3944" t="n"/>
      <c r="I258" s="3944" t="n"/>
      <c r="J258" s="3934" t="n"/>
      <c r="K258" s="3934" t="n"/>
      <c r="L258" s="3934" t="n"/>
      <c r="M258" s="3934" t="n"/>
      <c r="N258" s="3934" t="n"/>
      <c r="O258" s="3934" t="n"/>
      <c r="P258" s="3934" t="n"/>
      <c r="Q258" s="3934" t="n"/>
      <c r="R258" s="3934" t="n"/>
      <c r="S258" s="3934" t="n"/>
      <c r="T258" s="3934" t="n"/>
      <c r="U258" s="3934" t="n"/>
      <c r="V258" s="3934" t="n"/>
      <c r="W258" s="3934" t="n"/>
      <c r="X258" s="3934" t="n"/>
      <c r="Y258" s="3934" t="n"/>
      <c r="Z258" s="3934" t="n"/>
      <c r="AA258" s="3934" t="n"/>
      <c r="AB258" s="3934" t="n"/>
      <c r="AC258" s="3934" t="n"/>
      <c r="AD258" s="3934" t="n"/>
      <c r="AE258" s="3934" t="n"/>
      <c r="AF258" s="3934" t="n"/>
      <c r="AG258" s="3934" t="n"/>
      <c r="AH258" s="3934" t="n"/>
      <c r="AI258" s="3934" t="n"/>
      <c r="AJ258" s="3934" t="n"/>
      <c r="AK258" s="3934" t="n"/>
      <c r="AL258" s="3934" t="n"/>
      <c r="AM258" s="3934" t="n"/>
      <c r="AN258" s="3934" t="n"/>
      <c r="AO258" s="3934" t="n"/>
      <c r="AP258" s="3934" t="n"/>
      <c r="AQ258" s="3934" t="n"/>
      <c r="AR258" s="3934" t="n"/>
    </row>
    <row r="259">
      <c r="A259" s="3944" t="n"/>
      <c r="B259" s="3944" t="n"/>
      <c r="C259" s="3944" t="n"/>
      <c r="D259" s="3944" t="n"/>
      <c r="E259" s="3944" t="n"/>
      <c r="F259" s="3944" t="n"/>
      <c r="G259" s="3944" t="n"/>
      <c r="H259" s="3944" t="n"/>
      <c r="I259" s="3944" t="n"/>
      <c r="J259" s="3934" t="n"/>
      <c r="K259" s="3934" t="n"/>
      <c r="L259" s="3934" t="n"/>
      <c r="M259" s="3934" t="n"/>
      <c r="N259" s="3934" t="n"/>
      <c r="O259" s="3934" t="n"/>
      <c r="P259" s="3934" t="n"/>
      <c r="Q259" s="3934" t="n"/>
      <c r="R259" s="3934" t="n"/>
      <c r="S259" s="3934" t="n"/>
      <c r="T259" s="3934" t="n"/>
      <c r="U259" s="3934" t="n"/>
      <c r="V259" s="3934" t="n"/>
      <c r="W259" s="3934" t="n"/>
      <c r="X259" s="3934" t="n"/>
      <c r="Y259" s="3934" t="n"/>
      <c r="Z259" s="3934" t="n"/>
      <c r="AA259" s="3934" t="n"/>
      <c r="AB259" s="3934" t="n"/>
      <c r="AC259" s="3934" t="n"/>
      <c r="AD259" s="3934" t="n"/>
      <c r="AE259" s="3934" t="n"/>
      <c r="AF259" s="3934" t="n"/>
      <c r="AG259" s="3934" t="n"/>
      <c r="AH259" s="3934" t="n"/>
      <c r="AI259" s="3934" t="n"/>
      <c r="AJ259" s="3934" t="n"/>
      <c r="AK259" s="3934" t="n"/>
      <c r="AL259" s="3934" t="n"/>
      <c r="AM259" s="3934" t="n"/>
      <c r="AN259" s="3934" t="n"/>
      <c r="AO259" s="3934" t="n"/>
      <c r="AP259" s="3934" t="n"/>
      <c r="AQ259" s="3934" t="n"/>
      <c r="AR259" s="3934" t="n"/>
    </row>
    <row r="260">
      <c r="A260" s="3944" t="n"/>
      <c r="B260" s="3944" t="n"/>
      <c r="C260" s="3944" t="n"/>
      <c r="D260" s="3944" t="n"/>
      <c r="E260" s="3944" t="n"/>
      <c r="F260" s="3944" t="n"/>
      <c r="G260" s="3944" t="n"/>
      <c r="H260" s="3944" t="n"/>
      <c r="I260" s="3944" t="n"/>
      <c r="J260" s="3934" t="n"/>
      <c r="K260" s="3934" t="n"/>
      <c r="L260" s="3934" t="n"/>
      <c r="M260" s="3934" t="n"/>
      <c r="N260" s="3934" t="n"/>
      <c r="O260" s="3934" t="n"/>
      <c r="P260" s="3934" t="n"/>
      <c r="Q260" s="3934" t="n"/>
      <c r="R260" s="3934" t="n"/>
      <c r="S260" s="3934" t="n"/>
      <c r="T260" s="3934" t="n"/>
      <c r="U260" s="3934" t="n"/>
      <c r="V260" s="3934" t="n"/>
      <c r="W260" s="3934" t="n"/>
      <c r="X260" s="3934" t="n"/>
      <c r="Y260" s="3934" t="n"/>
      <c r="Z260" s="3934" t="n"/>
      <c r="AA260" s="3934" t="n"/>
      <c r="AB260" s="3934" t="n"/>
      <c r="AC260" s="3934" t="n"/>
      <c r="AD260" s="3934" t="n"/>
      <c r="AE260" s="3934" t="n"/>
      <c r="AF260" s="3934" t="n"/>
      <c r="AG260" s="3934" t="n"/>
      <c r="AH260" s="3934" t="n"/>
      <c r="AI260" s="3934" t="n"/>
      <c r="AJ260" s="3934" t="n"/>
      <c r="AK260" s="3934" t="n"/>
      <c r="AL260" s="3934" t="n"/>
      <c r="AM260" s="3934" t="n"/>
      <c r="AN260" s="3934" t="n"/>
      <c r="AO260" s="3934" t="n"/>
      <c r="AP260" s="3934" t="n"/>
      <c r="AQ260" s="3934" t="n"/>
      <c r="AR260" s="3934" t="n"/>
    </row>
    <row r="261">
      <c r="A261" s="3944" t="n"/>
      <c r="B261" s="3944" t="n"/>
      <c r="C261" s="3944" t="n"/>
      <c r="D261" s="3944" t="n"/>
      <c r="E261" s="3944" t="n"/>
      <c r="F261" s="3944" t="n"/>
      <c r="G261" s="3944" t="n"/>
      <c r="H261" s="3944" t="n"/>
      <c r="I261" s="3944" t="n"/>
      <c r="J261" s="3934" t="n"/>
      <c r="K261" s="3934" t="n"/>
      <c r="L261" s="3934" t="n"/>
      <c r="M261" s="3934" t="n"/>
      <c r="N261" s="3934" t="n"/>
      <c r="O261" s="3934" t="n"/>
      <c r="P261" s="3934" t="n"/>
      <c r="Q261" s="3934" t="n"/>
      <c r="R261" s="3934" t="n"/>
      <c r="S261" s="3934" t="n"/>
      <c r="T261" s="3934" t="n"/>
      <c r="U261" s="3934" t="n"/>
      <c r="V261" s="3934" t="n"/>
      <c r="W261" s="3934" t="n"/>
      <c r="X261" s="3934" t="n"/>
      <c r="Y261" s="3934" t="n"/>
      <c r="Z261" s="3934" t="n"/>
      <c r="AA261" s="3934" t="n"/>
      <c r="AB261" s="3934" t="n"/>
      <c r="AC261" s="3934" t="n"/>
      <c r="AD261" s="3934" t="n"/>
      <c r="AE261" s="3934" t="n"/>
      <c r="AF261" s="3934" t="n"/>
      <c r="AG261" s="3934" t="n"/>
      <c r="AH261" s="3934" t="n"/>
      <c r="AI261" s="3934" t="n"/>
      <c r="AJ261" s="3934" t="n"/>
      <c r="AK261" s="3934" t="n"/>
      <c r="AL261" s="3934" t="n"/>
      <c r="AM261" s="3934" t="n"/>
      <c r="AN261" s="3934" t="n"/>
      <c r="AO261" s="3934" t="n"/>
      <c r="AP261" s="3934" t="n"/>
      <c r="AQ261" s="3934" t="n"/>
      <c r="AR261" s="3934" t="n"/>
    </row>
    <row r="262">
      <c r="A262" s="3944" t="n"/>
      <c r="B262" s="3944" t="n"/>
      <c r="C262" s="3944" t="n"/>
      <c r="D262" s="3944" t="n"/>
      <c r="E262" s="3944" t="n"/>
      <c r="F262" s="3944" t="n"/>
      <c r="G262" s="3944" t="n"/>
      <c r="H262" s="3944" t="n"/>
      <c r="I262" s="3944" t="n"/>
      <c r="J262" s="3934" t="n"/>
      <c r="K262" s="3934" t="n"/>
      <c r="L262" s="3934" t="n"/>
      <c r="M262" s="3934" t="n"/>
      <c r="N262" s="3934" t="n"/>
      <c r="O262" s="3934" t="n"/>
      <c r="P262" s="3934" t="n"/>
      <c r="Q262" s="3934" t="n"/>
      <c r="R262" s="3934" t="n"/>
      <c r="S262" s="3934" t="n"/>
      <c r="T262" s="3934" t="n"/>
      <c r="U262" s="3934" t="n"/>
      <c r="V262" s="3934" t="n"/>
      <c r="W262" s="3934" t="n"/>
      <c r="X262" s="3934" t="n"/>
      <c r="Y262" s="3934" t="n"/>
      <c r="Z262" s="3934" t="n"/>
      <c r="AA262" s="3934" t="n"/>
      <c r="AB262" s="3934" t="n"/>
      <c r="AC262" s="3934" t="n"/>
      <c r="AD262" s="3934" t="n"/>
      <c r="AE262" s="3934" t="n"/>
      <c r="AF262" s="3934" t="n"/>
      <c r="AG262" s="3934" t="n"/>
      <c r="AH262" s="3934" t="n"/>
      <c r="AI262" s="3934" t="n"/>
      <c r="AJ262" s="3934" t="n"/>
      <c r="AK262" s="3934" t="n"/>
      <c r="AL262" s="3934" t="n"/>
      <c r="AM262" s="3934" t="n"/>
      <c r="AN262" s="3934" t="n"/>
      <c r="AO262" s="3934" t="n"/>
      <c r="AP262" s="3934" t="n"/>
      <c r="AQ262" s="3934" t="n"/>
      <c r="AR262" s="3934" t="n"/>
    </row>
    <row r="263">
      <c r="A263" s="3944" t="n"/>
      <c r="B263" s="3944" t="n"/>
      <c r="C263" s="3944" t="n"/>
      <c r="D263" s="3944" t="n"/>
      <c r="E263" s="3944" t="n"/>
      <c r="F263" s="3944" t="n"/>
      <c r="G263" s="3944" t="n"/>
      <c r="H263" s="3944" t="n"/>
      <c r="I263" s="3944" t="n"/>
      <c r="J263" s="3934" t="n"/>
      <c r="K263" s="3934" t="n"/>
      <c r="L263" s="3934" t="n"/>
      <c r="M263" s="3934" t="n"/>
      <c r="N263" s="3934" t="n"/>
      <c r="O263" s="3934" t="n"/>
      <c r="P263" s="3934" t="n"/>
      <c r="Q263" s="3934" t="n"/>
      <c r="R263" s="3934" t="n"/>
      <c r="S263" s="3934" t="n"/>
      <c r="T263" s="3934" t="n"/>
      <c r="U263" s="3934" t="n"/>
      <c r="V263" s="3934" t="n"/>
      <c r="W263" s="3934" t="n"/>
      <c r="X263" s="3934" t="n"/>
      <c r="Y263" s="3934" t="n"/>
      <c r="Z263" s="3934" t="n"/>
      <c r="AA263" s="3934" t="n"/>
      <c r="AB263" s="3934" t="n"/>
      <c r="AC263" s="3934" t="n"/>
      <c r="AD263" s="3934" t="n"/>
      <c r="AE263" s="3934" t="n"/>
      <c r="AF263" s="3934" t="n"/>
      <c r="AG263" s="3934" t="n"/>
      <c r="AH263" s="3934" t="n"/>
      <c r="AI263" s="3934" t="n"/>
      <c r="AJ263" s="3934" t="n"/>
      <c r="AK263" s="3934" t="n"/>
      <c r="AL263" s="3934" t="n"/>
      <c r="AM263" s="3934" t="n"/>
      <c r="AN263" s="3934" t="n"/>
      <c r="AO263" s="3934" t="n"/>
      <c r="AP263" s="3934" t="n"/>
      <c r="AQ263" s="3934" t="n"/>
      <c r="AR263" s="3934" t="n"/>
    </row>
    <row r="264">
      <c r="A264" s="3944" t="n"/>
      <c r="B264" s="3944" t="n"/>
      <c r="C264" s="3944" t="n"/>
      <c r="D264" s="3944" t="n"/>
      <c r="E264" s="3944" t="n"/>
      <c r="F264" s="3944" t="n"/>
      <c r="G264" s="3944" t="n"/>
      <c r="H264" s="3944" t="n"/>
      <c r="I264" s="3944" t="n"/>
      <c r="J264" s="3934" t="n"/>
      <c r="K264" s="3934" t="n"/>
      <c r="L264" s="3934" t="n"/>
      <c r="M264" s="3934" t="n"/>
      <c r="N264" s="3934" t="n"/>
      <c r="O264" s="3934" t="n"/>
      <c r="P264" s="3934" t="n"/>
      <c r="Q264" s="3934" t="n"/>
      <c r="R264" s="3934" t="n"/>
      <c r="S264" s="3934" t="n"/>
      <c r="T264" s="3934" t="n"/>
      <c r="U264" s="3934" t="n"/>
      <c r="V264" s="3934" t="n"/>
      <c r="W264" s="3934" t="n"/>
      <c r="X264" s="3934" t="n"/>
      <c r="Y264" s="3934" t="n"/>
      <c r="Z264" s="3934" t="n"/>
      <c r="AA264" s="3934" t="n"/>
      <c r="AB264" s="3934" t="n"/>
      <c r="AC264" s="3934" t="n"/>
      <c r="AD264" s="3934" t="n"/>
      <c r="AE264" s="3934" t="n"/>
      <c r="AF264" s="3934" t="n"/>
      <c r="AG264" s="3934" t="n"/>
      <c r="AH264" s="3934" t="n"/>
      <c r="AI264" s="3934" t="n"/>
      <c r="AJ264" s="3934" t="n"/>
      <c r="AK264" s="3934" t="n"/>
      <c r="AL264" s="3934" t="n"/>
      <c r="AM264" s="3934" t="n"/>
      <c r="AN264" s="3934" t="n"/>
      <c r="AO264" s="3934" t="n"/>
      <c r="AP264" s="3934" t="n"/>
      <c r="AQ264" s="3934" t="n"/>
      <c r="AR264" s="3934" t="n"/>
    </row>
    <row r="265">
      <c r="A265" s="3944" t="n"/>
      <c r="B265" s="3944" t="n"/>
      <c r="C265" s="3944" t="n"/>
      <c r="D265" s="3944" t="n"/>
      <c r="E265" s="3944" t="n"/>
      <c r="F265" s="3944" t="n"/>
      <c r="G265" s="3944" t="n"/>
      <c r="H265" s="3944" t="n"/>
      <c r="I265" s="3944" t="n"/>
      <c r="J265" s="3934" t="n"/>
      <c r="K265" s="3934" t="n"/>
      <c r="L265" s="3934" t="n"/>
      <c r="M265" s="3934" t="n"/>
      <c r="N265" s="3934" t="n"/>
      <c r="O265" s="3934" t="n"/>
      <c r="P265" s="3934" t="n"/>
      <c r="Q265" s="3934" t="n"/>
      <c r="R265" s="3934" t="n"/>
      <c r="S265" s="3934" t="n"/>
      <c r="T265" s="3934" t="n"/>
      <c r="U265" s="3934" t="n"/>
      <c r="V265" s="3934" t="n"/>
      <c r="W265" s="3934" t="n"/>
      <c r="X265" s="3934" t="n"/>
      <c r="Y265" s="3934" t="n"/>
      <c r="Z265" s="3934" t="n"/>
      <c r="AA265" s="3934" t="n"/>
      <c r="AB265" s="3934" t="n"/>
      <c r="AC265" s="3934" t="n"/>
      <c r="AD265" s="3934" t="n"/>
      <c r="AE265" s="3934" t="n"/>
      <c r="AF265" s="3934" t="n"/>
      <c r="AG265" s="3934" t="n"/>
      <c r="AH265" s="3934" t="n"/>
      <c r="AI265" s="3934" t="n"/>
      <c r="AJ265" s="3934" t="n"/>
      <c r="AK265" s="3934" t="n"/>
      <c r="AL265" s="3934" t="n"/>
      <c r="AM265" s="3934" t="n"/>
      <c r="AN265" s="3934" t="n"/>
      <c r="AO265" s="3934" t="n"/>
      <c r="AP265" s="3934" t="n"/>
      <c r="AQ265" s="3934" t="n"/>
      <c r="AR265" s="3934" t="n"/>
    </row>
    <row r="266">
      <c r="A266" s="3944" t="n"/>
      <c r="B266" s="3944" t="n"/>
      <c r="C266" s="3944" t="n"/>
      <c r="D266" s="3944" t="n"/>
      <c r="E266" s="3944" t="n"/>
      <c r="F266" s="3944" t="n"/>
      <c r="G266" s="3944" t="n"/>
      <c r="H266" s="3944" t="n"/>
      <c r="I266" s="3944" t="n"/>
      <c r="J266" s="3934" t="n"/>
      <c r="K266" s="3934" t="n"/>
      <c r="L266" s="3934" t="n"/>
      <c r="M266" s="3934" t="n"/>
      <c r="N266" s="3934" t="n"/>
      <c r="O266" s="3934" t="n"/>
      <c r="P266" s="3934" t="n"/>
      <c r="Q266" s="3934" t="n"/>
      <c r="R266" s="3934" t="n"/>
      <c r="S266" s="3934" t="n"/>
      <c r="T266" s="3934" t="n"/>
      <c r="U266" s="3934" t="n"/>
      <c r="V266" s="3934" t="n"/>
      <c r="W266" s="3934" t="n"/>
      <c r="X266" s="3934" t="n"/>
      <c r="Y266" s="3934" t="n"/>
      <c r="Z266" s="3934" t="n"/>
      <c r="AA266" s="3934" t="n"/>
      <c r="AB266" s="3934" t="n"/>
      <c r="AC266" s="3934" t="n"/>
      <c r="AD266" s="3934" t="n"/>
      <c r="AE266" s="3934" t="n"/>
      <c r="AF266" s="3934" t="n"/>
      <c r="AG266" s="3934" t="n"/>
      <c r="AH266" s="3934" t="n"/>
      <c r="AI266" s="3934" t="n"/>
      <c r="AJ266" s="3934" t="n"/>
      <c r="AK266" s="3934" t="n"/>
      <c r="AL266" s="3934" t="n"/>
      <c r="AM266" s="3934" t="n"/>
      <c r="AN266" s="3934" t="n"/>
      <c r="AO266" s="3934" t="n"/>
      <c r="AP266" s="3934" t="n"/>
      <c r="AQ266" s="3934" t="n"/>
      <c r="AR266" s="3934" t="n"/>
    </row>
    <row r="267">
      <c r="A267" s="3944" t="n"/>
      <c r="B267" s="3944" t="n"/>
      <c r="C267" s="3944" t="n"/>
      <c r="D267" s="3944" t="n"/>
      <c r="E267" s="3944" t="n"/>
      <c r="F267" s="3944" t="n"/>
      <c r="G267" s="3944" t="n"/>
      <c r="H267" s="3944" t="n"/>
      <c r="I267" s="3944" t="n"/>
      <c r="J267" s="3934" t="n"/>
      <c r="K267" s="3934" t="n"/>
      <c r="L267" s="3934" t="n"/>
      <c r="M267" s="3934" t="n"/>
      <c r="N267" s="3934" t="n"/>
      <c r="O267" s="3934" t="n"/>
      <c r="P267" s="3934" t="n"/>
      <c r="Q267" s="3934" t="n"/>
      <c r="R267" s="3934" t="n"/>
      <c r="S267" s="3934" t="n"/>
      <c r="T267" s="3934" t="n"/>
      <c r="U267" s="3934" t="n"/>
      <c r="V267" s="3934" t="n"/>
      <c r="W267" s="3934" t="n"/>
      <c r="X267" s="3934" t="n"/>
      <c r="Y267" s="3934" t="n"/>
      <c r="Z267" s="3934" t="n"/>
      <c r="AA267" s="3934" t="n"/>
      <c r="AB267" s="3934" t="n"/>
      <c r="AC267" s="3934" t="n"/>
      <c r="AD267" s="3934" t="n"/>
      <c r="AE267" s="3934" t="n"/>
      <c r="AF267" s="3934" t="n"/>
      <c r="AG267" s="3934" t="n"/>
      <c r="AH267" s="3934" t="n"/>
      <c r="AI267" s="3934" t="n"/>
      <c r="AJ267" s="3934" t="n"/>
      <c r="AK267" s="3934" t="n"/>
      <c r="AL267" s="3934" t="n"/>
      <c r="AM267" s="3934" t="n"/>
      <c r="AN267" s="3934" t="n"/>
      <c r="AO267" s="3934" t="n"/>
      <c r="AP267" s="3934" t="n"/>
      <c r="AQ267" s="3934" t="n"/>
      <c r="AR267" s="3934" t="n"/>
    </row>
    <row r="268">
      <c r="A268" s="3944" t="n"/>
      <c r="B268" s="3944" t="n"/>
      <c r="C268" s="3944" t="n"/>
      <c r="D268" s="3944" t="n"/>
      <c r="E268" s="3944" t="n"/>
      <c r="F268" s="3944" t="n"/>
      <c r="G268" s="3944" t="n"/>
      <c r="H268" s="3944" t="n"/>
      <c r="I268" s="3944" t="n"/>
      <c r="J268" s="3934" t="n"/>
      <c r="K268" s="3934" t="n"/>
      <c r="L268" s="3934" t="n"/>
      <c r="M268" s="3934" t="n"/>
      <c r="N268" s="3934" t="n"/>
      <c r="O268" s="3934" t="n"/>
      <c r="P268" s="3934" t="n"/>
      <c r="Q268" s="3934" t="n"/>
      <c r="R268" s="3934" t="n"/>
      <c r="S268" s="3934" t="n"/>
      <c r="T268" s="3934" t="n"/>
      <c r="U268" s="3934" t="n"/>
      <c r="V268" s="3934" t="n"/>
      <c r="W268" s="3934" t="n"/>
      <c r="X268" s="3934" t="n"/>
      <c r="Y268" s="3934" t="n"/>
      <c r="Z268" s="3934" t="n"/>
      <c r="AA268" s="3934" t="n"/>
      <c r="AB268" s="3934" t="n"/>
      <c r="AC268" s="3934" t="n"/>
      <c r="AD268" s="3934" t="n"/>
      <c r="AE268" s="3934" t="n"/>
      <c r="AF268" s="3934" t="n"/>
      <c r="AG268" s="3934" t="n"/>
      <c r="AH268" s="3934" t="n"/>
      <c r="AI268" s="3934" t="n"/>
      <c r="AJ268" s="3934" t="n"/>
      <c r="AK268" s="3934" t="n"/>
      <c r="AL268" s="3934" t="n"/>
      <c r="AM268" s="3934" t="n"/>
      <c r="AN268" s="3934" t="n"/>
      <c r="AO268" s="3934" t="n"/>
      <c r="AP268" s="3934" t="n"/>
      <c r="AQ268" s="3934" t="n"/>
      <c r="AR268" s="3934" t="n"/>
    </row>
    <row r="269">
      <c r="A269" s="3944" t="n"/>
      <c r="B269" s="3944" t="n"/>
      <c r="C269" s="3944" t="n"/>
      <c r="D269" s="3944" t="n"/>
      <c r="E269" s="3944" t="n"/>
      <c r="F269" s="3944" t="n"/>
      <c r="G269" s="3944" t="n"/>
      <c r="H269" s="3944" t="n"/>
      <c r="I269" s="3944" t="n"/>
      <c r="J269" s="3934" t="n"/>
      <c r="K269" s="3934" t="n"/>
      <c r="L269" s="3934" t="n"/>
      <c r="M269" s="3934" t="n"/>
      <c r="N269" s="3934" t="n"/>
      <c r="O269" s="3934" t="n"/>
      <c r="P269" s="3934" t="n"/>
      <c r="Q269" s="3934" t="n"/>
      <c r="R269" s="3934" t="n"/>
      <c r="S269" s="3934" t="n"/>
      <c r="T269" s="3934" t="n"/>
      <c r="U269" s="3934" t="n"/>
      <c r="V269" s="3934" t="n"/>
      <c r="W269" s="3934" t="n"/>
      <c r="X269" s="3934" t="n"/>
      <c r="Y269" s="3934" t="n"/>
      <c r="Z269" s="3934" t="n"/>
      <c r="AA269" s="3934" t="n"/>
      <c r="AB269" s="3934" t="n"/>
      <c r="AC269" s="3934" t="n"/>
      <c r="AD269" s="3934" t="n"/>
      <c r="AE269" s="3934" t="n"/>
      <c r="AF269" s="3934" t="n"/>
      <c r="AG269" s="3934" t="n"/>
      <c r="AH269" s="3934" t="n"/>
      <c r="AI269" s="3934" t="n"/>
      <c r="AJ269" s="3934" t="n"/>
      <c r="AK269" s="3934" t="n"/>
      <c r="AL269" s="3934" t="n"/>
      <c r="AM269" s="3934" t="n"/>
      <c r="AN269" s="3934" t="n"/>
      <c r="AO269" s="3934" t="n"/>
      <c r="AP269" s="3934" t="n"/>
      <c r="AQ269" s="3934" t="n"/>
      <c r="AR269" s="3934" t="n"/>
    </row>
    <row r="270">
      <c r="A270" s="3944" t="n"/>
      <c r="B270" s="3944" t="n"/>
      <c r="C270" s="3944" t="n"/>
      <c r="D270" s="3944" t="n"/>
      <c r="E270" s="3944" t="n"/>
      <c r="F270" s="3944" t="n"/>
      <c r="G270" s="3944" t="n"/>
      <c r="H270" s="3944" t="n"/>
      <c r="I270" s="3944" t="n"/>
      <c r="J270" s="3934" t="n"/>
      <c r="K270" s="3934" t="n"/>
      <c r="L270" s="3934" t="n"/>
      <c r="M270" s="3934" t="n"/>
      <c r="N270" s="3934" t="n"/>
      <c r="O270" s="3934" t="n"/>
      <c r="P270" s="3934" t="n"/>
      <c r="Q270" s="3934" t="n"/>
      <c r="R270" s="3934" t="n"/>
      <c r="S270" s="3934" t="n"/>
      <c r="T270" s="3934" t="n"/>
      <c r="U270" s="3934" t="n"/>
      <c r="V270" s="3934" t="n"/>
      <c r="W270" s="3934" t="n"/>
      <c r="X270" s="3934" t="n"/>
      <c r="Y270" s="3934" t="n"/>
      <c r="Z270" s="3934" t="n"/>
      <c r="AA270" s="3934" t="n"/>
      <c r="AB270" s="3934" t="n"/>
      <c r="AC270" s="3934" t="n"/>
      <c r="AD270" s="3934" t="n"/>
      <c r="AE270" s="3934" t="n"/>
      <c r="AF270" s="3934" t="n"/>
      <c r="AG270" s="3934" t="n"/>
      <c r="AH270" s="3934" t="n"/>
      <c r="AI270" s="3934" t="n"/>
      <c r="AJ270" s="3934" t="n"/>
      <c r="AK270" s="3934" t="n"/>
      <c r="AL270" s="3934" t="n"/>
      <c r="AM270" s="3934" t="n"/>
      <c r="AN270" s="3934" t="n"/>
      <c r="AO270" s="3934" t="n"/>
      <c r="AP270" s="3934" t="n"/>
      <c r="AQ270" s="3934" t="n"/>
      <c r="AR270" s="3934" t="n"/>
    </row>
    <row r="271">
      <c r="A271" s="3944" t="n"/>
      <c r="B271" s="3944" t="n"/>
      <c r="C271" s="3944" t="n"/>
      <c r="D271" s="3944" t="n"/>
      <c r="E271" s="3944" t="n"/>
      <c r="F271" s="3944" t="n"/>
      <c r="G271" s="3944" t="n"/>
      <c r="H271" s="3944" t="n"/>
      <c r="I271" s="3944" t="n"/>
      <c r="J271" s="3934" t="n"/>
      <c r="K271" s="3934" t="n"/>
      <c r="L271" s="3934" t="n"/>
      <c r="M271" s="3934" t="n"/>
      <c r="N271" s="3934" t="n"/>
      <c r="O271" s="3934" t="n"/>
      <c r="P271" s="3934" t="n"/>
      <c r="Q271" s="3934" t="n"/>
      <c r="R271" s="3934" t="n"/>
      <c r="S271" s="3934" t="n"/>
      <c r="T271" s="3934" t="n"/>
      <c r="U271" s="3934" t="n"/>
      <c r="V271" s="3934" t="n"/>
      <c r="W271" s="3934" t="n"/>
      <c r="X271" s="3934" t="n"/>
      <c r="Y271" s="3934" t="n"/>
      <c r="Z271" s="3934" t="n"/>
      <c r="AA271" s="3934" t="n"/>
      <c r="AB271" s="3934" t="n"/>
      <c r="AC271" s="3934" t="n"/>
      <c r="AD271" s="3934" t="n"/>
      <c r="AE271" s="3934" t="n"/>
      <c r="AF271" s="3934" t="n"/>
      <c r="AG271" s="3934" t="n"/>
      <c r="AH271" s="3934" t="n"/>
      <c r="AI271" s="3934" t="n"/>
      <c r="AJ271" s="3934" t="n"/>
      <c r="AK271" s="3934" t="n"/>
      <c r="AL271" s="3934" t="n"/>
      <c r="AM271" s="3934" t="n"/>
      <c r="AN271" s="3934" t="n"/>
      <c r="AO271" s="3934" t="n"/>
      <c r="AP271" s="3934" t="n"/>
      <c r="AQ271" s="3934" t="n"/>
      <c r="AR271" s="3934" t="n"/>
    </row>
    <row r="272">
      <c r="A272" s="3944" t="n"/>
      <c r="B272" s="3944" t="n"/>
      <c r="C272" s="3944" t="n"/>
      <c r="D272" s="3944" t="n"/>
      <c r="E272" s="3944" t="n"/>
      <c r="F272" s="3944" t="n"/>
      <c r="G272" s="3944" t="n"/>
      <c r="H272" s="3944" t="n"/>
      <c r="I272" s="3944" t="n"/>
      <c r="J272" s="3934" t="n"/>
      <c r="K272" s="3934" t="n"/>
      <c r="L272" s="3934" t="n"/>
      <c r="M272" s="3934" t="n"/>
      <c r="N272" s="3934" t="n"/>
      <c r="O272" s="3934" t="n"/>
      <c r="P272" s="3934" t="n"/>
      <c r="Q272" s="3934" t="n"/>
      <c r="R272" s="3934" t="n"/>
      <c r="S272" s="3934" t="n"/>
      <c r="T272" s="3934" t="n"/>
      <c r="U272" s="3934" t="n"/>
      <c r="V272" s="3934" t="n"/>
      <c r="W272" s="3934" t="n"/>
      <c r="X272" s="3934" t="n"/>
      <c r="Y272" s="3934" t="n"/>
      <c r="Z272" s="3934" t="n"/>
      <c r="AA272" s="3934" t="n"/>
      <c r="AB272" s="3934" t="n"/>
      <c r="AC272" s="3934" t="n"/>
      <c r="AD272" s="3934" t="n"/>
      <c r="AE272" s="3934" t="n"/>
      <c r="AF272" s="3934" t="n"/>
      <c r="AG272" s="3934" t="n"/>
      <c r="AH272" s="3934" t="n"/>
      <c r="AI272" s="3934" t="n"/>
      <c r="AJ272" s="3934" t="n"/>
      <c r="AK272" s="3934" t="n"/>
      <c r="AL272" s="3934" t="n"/>
      <c r="AM272" s="3934" t="n"/>
      <c r="AN272" s="3934" t="n"/>
      <c r="AO272" s="3934" t="n"/>
      <c r="AP272" s="3934" t="n"/>
      <c r="AQ272" s="3934" t="n"/>
      <c r="AR272" s="3934" t="n"/>
    </row>
    <row r="273">
      <c r="A273" s="3944" t="n"/>
      <c r="B273" s="3944" t="n"/>
      <c r="C273" s="3944" t="n"/>
      <c r="D273" s="3944" t="n"/>
      <c r="E273" s="3944" t="n"/>
      <c r="F273" s="3944" t="n"/>
      <c r="G273" s="3944" t="n"/>
      <c r="H273" s="3944" t="n"/>
      <c r="I273" s="3944" t="n"/>
      <c r="J273" s="3934" t="n"/>
      <c r="K273" s="3934" t="n"/>
      <c r="L273" s="3934" t="n"/>
      <c r="M273" s="3934" t="n"/>
      <c r="N273" s="3934" t="n"/>
      <c r="O273" s="3934" t="n"/>
      <c r="P273" s="3934" t="n"/>
      <c r="Q273" s="3934" t="n"/>
      <c r="R273" s="3934" t="n"/>
      <c r="S273" s="3934" t="n"/>
      <c r="T273" s="3934" t="n"/>
      <c r="U273" s="3934" t="n"/>
      <c r="V273" s="3934" t="n"/>
      <c r="W273" s="3934" t="n"/>
      <c r="X273" s="3934" t="n"/>
      <c r="Y273" s="3934" t="n"/>
      <c r="Z273" s="3934" t="n"/>
      <c r="AA273" s="3934" t="n"/>
      <c r="AB273" s="3934" t="n"/>
      <c r="AC273" s="3934" t="n"/>
      <c r="AD273" s="3934" t="n"/>
      <c r="AE273" s="3934" t="n"/>
      <c r="AF273" s="3934" t="n"/>
      <c r="AG273" s="3934" t="n"/>
      <c r="AH273" s="3934" t="n"/>
      <c r="AI273" s="3934" t="n"/>
      <c r="AJ273" s="3934" t="n"/>
      <c r="AK273" s="3934" t="n"/>
      <c r="AL273" s="3934" t="n"/>
      <c r="AM273" s="3934" t="n"/>
      <c r="AN273" s="3934" t="n"/>
      <c r="AO273" s="3934" t="n"/>
      <c r="AP273" s="3934" t="n"/>
      <c r="AQ273" s="3934" t="n"/>
      <c r="AR273" s="3934" t="n"/>
    </row>
    <row r="274">
      <c r="A274" s="3944" t="n"/>
      <c r="B274" s="3944" t="n"/>
      <c r="C274" s="3944" t="n"/>
      <c r="D274" s="3944" t="n"/>
      <c r="E274" s="3944" t="n"/>
      <c r="F274" s="3944" t="n"/>
      <c r="G274" s="3944" t="n"/>
      <c r="H274" s="3944" t="n"/>
      <c r="I274" s="3944" t="n"/>
      <c r="J274" s="3934" t="n"/>
      <c r="K274" s="3934" t="n"/>
      <c r="L274" s="3934" t="n"/>
      <c r="M274" s="3934" t="n"/>
      <c r="N274" s="3934" t="n"/>
      <c r="O274" s="3934" t="n"/>
      <c r="P274" s="3934" t="n"/>
      <c r="Q274" s="3934" t="n"/>
      <c r="R274" s="3934" t="n"/>
      <c r="S274" s="3934" t="n"/>
      <c r="T274" s="3934" t="n"/>
      <c r="U274" s="3934" t="n"/>
      <c r="V274" s="3934" t="n"/>
      <c r="W274" s="3934" t="n"/>
      <c r="X274" s="3934" t="n"/>
      <c r="Y274" s="3934" t="n"/>
      <c r="Z274" s="3934" t="n"/>
      <c r="AA274" s="3934" t="n"/>
      <c r="AB274" s="3934" t="n"/>
      <c r="AC274" s="3934" t="n"/>
      <c r="AD274" s="3934" t="n"/>
      <c r="AE274" s="3934" t="n"/>
      <c r="AF274" s="3934" t="n"/>
      <c r="AG274" s="3934" t="n"/>
      <c r="AH274" s="3934" t="n"/>
      <c r="AI274" s="3934" t="n"/>
      <c r="AJ274" s="3934" t="n"/>
      <c r="AK274" s="3934" t="n"/>
      <c r="AL274" s="3934" t="n"/>
      <c r="AM274" s="3934" t="n"/>
      <c r="AN274" s="3934" t="n"/>
      <c r="AO274" s="3934" t="n"/>
      <c r="AP274" s="3934" t="n"/>
      <c r="AQ274" s="3934" t="n"/>
      <c r="AR274" s="3934" t="n"/>
    </row>
    <row r="275">
      <c r="A275" s="3944" t="n"/>
      <c r="B275" s="3944" t="n"/>
      <c r="C275" s="3944" t="n"/>
      <c r="D275" s="3944" t="n"/>
      <c r="E275" s="3944" t="n"/>
      <c r="F275" s="3944" t="n"/>
      <c r="G275" s="3944" t="n"/>
      <c r="H275" s="3944" t="n"/>
      <c r="I275" s="3944" t="n"/>
      <c r="J275" s="3934" t="n"/>
      <c r="K275" s="3934" t="n"/>
      <c r="L275" s="3934" t="n"/>
      <c r="M275" s="3934" t="n"/>
      <c r="N275" s="3934" t="n"/>
      <c r="O275" s="3934" t="n"/>
      <c r="P275" s="3934" t="n"/>
      <c r="Q275" s="3934" t="n"/>
      <c r="R275" s="3934" t="n"/>
      <c r="S275" s="3934" t="n"/>
      <c r="T275" s="3934" t="n"/>
      <c r="U275" s="3934" t="n"/>
      <c r="V275" s="3934" t="n"/>
      <c r="W275" s="3934" t="n"/>
      <c r="X275" s="3934" t="n"/>
      <c r="Y275" s="3934" t="n"/>
      <c r="Z275" s="3934" t="n"/>
      <c r="AA275" s="3934" t="n"/>
      <c r="AB275" s="3934" t="n"/>
      <c r="AC275" s="3934" t="n"/>
      <c r="AD275" s="3934" t="n"/>
      <c r="AE275" s="3934" t="n"/>
      <c r="AF275" s="3934" t="n"/>
      <c r="AG275" s="3934" t="n"/>
      <c r="AH275" s="3934" t="n"/>
      <c r="AI275" s="3934" t="n"/>
      <c r="AJ275" s="3934" t="n"/>
      <c r="AK275" s="3934" t="n"/>
      <c r="AL275" s="3934" t="n"/>
      <c r="AM275" s="3934" t="n"/>
      <c r="AN275" s="3934" t="n"/>
      <c r="AO275" s="3934" t="n"/>
      <c r="AP275" s="3934" t="n"/>
      <c r="AQ275" s="3934" t="n"/>
      <c r="AR275" s="3934" t="n"/>
    </row>
    <row r="276">
      <c r="A276" s="3944" t="n"/>
      <c r="B276" s="3944" t="n"/>
      <c r="C276" s="3944" t="n"/>
      <c r="D276" s="3944" t="n"/>
      <c r="E276" s="3944" t="n"/>
      <c r="F276" s="3944" t="n"/>
      <c r="G276" s="3944" t="n"/>
      <c r="H276" s="3944" t="n"/>
      <c r="I276" s="3944" t="n"/>
      <c r="J276" s="3934" t="n"/>
      <c r="K276" s="3934" t="n"/>
      <c r="L276" s="3934" t="n"/>
      <c r="M276" s="3934" t="n"/>
      <c r="N276" s="3934" t="n"/>
      <c r="O276" s="3934" t="n"/>
      <c r="P276" s="3934" t="n"/>
      <c r="Q276" s="3934" t="n"/>
      <c r="R276" s="3934" t="n"/>
      <c r="S276" s="3934" t="n"/>
      <c r="T276" s="3934" t="n"/>
      <c r="U276" s="3934" t="n"/>
      <c r="V276" s="3934" t="n"/>
      <c r="W276" s="3934" t="n"/>
      <c r="X276" s="3934" t="n"/>
      <c r="Y276" s="3934" t="n"/>
      <c r="Z276" s="3934" t="n"/>
      <c r="AA276" s="3934" t="n"/>
      <c r="AB276" s="3934" t="n"/>
      <c r="AC276" s="3934" t="n"/>
      <c r="AD276" s="3934" t="n"/>
      <c r="AE276" s="3934" t="n"/>
      <c r="AF276" s="3934" t="n"/>
      <c r="AG276" s="3934" t="n"/>
      <c r="AH276" s="3934" t="n"/>
      <c r="AI276" s="3934" t="n"/>
      <c r="AJ276" s="3934" t="n"/>
      <c r="AK276" s="3934" t="n"/>
      <c r="AL276" s="3934" t="n"/>
      <c r="AM276" s="3934" t="n"/>
      <c r="AN276" s="3934" t="n"/>
      <c r="AO276" s="3934" t="n"/>
      <c r="AP276" s="3934" t="n"/>
      <c r="AQ276" s="3934" t="n"/>
      <c r="AR276" s="3934" t="n"/>
    </row>
    <row r="277">
      <c r="A277" s="3944" t="n"/>
      <c r="B277" s="3944" t="n"/>
      <c r="C277" s="3944" t="n"/>
      <c r="D277" s="3944" t="n"/>
      <c r="E277" s="3944" t="n"/>
      <c r="F277" s="3944" t="n"/>
      <c r="G277" s="3944" t="n"/>
      <c r="H277" s="3944" t="n"/>
      <c r="I277" s="3944" t="n"/>
      <c r="J277" s="3934" t="n"/>
      <c r="K277" s="3934" t="n"/>
      <c r="L277" s="3934" t="n"/>
      <c r="M277" s="3934" t="n"/>
      <c r="N277" s="3934" t="n"/>
      <c r="O277" s="3934" t="n"/>
      <c r="P277" s="3934" t="n"/>
      <c r="Q277" s="3934" t="n"/>
      <c r="R277" s="3934" t="n"/>
      <c r="S277" s="3934" t="n"/>
      <c r="T277" s="3934" t="n"/>
      <c r="U277" s="3934" t="n"/>
      <c r="V277" s="3934" t="n"/>
      <c r="W277" s="3934" t="n"/>
      <c r="X277" s="3934" t="n"/>
      <c r="Y277" s="3934" t="n"/>
      <c r="Z277" s="3934" t="n"/>
      <c r="AA277" s="3934" t="n"/>
      <c r="AB277" s="3934" t="n"/>
      <c r="AC277" s="3934" t="n"/>
      <c r="AD277" s="3934" t="n"/>
      <c r="AE277" s="3934" t="n"/>
      <c r="AF277" s="3934" t="n"/>
      <c r="AG277" s="3934" t="n"/>
      <c r="AH277" s="3934" t="n"/>
      <c r="AI277" s="3934" t="n"/>
      <c r="AJ277" s="3934" t="n"/>
      <c r="AK277" s="3934" t="n"/>
      <c r="AL277" s="3934" t="n"/>
      <c r="AM277" s="3934" t="n"/>
      <c r="AN277" s="3934" t="n"/>
      <c r="AO277" s="3934" t="n"/>
      <c r="AP277" s="3934" t="n"/>
      <c r="AQ277" s="3934" t="n"/>
      <c r="AR277" s="3934" t="n"/>
    </row>
    <row r="278">
      <c r="A278" s="3944" t="n"/>
      <c r="B278" s="3944" t="n"/>
      <c r="C278" s="3944" t="n"/>
      <c r="D278" s="3944" t="n"/>
      <c r="E278" s="3944" t="n"/>
      <c r="F278" s="3944" t="n"/>
      <c r="G278" s="3944" t="n"/>
      <c r="H278" s="3944" t="n"/>
      <c r="I278" s="3944" t="n"/>
      <c r="J278" s="3934" t="n"/>
      <c r="K278" s="3934" t="n"/>
      <c r="L278" s="3934" t="n"/>
      <c r="M278" s="3934" t="n"/>
      <c r="N278" s="3934" t="n"/>
      <c r="O278" s="3934" t="n"/>
      <c r="P278" s="3934" t="n"/>
      <c r="Q278" s="3934" t="n"/>
      <c r="R278" s="3934" t="n"/>
      <c r="S278" s="3934" t="n"/>
      <c r="T278" s="3934" t="n"/>
      <c r="U278" s="3934" t="n"/>
      <c r="V278" s="3934" t="n"/>
      <c r="W278" s="3934" t="n"/>
      <c r="X278" s="3934" t="n"/>
      <c r="Y278" s="3934" t="n"/>
      <c r="Z278" s="3934" t="n"/>
      <c r="AA278" s="3934" t="n"/>
      <c r="AB278" s="3934" t="n"/>
      <c r="AC278" s="3934" t="n"/>
      <c r="AD278" s="3934" t="n"/>
      <c r="AE278" s="3934" t="n"/>
      <c r="AF278" s="3934" t="n"/>
      <c r="AG278" s="3934" t="n"/>
      <c r="AH278" s="3934" t="n"/>
      <c r="AI278" s="3934" t="n"/>
      <c r="AJ278" s="3934" t="n"/>
      <c r="AK278" s="3934" t="n"/>
      <c r="AL278" s="3934" t="n"/>
      <c r="AM278" s="3934" t="n"/>
      <c r="AN278" s="3934" t="n"/>
      <c r="AO278" s="3934" t="n"/>
      <c r="AP278" s="3934" t="n"/>
      <c r="AQ278" s="3934" t="n"/>
      <c r="AR278" s="3934" t="n"/>
    </row>
    <row r="279">
      <c r="A279" s="3944" t="n"/>
      <c r="B279" s="3944" t="n"/>
      <c r="C279" s="3944" t="n"/>
      <c r="D279" s="3944" t="n"/>
      <c r="E279" s="3944" t="n"/>
      <c r="F279" s="3944" t="n"/>
      <c r="G279" s="3944" t="n"/>
      <c r="H279" s="3944" t="n"/>
      <c r="I279" s="3944" t="n"/>
      <c r="J279" s="3934" t="n"/>
      <c r="K279" s="3934" t="n"/>
      <c r="L279" s="3934" t="n"/>
      <c r="M279" s="3934" t="n"/>
      <c r="N279" s="3934" t="n"/>
      <c r="O279" s="3934" t="n"/>
      <c r="P279" s="3934" t="n"/>
      <c r="Q279" s="3934" t="n"/>
      <c r="R279" s="3934" t="n"/>
      <c r="S279" s="3934" t="n"/>
      <c r="T279" s="3934" t="n"/>
      <c r="U279" s="3934" t="n"/>
      <c r="V279" s="3934" t="n"/>
      <c r="W279" s="3934" t="n"/>
      <c r="X279" s="3934" t="n"/>
      <c r="Y279" s="3934" t="n"/>
      <c r="Z279" s="3934" t="n"/>
      <c r="AA279" s="3934" t="n"/>
      <c r="AB279" s="3934" t="n"/>
      <c r="AC279" s="3934" t="n"/>
      <c r="AD279" s="3934" t="n"/>
      <c r="AE279" s="3934" t="n"/>
      <c r="AF279" s="3934" t="n"/>
      <c r="AG279" s="3934" t="n"/>
      <c r="AH279" s="3934" t="n"/>
      <c r="AI279" s="3934" t="n"/>
      <c r="AJ279" s="3934" t="n"/>
      <c r="AK279" s="3934" t="n"/>
      <c r="AL279" s="3934" t="n"/>
      <c r="AM279" s="3934" t="n"/>
      <c r="AN279" s="3934" t="n"/>
      <c r="AO279" s="3934" t="n"/>
      <c r="AP279" s="3934" t="n"/>
      <c r="AQ279" s="3934" t="n"/>
      <c r="AR279" s="3934" t="n"/>
    </row>
    <row r="280">
      <c r="A280" s="3944" t="n"/>
      <c r="B280" s="3944" t="n"/>
      <c r="C280" s="3944" t="n"/>
      <c r="D280" s="3944" t="n"/>
      <c r="E280" s="3944" t="n"/>
      <c r="F280" s="3944" t="n"/>
      <c r="G280" s="3944" t="n"/>
      <c r="H280" s="3944" t="n"/>
      <c r="I280" s="3944" t="n"/>
      <c r="J280" s="3934" t="n"/>
      <c r="K280" s="3934" t="n"/>
      <c r="L280" s="3934" t="n"/>
      <c r="M280" s="3934" t="n"/>
      <c r="N280" s="3934" t="n"/>
      <c r="O280" s="3934" t="n"/>
      <c r="P280" s="3934" t="n"/>
      <c r="Q280" s="3934" t="n"/>
      <c r="R280" s="3934" t="n"/>
      <c r="S280" s="3934" t="n"/>
      <c r="T280" s="3934" t="n"/>
      <c r="U280" s="3934" t="n"/>
      <c r="V280" s="3934" t="n"/>
      <c r="W280" s="3934" t="n"/>
      <c r="X280" s="3934" t="n"/>
      <c r="Y280" s="3934" t="n"/>
      <c r="Z280" s="3934" t="n"/>
      <c r="AA280" s="3934" t="n"/>
      <c r="AB280" s="3934" t="n"/>
      <c r="AC280" s="3934" t="n"/>
      <c r="AD280" s="3934" t="n"/>
      <c r="AE280" s="3934" t="n"/>
      <c r="AF280" s="3934" t="n"/>
      <c r="AG280" s="3934" t="n"/>
      <c r="AH280" s="3934" t="n"/>
      <c r="AI280" s="3934" t="n"/>
      <c r="AJ280" s="3934" t="n"/>
      <c r="AK280" s="3934" t="n"/>
      <c r="AL280" s="3934" t="n"/>
      <c r="AM280" s="3934" t="n"/>
      <c r="AN280" s="3934" t="n"/>
      <c r="AO280" s="3934" t="n"/>
      <c r="AP280" s="3934" t="n"/>
      <c r="AQ280" s="3934" t="n"/>
      <c r="AR280" s="3934" t="n"/>
    </row>
    <row r="281">
      <c r="A281" s="3944" t="n"/>
      <c r="B281" s="3944" t="n"/>
      <c r="C281" s="3944" t="n"/>
      <c r="D281" s="3944" t="n"/>
      <c r="E281" s="3944" t="n"/>
      <c r="F281" s="3944" t="n"/>
      <c r="G281" s="3944" t="n"/>
      <c r="H281" s="3944" t="n"/>
      <c r="I281" s="3944" t="n"/>
      <c r="J281" s="3934" t="n"/>
      <c r="K281" s="3934" t="n"/>
      <c r="L281" s="3934" t="n"/>
      <c r="M281" s="3934" t="n"/>
      <c r="N281" s="3934" t="n"/>
      <c r="O281" s="3934" t="n"/>
      <c r="P281" s="3934" t="n"/>
      <c r="Q281" s="3934" t="n"/>
      <c r="R281" s="3934" t="n"/>
      <c r="S281" s="3934" t="n"/>
      <c r="T281" s="3934" t="n"/>
      <c r="U281" s="3934" t="n"/>
      <c r="V281" s="3934" t="n"/>
      <c r="W281" s="3934" t="n"/>
      <c r="X281" s="3934" t="n"/>
      <c r="Y281" s="3934" t="n"/>
      <c r="Z281" s="3934" t="n"/>
      <c r="AA281" s="3934" t="n"/>
      <c r="AB281" s="3934" t="n"/>
      <c r="AC281" s="3934" t="n"/>
      <c r="AD281" s="3934" t="n"/>
      <c r="AE281" s="3934" t="n"/>
      <c r="AF281" s="3934" t="n"/>
      <c r="AG281" s="3934" t="n"/>
      <c r="AH281" s="3934" t="n"/>
      <c r="AI281" s="3934" t="n"/>
      <c r="AJ281" s="3934" t="n"/>
      <c r="AK281" s="3934" t="n"/>
      <c r="AL281" s="3934" t="n"/>
      <c r="AM281" s="3934" t="n"/>
      <c r="AN281" s="3934" t="n"/>
      <c r="AO281" s="3934" t="n"/>
      <c r="AP281" s="3934" t="n"/>
      <c r="AQ281" s="3934" t="n"/>
      <c r="AR281" s="3934" t="n"/>
    </row>
    <row r="282">
      <c r="A282" s="3944" t="n"/>
      <c r="B282" s="3944" t="n"/>
      <c r="C282" s="3944" t="n"/>
      <c r="D282" s="3944" t="n"/>
      <c r="E282" s="3944" t="n"/>
      <c r="F282" s="3944" t="n"/>
      <c r="G282" s="3944" t="n"/>
      <c r="H282" s="3944" t="n"/>
      <c r="I282" s="3944" t="n"/>
      <c r="J282" s="3934" t="n"/>
      <c r="K282" s="3934" t="n"/>
      <c r="L282" s="3934" t="n"/>
      <c r="M282" s="3934" t="n"/>
      <c r="N282" s="3934" t="n"/>
      <c r="O282" s="3934" t="n"/>
      <c r="P282" s="3934" t="n"/>
      <c r="Q282" s="3934" t="n"/>
      <c r="R282" s="3934" t="n"/>
      <c r="S282" s="3934" t="n"/>
      <c r="T282" s="3934" t="n"/>
      <c r="U282" s="3934" t="n"/>
      <c r="V282" s="3934" t="n"/>
      <c r="W282" s="3934" t="n"/>
      <c r="X282" s="3934" t="n"/>
      <c r="Y282" s="3934" t="n"/>
      <c r="Z282" s="3934" t="n"/>
      <c r="AA282" s="3934" t="n"/>
      <c r="AB282" s="3934" t="n"/>
      <c r="AC282" s="3934" t="n"/>
      <c r="AD282" s="3934" t="n"/>
      <c r="AE282" s="3934" t="n"/>
      <c r="AF282" s="3934" t="n"/>
      <c r="AG282" s="3934" t="n"/>
      <c r="AH282" s="3934" t="n"/>
      <c r="AI282" s="3934" t="n"/>
      <c r="AJ282" s="3934" t="n"/>
      <c r="AK282" s="3934" t="n"/>
      <c r="AL282" s="3934" t="n"/>
      <c r="AM282" s="3934" t="n"/>
      <c r="AN282" s="3934" t="n"/>
      <c r="AO282" s="3934" t="n"/>
      <c r="AP282" s="3934" t="n"/>
      <c r="AQ282" s="3934" t="n"/>
      <c r="AR282" s="3934" t="n"/>
    </row>
    <row r="283">
      <c r="A283" s="3944" t="n"/>
      <c r="B283" s="3944" t="n"/>
      <c r="C283" s="3944" t="n"/>
      <c r="D283" s="3944" t="n"/>
      <c r="E283" s="3944" t="n"/>
      <c r="F283" s="3944" t="n"/>
      <c r="G283" s="3944" t="n"/>
      <c r="H283" s="3944" t="n"/>
      <c r="I283" s="3944" t="n"/>
      <c r="J283" s="3934" t="n"/>
      <c r="K283" s="3934" t="n"/>
      <c r="L283" s="3934" t="n"/>
      <c r="M283" s="3934" t="n"/>
      <c r="N283" s="3934" t="n"/>
      <c r="O283" s="3934" t="n"/>
      <c r="P283" s="3934" t="n"/>
      <c r="Q283" s="3934" t="n"/>
      <c r="R283" s="3934" t="n"/>
      <c r="S283" s="3934" t="n"/>
      <c r="T283" s="3934" t="n"/>
      <c r="U283" s="3934" t="n"/>
      <c r="V283" s="3934" t="n"/>
      <c r="W283" s="3934" t="n"/>
      <c r="X283" s="3934" t="n"/>
      <c r="Y283" s="3934" t="n"/>
      <c r="Z283" s="3934" t="n"/>
      <c r="AA283" s="3934" t="n"/>
      <c r="AB283" s="3934" t="n"/>
      <c r="AC283" s="3934" t="n"/>
      <c r="AD283" s="3934" t="n"/>
      <c r="AE283" s="3934" t="n"/>
      <c r="AF283" s="3934" t="n"/>
      <c r="AG283" s="3934" t="n"/>
      <c r="AH283" s="3934" t="n"/>
      <c r="AI283" s="3934" t="n"/>
      <c r="AJ283" s="3934" t="n"/>
      <c r="AK283" s="3934" t="n"/>
      <c r="AL283" s="3934" t="n"/>
      <c r="AM283" s="3934" t="n"/>
      <c r="AN283" s="3934" t="n"/>
      <c r="AO283" s="3934" t="n"/>
      <c r="AP283" s="3934" t="n"/>
      <c r="AQ283" s="3934" t="n"/>
      <c r="AR283" s="3934" t="n"/>
    </row>
    <row r="284">
      <c r="A284" s="3944" t="n"/>
      <c r="B284" s="3944" t="n"/>
      <c r="C284" s="3944" t="n"/>
      <c r="D284" s="3944" t="n"/>
      <c r="E284" s="3944" t="n"/>
      <c r="F284" s="3944" t="n"/>
      <c r="G284" s="3944" t="n"/>
      <c r="H284" s="3944" t="n"/>
      <c r="I284" s="3944" t="n"/>
      <c r="J284" s="3934" t="n"/>
      <c r="K284" s="3934" t="n"/>
      <c r="L284" s="3934" t="n"/>
      <c r="M284" s="3934" t="n"/>
      <c r="N284" s="3934" t="n"/>
      <c r="O284" s="3934" t="n"/>
      <c r="P284" s="3934" t="n"/>
      <c r="Q284" s="3934" t="n"/>
      <c r="R284" s="3934" t="n"/>
      <c r="S284" s="3934" t="n"/>
      <c r="T284" s="3934" t="n"/>
      <c r="U284" s="3934" t="n"/>
      <c r="V284" s="3934" t="n"/>
      <c r="W284" s="3934" t="n"/>
      <c r="X284" s="3934" t="n"/>
      <c r="Y284" s="3934" t="n"/>
      <c r="Z284" s="3934" t="n"/>
      <c r="AA284" s="3934" t="n"/>
      <c r="AB284" s="3934" t="n"/>
      <c r="AC284" s="3934" t="n"/>
      <c r="AD284" s="3934" t="n"/>
      <c r="AE284" s="3934" t="n"/>
      <c r="AF284" s="3934" t="n"/>
      <c r="AG284" s="3934" t="n"/>
      <c r="AH284" s="3934" t="n"/>
      <c r="AI284" s="3934" t="n"/>
      <c r="AJ284" s="3934" t="n"/>
      <c r="AK284" s="3934" t="n"/>
      <c r="AL284" s="3934" t="n"/>
      <c r="AM284" s="3934" t="n"/>
      <c r="AN284" s="3934" t="n"/>
      <c r="AO284" s="3934" t="n"/>
      <c r="AP284" s="3934" t="n"/>
      <c r="AQ284" s="3934" t="n"/>
      <c r="AR284" s="3934" t="n"/>
    </row>
    <row r="285">
      <c r="A285" s="3944" t="n"/>
      <c r="B285" s="3944" t="n"/>
      <c r="C285" s="3944" t="n"/>
      <c r="D285" s="3944" t="n"/>
      <c r="E285" s="3944" t="n"/>
      <c r="F285" s="3944" t="n"/>
      <c r="G285" s="3944" t="n"/>
      <c r="H285" s="3944" t="n"/>
      <c r="I285" s="3944" t="n"/>
      <c r="J285" s="3934" t="n"/>
      <c r="K285" s="3934" t="n"/>
      <c r="L285" s="3934" t="n"/>
      <c r="M285" s="3934" t="n"/>
      <c r="N285" s="3934" t="n"/>
      <c r="O285" s="3934" t="n"/>
      <c r="P285" s="3934" t="n"/>
      <c r="Q285" s="3934" t="n"/>
      <c r="R285" s="3934" t="n"/>
      <c r="S285" s="3934" t="n"/>
      <c r="T285" s="3934" t="n"/>
      <c r="U285" s="3934" t="n"/>
      <c r="V285" s="3934" t="n"/>
      <c r="W285" s="3934" t="n"/>
      <c r="X285" s="3934" t="n"/>
      <c r="Y285" s="3934" t="n"/>
      <c r="Z285" s="3934" t="n"/>
      <c r="AA285" s="3934" t="n"/>
      <c r="AB285" s="3934" t="n"/>
      <c r="AC285" s="3934" t="n"/>
      <c r="AD285" s="3934" t="n"/>
      <c r="AE285" s="3934" t="n"/>
      <c r="AF285" s="3934" t="n"/>
      <c r="AG285" s="3934" t="n"/>
      <c r="AH285" s="3934" t="n"/>
      <c r="AI285" s="3934" t="n"/>
      <c r="AJ285" s="3934" t="n"/>
      <c r="AK285" s="3934" t="n"/>
      <c r="AL285" s="3934" t="n"/>
      <c r="AM285" s="3934" t="n"/>
      <c r="AN285" s="3934" t="n"/>
      <c r="AO285" s="3934" t="n"/>
      <c r="AP285" s="3934" t="n"/>
      <c r="AQ285" s="3934" t="n"/>
      <c r="AR285" s="3934" t="n"/>
    </row>
    <row r="286">
      <c r="A286" s="3944" t="n"/>
      <c r="B286" s="3944" t="n"/>
      <c r="C286" s="3944" t="n"/>
      <c r="D286" s="3944" t="n"/>
      <c r="E286" s="3944" t="n"/>
      <c r="F286" s="3944" t="n"/>
      <c r="G286" s="3944" t="n"/>
      <c r="H286" s="3944" t="n"/>
      <c r="I286" s="3944" t="n"/>
      <c r="J286" s="3934" t="n"/>
      <c r="K286" s="3934" t="n"/>
      <c r="L286" s="3934" t="n"/>
      <c r="M286" s="3934" t="n"/>
      <c r="N286" s="3934" t="n"/>
      <c r="O286" s="3934" t="n"/>
      <c r="P286" s="3934" t="n"/>
      <c r="Q286" s="3934" t="n"/>
      <c r="R286" s="3934" t="n"/>
      <c r="S286" s="3934" t="n"/>
      <c r="T286" s="3934" t="n"/>
      <c r="U286" s="3934" t="n"/>
      <c r="V286" s="3934" t="n"/>
      <c r="W286" s="3934" t="n"/>
      <c r="X286" s="3934" t="n"/>
      <c r="Y286" s="3934" t="n"/>
      <c r="Z286" s="3934" t="n"/>
      <c r="AA286" s="3934" t="n"/>
      <c r="AB286" s="3934" t="n"/>
      <c r="AC286" s="3934" t="n"/>
      <c r="AD286" s="3934" t="n"/>
      <c r="AE286" s="3934" t="n"/>
      <c r="AF286" s="3934" t="n"/>
      <c r="AG286" s="3934" t="n"/>
      <c r="AH286" s="3934" t="n"/>
      <c r="AI286" s="3934" t="n"/>
      <c r="AJ286" s="3934" t="n"/>
      <c r="AK286" s="3934" t="n"/>
      <c r="AL286" s="3934" t="n"/>
      <c r="AM286" s="3934" t="n"/>
      <c r="AN286" s="3934" t="n"/>
      <c r="AO286" s="3934" t="n"/>
      <c r="AP286" s="3934" t="n"/>
      <c r="AQ286" s="3934" t="n"/>
      <c r="AR286" s="3934" t="n"/>
    </row>
    <row r="287">
      <c r="A287" s="3944" t="n"/>
      <c r="B287" s="3944" t="n"/>
      <c r="C287" s="3944" t="n"/>
      <c r="D287" s="3944" t="n"/>
      <c r="E287" s="3944" t="n"/>
      <c r="F287" s="3944" t="n"/>
      <c r="G287" s="3944" t="n"/>
      <c r="H287" s="3944" t="n"/>
      <c r="I287" s="3944" t="n"/>
      <c r="J287" s="3934" t="n"/>
      <c r="K287" s="3934" t="n"/>
      <c r="L287" s="3934" t="n"/>
      <c r="M287" s="3934" t="n"/>
      <c r="N287" s="3934" t="n"/>
      <c r="O287" s="3934" t="n"/>
      <c r="P287" s="3934" t="n"/>
      <c r="Q287" s="3934" t="n"/>
      <c r="R287" s="3934" t="n"/>
      <c r="S287" s="3934" t="n"/>
      <c r="T287" s="3934" t="n"/>
      <c r="U287" s="3934" t="n"/>
      <c r="V287" s="3934" t="n"/>
      <c r="W287" s="3934" t="n"/>
      <c r="X287" s="3934" t="n"/>
      <c r="Y287" s="3934" t="n"/>
      <c r="Z287" s="3934" t="n"/>
      <c r="AA287" s="3934" t="n"/>
      <c r="AB287" s="3934" t="n"/>
      <c r="AC287" s="3934" t="n"/>
      <c r="AD287" s="3934" t="n"/>
      <c r="AE287" s="3934" t="n"/>
      <c r="AF287" s="3934" t="n"/>
      <c r="AG287" s="3934" t="n"/>
      <c r="AH287" s="3934" t="n"/>
      <c r="AI287" s="3934" t="n"/>
      <c r="AJ287" s="3934" t="n"/>
      <c r="AK287" s="3934" t="n"/>
      <c r="AL287" s="3934" t="n"/>
      <c r="AM287" s="3934" t="n"/>
      <c r="AN287" s="3934" t="n"/>
      <c r="AO287" s="3934" t="n"/>
      <c r="AP287" s="3934" t="n"/>
      <c r="AQ287" s="3934" t="n"/>
      <c r="AR287" s="3934" t="n"/>
    </row>
    <row r="288">
      <c r="A288" s="3944" t="n"/>
      <c r="B288" s="3944" t="n"/>
      <c r="C288" s="3944" t="n"/>
      <c r="D288" s="3944" t="n"/>
      <c r="E288" s="3944" t="n"/>
      <c r="F288" s="3944" t="n"/>
      <c r="G288" s="3944" t="n"/>
      <c r="H288" s="3944" t="n"/>
      <c r="I288" s="3944" t="n"/>
      <c r="J288" s="3934" t="n"/>
      <c r="K288" s="3934" t="n"/>
      <c r="L288" s="3934" t="n"/>
      <c r="M288" s="3934" t="n"/>
      <c r="N288" s="3934" t="n"/>
      <c r="O288" s="3934" t="n"/>
      <c r="P288" s="3934" t="n"/>
      <c r="Q288" s="3934" t="n"/>
      <c r="R288" s="3934" t="n"/>
      <c r="S288" s="3934" t="n"/>
      <c r="T288" s="3934" t="n"/>
      <c r="U288" s="3934" t="n"/>
      <c r="V288" s="3934" t="n"/>
      <c r="W288" s="3934" t="n"/>
      <c r="X288" s="3934" t="n"/>
      <c r="Y288" s="3934" t="n"/>
      <c r="Z288" s="3934" t="n"/>
      <c r="AA288" s="3934" t="n"/>
      <c r="AB288" s="3934" t="n"/>
      <c r="AC288" s="3934" t="n"/>
      <c r="AD288" s="3934" t="n"/>
      <c r="AE288" s="3934" t="n"/>
      <c r="AF288" s="3934" t="n"/>
      <c r="AG288" s="3934" t="n"/>
      <c r="AH288" s="3934" t="n"/>
      <c r="AI288" s="3934" t="n"/>
      <c r="AJ288" s="3934" t="n"/>
      <c r="AK288" s="3934" t="n"/>
      <c r="AL288" s="3934" t="n"/>
      <c r="AM288" s="3934" t="n"/>
      <c r="AN288" s="3934" t="n"/>
      <c r="AO288" s="3934" t="n"/>
      <c r="AP288" s="3934" t="n"/>
      <c r="AQ288" s="3934" t="n"/>
      <c r="AR288" s="3934" t="n"/>
    </row>
    <row r="289">
      <c r="A289" s="3944" t="n"/>
      <c r="B289" s="3944" t="n"/>
      <c r="C289" s="3944" t="n"/>
      <c r="D289" s="3944" t="n"/>
      <c r="E289" s="3944" t="n"/>
      <c r="F289" s="3944" t="n"/>
      <c r="G289" s="3944" t="n"/>
      <c r="H289" s="3944" t="n"/>
      <c r="I289" s="3944" t="n"/>
      <c r="J289" s="3934" t="n"/>
      <c r="K289" s="3934" t="n"/>
      <c r="L289" s="3934" t="n"/>
      <c r="M289" s="3934" t="n"/>
      <c r="N289" s="3934" t="n"/>
      <c r="O289" s="3934" t="n"/>
      <c r="P289" s="3934" t="n"/>
      <c r="Q289" s="3934" t="n"/>
      <c r="R289" s="3934" t="n"/>
      <c r="S289" s="3934" t="n"/>
      <c r="T289" s="3934" t="n"/>
      <c r="U289" s="3934" t="n"/>
      <c r="V289" s="3934" t="n"/>
      <c r="W289" s="3934" t="n"/>
      <c r="X289" s="3934" t="n"/>
      <c r="Y289" s="3934" t="n"/>
      <c r="Z289" s="3934" t="n"/>
      <c r="AA289" s="3934" t="n"/>
      <c r="AB289" s="3934" t="n"/>
      <c r="AC289" s="3934" t="n"/>
      <c r="AD289" s="3934" t="n"/>
      <c r="AE289" s="3934" t="n"/>
      <c r="AF289" s="3934" t="n"/>
      <c r="AG289" s="3934" t="n"/>
      <c r="AH289" s="3934" t="n"/>
      <c r="AI289" s="3934" t="n"/>
      <c r="AJ289" s="3934" t="n"/>
      <c r="AK289" s="3934" t="n"/>
      <c r="AL289" s="3934" t="n"/>
      <c r="AM289" s="3934" t="n"/>
      <c r="AN289" s="3934" t="n"/>
      <c r="AO289" s="3934" t="n"/>
      <c r="AP289" s="3934" t="n"/>
      <c r="AQ289" s="3934" t="n"/>
      <c r="AR289" s="3934" t="n"/>
    </row>
    <row r="290">
      <c r="A290" s="3944" t="n"/>
      <c r="B290" s="3944" t="n"/>
      <c r="C290" s="3944" t="n"/>
      <c r="D290" s="3944" t="n"/>
      <c r="E290" s="3944" t="n"/>
      <c r="F290" s="3944" t="n"/>
      <c r="G290" s="3944" t="n"/>
      <c r="H290" s="3944" t="n"/>
      <c r="I290" s="3944" t="n"/>
      <c r="J290" s="3934" t="n"/>
      <c r="K290" s="3934" t="n"/>
      <c r="L290" s="3934" t="n"/>
      <c r="M290" s="3934" t="n"/>
      <c r="N290" s="3934" t="n"/>
      <c r="O290" s="3934" t="n"/>
      <c r="P290" s="3934" t="n"/>
      <c r="Q290" s="3934" t="n"/>
      <c r="R290" s="3934" t="n"/>
      <c r="S290" s="3934" t="n"/>
      <c r="T290" s="3934" t="n"/>
      <c r="U290" s="3934" t="n"/>
      <c r="V290" s="3934" t="n"/>
      <c r="W290" s="3934" t="n"/>
      <c r="X290" s="3934" t="n"/>
      <c r="Y290" s="3934" t="n"/>
      <c r="Z290" s="3934" t="n"/>
      <c r="AA290" s="3934" t="n"/>
      <c r="AB290" s="3934" t="n"/>
      <c r="AC290" s="3934" t="n"/>
      <c r="AD290" s="3934" t="n"/>
      <c r="AE290" s="3934" t="n"/>
      <c r="AF290" s="3934" t="n"/>
      <c r="AG290" s="3934" t="n"/>
      <c r="AH290" s="3934" t="n"/>
      <c r="AI290" s="3934" t="n"/>
      <c r="AJ290" s="3934" t="n"/>
      <c r="AK290" s="3934" t="n"/>
      <c r="AL290" s="3934" t="n"/>
      <c r="AM290" s="3934" t="n"/>
      <c r="AN290" s="3934" t="n"/>
      <c r="AO290" s="3934" t="n"/>
      <c r="AP290" s="3934" t="n"/>
      <c r="AQ290" s="3934" t="n"/>
      <c r="AR290" s="3934" t="n"/>
    </row>
    <row r="291">
      <c r="A291" s="3944" t="n"/>
      <c r="B291" s="3944" t="n"/>
      <c r="C291" s="3944" t="n"/>
      <c r="D291" s="3944" t="n"/>
      <c r="E291" s="3944" t="n"/>
      <c r="F291" s="3944" t="n"/>
      <c r="G291" s="3944" t="n"/>
      <c r="H291" s="3944" t="n"/>
      <c r="I291" s="3944" t="n"/>
      <c r="J291" s="3934" t="n"/>
      <c r="K291" s="3934" t="n"/>
      <c r="L291" s="3934" t="n"/>
      <c r="M291" s="3934" t="n"/>
      <c r="N291" s="3934" t="n"/>
      <c r="O291" s="3934" t="n"/>
      <c r="P291" s="3934" t="n"/>
      <c r="Q291" s="3934" t="n"/>
      <c r="R291" s="3934" t="n"/>
      <c r="S291" s="3934" t="n"/>
      <c r="T291" s="3934" t="n"/>
      <c r="U291" s="3934" t="n"/>
      <c r="V291" s="3934" t="n"/>
      <c r="W291" s="3934" t="n"/>
      <c r="X291" s="3934" t="n"/>
      <c r="Y291" s="3934" t="n"/>
      <c r="Z291" s="3934" t="n"/>
      <c r="AA291" s="3934" t="n"/>
      <c r="AB291" s="3934" t="n"/>
      <c r="AC291" s="3934" t="n"/>
      <c r="AD291" s="3934" t="n"/>
      <c r="AE291" s="3934" t="n"/>
      <c r="AF291" s="3934" t="n"/>
      <c r="AG291" s="3934" t="n"/>
      <c r="AH291" s="3934" t="n"/>
      <c r="AI291" s="3934" t="n"/>
      <c r="AJ291" s="3934" t="n"/>
      <c r="AK291" s="3934" t="n"/>
      <c r="AL291" s="3934" t="n"/>
      <c r="AM291" s="3934" t="n"/>
      <c r="AN291" s="3934" t="n"/>
      <c r="AO291" s="3934" t="n"/>
      <c r="AP291" s="3934" t="n"/>
      <c r="AQ291" s="3934" t="n"/>
      <c r="AR291" s="3934" t="n"/>
    </row>
    <row r="292">
      <c r="A292" s="3944" t="n"/>
      <c r="B292" s="3944" t="n"/>
      <c r="C292" s="3944" t="n"/>
      <c r="D292" s="3944" t="n"/>
      <c r="E292" s="3944" t="n"/>
      <c r="F292" s="3944" t="n"/>
      <c r="G292" s="3944" t="n"/>
      <c r="H292" s="3944" t="n"/>
      <c r="I292" s="3944" t="n"/>
      <c r="J292" s="3934" t="n"/>
      <c r="K292" s="3934" t="n"/>
      <c r="L292" s="3934" t="n"/>
      <c r="M292" s="3934" t="n"/>
      <c r="N292" s="3934" t="n"/>
      <c r="O292" s="3934" t="n"/>
      <c r="P292" s="3934" t="n"/>
      <c r="Q292" s="3934" t="n"/>
      <c r="R292" s="3934" t="n"/>
      <c r="S292" s="3934" t="n"/>
      <c r="T292" s="3934" t="n"/>
      <c r="U292" s="3934" t="n"/>
      <c r="V292" s="3934" t="n"/>
      <c r="W292" s="3934" t="n"/>
      <c r="X292" s="3934" t="n"/>
      <c r="Y292" s="3934" t="n"/>
      <c r="Z292" s="3934" t="n"/>
      <c r="AA292" s="3934" t="n"/>
      <c r="AB292" s="3934" t="n"/>
      <c r="AC292" s="3934" t="n"/>
      <c r="AD292" s="3934" t="n"/>
      <c r="AE292" s="3934" t="n"/>
      <c r="AF292" s="3934" t="n"/>
      <c r="AG292" s="3934" t="n"/>
      <c r="AH292" s="3934" t="n"/>
      <c r="AI292" s="3934" t="n"/>
      <c r="AJ292" s="3934" t="n"/>
      <c r="AK292" s="3934" t="n"/>
      <c r="AL292" s="3934" t="n"/>
      <c r="AM292" s="3934" t="n"/>
      <c r="AN292" s="3934" t="n"/>
      <c r="AO292" s="3934" t="n"/>
      <c r="AP292" s="3934" t="n"/>
      <c r="AQ292" s="3934" t="n"/>
      <c r="AR292" s="3934" t="n"/>
    </row>
    <row r="293">
      <c r="A293" s="3944" t="n"/>
      <c r="B293" s="3944" t="n"/>
      <c r="C293" s="3944" t="n"/>
      <c r="D293" s="3944" t="n"/>
      <c r="E293" s="3944" t="n"/>
      <c r="F293" s="3944" t="n"/>
      <c r="G293" s="3944" t="n"/>
      <c r="H293" s="3944" t="n"/>
      <c r="I293" s="3944" t="n"/>
      <c r="J293" s="3934" t="n"/>
      <c r="K293" s="3934" t="n"/>
      <c r="L293" s="3934" t="n"/>
      <c r="M293" s="3934" t="n"/>
      <c r="N293" s="3934" t="n"/>
      <c r="O293" s="3934" t="n"/>
      <c r="P293" s="3934" t="n"/>
      <c r="Q293" s="3934" t="n"/>
      <c r="R293" s="3934" t="n"/>
      <c r="S293" s="3934" t="n"/>
      <c r="T293" s="3934" t="n"/>
      <c r="U293" s="3934" t="n"/>
      <c r="V293" s="3934" t="n"/>
      <c r="W293" s="3934" t="n"/>
      <c r="X293" s="3934" t="n"/>
      <c r="Y293" s="3934" t="n"/>
      <c r="Z293" s="3934" t="n"/>
      <c r="AA293" s="3934" t="n"/>
      <c r="AB293" s="3934" t="n"/>
      <c r="AC293" s="3934" t="n"/>
      <c r="AD293" s="3934" t="n"/>
      <c r="AE293" s="3934" t="n"/>
      <c r="AF293" s="3934" t="n"/>
      <c r="AG293" s="3934" t="n"/>
      <c r="AH293" s="3934" t="n"/>
      <c r="AI293" s="3934" t="n"/>
      <c r="AJ293" s="3934" t="n"/>
      <c r="AK293" s="3934" t="n"/>
      <c r="AL293" s="3934" t="n"/>
      <c r="AM293" s="3934" t="n"/>
      <c r="AN293" s="3934" t="n"/>
      <c r="AO293" s="3934" t="n"/>
      <c r="AP293" s="3934" t="n"/>
      <c r="AQ293" s="3934" t="n"/>
      <c r="AR293" s="3934" t="n"/>
    </row>
    <row r="294">
      <c r="A294" s="3944" t="n"/>
      <c r="B294" s="3944" t="n"/>
      <c r="C294" s="3944" t="n"/>
      <c r="D294" s="3944" t="n"/>
      <c r="E294" s="3944" t="n"/>
      <c r="F294" s="3944" t="n"/>
      <c r="G294" s="3944" t="n"/>
      <c r="H294" s="3944" t="n"/>
      <c r="I294" s="3944" t="n"/>
      <c r="J294" s="3934" t="n"/>
      <c r="K294" s="3934" t="n"/>
      <c r="L294" s="3934" t="n"/>
      <c r="M294" s="3934" t="n"/>
      <c r="N294" s="3934" t="n"/>
      <c r="O294" s="3934" t="n"/>
      <c r="P294" s="3934" t="n"/>
      <c r="Q294" s="3934" t="n"/>
      <c r="R294" s="3934" t="n"/>
      <c r="S294" s="3934" t="n"/>
      <c r="T294" s="3934" t="n"/>
      <c r="U294" s="3934" t="n"/>
      <c r="V294" s="3934" t="n"/>
      <c r="W294" s="3934" t="n"/>
      <c r="X294" s="3934" t="n"/>
      <c r="Y294" s="3934" t="n"/>
      <c r="Z294" s="3934" t="n"/>
      <c r="AA294" s="3934" t="n"/>
      <c r="AB294" s="3934" t="n"/>
      <c r="AC294" s="3934" t="n"/>
      <c r="AD294" s="3934" t="n"/>
      <c r="AE294" s="3934" t="n"/>
      <c r="AF294" s="3934" t="n"/>
      <c r="AG294" s="3934" t="n"/>
      <c r="AH294" s="3934" t="n"/>
      <c r="AI294" s="3934" t="n"/>
      <c r="AJ294" s="3934" t="n"/>
      <c r="AK294" s="3934" t="n"/>
      <c r="AL294" s="3934" t="n"/>
      <c r="AM294" s="3934" t="n"/>
      <c r="AN294" s="3934" t="n"/>
      <c r="AO294" s="3934" t="n"/>
      <c r="AP294" s="3934" t="n"/>
      <c r="AQ294" s="3934" t="n"/>
      <c r="AR294" s="3934" t="n"/>
    </row>
    <row r="295">
      <c r="A295" s="3944" t="n"/>
      <c r="B295" s="3944" t="n"/>
      <c r="C295" s="3944" t="n"/>
      <c r="D295" s="3944" t="n"/>
      <c r="E295" s="3944" t="n"/>
      <c r="F295" s="3944" t="n"/>
      <c r="G295" s="3944" t="n"/>
      <c r="H295" s="3944" t="n"/>
      <c r="I295" s="3944" t="n"/>
      <c r="J295" s="3934" t="n"/>
      <c r="K295" s="3934" t="n"/>
      <c r="L295" s="3934" t="n"/>
      <c r="M295" s="3934" t="n"/>
      <c r="N295" s="3934" t="n"/>
      <c r="O295" s="3934" t="n"/>
      <c r="P295" s="3934" t="n"/>
      <c r="Q295" s="3934" t="n"/>
      <c r="R295" s="3934" t="n"/>
      <c r="S295" s="3934" t="n"/>
      <c r="T295" s="3934" t="n"/>
      <c r="U295" s="3934" t="n"/>
      <c r="V295" s="3934" t="n"/>
      <c r="W295" s="3934" t="n"/>
      <c r="X295" s="3934" t="n"/>
      <c r="Y295" s="3934" t="n"/>
      <c r="Z295" s="3934" t="n"/>
      <c r="AA295" s="3934" t="n"/>
      <c r="AB295" s="3934" t="n"/>
      <c r="AC295" s="3934" t="n"/>
      <c r="AD295" s="3934" t="n"/>
      <c r="AE295" s="3934" t="n"/>
      <c r="AF295" s="3934" t="n"/>
      <c r="AG295" s="3934" t="n"/>
      <c r="AH295" s="3934" t="n"/>
      <c r="AI295" s="3934" t="n"/>
      <c r="AJ295" s="3934" t="n"/>
      <c r="AK295" s="3934" t="n"/>
      <c r="AL295" s="3934" t="n"/>
      <c r="AM295" s="3934" t="n"/>
      <c r="AN295" s="3934" t="n"/>
      <c r="AO295" s="3934" t="n"/>
      <c r="AP295" s="3934" t="n"/>
      <c r="AQ295" s="3934" t="n"/>
      <c r="AR295" s="3934" t="n"/>
    </row>
    <row r="296">
      <c r="A296" s="3944" t="n"/>
      <c r="B296" s="3944" t="n"/>
      <c r="C296" s="3944" t="n"/>
      <c r="D296" s="3944" t="n"/>
      <c r="E296" s="3944" t="n"/>
      <c r="F296" s="3944" t="n"/>
      <c r="G296" s="3944" t="n"/>
      <c r="H296" s="3944" t="n"/>
      <c r="I296" s="3944" t="n"/>
      <c r="J296" s="3934" t="n"/>
      <c r="K296" s="3934" t="n"/>
      <c r="L296" s="3934" t="n"/>
      <c r="M296" s="3934" t="n"/>
      <c r="N296" s="3934" t="n"/>
      <c r="O296" s="3934" t="n"/>
      <c r="P296" s="3934" t="n"/>
      <c r="Q296" s="3934" t="n"/>
      <c r="R296" s="3934" t="n"/>
      <c r="S296" s="3934" t="n"/>
      <c r="T296" s="3934" t="n"/>
      <c r="U296" s="3934" t="n"/>
      <c r="V296" s="3934" t="n"/>
      <c r="W296" s="3934" t="n"/>
      <c r="X296" s="3934" t="n"/>
      <c r="Y296" s="3934" t="n"/>
      <c r="Z296" s="3934" t="n"/>
      <c r="AA296" s="3934" t="n"/>
      <c r="AB296" s="3934" t="n"/>
      <c r="AC296" s="3934" t="n"/>
      <c r="AD296" s="3934" t="n"/>
      <c r="AE296" s="3934" t="n"/>
      <c r="AF296" s="3934" t="n"/>
      <c r="AG296" s="3934" t="n"/>
      <c r="AH296" s="3934" t="n"/>
      <c r="AI296" s="3934" t="n"/>
      <c r="AJ296" s="3934" t="n"/>
      <c r="AK296" s="3934" t="n"/>
      <c r="AL296" s="3934" t="n"/>
      <c r="AM296" s="3934" t="n"/>
      <c r="AN296" s="3934" t="n"/>
      <c r="AO296" s="3934" t="n"/>
      <c r="AP296" s="3934" t="n"/>
      <c r="AQ296" s="3934" t="n"/>
      <c r="AR296" s="3934" t="n"/>
    </row>
    <row r="297">
      <c r="A297" s="3944" t="n"/>
      <c r="B297" s="3944" t="n"/>
      <c r="C297" s="3944" t="n"/>
      <c r="D297" s="3944" t="n"/>
      <c r="E297" s="3944" t="n"/>
      <c r="F297" s="3944" t="n"/>
      <c r="G297" s="3944" t="n"/>
      <c r="H297" s="3944" t="n"/>
      <c r="I297" s="3944" t="n"/>
      <c r="J297" s="3934" t="n"/>
      <c r="K297" s="3934" t="n"/>
      <c r="L297" s="3934" t="n"/>
      <c r="M297" s="3934" t="n"/>
      <c r="N297" s="3934" t="n"/>
      <c r="O297" s="3934" t="n"/>
      <c r="P297" s="3934" t="n"/>
      <c r="Q297" s="3934" t="n"/>
      <c r="R297" s="3934" t="n"/>
      <c r="S297" s="3934" t="n"/>
      <c r="T297" s="3934" t="n"/>
      <c r="U297" s="3934" t="n"/>
      <c r="V297" s="3934" t="n"/>
      <c r="W297" s="3934" t="n"/>
      <c r="X297" s="3934" t="n"/>
      <c r="Y297" s="3934" t="n"/>
      <c r="Z297" s="3934" t="n"/>
      <c r="AA297" s="3934" t="n"/>
      <c r="AB297" s="3934" t="n"/>
      <c r="AC297" s="3934" t="n"/>
      <c r="AD297" s="3934" t="n"/>
      <c r="AE297" s="3934" t="n"/>
      <c r="AF297" s="3934" t="n"/>
      <c r="AG297" s="3934" t="n"/>
      <c r="AH297" s="3934" t="n"/>
      <c r="AI297" s="3934" t="n"/>
      <c r="AJ297" s="3934" t="n"/>
      <c r="AK297" s="3934" t="n"/>
      <c r="AL297" s="3934" t="n"/>
      <c r="AM297" s="3934" t="n"/>
      <c r="AN297" s="3934" t="n"/>
      <c r="AO297" s="3934" t="n"/>
      <c r="AP297" s="3934" t="n"/>
      <c r="AQ297" s="3934" t="n"/>
      <c r="AR297" s="3934" t="n"/>
    </row>
    <row r="298">
      <c r="A298" s="3944" t="n"/>
      <c r="B298" s="3944" t="n"/>
      <c r="C298" s="3944" t="n"/>
      <c r="D298" s="3944" t="n"/>
      <c r="E298" s="3944" t="n"/>
      <c r="F298" s="3944" t="n"/>
      <c r="G298" s="3944" t="n"/>
      <c r="H298" s="3944" t="n"/>
      <c r="I298" s="3944" t="n"/>
      <c r="J298" s="3934" t="n"/>
      <c r="K298" s="3934" t="n"/>
      <c r="L298" s="3934" t="n"/>
      <c r="M298" s="3934" t="n"/>
      <c r="N298" s="3934" t="n"/>
      <c r="O298" s="3934" t="n"/>
      <c r="P298" s="3934" t="n"/>
      <c r="Q298" s="3934" t="n"/>
      <c r="R298" s="3934" t="n"/>
      <c r="S298" s="3934" t="n"/>
      <c r="T298" s="3934" t="n"/>
      <c r="U298" s="3934" t="n"/>
      <c r="V298" s="3934" t="n"/>
      <c r="W298" s="3934" t="n"/>
      <c r="X298" s="3934" t="n"/>
      <c r="Y298" s="3934" t="n"/>
      <c r="Z298" s="3934" t="n"/>
      <c r="AA298" s="3934" t="n"/>
      <c r="AB298" s="3934" t="n"/>
      <c r="AC298" s="3934" t="n"/>
      <c r="AD298" s="3934" t="n"/>
      <c r="AE298" s="3934" t="n"/>
      <c r="AF298" s="3934" t="n"/>
      <c r="AG298" s="3934" t="n"/>
      <c r="AH298" s="3934" t="n"/>
      <c r="AI298" s="3934" t="n"/>
      <c r="AJ298" s="3934" t="n"/>
      <c r="AK298" s="3934" t="n"/>
      <c r="AL298" s="3934" t="n"/>
      <c r="AM298" s="3934" t="n"/>
      <c r="AN298" s="3934" t="n"/>
      <c r="AO298" s="3934" t="n"/>
      <c r="AP298" s="3934" t="n"/>
      <c r="AQ298" s="3934" t="n"/>
      <c r="AR298" s="3934" t="n"/>
    </row>
    <row r="299">
      <c r="A299" s="3944" t="n"/>
      <c r="B299" s="3944" t="n"/>
      <c r="C299" s="3944" t="n"/>
      <c r="D299" s="3944" t="n"/>
      <c r="E299" s="3944" t="n"/>
      <c r="F299" s="3944" t="n"/>
      <c r="G299" s="3944" t="n"/>
      <c r="H299" s="3944" t="n"/>
      <c r="I299" s="3944" t="n"/>
      <c r="J299" s="3934" t="n"/>
      <c r="K299" s="3934" t="n"/>
      <c r="L299" s="3934" t="n"/>
      <c r="M299" s="3934" t="n"/>
      <c r="N299" s="3934" t="n"/>
      <c r="O299" s="3934" t="n"/>
      <c r="P299" s="3934" t="n"/>
      <c r="Q299" s="3934" t="n"/>
      <c r="R299" s="3934" t="n"/>
      <c r="S299" s="3934" t="n"/>
      <c r="T299" s="3934" t="n"/>
      <c r="U299" s="3934" t="n"/>
      <c r="V299" s="3934" t="n"/>
      <c r="W299" s="3934" t="n"/>
      <c r="X299" s="3934" t="n"/>
      <c r="Y299" s="3934" t="n"/>
      <c r="Z299" s="3934" t="n"/>
      <c r="AA299" s="3934" t="n"/>
      <c r="AB299" s="3934" t="n"/>
      <c r="AC299" s="3934" t="n"/>
      <c r="AD299" s="3934" t="n"/>
      <c r="AE299" s="3934" t="n"/>
      <c r="AF299" s="3934" t="n"/>
      <c r="AG299" s="3934" t="n"/>
      <c r="AH299" s="3934" t="n"/>
      <c r="AI299" s="3934" t="n"/>
      <c r="AJ299" s="3934" t="n"/>
      <c r="AK299" s="3934" t="n"/>
      <c r="AL299" s="3934" t="n"/>
      <c r="AM299" s="3934" t="n"/>
      <c r="AN299" s="3934" t="n"/>
      <c r="AO299" s="3934" t="n"/>
      <c r="AP299" s="3934" t="n"/>
      <c r="AQ299" s="3934" t="n"/>
      <c r="AR299" s="3934" t="n"/>
    </row>
    <row r="300">
      <c r="A300" s="3944" t="n"/>
      <c r="B300" s="3944" t="n"/>
      <c r="C300" s="3944" t="n"/>
      <c r="D300" s="3944" t="n"/>
      <c r="E300" s="3944" t="n"/>
      <c r="F300" s="3944" t="n"/>
      <c r="G300" s="3944" t="n"/>
      <c r="H300" s="3944" t="n"/>
      <c r="I300" s="3944" t="n"/>
      <c r="J300" s="3934" t="n"/>
      <c r="K300" s="3934" t="n"/>
      <c r="L300" s="3934" t="n"/>
      <c r="M300" s="3934" t="n"/>
      <c r="N300" s="3934" t="n"/>
      <c r="O300" s="3934" t="n"/>
      <c r="P300" s="3934" t="n"/>
      <c r="Q300" s="3934" t="n"/>
      <c r="R300" s="3934" t="n"/>
      <c r="S300" s="3934" t="n"/>
      <c r="T300" s="3934" t="n"/>
      <c r="U300" s="3934" t="n"/>
      <c r="V300" s="3934" t="n"/>
      <c r="W300" s="3934" t="n"/>
      <c r="X300" s="3934" t="n"/>
      <c r="Y300" s="3934" t="n"/>
      <c r="Z300" s="3934" t="n"/>
      <c r="AA300" s="3934" t="n"/>
      <c r="AB300" s="3934" t="n"/>
      <c r="AC300" s="3934" t="n"/>
      <c r="AD300" s="3934" t="n"/>
      <c r="AE300" s="3934" t="n"/>
      <c r="AF300" s="3934" t="n"/>
      <c r="AG300" s="3934" t="n"/>
      <c r="AH300" s="3934" t="n"/>
      <c r="AI300" s="3934" t="n"/>
      <c r="AJ300" s="3934" t="n"/>
      <c r="AK300" s="3934" t="n"/>
      <c r="AL300" s="3934" t="n"/>
      <c r="AM300" s="3934" t="n"/>
      <c r="AN300" s="3934" t="n"/>
      <c r="AO300" s="3934" t="n"/>
      <c r="AP300" s="3934" t="n"/>
      <c r="AQ300" s="3934" t="n"/>
      <c r="AR300" s="3934" t="n"/>
    </row>
    <row r="301">
      <c r="A301" s="3944" t="n"/>
      <c r="B301" s="3944" t="n"/>
      <c r="C301" s="3944" t="n"/>
      <c r="D301" s="3944" t="n"/>
      <c r="E301" s="3944" t="n"/>
      <c r="F301" s="3944" t="n"/>
      <c r="G301" s="3944" t="n"/>
      <c r="H301" s="3944" t="n"/>
      <c r="I301" s="3944" t="n"/>
      <c r="J301" s="3934" t="n"/>
      <c r="K301" s="3934" t="n"/>
      <c r="L301" s="3934" t="n"/>
      <c r="M301" s="3934" t="n"/>
      <c r="N301" s="3934" t="n"/>
      <c r="O301" s="3934" t="n"/>
      <c r="P301" s="3934" t="n"/>
      <c r="Q301" s="3934" t="n"/>
      <c r="R301" s="3934" t="n"/>
      <c r="S301" s="3934" t="n"/>
      <c r="T301" s="3934" t="n"/>
      <c r="U301" s="3934" t="n"/>
      <c r="V301" s="3934" t="n"/>
      <c r="W301" s="3934" t="n"/>
      <c r="X301" s="3934" t="n"/>
      <c r="Y301" s="3934" t="n"/>
      <c r="Z301" s="3934" t="n"/>
      <c r="AA301" s="3934" t="n"/>
      <c r="AB301" s="3934" t="n"/>
      <c r="AC301" s="3934" t="n"/>
      <c r="AD301" s="3934" t="n"/>
      <c r="AE301" s="3934" t="n"/>
      <c r="AF301" s="3934" t="n"/>
      <c r="AG301" s="3934" t="n"/>
      <c r="AH301" s="3934" t="n"/>
      <c r="AI301" s="3934" t="n"/>
      <c r="AJ301" s="3934" t="n"/>
      <c r="AK301" s="3934" t="n"/>
      <c r="AL301" s="3934" t="n"/>
      <c r="AM301" s="3934" t="n"/>
      <c r="AN301" s="3934" t="n"/>
      <c r="AO301" s="3934" t="n"/>
      <c r="AP301" s="3934" t="n"/>
      <c r="AQ301" s="3934" t="n"/>
      <c r="AR301" s="3934" t="n"/>
    </row>
    <row r="302">
      <c r="A302" s="3944" t="n"/>
      <c r="B302" s="3944" t="n"/>
      <c r="C302" s="3944" t="n"/>
      <c r="D302" s="3944" t="n"/>
      <c r="E302" s="3944" t="n"/>
      <c r="F302" s="3944" t="n"/>
      <c r="G302" s="3944" t="n"/>
      <c r="H302" s="3944" t="n"/>
      <c r="I302" s="3944" t="n"/>
      <c r="J302" s="3934" t="n"/>
      <c r="K302" s="3934" t="n"/>
      <c r="L302" s="3934" t="n"/>
      <c r="M302" s="3934" t="n"/>
      <c r="N302" s="3934" t="n"/>
      <c r="O302" s="3934" t="n"/>
      <c r="P302" s="3934" t="n"/>
      <c r="Q302" s="3934" t="n"/>
      <c r="R302" s="3934" t="n"/>
      <c r="S302" s="3934" t="n"/>
      <c r="T302" s="3934" t="n"/>
      <c r="U302" s="3934" t="n"/>
      <c r="V302" s="3934" t="n"/>
      <c r="W302" s="3934" t="n"/>
      <c r="X302" s="3934" t="n"/>
      <c r="Y302" s="3934" t="n"/>
      <c r="Z302" s="3934" t="n"/>
      <c r="AA302" s="3934" t="n"/>
      <c r="AB302" s="3934" t="n"/>
      <c r="AC302" s="3934" t="n"/>
      <c r="AD302" s="3934" t="n"/>
      <c r="AE302" s="3934" t="n"/>
      <c r="AF302" s="3934" t="n"/>
      <c r="AG302" s="3934" t="n"/>
      <c r="AH302" s="3934" t="n"/>
      <c r="AI302" s="3934" t="n"/>
      <c r="AJ302" s="3934" t="n"/>
      <c r="AK302" s="3934" t="n"/>
      <c r="AL302" s="3934" t="n"/>
      <c r="AM302" s="3934" t="n"/>
      <c r="AN302" s="3934" t="n"/>
      <c r="AO302" s="3934" t="n"/>
      <c r="AP302" s="3934" t="n"/>
      <c r="AQ302" s="3934" t="n"/>
      <c r="AR302" s="3934" t="n"/>
    </row>
    <row r="303">
      <c r="A303" s="3944" t="n"/>
      <c r="B303" s="3944" t="n"/>
      <c r="C303" s="3944" t="n"/>
      <c r="D303" s="3944" t="n"/>
      <c r="E303" s="3944" t="n"/>
      <c r="F303" s="3944" t="n"/>
      <c r="G303" s="3944" t="n"/>
      <c r="H303" s="3944" t="n"/>
      <c r="I303" s="3944" t="n"/>
      <c r="J303" s="3934" t="n"/>
      <c r="K303" s="3934" t="n"/>
      <c r="L303" s="3934" t="n"/>
      <c r="M303" s="3934" t="n"/>
      <c r="N303" s="3934" t="n"/>
      <c r="O303" s="3934" t="n"/>
      <c r="P303" s="3934" t="n"/>
      <c r="Q303" s="3934" t="n"/>
      <c r="R303" s="3934" t="n"/>
      <c r="S303" s="3934" t="n"/>
      <c r="T303" s="3934" t="n"/>
      <c r="U303" s="3934" t="n"/>
      <c r="V303" s="3934" t="n"/>
      <c r="W303" s="3934" t="n"/>
      <c r="X303" s="3934" t="n"/>
      <c r="Y303" s="3934" t="n"/>
      <c r="Z303" s="3934" t="n"/>
      <c r="AA303" s="3934" t="n"/>
      <c r="AB303" s="3934" t="n"/>
      <c r="AC303" s="3934" t="n"/>
      <c r="AD303" s="3934" t="n"/>
      <c r="AE303" s="3934" t="n"/>
      <c r="AF303" s="3934" t="n"/>
      <c r="AG303" s="3934" t="n"/>
      <c r="AH303" s="3934" t="n"/>
      <c r="AI303" s="3934" t="n"/>
      <c r="AJ303" s="3934" t="n"/>
      <c r="AK303" s="3934" t="n"/>
      <c r="AL303" s="3934" t="n"/>
      <c r="AM303" s="3934" t="n"/>
      <c r="AN303" s="3934" t="n"/>
      <c r="AO303" s="3934" t="n"/>
      <c r="AP303" s="3934" t="n"/>
      <c r="AQ303" s="3934" t="n"/>
      <c r="AR303" s="3934" t="n"/>
    </row>
    <row r="304">
      <c r="A304" s="3944" t="n"/>
      <c r="B304" s="3944" t="n"/>
      <c r="C304" s="3944" t="n"/>
      <c r="D304" s="3944" t="n"/>
      <c r="E304" s="3944" t="n"/>
      <c r="F304" s="3944" t="n"/>
      <c r="G304" s="3944" t="n"/>
      <c r="H304" s="3944" t="n"/>
      <c r="I304" s="3944" t="n"/>
      <c r="J304" s="3934" t="n"/>
      <c r="K304" s="3934" t="n"/>
      <c r="L304" s="3934" t="n"/>
      <c r="M304" s="3934" t="n"/>
      <c r="N304" s="3934" t="n"/>
      <c r="O304" s="3934" t="n"/>
      <c r="P304" s="3934" t="n"/>
      <c r="Q304" s="3934" t="n"/>
      <c r="R304" s="3934" t="n"/>
      <c r="S304" s="3934" t="n"/>
      <c r="T304" s="3934" t="n"/>
      <c r="U304" s="3934" t="n"/>
      <c r="V304" s="3934" t="n"/>
      <c r="W304" s="3934" t="n"/>
      <c r="X304" s="3934" t="n"/>
      <c r="Y304" s="3934" t="n"/>
      <c r="Z304" s="3934" t="n"/>
      <c r="AA304" s="3934" t="n"/>
      <c r="AB304" s="3934" t="n"/>
      <c r="AC304" s="3934" t="n"/>
      <c r="AD304" s="3934" t="n"/>
      <c r="AE304" s="3934" t="n"/>
      <c r="AF304" s="3934" t="n"/>
      <c r="AG304" s="3934" t="n"/>
      <c r="AH304" s="3934" t="n"/>
      <c r="AI304" s="3934" t="n"/>
      <c r="AJ304" s="3934" t="n"/>
      <c r="AK304" s="3934" t="n"/>
      <c r="AL304" s="3934" t="n"/>
      <c r="AM304" s="3934" t="n"/>
      <c r="AN304" s="3934" t="n"/>
      <c r="AO304" s="3934" t="n"/>
      <c r="AP304" s="3934" t="n"/>
      <c r="AQ304" s="3934" t="n"/>
      <c r="AR304" s="3934" t="n"/>
    </row>
    <row r="305">
      <c r="A305" s="3944" t="n"/>
      <c r="B305" s="3944" t="n"/>
      <c r="C305" s="3944" t="n"/>
      <c r="D305" s="3944" t="n"/>
      <c r="E305" s="3944" t="n"/>
      <c r="F305" s="3944" t="n"/>
      <c r="G305" s="3944" t="n"/>
      <c r="H305" s="3944" t="n"/>
      <c r="I305" s="3944" t="n"/>
      <c r="J305" s="3934" t="n"/>
      <c r="K305" s="3934" t="n"/>
      <c r="L305" s="3934" t="n"/>
      <c r="M305" s="3934" t="n"/>
      <c r="N305" s="3934" t="n"/>
      <c r="O305" s="3934" t="n"/>
      <c r="P305" s="3934" t="n"/>
      <c r="Q305" s="3934" t="n"/>
      <c r="R305" s="3934" t="n"/>
      <c r="S305" s="3934" t="n"/>
      <c r="T305" s="3934" t="n"/>
      <c r="U305" s="3934" t="n"/>
      <c r="V305" s="3934" t="n"/>
      <c r="W305" s="3934" t="n"/>
      <c r="X305" s="3934" t="n"/>
      <c r="Y305" s="3934" t="n"/>
      <c r="Z305" s="3934" t="n"/>
      <c r="AA305" s="3934" t="n"/>
      <c r="AB305" s="3934" t="n"/>
      <c r="AC305" s="3934" t="n"/>
      <c r="AD305" s="3934" t="n"/>
      <c r="AE305" s="3934" t="n"/>
      <c r="AF305" s="3934" t="n"/>
      <c r="AG305" s="3934" t="n"/>
      <c r="AH305" s="3934" t="n"/>
      <c r="AI305" s="3934" t="n"/>
      <c r="AJ305" s="3934" t="n"/>
      <c r="AK305" s="3934" t="n"/>
      <c r="AL305" s="3934" t="n"/>
      <c r="AM305" s="3934" t="n"/>
      <c r="AN305" s="3934" t="n"/>
      <c r="AO305" s="3934" t="n"/>
      <c r="AP305" s="3934" t="n"/>
      <c r="AQ305" s="3934" t="n"/>
      <c r="AR305" s="3934" t="n"/>
    </row>
    <row r="306">
      <c r="A306" s="3944" t="n"/>
      <c r="B306" s="3944" t="n"/>
      <c r="C306" s="3944" t="n"/>
      <c r="D306" s="3944" t="n"/>
      <c r="E306" s="3944" t="n"/>
      <c r="F306" s="3944" t="n"/>
      <c r="G306" s="3944" t="n"/>
      <c r="H306" s="3944" t="n"/>
      <c r="I306" s="3944" t="n"/>
      <c r="J306" s="3934" t="n"/>
      <c r="K306" s="3934" t="n"/>
      <c r="L306" s="3934" t="n"/>
      <c r="M306" s="3934" t="n"/>
      <c r="N306" s="3934" t="n"/>
      <c r="O306" s="3934" t="n"/>
      <c r="P306" s="3934" t="n"/>
      <c r="Q306" s="3934" t="n"/>
      <c r="R306" s="3934" t="n"/>
      <c r="S306" s="3934" t="n"/>
      <c r="T306" s="3934" t="n"/>
      <c r="U306" s="3934" t="n"/>
      <c r="V306" s="3934" t="n"/>
      <c r="W306" s="3934" t="n"/>
      <c r="X306" s="3934" t="n"/>
      <c r="Y306" s="3934" t="n"/>
      <c r="Z306" s="3934" t="n"/>
      <c r="AA306" s="3934" t="n"/>
      <c r="AB306" s="3934" t="n"/>
      <c r="AC306" s="3934" t="n"/>
      <c r="AD306" s="3934" t="n"/>
      <c r="AE306" s="3934" t="n"/>
      <c r="AF306" s="3934" t="n"/>
      <c r="AG306" s="3934" t="n"/>
      <c r="AH306" s="3934" t="n"/>
      <c r="AI306" s="3934" t="n"/>
      <c r="AJ306" s="3934" t="n"/>
      <c r="AK306" s="3934" t="n"/>
      <c r="AL306" s="3934" t="n"/>
      <c r="AM306" s="3934" t="n"/>
      <c r="AN306" s="3934" t="n"/>
      <c r="AO306" s="3934" t="n"/>
      <c r="AP306" s="3934" t="n"/>
      <c r="AQ306" s="3934" t="n"/>
      <c r="AR306" s="3934" t="n"/>
    </row>
    <row r="307">
      <c r="A307" s="3944" t="n"/>
      <c r="B307" s="3944" t="n"/>
      <c r="C307" s="3944" t="n"/>
      <c r="D307" s="3944" t="n"/>
      <c r="E307" s="3944" t="n"/>
      <c r="F307" s="3944" t="n"/>
      <c r="G307" s="3944" t="n"/>
      <c r="H307" s="3944" t="n"/>
      <c r="I307" s="3944" t="n"/>
      <c r="J307" s="3934" t="n"/>
      <c r="K307" s="3934" t="n"/>
      <c r="L307" s="3934" t="n"/>
      <c r="M307" s="3934" t="n"/>
      <c r="N307" s="3934" t="n"/>
      <c r="O307" s="3934" t="n"/>
      <c r="P307" s="3934" t="n"/>
      <c r="Q307" s="3934" t="n"/>
      <c r="R307" s="3934" t="n"/>
      <c r="S307" s="3934" t="n"/>
      <c r="T307" s="3934" t="n"/>
      <c r="U307" s="3934" t="n"/>
      <c r="V307" s="3934" t="n"/>
      <c r="W307" s="3934" t="n"/>
      <c r="X307" s="3934" t="n"/>
      <c r="Y307" s="3934" t="n"/>
      <c r="Z307" s="3934" t="n"/>
      <c r="AA307" s="3934" t="n"/>
      <c r="AB307" s="3934" t="n"/>
      <c r="AC307" s="3934" t="n"/>
      <c r="AD307" s="3934" t="n"/>
      <c r="AE307" s="3934" t="n"/>
      <c r="AF307" s="3934" t="n"/>
      <c r="AG307" s="3934" t="n"/>
      <c r="AH307" s="3934" t="n"/>
      <c r="AI307" s="3934" t="n"/>
      <c r="AJ307" s="3934" t="n"/>
      <c r="AK307" s="3934" t="n"/>
      <c r="AL307" s="3934" t="n"/>
      <c r="AM307" s="3934" t="n"/>
      <c r="AN307" s="3934" t="n"/>
      <c r="AO307" s="3934" t="n"/>
      <c r="AP307" s="3934" t="n"/>
      <c r="AQ307" s="3934" t="n"/>
      <c r="AR307" s="3934" t="n"/>
    </row>
    <row r="308">
      <c r="A308" s="3944" t="n"/>
      <c r="B308" s="3944" t="n"/>
      <c r="C308" s="3944" t="n"/>
      <c r="D308" s="3944" t="n"/>
      <c r="E308" s="3944" t="n"/>
      <c r="F308" s="3944" t="n"/>
      <c r="G308" s="3944" t="n"/>
      <c r="H308" s="3944" t="n"/>
      <c r="I308" s="3944" t="n"/>
      <c r="J308" s="3934" t="n"/>
      <c r="K308" s="3934" t="n"/>
      <c r="L308" s="3934" t="n"/>
      <c r="M308" s="3934" t="n"/>
      <c r="N308" s="3934" t="n"/>
      <c r="O308" s="3934" t="n"/>
      <c r="P308" s="3934" t="n"/>
      <c r="Q308" s="3934" t="n"/>
      <c r="R308" s="3934" t="n"/>
      <c r="S308" s="3934" t="n"/>
      <c r="T308" s="3934" t="n"/>
      <c r="U308" s="3934" t="n"/>
      <c r="V308" s="3934" t="n"/>
      <c r="W308" s="3934" t="n"/>
      <c r="X308" s="3934" t="n"/>
      <c r="Y308" s="3934" t="n"/>
      <c r="Z308" s="3934" t="n"/>
      <c r="AA308" s="3934" t="n"/>
      <c r="AB308" s="3934" t="n"/>
      <c r="AC308" s="3934" t="n"/>
      <c r="AD308" s="3934" t="n"/>
      <c r="AE308" s="3934" t="n"/>
      <c r="AF308" s="3934" t="n"/>
      <c r="AG308" s="3934" t="n"/>
      <c r="AH308" s="3934" t="n"/>
      <c r="AI308" s="3934" t="n"/>
      <c r="AJ308" s="3934" t="n"/>
      <c r="AK308" s="3934" t="n"/>
      <c r="AL308" s="3934" t="n"/>
      <c r="AM308" s="3934" t="n"/>
      <c r="AN308" s="3934" t="n"/>
      <c r="AO308" s="3934" t="n"/>
      <c r="AP308" s="3934" t="n"/>
      <c r="AQ308" s="3934" t="n"/>
      <c r="AR308" s="3934" t="n"/>
    </row>
    <row r="309">
      <c r="A309" s="3944" t="n"/>
      <c r="B309" s="3944" t="n"/>
      <c r="C309" s="3944" t="n"/>
      <c r="D309" s="3944" t="n"/>
      <c r="E309" s="3944" t="n"/>
      <c r="F309" s="3944" t="n"/>
      <c r="G309" s="3944" t="n"/>
      <c r="H309" s="3944" t="n"/>
      <c r="I309" s="3944" t="n"/>
      <c r="J309" s="3934" t="n"/>
      <c r="K309" s="3934" t="n"/>
      <c r="L309" s="3934" t="n"/>
      <c r="M309" s="3934" t="n"/>
      <c r="N309" s="3934" t="n"/>
      <c r="O309" s="3934" t="n"/>
      <c r="P309" s="3934" t="n"/>
      <c r="Q309" s="3934" t="n"/>
      <c r="R309" s="3934" t="n"/>
      <c r="S309" s="3934" t="n"/>
      <c r="T309" s="3934" t="n"/>
      <c r="U309" s="3934" t="n"/>
      <c r="V309" s="3934" t="n"/>
      <c r="W309" s="3934" t="n"/>
      <c r="X309" s="3934" t="n"/>
      <c r="Y309" s="3934" t="n"/>
      <c r="Z309" s="3934" t="n"/>
      <c r="AA309" s="3934" t="n"/>
      <c r="AB309" s="3934" t="n"/>
      <c r="AC309" s="3934" t="n"/>
      <c r="AD309" s="3934" t="n"/>
      <c r="AE309" s="3934" t="n"/>
      <c r="AF309" s="3934" t="n"/>
      <c r="AG309" s="3934" t="n"/>
      <c r="AH309" s="3934" t="n"/>
      <c r="AI309" s="3934" t="n"/>
      <c r="AJ309" s="3934" t="n"/>
      <c r="AK309" s="3934" t="n"/>
      <c r="AL309" s="3934" t="n"/>
      <c r="AM309" s="3934" t="n"/>
      <c r="AN309" s="3934" t="n"/>
      <c r="AO309" s="3934" t="n"/>
      <c r="AP309" s="3934" t="n"/>
      <c r="AQ309" s="3934" t="n"/>
      <c r="AR309" s="3934" t="n"/>
    </row>
    <row r="310">
      <c r="A310" s="3944" t="n"/>
      <c r="B310" s="3944" t="n"/>
      <c r="C310" s="3944" t="n"/>
      <c r="D310" s="3944" t="n"/>
      <c r="E310" s="3944" t="n"/>
      <c r="F310" s="3944" t="n"/>
      <c r="G310" s="3944" t="n"/>
      <c r="H310" s="3944" t="n"/>
      <c r="I310" s="3944" t="n"/>
      <c r="J310" s="3934" t="n"/>
      <c r="K310" s="3934" t="n"/>
      <c r="L310" s="3934" t="n"/>
      <c r="M310" s="3934" t="n"/>
      <c r="N310" s="3934" t="n"/>
      <c r="O310" s="3934" t="n"/>
      <c r="P310" s="3934" t="n"/>
      <c r="Q310" s="3934" t="n"/>
      <c r="R310" s="3934" t="n"/>
      <c r="S310" s="3934" t="n"/>
      <c r="T310" s="3934" t="n"/>
      <c r="U310" s="3934" t="n"/>
      <c r="V310" s="3934" t="n"/>
      <c r="W310" s="3934" t="n"/>
      <c r="X310" s="3934" t="n"/>
      <c r="Y310" s="3934" t="n"/>
      <c r="Z310" s="3934" t="n"/>
      <c r="AA310" s="3934" t="n"/>
      <c r="AB310" s="3934" t="n"/>
      <c r="AC310" s="3934" t="n"/>
      <c r="AD310" s="3934" t="n"/>
      <c r="AE310" s="3934" t="n"/>
      <c r="AF310" s="3934" t="n"/>
      <c r="AG310" s="3934" t="n"/>
      <c r="AH310" s="3934" t="n"/>
      <c r="AI310" s="3934" t="n"/>
      <c r="AJ310" s="3934" t="n"/>
      <c r="AK310" s="3934" t="n"/>
      <c r="AL310" s="3934" t="n"/>
      <c r="AM310" s="3934" t="n"/>
      <c r="AN310" s="3934" t="n"/>
      <c r="AO310" s="3934" t="n"/>
      <c r="AP310" s="3934" t="n"/>
      <c r="AQ310" s="3934" t="n"/>
      <c r="AR310" s="3934" t="n"/>
    </row>
    <row r="311">
      <c r="A311" s="3944" t="n"/>
      <c r="B311" s="3944" t="n"/>
      <c r="C311" s="3944" t="n"/>
      <c r="D311" s="3944" t="n"/>
      <c r="E311" s="3944" t="n"/>
      <c r="F311" s="3944" t="n"/>
      <c r="G311" s="3944" t="n"/>
      <c r="H311" s="3944" t="n"/>
      <c r="I311" s="3944" t="n"/>
      <c r="J311" s="3934" t="n"/>
      <c r="K311" s="3934" t="n"/>
      <c r="L311" s="3934" t="n"/>
      <c r="M311" s="3934" t="n"/>
      <c r="N311" s="3934" t="n"/>
      <c r="O311" s="3934" t="n"/>
      <c r="P311" s="3934" t="n"/>
      <c r="Q311" s="3934" t="n"/>
      <c r="R311" s="3934" t="n"/>
      <c r="S311" s="3934" t="n"/>
      <c r="T311" s="3934" t="n"/>
      <c r="U311" s="3934" t="n"/>
      <c r="V311" s="3934" t="n"/>
      <c r="W311" s="3934" t="n"/>
      <c r="X311" s="3934" t="n"/>
      <c r="Y311" s="3934" t="n"/>
      <c r="Z311" s="3934" t="n"/>
      <c r="AA311" s="3934" t="n"/>
      <c r="AB311" s="3934" t="n"/>
      <c r="AC311" s="3934" t="n"/>
      <c r="AD311" s="3934" t="n"/>
      <c r="AE311" s="3934" t="n"/>
      <c r="AF311" s="3934" t="n"/>
      <c r="AG311" s="3934" t="n"/>
      <c r="AH311" s="3934" t="n"/>
      <c r="AI311" s="3934" t="n"/>
      <c r="AJ311" s="3934" t="n"/>
      <c r="AK311" s="3934" t="n"/>
      <c r="AL311" s="3934" t="n"/>
      <c r="AM311" s="3934" t="n"/>
      <c r="AN311" s="3934" t="n"/>
      <c r="AO311" s="3934" t="n"/>
      <c r="AP311" s="3934" t="n"/>
      <c r="AQ311" s="3934" t="n"/>
      <c r="AR311" s="3934" t="n"/>
    </row>
    <row r="312">
      <c r="A312" s="3944" t="n"/>
      <c r="B312" s="3944" t="n"/>
      <c r="C312" s="3944" t="n"/>
      <c r="D312" s="3944" t="n"/>
      <c r="E312" s="3944" t="n"/>
      <c r="F312" s="3944" t="n"/>
      <c r="G312" s="3944" t="n"/>
      <c r="H312" s="3944" t="n"/>
      <c r="I312" s="3944" t="n"/>
      <c r="J312" s="3934" t="n"/>
      <c r="K312" s="3934" t="n"/>
      <c r="L312" s="3934" t="n"/>
      <c r="M312" s="3934" t="n"/>
      <c r="N312" s="3934" t="n"/>
      <c r="O312" s="3934" t="n"/>
      <c r="P312" s="3934" t="n"/>
      <c r="Q312" s="3934" t="n"/>
      <c r="R312" s="3934" t="n"/>
      <c r="S312" s="3934" t="n"/>
      <c r="T312" s="3934" t="n"/>
      <c r="U312" s="3934" t="n"/>
      <c r="V312" s="3934" t="n"/>
      <c r="W312" s="3934" t="n"/>
      <c r="X312" s="3934" t="n"/>
      <c r="Y312" s="3934" t="n"/>
      <c r="Z312" s="3934" t="n"/>
      <c r="AA312" s="3934" t="n"/>
      <c r="AB312" s="3934" t="n"/>
      <c r="AC312" s="3934" t="n"/>
      <c r="AD312" s="3934" t="n"/>
      <c r="AE312" s="3934" t="n"/>
      <c r="AF312" s="3934" t="n"/>
      <c r="AG312" s="3934" t="n"/>
      <c r="AH312" s="3934" t="n"/>
      <c r="AI312" s="3934" t="n"/>
      <c r="AJ312" s="3934" t="n"/>
      <c r="AK312" s="3934" t="n"/>
      <c r="AL312" s="3934" t="n"/>
      <c r="AM312" s="3934" t="n"/>
      <c r="AN312" s="3934" t="n"/>
      <c r="AO312" s="3934" t="n"/>
      <c r="AP312" s="3934" t="n"/>
      <c r="AQ312" s="3934" t="n"/>
      <c r="AR312" s="3934" t="n"/>
    </row>
    <row r="313">
      <c r="A313" s="3944" t="n"/>
      <c r="B313" s="3944" t="n"/>
      <c r="C313" s="3944" t="n"/>
      <c r="D313" s="3944" t="n"/>
      <c r="E313" s="3944" t="n"/>
      <c r="F313" s="3944" t="n"/>
      <c r="G313" s="3944" t="n"/>
      <c r="H313" s="3944" t="n"/>
      <c r="I313" s="3944" t="n"/>
      <c r="J313" s="3934" t="n"/>
      <c r="K313" s="3934" t="n"/>
      <c r="L313" s="3934" t="n"/>
      <c r="M313" s="3934" t="n"/>
      <c r="N313" s="3934" t="n"/>
      <c r="O313" s="3934" t="n"/>
      <c r="P313" s="3934" t="n"/>
      <c r="Q313" s="3934" t="n"/>
      <c r="R313" s="3934" t="n"/>
      <c r="S313" s="3934" t="n"/>
      <c r="T313" s="3934" t="n"/>
      <c r="U313" s="3934" t="n"/>
      <c r="V313" s="3934" t="n"/>
      <c r="W313" s="3934" t="n"/>
      <c r="X313" s="3934" t="n"/>
      <c r="Y313" s="3934" t="n"/>
      <c r="Z313" s="3934" t="n"/>
      <c r="AA313" s="3934" t="n"/>
      <c r="AB313" s="3934" t="n"/>
      <c r="AC313" s="3934" t="n"/>
      <c r="AD313" s="3934" t="n"/>
      <c r="AE313" s="3934" t="n"/>
      <c r="AF313" s="3934" t="n"/>
      <c r="AG313" s="3934" t="n"/>
      <c r="AH313" s="3934" t="n"/>
      <c r="AI313" s="3934" t="n"/>
      <c r="AJ313" s="3934" t="n"/>
      <c r="AK313" s="3934" t="n"/>
      <c r="AL313" s="3934" t="n"/>
      <c r="AM313" s="3934" t="n"/>
      <c r="AN313" s="3934" t="n"/>
      <c r="AO313" s="3934" t="n"/>
      <c r="AP313" s="3934" t="n"/>
      <c r="AQ313" s="3934" t="n"/>
      <c r="AR313" s="3934" t="n"/>
    </row>
    <row r="314">
      <c r="A314" s="3944" t="n"/>
      <c r="B314" s="3944" t="n"/>
      <c r="C314" s="3944" t="n"/>
      <c r="D314" s="3944" t="n"/>
      <c r="E314" s="3944" t="n"/>
      <c r="F314" s="3944" t="n"/>
      <c r="G314" s="3944" t="n"/>
      <c r="H314" s="3944" t="n"/>
      <c r="I314" s="3944" t="n"/>
      <c r="J314" s="3934" t="n"/>
      <c r="K314" s="3934" t="n"/>
      <c r="L314" s="3934" t="n"/>
      <c r="M314" s="3934" t="n"/>
      <c r="N314" s="3934" t="n"/>
      <c r="O314" s="3934" t="n"/>
      <c r="P314" s="3934" t="n"/>
      <c r="Q314" s="3934" t="n"/>
      <c r="R314" s="3934" t="n"/>
      <c r="S314" s="3934" t="n"/>
      <c r="T314" s="3934" t="n"/>
      <c r="U314" s="3934" t="n"/>
      <c r="V314" s="3934" t="n"/>
      <c r="W314" s="3934" t="n"/>
      <c r="X314" s="3934" t="n"/>
      <c r="Y314" s="3934" t="n"/>
      <c r="Z314" s="3934" t="n"/>
      <c r="AA314" s="3934" t="n"/>
      <c r="AB314" s="3934" t="n"/>
      <c r="AC314" s="3934" t="n"/>
      <c r="AD314" s="3934" t="n"/>
      <c r="AE314" s="3934" t="n"/>
      <c r="AF314" s="3934" t="n"/>
      <c r="AG314" s="3934" t="n"/>
      <c r="AH314" s="3934" t="n"/>
      <c r="AI314" s="3934" t="n"/>
      <c r="AJ314" s="3934" t="n"/>
      <c r="AK314" s="3934" t="n"/>
      <c r="AL314" s="3934" t="n"/>
      <c r="AM314" s="3934" t="n"/>
      <c r="AN314" s="3934" t="n"/>
      <c r="AO314" s="3934" t="n"/>
      <c r="AP314" s="3934" t="n"/>
      <c r="AQ314" s="3934" t="n"/>
      <c r="AR314" s="3934" t="n"/>
    </row>
    <row r="315">
      <c r="A315" s="3944" t="n"/>
      <c r="B315" s="3944" t="n"/>
      <c r="C315" s="3944" t="n"/>
      <c r="D315" s="3944" t="n"/>
      <c r="E315" s="3944" t="n"/>
      <c r="F315" s="3944" t="n"/>
      <c r="G315" s="3944" t="n"/>
      <c r="H315" s="3944" t="n"/>
      <c r="I315" s="3944" t="n"/>
      <c r="J315" s="3934" t="n"/>
      <c r="K315" s="3934" t="n"/>
      <c r="L315" s="3934" t="n"/>
      <c r="M315" s="3934" t="n"/>
      <c r="N315" s="3934" t="n"/>
      <c r="O315" s="3934" t="n"/>
      <c r="P315" s="3934" t="n"/>
      <c r="Q315" s="3934" t="n"/>
      <c r="R315" s="3934" t="n"/>
      <c r="S315" s="3934" t="n"/>
      <c r="T315" s="3934" t="n"/>
      <c r="U315" s="3934" t="n"/>
      <c r="V315" s="3934" t="n"/>
      <c r="W315" s="3934" t="n"/>
      <c r="X315" s="3934" t="n"/>
      <c r="Y315" s="3934" t="n"/>
      <c r="Z315" s="3934" t="n"/>
      <c r="AA315" s="3934" t="n"/>
      <c r="AB315" s="3934" t="n"/>
      <c r="AC315" s="3934" t="n"/>
      <c r="AD315" s="3934" t="n"/>
      <c r="AE315" s="3934" t="n"/>
      <c r="AF315" s="3934" t="n"/>
      <c r="AG315" s="3934" t="n"/>
      <c r="AH315" s="3934" t="n"/>
      <c r="AI315" s="3934" t="n"/>
      <c r="AJ315" s="3934" t="n"/>
      <c r="AK315" s="3934" t="n"/>
      <c r="AL315" s="3934" t="n"/>
      <c r="AM315" s="3934" t="n"/>
      <c r="AN315" s="3934" t="n"/>
      <c r="AO315" s="3934" t="n"/>
      <c r="AP315" s="3934" t="n"/>
      <c r="AQ315" s="3934" t="n"/>
      <c r="AR315" s="3934" t="n"/>
    </row>
    <row r="316">
      <c r="A316" s="3944" t="n"/>
      <c r="B316" s="3944" t="n"/>
      <c r="C316" s="3944" t="n"/>
      <c r="D316" s="3944" t="n"/>
      <c r="E316" s="3944" t="n"/>
      <c r="F316" s="3944" t="n"/>
      <c r="G316" s="3944" t="n"/>
      <c r="H316" s="3944" t="n"/>
      <c r="I316" s="3944" t="n"/>
      <c r="J316" s="3934" t="n"/>
      <c r="K316" s="3934" t="n"/>
      <c r="L316" s="3934" t="n"/>
      <c r="M316" s="3934" t="n"/>
      <c r="N316" s="3934" t="n"/>
      <c r="O316" s="3934" t="n"/>
      <c r="P316" s="3934" t="n"/>
      <c r="Q316" s="3934" t="n"/>
      <c r="R316" s="3934" t="n"/>
      <c r="S316" s="3934" t="n"/>
      <c r="T316" s="3934" t="n"/>
      <c r="U316" s="3934" t="n"/>
      <c r="V316" s="3934" t="n"/>
      <c r="W316" s="3934" t="n"/>
      <c r="X316" s="3934" t="n"/>
      <c r="Y316" s="3934" t="n"/>
      <c r="Z316" s="3934" t="n"/>
      <c r="AA316" s="3934" t="n"/>
      <c r="AB316" s="3934" t="n"/>
      <c r="AC316" s="3934" t="n"/>
      <c r="AD316" s="3934" t="n"/>
      <c r="AE316" s="3934" t="n"/>
      <c r="AF316" s="3934" t="n"/>
      <c r="AG316" s="3934" t="n"/>
      <c r="AH316" s="3934" t="n"/>
      <c r="AI316" s="3934" t="n"/>
      <c r="AJ316" s="3934" t="n"/>
      <c r="AK316" s="3934" t="n"/>
      <c r="AL316" s="3934" t="n"/>
      <c r="AM316" s="3934" t="n"/>
      <c r="AN316" s="3934" t="n"/>
      <c r="AO316" s="3934" t="n"/>
      <c r="AP316" s="3934" t="n"/>
      <c r="AQ316" s="3934" t="n"/>
      <c r="AR316" s="3934" t="n"/>
    </row>
    <row r="317">
      <c r="A317" s="3944" t="n"/>
      <c r="B317" s="3944" t="n"/>
      <c r="C317" s="3944" t="n"/>
      <c r="D317" s="3944" t="n"/>
      <c r="E317" s="3944" t="n"/>
      <c r="F317" s="3944" t="n"/>
      <c r="G317" s="3944" t="n"/>
      <c r="H317" s="3944" t="n"/>
      <c r="I317" s="3944" t="n"/>
      <c r="J317" s="3934" t="n"/>
      <c r="K317" s="3934" t="n"/>
      <c r="L317" s="3934" t="n"/>
      <c r="M317" s="3934" t="n"/>
      <c r="N317" s="3934" t="n"/>
      <c r="O317" s="3934" t="n"/>
      <c r="P317" s="3934" t="n"/>
      <c r="Q317" s="3934" t="n"/>
      <c r="R317" s="3934" t="n"/>
      <c r="S317" s="3934" t="n"/>
      <c r="T317" s="3934" t="n"/>
      <c r="U317" s="3934" t="n"/>
      <c r="V317" s="3934" t="n"/>
      <c r="W317" s="3934" t="n"/>
      <c r="X317" s="3934" t="n"/>
      <c r="Y317" s="3934" t="n"/>
      <c r="Z317" s="3934" t="n"/>
      <c r="AA317" s="3934" t="n"/>
      <c r="AB317" s="3934" t="n"/>
      <c r="AC317" s="3934" t="n"/>
      <c r="AD317" s="3934" t="n"/>
      <c r="AE317" s="3934" t="n"/>
      <c r="AF317" s="3934" t="n"/>
      <c r="AG317" s="3934" t="n"/>
      <c r="AH317" s="3934" t="n"/>
      <c r="AI317" s="3934" t="n"/>
      <c r="AJ317" s="3934" t="n"/>
      <c r="AK317" s="3934" t="n"/>
      <c r="AL317" s="3934" t="n"/>
      <c r="AM317" s="3934" t="n"/>
      <c r="AN317" s="3934" t="n"/>
      <c r="AO317" s="3934" t="n"/>
      <c r="AP317" s="3934" t="n"/>
      <c r="AQ317" s="3934" t="n"/>
      <c r="AR317" s="3934" t="n"/>
    </row>
    <row r="318">
      <c r="A318" s="3944" t="n"/>
      <c r="B318" s="3944" t="n"/>
      <c r="C318" s="3944" t="n"/>
      <c r="D318" s="3944" t="n"/>
      <c r="E318" s="3944" t="n"/>
      <c r="F318" s="3944" t="n"/>
      <c r="G318" s="3944" t="n"/>
      <c r="H318" s="3944" t="n"/>
      <c r="I318" s="3944" t="n"/>
      <c r="J318" s="3934" t="n"/>
      <c r="K318" s="3934" t="n"/>
      <c r="L318" s="3934" t="n"/>
      <c r="M318" s="3934" t="n"/>
      <c r="N318" s="3934" t="n"/>
      <c r="O318" s="3934" t="n"/>
      <c r="P318" s="3934" t="n"/>
      <c r="Q318" s="3934" t="n"/>
      <c r="R318" s="3934" t="n"/>
      <c r="S318" s="3934" t="n"/>
      <c r="T318" s="3934" t="n"/>
      <c r="U318" s="3934" t="n"/>
      <c r="V318" s="3934" t="n"/>
      <c r="W318" s="3934" t="n"/>
      <c r="X318" s="3934" t="n"/>
      <c r="Y318" s="3934" t="n"/>
      <c r="Z318" s="3934" t="n"/>
      <c r="AA318" s="3934" t="n"/>
      <c r="AB318" s="3934" t="n"/>
      <c r="AC318" s="3934" t="n"/>
      <c r="AD318" s="3934" t="n"/>
      <c r="AE318" s="3934" t="n"/>
      <c r="AF318" s="3934" t="n"/>
      <c r="AG318" s="3934" t="n"/>
      <c r="AH318" s="3934" t="n"/>
      <c r="AI318" s="3934" t="n"/>
      <c r="AJ318" s="3934" t="n"/>
      <c r="AK318" s="3934" t="n"/>
      <c r="AL318" s="3934" t="n"/>
      <c r="AM318" s="3934" t="n"/>
      <c r="AN318" s="3934" t="n"/>
      <c r="AO318" s="3934" t="n"/>
      <c r="AP318" s="3934" t="n"/>
      <c r="AQ318" s="3934" t="n"/>
      <c r="AR318" s="3934" t="n"/>
    </row>
    <row r="319">
      <c r="A319" s="3944" t="n"/>
      <c r="B319" s="3944" t="n"/>
      <c r="C319" s="3944" t="n"/>
      <c r="D319" s="3944" t="n"/>
      <c r="E319" s="3944" t="n"/>
      <c r="F319" s="3944" t="n"/>
      <c r="G319" s="3944" t="n"/>
      <c r="H319" s="3944" t="n"/>
      <c r="I319" s="3944" t="n"/>
      <c r="J319" s="3934" t="n"/>
      <c r="K319" s="3934" t="n"/>
      <c r="L319" s="3934" t="n"/>
      <c r="M319" s="3934" t="n"/>
      <c r="N319" s="3934" t="n"/>
      <c r="O319" s="3934" t="n"/>
      <c r="P319" s="3934" t="n"/>
      <c r="Q319" s="3934" t="n"/>
      <c r="R319" s="3934" t="n"/>
      <c r="S319" s="3934" t="n"/>
      <c r="T319" s="3934" t="n"/>
      <c r="U319" s="3934" t="n"/>
      <c r="V319" s="3934" t="n"/>
      <c r="W319" s="3934" t="n"/>
      <c r="X319" s="3934" t="n"/>
      <c r="Y319" s="3934" t="n"/>
      <c r="Z319" s="3934" t="n"/>
      <c r="AA319" s="3934" t="n"/>
      <c r="AB319" s="3934" t="n"/>
      <c r="AC319" s="3934" t="n"/>
      <c r="AD319" s="3934" t="n"/>
      <c r="AE319" s="3934" t="n"/>
      <c r="AF319" s="3934" t="n"/>
      <c r="AG319" s="3934" t="n"/>
      <c r="AH319" s="3934" t="n"/>
      <c r="AI319" s="3934" t="n"/>
      <c r="AJ319" s="3934" t="n"/>
      <c r="AK319" s="3934" t="n"/>
      <c r="AL319" s="3934" t="n"/>
      <c r="AM319" s="3934" t="n"/>
      <c r="AN319" s="3934" t="n"/>
      <c r="AO319" s="3934" t="n"/>
      <c r="AP319" s="3934" t="n"/>
      <c r="AQ319" s="3934" t="n"/>
      <c r="AR319" s="3934" t="n"/>
    </row>
    <row r="320">
      <c r="A320" s="3944" t="n"/>
      <c r="B320" s="3944" t="n"/>
      <c r="C320" s="3944" t="n"/>
      <c r="D320" s="3944" t="n"/>
      <c r="E320" s="3944" t="n"/>
      <c r="F320" s="3944" t="n"/>
      <c r="G320" s="3944" t="n"/>
      <c r="H320" s="3944" t="n"/>
      <c r="I320" s="3944" t="n"/>
      <c r="J320" s="3934" t="n"/>
      <c r="K320" s="3934" t="n"/>
      <c r="L320" s="3934" t="n"/>
      <c r="M320" s="3934" t="n"/>
      <c r="N320" s="3934" t="n"/>
      <c r="O320" s="3934" t="n"/>
      <c r="P320" s="3934" t="n"/>
      <c r="Q320" s="3934" t="n"/>
      <c r="R320" s="3934" t="n"/>
      <c r="S320" s="3934" t="n"/>
      <c r="T320" s="3934" t="n"/>
      <c r="U320" s="3934" t="n"/>
      <c r="V320" s="3934" t="n"/>
      <c r="W320" s="3934" t="n"/>
      <c r="X320" s="3934" t="n"/>
      <c r="Y320" s="3934" t="n"/>
      <c r="Z320" s="3934" t="n"/>
      <c r="AA320" s="3934" t="n"/>
      <c r="AB320" s="3934" t="n"/>
      <c r="AC320" s="3934" t="n"/>
      <c r="AD320" s="3934" t="n"/>
      <c r="AE320" s="3934" t="n"/>
      <c r="AF320" s="3934" t="n"/>
      <c r="AG320" s="3934" t="n"/>
      <c r="AH320" s="3934" t="n"/>
      <c r="AI320" s="3934" t="n"/>
      <c r="AJ320" s="3934" t="n"/>
      <c r="AK320" s="3934" t="n"/>
      <c r="AL320" s="3934" t="n"/>
      <c r="AM320" s="3934" t="n"/>
      <c r="AN320" s="3934" t="n"/>
      <c r="AO320" s="3934" t="n"/>
      <c r="AP320" s="3934" t="n"/>
      <c r="AQ320" s="3934" t="n"/>
      <c r="AR320" s="3934" t="n"/>
    </row>
    <row r="321">
      <c r="A321" s="3944" t="n"/>
      <c r="B321" s="3944" t="n"/>
      <c r="C321" s="3944" t="n"/>
      <c r="D321" s="3944" t="n"/>
      <c r="E321" s="3944" t="n"/>
      <c r="F321" s="3944" t="n"/>
      <c r="G321" s="3944" t="n"/>
      <c r="H321" s="3944" t="n"/>
      <c r="I321" s="3944" t="n"/>
      <c r="J321" s="3934" t="n"/>
      <c r="K321" s="3934" t="n"/>
      <c r="L321" s="3934" t="n"/>
      <c r="M321" s="3934" t="n"/>
      <c r="N321" s="3934" t="n"/>
      <c r="O321" s="3934" t="n"/>
      <c r="P321" s="3934" t="n"/>
      <c r="Q321" s="3934" t="n"/>
      <c r="R321" s="3934" t="n"/>
      <c r="S321" s="3934" t="n"/>
      <c r="T321" s="3934" t="n"/>
      <c r="U321" s="3934" t="n"/>
      <c r="V321" s="3934" t="n"/>
      <c r="W321" s="3934" t="n"/>
      <c r="X321" s="3934" t="n"/>
      <c r="Y321" s="3934" t="n"/>
      <c r="Z321" s="3934" t="n"/>
      <c r="AA321" s="3934" t="n"/>
      <c r="AB321" s="3934" t="n"/>
      <c r="AC321" s="3934" t="n"/>
      <c r="AD321" s="3934" t="n"/>
      <c r="AE321" s="3934" t="n"/>
      <c r="AF321" s="3934" t="n"/>
      <c r="AG321" s="3934" t="n"/>
      <c r="AH321" s="3934" t="n"/>
      <c r="AI321" s="3934" t="n"/>
      <c r="AJ321" s="3934" t="n"/>
      <c r="AK321" s="3934" t="n"/>
      <c r="AL321" s="3934" t="n"/>
      <c r="AM321" s="3934" t="n"/>
      <c r="AN321" s="3934" t="n"/>
      <c r="AO321" s="3934" t="n"/>
      <c r="AP321" s="3934" t="n"/>
      <c r="AQ321" s="3934" t="n"/>
      <c r="AR321" s="3934" t="n"/>
    </row>
    <row r="322">
      <c r="A322" s="3944" t="n"/>
      <c r="B322" s="3944" t="n"/>
      <c r="C322" s="3944" t="n"/>
      <c r="D322" s="3944" t="n"/>
      <c r="E322" s="3944" t="n"/>
      <c r="F322" s="3944" t="n"/>
      <c r="G322" s="3944" t="n"/>
      <c r="H322" s="3944" t="n"/>
      <c r="I322" s="3944" t="n"/>
      <c r="J322" s="3934" t="n"/>
      <c r="K322" s="3934" t="n"/>
      <c r="L322" s="3934" t="n"/>
      <c r="M322" s="3934" t="n"/>
      <c r="N322" s="3934" t="n"/>
      <c r="O322" s="3934" t="n"/>
      <c r="P322" s="3934" t="n"/>
      <c r="Q322" s="3934" t="n"/>
      <c r="R322" s="3934" t="n"/>
      <c r="S322" s="3934" t="n"/>
      <c r="T322" s="3934" t="n"/>
      <c r="U322" s="3934" t="n"/>
      <c r="V322" s="3934" t="n"/>
      <c r="W322" s="3934" t="n"/>
      <c r="X322" s="3934" t="n"/>
      <c r="Y322" s="3934" t="n"/>
      <c r="Z322" s="3934" t="n"/>
      <c r="AA322" s="3934" t="n"/>
      <c r="AB322" s="3934" t="n"/>
      <c r="AC322" s="3934" t="n"/>
      <c r="AD322" s="3934" t="n"/>
      <c r="AE322" s="3934" t="n"/>
      <c r="AF322" s="3934" t="n"/>
      <c r="AG322" s="3934" t="n"/>
      <c r="AH322" s="3934" t="n"/>
      <c r="AI322" s="3934" t="n"/>
      <c r="AJ322" s="3934" t="n"/>
      <c r="AK322" s="3934" t="n"/>
      <c r="AL322" s="3934" t="n"/>
      <c r="AM322" s="3934" t="n"/>
      <c r="AN322" s="3934" t="n"/>
      <c r="AO322" s="3934" t="n"/>
      <c r="AP322" s="3934" t="n"/>
      <c r="AQ322" s="3934" t="n"/>
      <c r="AR322" s="3934" t="n"/>
    </row>
    <row r="323">
      <c r="A323" s="3944" t="n"/>
      <c r="B323" s="3944" t="n"/>
      <c r="C323" s="3944" t="n"/>
      <c r="D323" s="3944" t="n"/>
      <c r="E323" s="3944" t="n"/>
      <c r="F323" s="3944" t="n"/>
      <c r="G323" s="3944" t="n"/>
      <c r="H323" s="3944" t="n"/>
      <c r="I323" s="3944" t="n"/>
      <c r="J323" s="3934" t="n"/>
      <c r="K323" s="3934" t="n"/>
      <c r="L323" s="3934" t="n"/>
      <c r="M323" s="3934" t="n"/>
      <c r="N323" s="3934" t="n"/>
      <c r="O323" s="3934" t="n"/>
      <c r="P323" s="3934" t="n"/>
      <c r="Q323" s="3934" t="n"/>
      <c r="R323" s="3934" t="n"/>
      <c r="S323" s="3934" t="n"/>
      <c r="T323" s="3934" t="n"/>
      <c r="U323" s="3934" t="n"/>
      <c r="V323" s="3934" t="n"/>
      <c r="W323" s="3934" t="n"/>
      <c r="X323" s="3934" t="n"/>
      <c r="Y323" s="3934" t="n"/>
      <c r="Z323" s="3934" t="n"/>
      <c r="AA323" s="3934" t="n"/>
      <c r="AB323" s="3934" t="n"/>
      <c r="AC323" s="3934" t="n"/>
      <c r="AD323" s="3934" t="n"/>
      <c r="AE323" s="3934" t="n"/>
      <c r="AF323" s="3934" t="n"/>
      <c r="AG323" s="3934" t="n"/>
      <c r="AH323" s="3934" t="n"/>
      <c r="AI323" s="3934" t="n"/>
      <c r="AJ323" s="3934" t="n"/>
      <c r="AK323" s="3934" t="n"/>
      <c r="AL323" s="3934" t="n"/>
      <c r="AM323" s="3934" t="n"/>
      <c r="AN323" s="3934" t="n"/>
      <c r="AO323" s="3934" t="n"/>
      <c r="AP323" s="3934" t="n"/>
      <c r="AQ323" s="3934" t="n"/>
      <c r="AR323" s="3934" t="n"/>
    </row>
    <row r="324">
      <c r="A324" s="3944" t="n"/>
      <c r="B324" s="3944" t="n"/>
      <c r="C324" s="3944" t="n"/>
      <c r="D324" s="3944" t="n"/>
      <c r="E324" s="3944" t="n"/>
      <c r="F324" s="3944" t="n"/>
      <c r="G324" s="3944" t="n"/>
      <c r="H324" s="3944" t="n"/>
      <c r="I324" s="3944" t="n"/>
      <c r="J324" s="3934" t="n"/>
      <c r="K324" s="3934" t="n"/>
      <c r="L324" s="3934" t="n"/>
      <c r="M324" s="3934" t="n"/>
      <c r="N324" s="3934" t="n"/>
      <c r="O324" s="3934" t="n"/>
      <c r="P324" s="3934" t="n"/>
      <c r="Q324" s="3934" t="n"/>
      <c r="R324" s="3934" t="n"/>
      <c r="S324" s="3934" t="n"/>
      <c r="T324" s="3934" t="n"/>
      <c r="U324" s="3934" t="n"/>
      <c r="V324" s="3934" t="n"/>
      <c r="W324" s="3934" t="n"/>
      <c r="X324" s="3934" t="n"/>
      <c r="Y324" s="3934" t="n"/>
      <c r="Z324" s="3934" t="n"/>
      <c r="AA324" s="3934" t="n"/>
      <c r="AB324" s="3934" t="n"/>
      <c r="AC324" s="3934" t="n"/>
      <c r="AD324" s="3934" t="n"/>
      <c r="AE324" s="3934" t="n"/>
      <c r="AF324" s="3934" t="n"/>
      <c r="AG324" s="3934" t="n"/>
      <c r="AH324" s="3934" t="n"/>
      <c r="AI324" s="3934" t="n"/>
      <c r="AJ324" s="3934" t="n"/>
      <c r="AK324" s="3934" t="n"/>
      <c r="AL324" s="3934" t="n"/>
      <c r="AM324" s="3934" t="n"/>
      <c r="AN324" s="3934" t="n"/>
      <c r="AO324" s="3934" t="n"/>
      <c r="AP324" s="3934" t="n"/>
      <c r="AQ324" s="3934" t="n"/>
      <c r="AR324" s="3934" t="n"/>
    </row>
    <row r="325">
      <c r="A325" s="3944" t="n"/>
      <c r="B325" s="3944" t="n"/>
      <c r="C325" s="3944" t="n"/>
      <c r="D325" s="3944" t="n"/>
      <c r="E325" s="3944" t="n"/>
      <c r="F325" s="3944" t="n"/>
      <c r="G325" s="3944" t="n"/>
      <c r="H325" s="3944" t="n"/>
      <c r="I325" s="3944" t="n"/>
      <c r="J325" s="3934" t="n"/>
      <c r="K325" s="3934" t="n"/>
      <c r="L325" s="3934" t="n"/>
      <c r="M325" s="3934" t="n"/>
      <c r="N325" s="3934" t="n"/>
      <c r="O325" s="3934" t="n"/>
      <c r="P325" s="3934" t="n"/>
      <c r="Q325" s="3934" t="n"/>
      <c r="R325" s="3934" t="n"/>
      <c r="S325" s="3934" t="n"/>
      <c r="T325" s="3934" t="n"/>
      <c r="U325" s="3934" t="n"/>
      <c r="V325" s="3934" t="n"/>
      <c r="W325" s="3934" t="n"/>
      <c r="X325" s="3934" t="n"/>
      <c r="Y325" s="3934" t="n"/>
      <c r="Z325" s="3934" t="n"/>
      <c r="AA325" s="3934" t="n"/>
      <c r="AB325" s="3934" t="n"/>
      <c r="AC325" s="3934" t="n"/>
      <c r="AD325" s="3934" t="n"/>
      <c r="AE325" s="3934" t="n"/>
      <c r="AF325" s="3934" t="n"/>
      <c r="AG325" s="3934" t="n"/>
      <c r="AH325" s="3934" t="n"/>
      <c r="AI325" s="3934" t="n"/>
      <c r="AJ325" s="3934" t="n"/>
      <c r="AK325" s="3934" t="n"/>
      <c r="AL325" s="3934" t="n"/>
      <c r="AM325" s="3934" t="n"/>
      <c r="AN325" s="3934" t="n"/>
      <c r="AO325" s="3934" t="n"/>
      <c r="AP325" s="3934" t="n"/>
      <c r="AQ325" s="3934" t="n"/>
      <c r="AR325" s="3934" t="n"/>
    </row>
    <row r="326">
      <c r="A326" s="3944" t="n"/>
      <c r="B326" s="3944" t="n"/>
      <c r="C326" s="3944" t="n"/>
      <c r="D326" s="3944" t="n"/>
      <c r="E326" s="3944" t="n"/>
      <c r="F326" s="3944" t="n"/>
      <c r="G326" s="3944" t="n"/>
      <c r="H326" s="3944" t="n"/>
      <c r="I326" s="3944" t="n"/>
      <c r="J326" s="3934" t="n"/>
      <c r="K326" s="3934" t="n"/>
      <c r="L326" s="3934" t="n"/>
      <c r="M326" s="3934" t="n"/>
      <c r="N326" s="3934" t="n"/>
      <c r="O326" s="3934" t="n"/>
      <c r="P326" s="3934" t="n"/>
      <c r="Q326" s="3934" t="n"/>
      <c r="R326" s="3934" t="n"/>
      <c r="S326" s="3934" t="n"/>
      <c r="T326" s="3934" t="n"/>
      <c r="U326" s="3934" t="n"/>
      <c r="V326" s="3934" t="n"/>
      <c r="W326" s="3934" t="n"/>
      <c r="X326" s="3934" t="n"/>
      <c r="Y326" s="3934" t="n"/>
      <c r="Z326" s="3934" t="n"/>
      <c r="AA326" s="3934" t="n"/>
      <c r="AB326" s="3934" t="n"/>
      <c r="AC326" s="3934" t="n"/>
      <c r="AD326" s="3934" t="n"/>
      <c r="AE326" s="3934" t="n"/>
      <c r="AF326" s="3934" t="n"/>
      <c r="AG326" s="3934" t="n"/>
      <c r="AH326" s="3934" t="n"/>
      <c r="AI326" s="3934" t="n"/>
      <c r="AJ326" s="3934" t="n"/>
      <c r="AK326" s="3934" t="n"/>
      <c r="AL326" s="3934" t="n"/>
      <c r="AM326" s="3934" t="n"/>
      <c r="AN326" s="3934" t="n"/>
      <c r="AO326" s="3934" t="n"/>
      <c r="AP326" s="3934" t="n"/>
      <c r="AQ326" s="3934" t="n"/>
      <c r="AR326" s="3934" t="n"/>
    </row>
    <row r="327">
      <c r="A327" s="3944" t="n"/>
      <c r="B327" s="3944" t="n"/>
      <c r="C327" s="3944" t="n"/>
      <c r="D327" s="3944" t="n"/>
      <c r="E327" s="3944" t="n"/>
      <c r="F327" s="3944" t="n"/>
      <c r="G327" s="3944" t="n"/>
      <c r="H327" s="3944" t="n"/>
      <c r="I327" s="3944" t="n"/>
      <c r="J327" s="3934" t="n"/>
      <c r="K327" s="3934" t="n"/>
      <c r="L327" s="3934" t="n"/>
      <c r="M327" s="3934" t="n"/>
      <c r="N327" s="3934" t="n"/>
      <c r="O327" s="3934" t="n"/>
      <c r="P327" s="3934" t="n"/>
      <c r="Q327" s="3934" t="n"/>
      <c r="R327" s="3934" t="n"/>
      <c r="S327" s="3934" t="n"/>
      <c r="T327" s="3934" t="n"/>
      <c r="U327" s="3934" t="n"/>
      <c r="V327" s="3934" t="n"/>
      <c r="W327" s="3934" t="n"/>
      <c r="X327" s="3934" t="n"/>
      <c r="Y327" s="3934" t="n"/>
      <c r="Z327" s="3934" t="n"/>
      <c r="AA327" s="3934" t="n"/>
      <c r="AB327" s="3934" t="n"/>
      <c r="AC327" s="3934" t="n"/>
      <c r="AD327" s="3934" t="n"/>
      <c r="AE327" s="3934" t="n"/>
      <c r="AF327" s="3934" t="n"/>
      <c r="AG327" s="3934" t="n"/>
      <c r="AH327" s="3934" t="n"/>
      <c r="AI327" s="3934" t="n"/>
      <c r="AJ327" s="3934" t="n"/>
      <c r="AK327" s="3934" t="n"/>
      <c r="AL327" s="3934" t="n"/>
      <c r="AM327" s="3934" t="n"/>
      <c r="AN327" s="3934" t="n"/>
      <c r="AO327" s="3934" t="n"/>
      <c r="AP327" s="3934" t="n"/>
      <c r="AQ327" s="3934" t="n"/>
      <c r="AR327" s="3934" t="n"/>
    </row>
    <row r="328">
      <c r="A328" s="3944" t="n"/>
      <c r="B328" s="3944" t="n"/>
      <c r="C328" s="3944" t="n"/>
      <c r="D328" s="3944" t="n"/>
      <c r="E328" s="3944" t="n"/>
      <c r="F328" s="3944" t="n"/>
      <c r="G328" s="3944" t="n"/>
      <c r="H328" s="3944" t="n"/>
      <c r="I328" s="3944" t="n"/>
      <c r="J328" s="3934" t="n"/>
      <c r="K328" s="3934" t="n"/>
      <c r="L328" s="3934" t="n"/>
      <c r="M328" s="3934" t="n"/>
      <c r="N328" s="3934" t="n"/>
      <c r="O328" s="3934" t="n"/>
      <c r="P328" s="3934" t="n"/>
      <c r="Q328" s="3934" t="n"/>
      <c r="R328" s="3934" t="n"/>
      <c r="S328" s="3934" t="n"/>
      <c r="T328" s="3934" t="n"/>
      <c r="U328" s="3934" t="n"/>
      <c r="V328" s="3934" t="n"/>
      <c r="W328" s="3934" t="n"/>
      <c r="X328" s="3934" t="n"/>
      <c r="Y328" s="3934" t="n"/>
      <c r="Z328" s="3934" t="n"/>
      <c r="AA328" s="3934" t="n"/>
      <c r="AB328" s="3934" t="n"/>
      <c r="AC328" s="3934" t="n"/>
      <c r="AD328" s="3934" t="n"/>
      <c r="AE328" s="3934" t="n"/>
      <c r="AF328" s="3934" t="n"/>
      <c r="AG328" s="3934" t="n"/>
      <c r="AH328" s="3934" t="n"/>
      <c r="AI328" s="3934" t="n"/>
      <c r="AJ328" s="3934" t="n"/>
      <c r="AK328" s="3934" t="n"/>
      <c r="AL328" s="3934" t="n"/>
      <c r="AM328" s="3934" t="n"/>
      <c r="AN328" s="3934" t="n"/>
      <c r="AO328" s="3934" t="n"/>
      <c r="AP328" s="3934" t="n"/>
      <c r="AQ328" s="3934" t="n"/>
      <c r="AR328" s="3934" t="n"/>
    </row>
    <row r="329">
      <c r="A329" s="3944" t="n"/>
      <c r="B329" s="3944" t="n"/>
      <c r="C329" s="3944" t="n"/>
      <c r="D329" s="3944" t="n"/>
      <c r="E329" s="3944" t="n"/>
      <c r="F329" s="3944" t="n"/>
      <c r="G329" s="3944" t="n"/>
      <c r="H329" s="3944" t="n"/>
      <c r="I329" s="3944" t="n"/>
      <c r="J329" s="3934" t="n"/>
      <c r="K329" s="3934" t="n"/>
      <c r="L329" s="3934" t="n"/>
      <c r="M329" s="3934" t="n"/>
      <c r="N329" s="3934" t="n"/>
      <c r="O329" s="3934" t="n"/>
      <c r="P329" s="3934" t="n"/>
      <c r="Q329" s="3934" t="n"/>
      <c r="R329" s="3934" t="n"/>
      <c r="S329" s="3934" t="n"/>
      <c r="T329" s="3934" t="n"/>
      <c r="U329" s="3934" t="n"/>
      <c r="V329" s="3934" t="n"/>
      <c r="W329" s="3934" t="n"/>
      <c r="X329" s="3934" t="n"/>
      <c r="Y329" s="3934" t="n"/>
      <c r="Z329" s="3934" t="n"/>
      <c r="AA329" s="3934" t="n"/>
      <c r="AB329" s="3934" t="n"/>
      <c r="AC329" s="3934" t="n"/>
      <c r="AD329" s="3934" t="n"/>
      <c r="AE329" s="3934" t="n"/>
      <c r="AF329" s="3934" t="n"/>
      <c r="AG329" s="3934" t="n"/>
      <c r="AH329" s="3934" t="n"/>
      <c r="AI329" s="3934" t="n"/>
      <c r="AJ329" s="3934" t="n"/>
      <c r="AK329" s="3934" t="n"/>
      <c r="AL329" s="3934" t="n"/>
      <c r="AM329" s="3934" t="n"/>
      <c r="AN329" s="3934" t="n"/>
      <c r="AO329" s="3934" t="n"/>
      <c r="AP329" s="3934" t="n"/>
      <c r="AQ329" s="3934" t="n"/>
      <c r="AR329" s="3934" t="n"/>
    </row>
    <row r="330">
      <c r="A330" s="3944" t="n"/>
      <c r="B330" s="3944" t="n"/>
      <c r="C330" s="3944" t="n"/>
      <c r="D330" s="3944" t="n"/>
      <c r="E330" s="3944" t="n"/>
      <c r="F330" s="3944" t="n"/>
      <c r="G330" s="3944" t="n"/>
      <c r="H330" s="3944" t="n"/>
      <c r="I330" s="3944" t="n"/>
      <c r="J330" s="3934" t="n"/>
      <c r="K330" s="3934" t="n"/>
      <c r="L330" s="3934" t="n"/>
      <c r="M330" s="3934" t="n"/>
      <c r="N330" s="3934" t="n"/>
      <c r="O330" s="3934" t="n"/>
      <c r="P330" s="3934" t="n"/>
      <c r="Q330" s="3934" t="n"/>
      <c r="R330" s="3934" t="n"/>
      <c r="S330" s="3934" t="n"/>
      <c r="T330" s="3934" t="n"/>
      <c r="U330" s="3934" t="n"/>
      <c r="V330" s="3934" t="n"/>
      <c r="W330" s="3934" t="n"/>
      <c r="X330" s="3934" t="n"/>
      <c r="Y330" s="3934" t="n"/>
      <c r="Z330" s="3934" t="n"/>
      <c r="AA330" s="3934" t="n"/>
      <c r="AB330" s="3934" t="n"/>
      <c r="AC330" s="3934" t="n"/>
      <c r="AD330" s="3934" t="n"/>
      <c r="AE330" s="3934" t="n"/>
      <c r="AF330" s="3934" t="n"/>
      <c r="AG330" s="3934" t="n"/>
      <c r="AH330" s="3934" t="n"/>
      <c r="AI330" s="3934" t="n"/>
      <c r="AJ330" s="3934" t="n"/>
      <c r="AK330" s="3934" t="n"/>
      <c r="AL330" s="3934" t="n"/>
      <c r="AM330" s="3934" t="n"/>
      <c r="AN330" s="3934" t="n"/>
      <c r="AO330" s="3934" t="n"/>
      <c r="AP330" s="3934" t="n"/>
      <c r="AQ330" s="3934" t="n"/>
      <c r="AR330" s="3934" t="n"/>
    </row>
    <row r="331">
      <c r="A331" s="3944" t="n"/>
      <c r="B331" s="3944" t="n"/>
      <c r="C331" s="3944" t="n"/>
      <c r="D331" s="3944" t="n"/>
      <c r="E331" s="3944" t="n"/>
      <c r="F331" s="3944" t="n"/>
      <c r="G331" s="3944" t="n"/>
      <c r="H331" s="3944" t="n"/>
      <c r="I331" s="3944" t="n"/>
      <c r="J331" s="3934" t="n"/>
      <c r="K331" s="3934" t="n"/>
      <c r="L331" s="3934" t="n"/>
      <c r="M331" s="3934" t="n"/>
      <c r="N331" s="3934" t="n"/>
      <c r="O331" s="3934" t="n"/>
      <c r="P331" s="3934" t="n"/>
      <c r="Q331" s="3934" t="n"/>
      <c r="R331" s="3934" t="n"/>
      <c r="S331" s="3934" t="n"/>
      <c r="T331" s="3934" t="n"/>
      <c r="U331" s="3934" t="n"/>
      <c r="V331" s="3934" t="n"/>
      <c r="W331" s="3934" t="n"/>
      <c r="X331" s="3934" t="n"/>
      <c r="Y331" s="3934" t="n"/>
      <c r="Z331" s="3934" t="n"/>
      <c r="AA331" s="3934" t="n"/>
      <c r="AB331" s="3934" t="n"/>
      <c r="AC331" s="3934" t="n"/>
      <c r="AD331" s="3934" t="n"/>
      <c r="AE331" s="3934" t="n"/>
      <c r="AF331" s="3934" t="n"/>
      <c r="AG331" s="3934" t="n"/>
      <c r="AH331" s="3934" t="n"/>
      <c r="AI331" s="3934" t="n"/>
      <c r="AJ331" s="3934" t="n"/>
      <c r="AK331" s="3934" t="n"/>
      <c r="AL331" s="3934" t="n"/>
      <c r="AM331" s="3934" t="n"/>
      <c r="AN331" s="3934" t="n"/>
      <c r="AO331" s="3934" t="n"/>
      <c r="AP331" s="3934" t="n"/>
      <c r="AQ331" s="3934" t="n"/>
      <c r="AR331" s="3934" t="n"/>
    </row>
    <row r="332">
      <c r="A332" s="3944" t="n"/>
      <c r="B332" s="3944" t="n"/>
      <c r="C332" s="3944" t="n"/>
      <c r="D332" s="3944" t="n"/>
      <c r="E332" s="3944" t="n"/>
      <c r="F332" s="3944" t="n"/>
      <c r="G332" s="3944" t="n"/>
      <c r="H332" s="3944" t="n"/>
      <c r="I332" s="3944" t="n"/>
      <c r="J332" s="3934" t="n"/>
      <c r="K332" s="3934" t="n"/>
      <c r="L332" s="3934" t="n"/>
      <c r="M332" s="3934" t="n"/>
      <c r="N332" s="3934" t="n"/>
      <c r="O332" s="3934" t="n"/>
      <c r="P332" s="3934" t="n"/>
      <c r="Q332" s="3934" t="n"/>
      <c r="R332" s="3934" t="n"/>
      <c r="S332" s="3934" t="n"/>
      <c r="T332" s="3934" t="n"/>
      <c r="U332" s="3934" t="n"/>
      <c r="V332" s="3934" t="n"/>
      <c r="W332" s="3934" t="n"/>
      <c r="X332" s="3934" t="n"/>
      <c r="Y332" s="3934" t="n"/>
      <c r="Z332" s="3934" t="n"/>
      <c r="AA332" s="3934" t="n"/>
      <c r="AB332" s="3934" t="n"/>
      <c r="AC332" s="3934" t="n"/>
      <c r="AD332" s="3934" t="n"/>
      <c r="AE332" s="3934" t="n"/>
      <c r="AF332" s="3934" t="n"/>
      <c r="AG332" s="3934" t="n"/>
      <c r="AH332" s="3934" t="n"/>
      <c r="AI332" s="3934" t="n"/>
      <c r="AJ332" s="3934" t="n"/>
      <c r="AK332" s="3934" t="n"/>
      <c r="AL332" s="3934" t="n"/>
      <c r="AM332" s="3934" t="n"/>
      <c r="AN332" s="3934" t="n"/>
      <c r="AO332" s="3934" t="n"/>
      <c r="AP332" s="3934" t="n"/>
      <c r="AQ332" s="3934" t="n"/>
      <c r="AR332" s="3934" t="n"/>
    </row>
    <row r="333">
      <c r="A333" s="3944" t="n"/>
      <c r="B333" s="3944" t="n"/>
      <c r="C333" s="3944" t="n"/>
      <c r="D333" s="3944" t="n"/>
      <c r="E333" s="3944" t="n"/>
      <c r="F333" s="3944" t="n"/>
      <c r="G333" s="3944" t="n"/>
      <c r="H333" s="3944" t="n"/>
      <c r="I333" s="3944" t="n"/>
      <c r="J333" s="3934" t="n"/>
      <c r="K333" s="3934" t="n"/>
      <c r="L333" s="3934" t="n"/>
      <c r="M333" s="3934" t="n"/>
      <c r="N333" s="3934" t="n"/>
      <c r="O333" s="3934" t="n"/>
      <c r="P333" s="3934" t="n"/>
      <c r="Q333" s="3934" t="n"/>
      <c r="R333" s="3934" t="n"/>
      <c r="S333" s="3934" t="n"/>
      <c r="T333" s="3934" t="n"/>
      <c r="U333" s="3934" t="n"/>
      <c r="V333" s="3934" t="n"/>
      <c r="W333" s="3934" t="n"/>
      <c r="X333" s="3934" t="n"/>
      <c r="Y333" s="3934" t="n"/>
      <c r="Z333" s="3934" t="n"/>
      <c r="AA333" s="3934" t="n"/>
      <c r="AB333" s="3934" t="n"/>
      <c r="AC333" s="3934" t="n"/>
      <c r="AD333" s="3934" t="n"/>
      <c r="AE333" s="3934" t="n"/>
      <c r="AF333" s="3934" t="n"/>
      <c r="AG333" s="3934" t="n"/>
      <c r="AH333" s="3934" t="n"/>
      <c r="AI333" s="3934" t="n"/>
      <c r="AJ333" s="3934" t="n"/>
      <c r="AK333" s="3934" t="n"/>
      <c r="AL333" s="3934" t="n"/>
      <c r="AM333" s="3934" t="n"/>
      <c r="AN333" s="3934" t="n"/>
      <c r="AO333" s="3934" t="n"/>
      <c r="AP333" s="3934" t="n"/>
      <c r="AQ333" s="3934" t="n"/>
      <c r="AR333" s="3934" t="n"/>
    </row>
    <row r="334">
      <c r="A334" s="3944" t="n"/>
      <c r="B334" s="3944" t="n"/>
      <c r="C334" s="3944" t="n"/>
      <c r="D334" s="3944" t="n"/>
      <c r="E334" s="3944" t="n"/>
      <c r="F334" s="3944" t="n"/>
      <c r="G334" s="3944" t="n"/>
      <c r="H334" s="3944" t="n"/>
      <c r="I334" s="3944" t="n"/>
      <c r="J334" s="3934" t="n"/>
      <c r="K334" s="3934" t="n"/>
      <c r="L334" s="3934" t="n"/>
      <c r="M334" s="3934" t="n"/>
      <c r="N334" s="3934" t="n"/>
      <c r="O334" s="3934" t="n"/>
      <c r="P334" s="3934" t="n"/>
      <c r="Q334" s="3934" t="n"/>
      <c r="R334" s="3934" t="n"/>
      <c r="S334" s="3934" t="n"/>
      <c r="T334" s="3934" t="n"/>
      <c r="U334" s="3934" t="n"/>
      <c r="V334" s="3934" t="n"/>
      <c r="W334" s="3934" t="n"/>
      <c r="X334" s="3934" t="n"/>
      <c r="Y334" s="3934" t="n"/>
      <c r="Z334" s="3934" t="n"/>
      <c r="AA334" s="3934" t="n"/>
      <c r="AB334" s="3934" t="n"/>
      <c r="AC334" s="3934" t="n"/>
      <c r="AD334" s="3934" t="n"/>
      <c r="AE334" s="3934" t="n"/>
      <c r="AF334" s="3934" t="n"/>
      <c r="AG334" s="3934" t="n"/>
      <c r="AH334" s="3934" t="n"/>
      <c r="AI334" s="3934" t="n"/>
      <c r="AJ334" s="3934" t="n"/>
      <c r="AK334" s="3934" t="n"/>
      <c r="AL334" s="3934" t="n"/>
      <c r="AM334" s="3934" t="n"/>
      <c r="AN334" s="3934" t="n"/>
      <c r="AO334" s="3934" t="n"/>
      <c r="AP334" s="3934" t="n"/>
      <c r="AQ334" s="3934" t="n"/>
      <c r="AR334" s="3934" t="n"/>
    </row>
    <row r="335">
      <c r="A335" s="3944" t="n"/>
      <c r="B335" s="3944" t="n"/>
      <c r="C335" s="3944" t="n"/>
      <c r="D335" s="3944" t="n"/>
      <c r="E335" s="3944" t="n"/>
      <c r="F335" s="3944" t="n"/>
      <c r="G335" s="3944" t="n"/>
      <c r="H335" s="3944" t="n"/>
      <c r="I335" s="3944" t="n"/>
      <c r="J335" s="3934" t="n"/>
      <c r="K335" s="3934" t="n"/>
      <c r="L335" s="3934" t="n"/>
      <c r="M335" s="3934" t="n"/>
      <c r="N335" s="3934" t="n"/>
      <c r="O335" s="3934" t="n"/>
      <c r="P335" s="3934" t="n"/>
      <c r="Q335" s="3934" t="n"/>
      <c r="R335" s="3934" t="n"/>
      <c r="S335" s="3934" t="n"/>
      <c r="T335" s="3934" t="n"/>
      <c r="U335" s="3934" t="n"/>
      <c r="V335" s="3934" t="n"/>
      <c r="W335" s="3934" t="n"/>
      <c r="X335" s="3934" t="n"/>
      <c r="Y335" s="3934" t="n"/>
      <c r="Z335" s="3934" t="n"/>
      <c r="AA335" s="3934" t="n"/>
      <c r="AB335" s="3934" t="n"/>
      <c r="AC335" s="3934" t="n"/>
      <c r="AD335" s="3934" t="n"/>
      <c r="AE335" s="3934" t="n"/>
      <c r="AF335" s="3934" t="n"/>
      <c r="AG335" s="3934" t="n"/>
      <c r="AH335" s="3934" t="n"/>
      <c r="AI335" s="3934" t="n"/>
      <c r="AJ335" s="3934" t="n"/>
      <c r="AK335" s="3934" t="n"/>
      <c r="AL335" s="3934" t="n"/>
      <c r="AM335" s="3934" t="n"/>
      <c r="AN335" s="3934" t="n"/>
      <c r="AO335" s="3934" t="n"/>
      <c r="AP335" s="3934" t="n"/>
      <c r="AQ335" s="3934" t="n"/>
      <c r="AR335" s="3934" t="n"/>
    </row>
    <row r="336">
      <c r="A336" s="3944" t="n"/>
      <c r="B336" s="3944" t="n"/>
      <c r="C336" s="3944" t="n"/>
      <c r="D336" s="3944" t="n"/>
      <c r="E336" s="3944" t="n"/>
      <c r="F336" s="3944" t="n"/>
      <c r="G336" s="3944" t="n"/>
      <c r="H336" s="3944" t="n"/>
      <c r="I336" s="3944" t="n"/>
      <c r="J336" s="3934" t="n"/>
      <c r="K336" s="3934" t="n"/>
      <c r="L336" s="3934" t="n"/>
      <c r="M336" s="3934" t="n"/>
      <c r="N336" s="3934" t="n"/>
      <c r="O336" s="3934" t="n"/>
      <c r="P336" s="3934" t="n"/>
      <c r="Q336" s="3934" t="n"/>
      <c r="R336" s="3934" t="n"/>
      <c r="S336" s="3934" t="n"/>
      <c r="T336" s="3934" t="n"/>
      <c r="U336" s="3934" t="n"/>
      <c r="V336" s="3934" t="n"/>
      <c r="W336" s="3934" t="n"/>
      <c r="X336" s="3934" t="n"/>
      <c r="Y336" s="3934" t="n"/>
      <c r="Z336" s="3934" t="n"/>
      <c r="AA336" s="3934" t="n"/>
      <c r="AB336" s="3934" t="n"/>
      <c r="AC336" s="3934" t="n"/>
      <c r="AD336" s="3934" t="n"/>
      <c r="AE336" s="3934" t="n"/>
      <c r="AF336" s="3934" t="n"/>
      <c r="AG336" s="3934" t="n"/>
      <c r="AH336" s="3934" t="n"/>
      <c r="AI336" s="3934" t="n"/>
      <c r="AJ336" s="3934" t="n"/>
      <c r="AK336" s="3934" t="n"/>
      <c r="AL336" s="3934" t="n"/>
      <c r="AM336" s="3934" t="n"/>
      <c r="AN336" s="3934" t="n"/>
      <c r="AO336" s="3934" t="n"/>
      <c r="AP336" s="3934" t="n"/>
      <c r="AQ336" s="3934" t="n"/>
      <c r="AR336" s="3934" t="n"/>
    </row>
    <row r="337">
      <c r="A337" s="3944" t="n"/>
      <c r="B337" s="3944" t="n"/>
      <c r="C337" s="3944" t="n"/>
      <c r="D337" s="3944" t="n"/>
      <c r="E337" s="3944" t="n"/>
      <c r="F337" s="3944" t="n"/>
      <c r="G337" s="3944" t="n"/>
      <c r="H337" s="3944" t="n"/>
      <c r="I337" s="3944" t="n"/>
      <c r="J337" s="3934" t="n"/>
      <c r="K337" s="3934" t="n"/>
      <c r="L337" s="3934" t="n"/>
      <c r="M337" s="3934" t="n"/>
      <c r="N337" s="3934" t="n"/>
      <c r="O337" s="3934" t="n"/>
      <c r="P337" s="3934" t="n"/>
      <c r="Q337" s="3934" t="n"/>
      <c r="R337" s="3934" t="n"/>
      <c r="S337" s="3934" t="n"/>
      <c r="T337" s="3934" t="n"/>
      <c r="U337" s="3934" t="n"/>
      <c r="V337" s="3934" t="n"/>
      <c r="W337" s="3934" t="n"/>
      <c r="X337" s="3934" t="n"/>
      <c r="Y337" s="3934" t="n"/>
      <c r="Z337" s="3934" t="n"/>
      <c r="AA337" s="3934" t="n"/>
      <c r="AB337" s="3934" t="n"/>
      <c r="AC337" s="3934" t="n"/>
      <c r="AD337" s="3934" t="n"/>
      <c r="AE337" s="3934" t="n"/>
      <c r="AF337" s="3934" t="n"/>
      <c r="AG337" s="3934" t="n"/>
      <c r="AH337" s="3934" t="n"/>
      <c r="AI337" s="3934" t="n"/>
      <c r="AJ337" s="3934" t="n"/>
      <c r="AK337" s="3934" t="n"/>
      <c r="AL337" s="3934" t="n"/>
      <c r="AM337" s="3934" t="n"/>
      <c r="AN337" s="3934" t="n"/>
      <c r="AO337" s="3934" t="n"/>
      <c r="AP337" s="3934" t="n"/>
      <c r="AQ337" s="3934" t="n"/>
      <c r="AR337" s="3934" t="n"/>
    </row>
    <row r="338">
      <c r="A338" s="3944" t="n"/>
      <c r="B338" s="3944" t="n"/>
      <c r="C338" s="3944" t="n"/>
      <c r="D338" s="3944" t="n"/>
      <c r="E338" s="3944" t="n"/>
      <c r="F338" s="3944" t="n"/>
      <c r="G338" s="3944" t="n"/>
      <c r="H338" s="3944" t="n"/>
      <c r="I338" s="3944" t="n"/>
      <c r="J338" s="3934" t="n"/>
      <c r="K338" s="3934" t="n"/>
      <c r="L338" s="3934" t="n"/>
      <c r="M338" s="3934" t="n"/>
      <c r="N338" s="3934" t="n"/>
      <c r="O338" s="3934" t="n"/>
      <c r="P338" s="3934" t="n"/>
      <c r="Q338" s="3934" t="n"/>
      <c r="R338" s="3934" t="n"/>
      <c r="S338" s="3934" t="n"/>
      <c r="T338" s="3934" t="n"/>
      <c r="U338" s="3934" t="n"/>
      <c r="V338" s="3934" t="n"/>
      <c r="W338" s="3934" t="n"/>
      <c r="X338" s="3934" t="n"/>
      <c r="Y338" s="3934" t="n"/>
      <c r="Z338" s="3934" t="n"/>
      <c r="AA338" s="3934" t="n"/>
      <c r="AB338" s="3934" t="n"/>
      <c r="AC338" s="3934" t="n"/>
      <c r="AD338" s="3934" t="n"/>
      <c r="AE338" s="3934" t="n"/>
      <c r="AF338" s="3934" t="n"/>
      <c r="AG338" s="3934" t="n"/>
      <c r="AH338" s="3934" t="n"/>
      <c r="AI338" s="3934" t="n"/>
      <c r="AJ338" s="3934" t="n"/>
      <c r="AK338" s="3934" t="n"/>
      <c r="AL338" s="3934" t="n"/>
      <c r="AM338" s="3934" t="n"/>
      <c r="AN338" s="3934" t="n"/>
      <c r="AO338" s="3934" t="n"/>
      <c r="AP338" s="3934" t="n"/>
      <c r="AQ338" s="3934" t="n"/>
      <c r="AR338" s="3934" t="n"/>
    </row>
    <row r="339">
      <c r="A339" s="3944" t="n"/>
      <c r="B339" s="3944" t="n"/>
      <c r="C339" s="3944" t="n"/>
      <c r="D339" s="3944" t="n"/>
      <c r="E339" s="3944" t="n"/>
      <c r="F339" s="3944" t="n"/>
      <c r="G339" s="3944" t="n"/>
      <c r="H339" s="3944" t="n"/>
      <c r="I339" s="3944" t="n"/>
      <c r="J339" s="3934" t="n"/>
      <c r="K339" s="3934" t="n"/>
      <c r="L339" s="3934" t="n"/>
      <c r="M339" s="3934" t="n"/>
      <c r="N339" s="3934" t="n"/>
      <c r="O339" s="3934" t="n"/>
      <c r="P339" s="3934" t="n"/>
      <c r="Q339" s="3934" t="n"/>
      <c r="R339" s="3934" t="n"/>
      <c r="S339" s="3934" t="n"/>
      <c r="T339" s="3934" t="n"/>
      <c r="U339" s="3934" t="n"/>
      <c r="V339" s="3934" t="n"/>
      <c r="W339" s="3934" t="n"/>
      <c r="X339" s="3934" t="n"/>
      <c r="Y339" s="3934" t="n"/>
      <c r="Z339" s="3934" t="n"/>
      <c r="AA339" s="3934" t="n"/>
      <c r="AB339" s="3934" t="n"/>
      <c r="AC339" s="3934" t="n"/>
      <c r="AD339" s="3934" t="n"/>
      <c r="AE339" s="3934" t="n"/>
      <c r="AF339" s="3934" t="n"/>
      <c r="AG339" s="3934" t="n"/>
      <c r="AH339" s="3934" t="n"/>
      <c r="AI339" s="3934" t="n"/>
      <c r="AJ339" s="3934" t="n"/>
      <c r="AK339" s="3934" t="n"/>
      <c r="AL339" s="3934" t="n"/>
      <c r="AM339" s="3934" t="n"/>
      <c r="AN339" s="3934" t="n"/>
      <c r="AO339" s="3934" t="n"/>
      <c r="AP339" s="3934" t="n"/>
      <c r="AQ339" s="3934" t="n"/>
      <c r="AR339" s="3934" t="n"/>
    </row>
    <row r="340">
      <c r="A340" s="3944" t="n"/>
      <c r="B340" s="3944" t="n"/>
      <c r="C340" s="3944" t="n"/>
      <c r="D340" s="3944" t="n"/>
      <c r="E340" s="3944" t="n"/>
      <c r="F340" s="3944" t="n"/>
      <c r="G340" s="3944" t="n"/>
      <c r="H340" s="3944" t="n"/>
      <c r="I340" s="3944" t="n"/>
      <c r="J340" s="3934" t="n"/>
      <c r="K340" s="3934" t="n"/>
      <c r="L340" s="3934" t="n"/>
      <c r="M340" s="3934" t="n"/>
      <c r="N340" s="3934" t="n"/>
      <c r="O340" s="3934" t="n"/>
      <c r="P340" s="3934" t="n"/>
      <c r="Q340" s="3934" t="n"/>
      <c r="R340" s="3934" t="n"/>
      <c r="S340" s="3934" t="n"/>
      <c r="T340" s="3934" t="n"/>
      <c r="U340" s="3934" t="n"/>
      <c r="V340" s="3934" t="n"/>
      <c r="W340" s="3934" t="n"/>
      <c r="X340" s="3934" t="n"/>
      <c r="Y340" s="3934" t="n"/>
      <c r="Z340" s="3934" t="n"/>
      <c r="AA340" s="3934" t="n"/>
      <c r="AB340" s="3934" t="n"/>
      <c r="AC340" s="3934" t="n"/>
      <c r="AD340" s="3934" t="n"/>
      <c r="AE340" s="3934" t="n"/>
      <c r="AF340" s="3934" t="n"/>
      <c r="AG340" s="3934" t="n"/>
      <c r="AH340" s="3934" t="n"/>
      <c r="AI340" s="3934" t="n"/>
      <c r="AJ340" s="3934" t="n"/>
      <c r="AK340" s="3934" t="n"/>
      <c r="AL340" s="3934" t="n"/>
      <c r="AM340" s="3934" t="n"/>
      <c r="AN340" s="3934" t="n"/>
      <c r="AO340" s="3934" t="n"/>
      <c r="AP340" s="3934" t="n"/>
      <c r="AQ340" s="3934" t="n"/>
      <c r="AR340" s="3934" t="n"/>
    </row>
    <row r="341">
      <c r="A341" s="3944" t="n"/>
      <c r="B341" s="3944" t="n"/>
      <c r="C341" s="3944" t="n"/>
      <c r="D341" s="3944" t="n"/>
      <c r="E341" s="3944" t="n"/>
      <c r="F341" s="3944" t="n"/>
      <c r="G341" s="3944" t="n"/>
      <c r="H341" s="3944" t="n"/>
      <c r="I341" s="3944" t="n"/>
      <c r="J341" s="3934" t="n"/>
      <c r="K341" s="3934" t="n"/>
      <c r="L341" s="3934" t="n"/>
      <c r="M341" s="3934" t="n"/>
      <c r="N341" s="3934" t="n"/>
      <c r="O341" s="3934" t="n"/>
      <c r="P341" s="3934" t="n"/>
      <c r="Q341" s="3934" t="n"/>
      <c r="R341" s="3934" t="n"/>
      <c r="S341" s="3934" t="n"/>
      <c r="T341" s="3934" t="n"/>
      <c r="U341" s="3934" t="n"/>
      <c r="V341" s="3934" t="n"/>
      <c r="W341" s="3934" t="n"/>
      <c r="X341" s="3934" t="n"/>
      <c r="Y341" s="3934" t="n"/>
      <c r="Z341" s="3934" t="n"/>
      <c r="AA341" s="3934" t="n"/>
      <c r="AB341" s="3934" t="n"/>
      <c r="AC341" s="3934" t="n"/>
      <c r="AD341" s="3934" t="n"/>
      <c r="AE341" s="3934" t="n"/>
      <c r="AF341" s="3934" t="n"/>
      <c r="AG341" s="3934" t="n"/>
      <c r="AH341" s="3934" t="n"/>
      <c r="AI341" s="3934" t="n"/>
      <c r="AJ341" s="3934" t="n"/>
      <c r="AK341" s="3934" t="n"/>
      <c r="AL341" s="3934" t="n"/>
      <c r="AM341" s="3934" t="n"/>
      <c r="AN341" s="3934" t="n"/>
      <c r="AO341" s="3934" t="n"/>
      <c r="AP341" s="3934" t="n"/>
      <c r="AQ341" s="3934" t="n"/>
      <c r="AR341" s="3934" t="n"/>
    </row>
    <row r="342">
      <c r="A342" s="3944" t="n"/>
      <c r="B342" s="3944" t="n"/>
      <c r="C342" s="3944" t="n"/>
      <c r="D342" s="3944" t="n"/>
      <c r="E342" s="3944" t="n"/>
      <c r="F342" s="3944" t="n"/>
      <c r="G342" s="3944" t="n"/>
      <c r="H342" s="3944" t="n"/>
      <c r="I342" s="3944" t="n"/>
      <c r="J342" s="3934" t="n"/>
      <c r="K342" s="3934" t="n"/>
      <c r="L342" s="3934" t="n"/>
      <c r="M342" s="3934" t="n"/>
      <c r="N342" s="3934" t="n"/>
      <c r="O342" s="3934" t="n"/>
      <c r="P342" s="3934" t="n"/>
      <c r="Q342" s="3934" t="n"/>
      <c r="R342" s="3934" t="n"/>
      <c r="S342" s="3934" t="n"/>
      <c r="T342" s="3934" t="n"/>
      <c r="U342" s="3934" t="n"/>
      <c r="V342" s="3934" t="n"/>
      <c r="W342" s="3934" t="n"/>
      <c r="X342" s="3934" t="n"/>
      <c r="Y342" s="3934" t="n"/>
      <c r="Z342" s="3934" t="n"/>
      <c r="AA342" s="3934" t="n"/>
      <c r="AB342" s="3934" t="n"/>
      <c r="AC342" s="3934" t="n"/>
      <c r="AD342" s="3934" t="n"/>
      <c r="AE342" s="3934" t="n"/>
      <c r="AF342" s="3934" t="n"/>
      <c r="AG342" s="3934" t="n"/>
      <c r="AH342" s="3934" t="n"/>
      <c r="AI342" s="3934" t="n"/>
      <c r="AJ342" s="3934" t="n"/>
      <c r="AK342" s="3934" t="n"/>
      <c r="AL342" s="3934" t="n"/>
      <c r="AM342" s="3934" t="n"/>
      <c r="AN342" s="3934" t="n"/>
      <c r="AO342" s="3934" t="n"/>
      <c r="AP342" s="3934" t="n"/>
      <c r="AQ342" s="3934" t="n"/>
      <c r="AR342" s="3934" t="n"/>
    </row>
    <row r="343">
      <c r="A343" s="3944" t="n"/>
      <c r="B343" s="3944" t="n"/>
      <c r="C343" s="3944" t="n"/>
      <c r="D343" s="3944" t="n"/>
      <c r="E343" s="3944" t="n"/>
      <c r="F343" s="3944" t="n"/>
      <c r="G343" s="3944" t="n"/>
      <c r="H343" s="3944" t="n"/>
      <c r="I343" s="3944" t="n"/>
      <c r="J343" s="3934" t="n"/>
      <c r="K343" s="3934" t="n"/>
      <c r="L343" s="3934" t="n"/>
      <c r="M343" s="3934" t="n"/>
      <c r="N343" s="3934" t="n"/>
      <c r="O343" s="3934" t="n"/>
      <c r="P343" s="3934" t="n"/>
      <c r="Q343" s="3934" t="n"/>
      <c r="R343" s="3934" t="n"/>
      <c r="S343" s="3934" t="n"/>
      <c r="T343" s="3934" t="n"/>
      <c r="U343" s="3934" t="n"/>
      <c r="V343" s="3934" t="n"/>
      <c r="W343" s="3934" t="n"/>
      <c r="X343" s="3934" t="n"/>
      <c r="Y343" s="3934" t="n"/>
      <c r="Z343" s="3934" t="n"/>
      <c r="AA343" s="3934" t="n"/>
      <c r="AB343" s="3934" t="n"/>
      <c r="AC343" s="3934" t="n"/>
      <c r="AD343" s="3934" t="n"/>
      <c r="AE343" s="3934" t="n"/>
      <c r="AF343" s="3934" t="n"/>
      <c r="AG343" s="3934" t="n"/>
      <c r="AH343" s="3934" t="n"/>
      <c r="AI343" s="3934" t="n"/>
      <c r="AJ343" s="3934" t="n"/>
      <c r="AK343" s="3934" t="n"/>
      <c r="AL343" s="3934" t="n"/>
      <c r="AM343" s="3934" t="n"/>
      <c r="AN343" s="3934" t="n"/>
      <c r="AO343" s="3934" t="n"/>
      <c r="AP343" s="3934" t="n"/>
      <c r="AQ343" s="3934" t="n"/>
      <c r="AR343" s="3934" t="n"/>
    </row>
    <row r="344">
      <c r="A344" s="3944" t="n"/>
      <c r="B344" s="3944" t="n"/>
      <c r="C344" s="3944" t="n"/>
      <c r="D344" s="3944" t="n"/>
      <c r="E344" s="3944" t="n"/>
      <c r="F344" s="3944" t="n"/>
      <c r="G344" s="3944" t="n"/>
      <c r="H344" s="3944" t="n"/>
      <c r="I344" s="3944" t="n"/>
      <c r="J344" s="3934" t="n"/>
      <c r="K344" s="3934" t="n"/>
      <c r="L344" s="3934" t="n"/>
      <c r="M344" s="3934" t="n"/>
      <c r="N344" s="3934" t="n"/>
      <c r="O344" s="3934" t="n"/>
      <c r="P344" s="3934" t="n"/>
      <c r="Q344" s="3934" t="n"/>
      <c r="R344" s="3934" t="n"/>
      <c r="S344" s="3934" t="n"/>
      <c r="T344" s="3934" t="n"/>
      <c r="U344" s="3934" t="n"/>
      <c r="V344" s="3934" t="n"/>
      <c r="W344" s="3934" t="n"/>
      <c r="X344" s="3934" t="n"/>
      <c r="Y344" s="3934" t="n"/>
      <c r="Z344" s="3934" t="n"/>
      <c r="AA344" s="3934" t="n"/>
      <c r="AB344" s="3934" t="n"/>
      <c r="AC344" s="3934" t="n"/>
      <c r="AD344" s="3934" t="n"/>
      <c r="AE344" s="3934" t="n"/>
      <c r="AF344" s="3934" t="n"/>
      <c r="AG344" s="3934" t="n"/>
      <c r="AH344" s="3934" t="n"/>
      <c r="AI344" s="3934" t="n"/>
      <c r="AJ344" s="3934" t="n"/>
      <c r="AK344" s="3934" t="n"/>
      <c r="AL344" s="3934" t="n"/>
      <c r="AM344" s="3934" t="n"/>
      <c r="AN344" s="3934" t="n"/>
      <c r="AO344" s="3934" t="n"/>
      <c r="AP344" s="3934" t="n"/>
      <c r="AQ344" s="3934" t="n"/>
      <c r="AR344" s="3934" t="n"/>
    </row>
    <row r="345">
      <c r="A345" s="3944" t="n"/>
      <c r="B345" s="3944" t="n"/>
      <c r="C345" s="3944" t="n"/>
      <c r="D345" s="3944" t="n"/>
      <c r="E345" s="3944" t="n"/>
      <c r="F345" s="3944" t="n"/>
      <c r="G345" s="3944" t="n"/>
      <c r="H345" s="3944" t="n"/>
      <c r="I345" s="3944" t="n"/>
      <c r="J345" s="3934" t="n"/>
      <c r="K345" s="3934" t="n"/>
      <c r="L345" s="3934" t="n"/>
      <c r="M345" s="3934" t="n"/>
      <c r="N345" s="3934" t="n"/>
      <c r="O345" s="3934" t="n"/>
      <c r="P345" s="3934" t="n"/>
      <c r="Q345" s="3934" t="n"/>
      <c r="R345" s="3934" t="n"/>
      <c r="S345" s="3934" t="n"/>
      <c r="T345" s="3934" t="n"/>
      <c r="U345" s="3934" t="n"/>
      <c r="V345" s="3934" t="n"/>
      <c r="W345" s="3934" t="n"/>
      <c r="X345" s="3934" t="n"/>
      <c r="Y345" s="3934" t="n"/>
      <c r="Z345" s="3934" t="n"/>
      <c r="AA345" s="3934" t="n"/>
      <c r="AB345" s="3934" t="n"/>
      <c r="AC345" s="3934" t="n"/>
      <c r="AD345" s="3934" t="n"/>
      <c r="AE345" s="3934" t="n"/>
      <c r="AF345" s="3934" t="n"/>
      <c r="AG345" s="3934" t="n"/>
      <c r="AH345" s="3934" t="n"/>
      <c r="AI345" s="3934" t="n"/>
      <c r="AJ345" s="3934" t="n"/>
      <c r="AK345" s="3934" t="n"/>
      <c r="AL345" s="3934" t="n"/>
      <c r="AM345" s="3934" t="n"/>
      <c r="AN345" s="3934" t="n"/>
      <c r="AO345" s="3934" t="n"/>
      <c r="AP345" s="3934" t="n"/>
      <c r="AQ345" s="3934" t="n"/>
      <c r="AR345" s="3934" t="n"/>
    </row>
    <row r="346">
      <c r="A346" s="3944" t="n"/>
      <c r="B346" s="3944" t="n"/>
      <c r="C346" s="3944" t="n"/>
      <c r="D346" s="3944" t="n"/>
      <c r="E346" s="3944" t="n"/>
      <c r="F346" s="3944" t="n"/>
      <c r="G346" s="3944" t="n"/>
      <c r="H346" s="3944" t="n"/>
      <c r="I346" s="3944" t="n"/>
      <c r="J346" s="3934" t="n"/>
      <c r="K346" s="3934" t="n"/>
      <c r="L346" s="3934" t="n"/>
      <c r="M346" s="3934" t="n"/>
      <c r="N346" s="3934" t="n"/>
      <c r="O346" s="3934" t="n"/>
      <c r="P346" s="3934" t="n"/>
      <c r="Q346" s="3934" t="n"/>
      <c r="R346" s="3934" t="n"/>
      <c r="S346" s="3934" t="n"/>
      <c r="T346" s="3934" t="n"/>
      <c r="U346" s="3934" t="n"/>
      <c r="V346" s="3934" t="n"/>
      <c r="W346" s="3934" t="n"/>
      <c r="X346" s="3934" t="n"/>
      <c r="Y346" s="3934" t="n"/>
      <c r="Z346" s="3934" t="n"/>
      <c r="AA346" s="3934" t="n"/>
      <c r="AB346" s="3934" t="n"/>
      <c r="AC346" s="3934" t="n"/>
      <c r="AD346" s="3934" t="n"/>
      <c r="AE346" s="3934" t="n"/>
      <c r="AF346" s="3934" t="n"/>
      <c r="AG346" s="3934" t="n"/>
      <c r="AH346" s="3934" t="n"/>
      <c r="AI346" s="3934" t="n"/>
      <c r="AJ346" s="3934" t="n"/>
      <c r="AK346" s="3934" t="n"/>
      <c r="AL346" s="3934" t="n"/>
      <c r="AM346" s="3934" t="n"/>
      <c r="AN346" s="3934" t="n"/>
      <c r="AO346" s="3934" t="n"/>
      <c r="AP346" s="3934" t="n"/>
      <c r="AQ346" s="3934" t="n"/>
      <c r="AR346" s="3934" t="n"/>
    </row>
    <row r="347">
      <c r="A347" s="3944" t="n"/>
      <c r="B347" s="3944" t="n"/>
      <c r="C347" s="3944" t="n"/>
      <c r="D347" s="3944" t="n"/>
      <c r="E347" s="3944" t="n"/>
      <c r="F347" s="3944" t="n"/>
      <c r="G347" s="3944" t="n"/>
      <c r="H347" s="3944" t="n"/>
      <c r="I347" s="3944" t="n"/>
      <c r="J347" s="3934" t="n"/>
      <c r="K347" s="3934" t="n"/>
      <c r="L347" s="3934" t="n"/>
      <c r="M347" s="3934" t="n"/>
      <c r="N347" s="3934" t="n"/>
      <c r="O347" s="3934" t="n"/>
      <c r="P347" s="3934" t="n"/>
      <c r="Q347" s="3934" t="n"/>
      <c r="R347" s="3934" t="n"/>
      <c r="S347" s="3934" t="n"/>
      <c r="T347" s="3934" t="n"/>
      <c r="U347" s="3934" t="n"/>
      <c r="V347" s="3934" t="n"/>
      <c r="W347" s="3934" t="n"/>
      <c r="X347" s="3934" t="n"/>
      <c r="Y347" s="3934" t="n"/>
      <c r="Z347" s="3934" t="n"/>
      <c r="AA347" s="3934" t="n"/>
      <c r="AB347" s="3934" t="n"/>
      <c r="AC347" s="3934" t="n"/>
      <c r="AD347" s="3934" t="n"/>
      <c r="AE347" s="3934" t="n"/>
      <c r="AF347" s="3934" t="n"/>
      <c r="AG347" s="3934" t="n"/>
      <c r="AH347" s="3934" t="n"/>
      <c r="AI347" s="3934" t="n"/>
      <c r="AJ347" s="3934" t="n"/>
      <c r="AK347" s="3934" t="n"/>
      <c r="AL347" s="3934" t="n"/>
      <c r="AM347" s="3934" t="n"/>
      <c r="AN347" s="3934" t="n"/>
      <c r="AO347" s="3934" t="n"/>
      <c r="AP347" s="3934" t="n"/>
      <c r="AQ347" s="3934" t="n"/>
      <c r="AR347" s="3934" t="n"/>
    </row>
    <row r="348">
      <c r="A348" s="3944" t="n"/>
      <c r="B348" s="3944" t="n"/>
      <c r="C348" s="3944" t="n"/>
      <c r="D348" s="3944" t="n"/>
      <c r="E348" s="3944" t="n"/>
      <c r="F348" s="3944" t="n"/>
      <c r="G348" s="3944" t="n"/>
      <c r="H348" s="3944" t="n"/>
      <c r="I348" s="3944" t="n"/>
      <c r="J348" s="3934" t="n"/>
      <c r="K348" s="3934" t="n"/>
      <c r="L348" s="3934" t="n"/>
      <c r="M348" s="3934" t="n"/>
      <c r="N348" s="3934" t="n"/>
      <c r="O348" s="3934" t="n"/>
      <c r="P348" s="3934" t="n"/>
      <c r="Q348" s="3934" t="n"/>
      <c r="R348" s="3934" t="n"/>
      <c r="S348" s="3934" t="n"/>
      <c r="T348" s="3934" t="n"/>
      <c r="U348" s="3934" t="n"/>
      <c r="V348" s="3934" t="n"/>
      <c r="W348" s="3934" t="n"/>
      <c r="X348" s="3934" t="n"/>
      <c r="Y348" s="3934" t="n"/>
      <c r="Z348" s="3934" t="n"/>
      <c r="AA348" s="3934" t="n"/>
      <c r="AB348" s="3934" t="n"/>
      <c r="AC348" s="3934" t="n"/>
      <c r="AD348" s="3934" t="n"/>
      <c r="AE348" s="3934" t="n"/>
      <c r="AF348" s="3934" t="n"/>
      <c r="AG348" s="3934" t="n"/>
      <c r="AH348" s="3934" t="n"/>
      <c r="AI348" s="3934" t="n"/>
      <c r="AJ348" s="3934" t="n"/>
      <c r="AK348" s="3934" t="n"/>
      <c r="AL348" s="3934" t="n"/>
      <c r="AM348" s="3934" t="n"/>
      <c r="AN348" s="3934" t="n"/>
      <c r="AO348" s="3934" t="n"/>
      <c r="AP348" s="3934" t="n"/>
      <c r="AQ348" s="3934" t="n"/>
      <c r="AR348" s="3934" t="n"/>
    </row>
    <row r="349">
      <c r="A349" s="3944" t="n"/>
      <c r="B349" s="3944" t="n"/>
      <c r="C349" s="3944" t="n"/>
      <c r="D349" s="3944" t="n"/>
      <c r="E349" s="3944" t="n"/>
      <c r="F349" s="3944" t="n"/>
      <c r="G349" s="3944" t="n"/>
      <c r="H349" s="3944" t="n"/>
      <c r="I349" s="3944" t="n"/>
      <c r="J349" s="3934" t="n"/>
      <c r="K349" s="3934" t="n"/>
      <c r="L349" s="3934" t="n"/>
      <c r="M349" s="3934" t="n"/>
      <c r="N349" s="3934" t="n"/>
      <c r="O349" s="3934" t="n"/>
      <c r="P349" s="3934" t="n"/>
      <c r="Q349" s="3934" t="n"/>
      <c r="R349" s="3934" t="n"/>
      <c r="S349" s="3934" t="n"/>
      <c r="T349" s="3934" t="n"/>
      <c r="U349" s="3934" t="n"/>
      <c r="V349" s="3934" t="n"/>
      <c r="W349" s="3934" t="n"/>
      <c r="X349" s="3934" t="n"/>
      <c r="Y349" s="3934" t="n"/>
      <c r="Z349" s="3934" t="n"/>
      <c r="AA349" s="3934" t="n"/>
      <c r="AB349" s="3934" t="n"/>
      <c r="AC349" s="3934" t="n"/>
      <c r="AD349" s="3934" t="n"/>
      <c r="AE349" s="3934" t="n"/>
      <c r="AF349" s="3934" t="n"/>
      <c r="AG349" s="3934" t="n"/>
      <c r="AH349" s="3934" t="n"/>
      <c r="AI349" s="3934" t="n"/>
      <c r="AJ349" s="3934" t="n"/>
      <c r="AK349" s="3934" t="n"/>
      <c r="AL349" s="3934" t="n"/>
      <c r="AM349" s="3934" t="n"/>
      <c r="AN349" s="3934" t="n"/>
      <c r="AO349" s="3934" t="n"/>
      <c r="AP349" s="3934" t="n"/>
      <c r="AQ349" s="3934" t="n"/>
      <c r="AR349" s="3934" t="n"/>
    </row>
    <row r="350">
      <c r="A350" s="3944" t="n"/>
      <c r="B350" s="3944" t="n"/>
      <c r="C350" s="3944" t="n"/>
      <c r="D350" s="3944" t="n"/>
      <c r="E350" s="3944" t="n"/>
      <c r="F350" s="3944" t="n"/>
      <c r="G350" s="3944" t="n"/>
      <c r="H350" s="3944" t="n"/>
      <c r="I350" s="3944" t="n"/>
      <c r="J350" s="3934" t="n"/>
      <c r="K350" s="3934" t="n"/>
      <c r="L350" s="3934" t="n"/>
      <c r="M350" s="3934" t="n"/>
      <c r="N350" s="3934" t="n"/>
      <c r="O350" s="3934" t="n"/>
      <c r="P350" s="3934" t="n"/>
      <c r="Q350" s="3934" t="n"/>
      <c r="R350" s="3934" t="n"/>
      <c r="S350" s="3934" t="n"/>
      <c r="T350" s="3934" t="n"/>
      <c r="U350" s="3934" t="n"/>
      <c r="V350" s="3934" t="n"/>
      <c r="W350" s="3934" t="n"/>
      <c r="X350" s="3934" t="n"/>
      <c r="Y350" s="3934" t="n"/>
      <c r="Z350" s="3934" t="n"/>
      <c r="AA350" s="3934" t="n"/>
      <c r="AB350" s="3934" t="n"/>
      <c r="AC350" s="3934" t="n"/>
      <c r="AD350" s="3934" t="n"/>
      <c r="AE350" s="3934" t="n"/>
      <c r="AF350" s="3934" t="n"/>
      <c r="AG350" s="3934" t="n"/>
      <c r="AH350" s="3934" t="n"/>
      <c r="AI350" s="3934" t="n"/>
      <c r="AJ350" s="3934" t="n"/>
      <c r="AK350" s="3934" t="n"/>
      <c r="AL350" s="3934" t="n"/>
      <c r="AM350" s="3934" t="n"/>
      <c r="AN350" s="3934" t="n"/>
      <c r="AO350" s="3934" t="n"/>
      <c r="AP350" s="3934" t="n"/>
      <c r="AQ350" s="3934" t="n"/>
      <c r="AR350" s="3934" t="n"/>
    </row>
    <row r="351">
      <c r="A351" s="3944" t="n"/>
      <c r="B351" s="3944" t="n"/>
      <c r="C351" s="3944" t="n"/>
      <c r="D351" s="3944" t="n"/>
      <c r="E351" s="3944" t="n"/>
      <c r="F351" s="3944" t="n"/>
      <c r="G351" s="3944" t="n"/>
      <c r="H351" s="3944" t="n"/>
      <c r="I351" s="3944" t="n"/>
      <c r="J351" s="3934" t="n"/>
      <c r="K351" s="3934" t="n"/>
      <c r="L351" s="3934" t="n"/>
      <c r="M351" s="3934" t="n"/>
      <c r="N351" s="3934" t="n"/>
      <c r="O351" s="3934" t="n"/>
      <c r="P351" s="3934" t="n"/>
      <c r="Q351" s="3934" t="n"/>
      <c r="R351" s="3934" t="n"/>
      <c r="S351" s="3934" t="n"/>
      <c r="T351" s="3934" t="n"/>
      <c r="U351" s="3934" t="n"/>
      <c r="V351" s="3934" t="n"/>
      <c r="W351" s="3934" t="n"/>
      <c r="X351" s="3934" t="n"/>
      <c r="Y351" s="3934" t="n"/>
      <c r="Z351" s="3934" t="n"/>
      <c r="AA351" s="3934" t="n"/>
      <c r="AB351" s="3934" t="n"/>
      <c r="AC351" s="3934" t="n"/>
      <c r="AD351" s="3934" t="n"/>
      <c r="AE351" s="3934" t="n"/>
      <c r="AF351" s="3934" t="n"/>
      <c r="AG351" s="3934" t="n"/>
      <c r="AH351" s="3934" t="n"/>
      <c r="AI351" s="3934" t="n"/>
      <c r="AJ351" s="3934" t="n"/>
      <c r="AK351" s="3934" t="n"/>
      <c r="AL351" s="3934" t="n"/>
      <c r="AM351" s="3934" t="n"/>
      <c r="AN351" s="3934" t="n"/>
      <c r="AO351" s="3934" t="n"/>
      <c r="AP351" s="3934" t="n"/>
      <c r="AQ351" s="3934" t="n"/>
      <c r="AR351" s="3934" t="n"/>
    </row>
    <row r="352">
      <c r="A352" s="3944" t="n"/>
      <c r="B352" s="3944" t="n"/>
      <c r="C352" s="3944" t="n"/>
      <c r="D352" s="3944" t="n"/>
      <c r="E352" s="3944" t="n"/>
      <c r="F352" s="3944" t="n"/>
      <c r="G352" s="3944" t="n"/>
      <c r="H352" s="3944" t="n"/>
      <c r="I352" s="3944" t="n"/>
      <c r="J352" s="3934" t="n"/>
      <c r="K352" s="3934" t="n"/>
      <c r="L352" s="3934" t="n"/>
      <c r="M352" s="3934" t="n"/>
      <c r="N352" s="3934" t="n"/>
      <c r="O352" s="3934" t="n"/>
      <c r="P352" s="3934" t="n"/>
      <c r="Q352" s="3934" t="n"/>
      <c r="R352" s="3934" t="n"/>
      <c r="S352" s="3934" t="n"/>
      <c r="T352" s="3934" t="n"/>
      <c r="U352" s="3934" t="n"/>
      <c r="V352" s="3934" t="n"/>
      <c r="W352" s="3934" t="n"/>
      <c r="X352" s="3934" t="n"/>
      <c r="Y352" s="3934" t="n"/>
      <c r="Z352" s="3934" t="n"/>
      <c r="AA352" s="3934" t="n"/>
      <c r="AB352" s="3934" t="n"/>
      <c r="AC352" s="3934" t="n"/>
      <c r="AD352" s="3934" t="n"/>
      <c r="AE352" s="3934" t="n"/>
      <c r="AF352" s="3934" t="n"/>
      <c r="AG352" s="3934" t="n"/>
      <c r="AH352" s="3934" t="n"/>
      <c r="AI352" s="3934" t="n"/>
      <c r="AJ352" s="3934" t="n"/>
      <c r="AK352" s="3934" t="n"/>
      <c r="AL352" s="3934" t="n"/>
      <c r="AM352" s="3934" t="n"/>
      <c r="AN352" s="3934" t="n"/>
      <c r="AO352" s="3934" t="n"/>
      <c r="AP352" s="3934" t="n"/>
      <c r="AQ352" s="3934" t="n"/>
      <c r="AR352" s="3934" t="n"/>
    </row>
    <row r="353">
      <c r="A353" s="3944" t="n"/>
      <c r="B353" s="3944" t="n"/>
      <c r="C353" s="3944" t="n"/>
      <c r="D353" s="3944" t="n"/>
      <c r="E353" s="3944" t="n"/>
      <c r="F353" s="3944" t="n"/>
      <c r="G353" s="3944" t="n"/>
      <c r="H353" s="3944" t="n"/>
      <c r="I353" s="3944" t="n"/>
      <c r="J353" s="3934" t="n"/>
      <c r="K353" s="3934" t="n"/>
      <c r="L353" s="3934" t="n"/>
      <c r="M353" s="3934" t="n"/>
      <c r="N353" s="3934" t="n"/>
      <c r="O353" s="3934" t="n"/>
      <c r="P353" s="3934" t="n"/>
      <c r="Q353" s="3934" t="n"/>
      <c r="R353" s="3934" t="n"/>
      <c r="S353" s="3934" t="n"/>
      <c r="T353" s="3934" t="n"/>
      <c r="U353" s="3934" t="n"/>
      <c r="V353" s="3934" t="n"/>
      <c r="W353" s="3934" t="n"/>
      <c r="X353" s="3934" t="n"/>
      <c r="Y353" s="3934" t="n"/>
      <c r="Z353" s="3934" t="n"/>
      <c r="AA353" s="3934" t="n"/>
      <c r="AB353" s="3934" t="n"/>
      <c r="AC353" s="3934" t="n"/>
      <c r="AD353" s="3934" t="n"/>
      <c r="AE353" s="3934" t="n"/>
      <c r="AF353" s="3934" t="n"/>
      <c r="AG353" s="3934" t="n"/>
      <c r="AH353" s="3934" t="n"/>
      <c r="AI353" s="3934" t="n"/>
      <c r="AJ353" s="3934" t="n"/>
      <c r="AK353" s="3934" t="n"/>
      <c r="AL353" s="3934" t="n"/>
      <c r="AM353" s="3934" t="n"/>
      <c r="AN353" s="3934" t="n"/>
      <c r="AO353" s="3934" t="n"/>
      <c r="AP353" s="3934" t="n"/>
      <c r="AQ353" s="3934" t="n"/>
      <c r="AR353" s="3934" t="n"/>
    </row>
    <row r="354">
      <c r="A354" s="3944" t="n"/>
      <c r="B354" s="3944" t="n"/>
      <c r="C354" s="3944" t="n"/>
      <c r="D354" s="3944" t="n"/>
      <c r="E354" s="3944" t="n"/>
      <c r="F354" s="3944" t="n"/>
      <c r="G354" s="3944" t="n"/>
      <c r="H354" s="3944" t="n"/>
      <c r="I354" s="3944" t="n"/>
      <c r="J354" s="3934" t="n"/>
      <c r="K354" s="3934" t="n"/>
      <c r="L354" s="3934" t="n"/>
      <c r="M354" s="3934" t="n"/>
      <c r="N354" s="3934" t="n"/>
      <c r="O354" s="3934" t="n"/>
      <c r="P354" s="3934" t="n"/>
      <c r="Q354" s="3934" t="n"/>
      <c r="R354" s="3934" t="n"/>
      <c r="S354" s="3934" t="n"/>
      <c r="T354" s="3934" t="n"/>
      <c r="U354" s="3934" t="n"/>
      <c r="V354" s="3934" t="n"/>
      <c r="W354" s="3934" t="n"/>
      <c r="X354" s="3934" t="n"/>
      <c r="Y354" s="3934" t="n"/>
      <c r="Z354" s="3934" t="n"/>
      <c r="AA354" s="3934" t="n"/>
      <c r="AB354" s="3934" t="n"/>
      <c r="AC354" s="3934" t="n"/>
      <c r="AD354" s="3934" t="n"/>
      <c r="AE354" s="3934" t="n"/>
      <c r="AF354" s="3934" t="n"/>
      <c r="AG354" s="3934" t="n"/>
      <c r="AH354" s="3934" t="n"/>
      <c r="AI354" s="3934" t="n"/>
      <c r="AJ354" s="3934" t="n"/>
      <c r="AK354" s="3934" t="n"/>
      <c r="AL354" s="3934" t="n"/>
      <c r="AM354" s="3934" t="n"/>
      <c r="AN354" s="3934" t="n"/>
      <c r="AO354" s="3934" t="n"/>
      <c r="AP354" s="3934" t="n"/>
      <c r="AQ354" s="3934" t="n"/>
      <c r="AR354" s="3934" t="n"/>
    </row>
    <row r="355">
      <c r="A355" s="3944" t="n"/>
      <c r="B355" s="3944" t="n"/>
      <c r="C355" s="3944" t="n"/>
      <c r="D355" s="3944" t="n"/>
      <c r="E355" s="3944" t="n"/>
      <c r="F355" s="3944" t="n"/>
      <c r="G355" s="3944" t="n"/>
      <c r="H355" s="3944" t="n"/>
      <c r="I355" s="3944" t="n"/>
      <c r="J355" s="3934" t="n"/>
      <c r="K355" s="3934" t="n"/>
      <c r="L355" s="3934" t="n"/>
      <c r="M355" s="3934" t="n"/>
      <c r="N355" s="3934" t="n"/>
      <c r="O355" s="3934" t="n"/>
      <c r="P355" s="3934" t="n"/>
      <c r="Q355" s="3934" t="n"/>
      <c r="R355" s="3934" t="n"/>
      <c r="S355" s="3934" t="n"/>
      <c r="T355" s="3934" t="n"/>
      <c r="U355" s="3934" t="n"/>
      <c r="V355" s="3934" t="n"/>
      <c r="W355" s="3934" t="n"/>
      <c r="X355" s="3934" t="n"/>
      <c r="Y355" s="3934" t="n"/>
      <c r="Z355" s="3934" t="n"/>
      <c r="AA355" s="3934" t="n"/>
      <c r="AB355" s="3934" t="n"/>
      <c r="AC355" s="3934" t="n"/>
      <c r="AD355" s="3934" t="n"/>
      <c r="AE355" s="3934" t="n"/>
      <c r="AF355" s="3934" t="n"/>
      <c r="AG355" s="3934" t="n"/>
      <c r="AH355" s="3934" t="n"/>
      <c r="AI355" s="3934" t="n"/>
      <c r="AJ355" s="3934" t="n"/>
      <c r="AK355" s="3934" t="n"/>
      <c r="AL355" s="3934" t="n"/>
      <c r="AM355" s="3934" t="n"/>
      <c r="AN355" s="3934" t="n"/>
      <c r="AO355" s="3934" t="n"/>
      <c r="AP355" s="3934" t="n"/>
      <c r="AQ355" s="3934" t="n"/>
      <c r="AR355" s="3934" t="n"/>
    </row>
    <row r="356">
      <c r="A356" s="3944" t="n"/>
      <c r="B356" s="3944" t="n"/>
      <c r="C356" s="3944" t="n"/>
      <c r="D356" s="3944" t="n"/>
      <c r="E356" s="3944" t="n"/>
      <c r="F356" s="3944" t="n"/>
      <c r="G356" s="3944" t="n"/>
      <c r="H356" s="3944" t="n"/>
      <c r="I356" s="3944" t="n"/>
      <c r="J356" s="3934" t="n"/>
      <c r="K356" s="3934" t="n"/>
      <c r="L356" s="3934" t="n"/>
      <c r="M356" s="3934" t="n"/>
      <c r="N356" s="3934" t="n"/>
      <c r="O356" s="3934" t="n"/>
      <c r="P356" s="3934" t="n"/>
      <c r="Q356" s="3934" t="n"/>
      <c r="R356" s="3934" t="n"/>
      <c r="S356" s="3934" t="n"/>
      <c r="T356" s="3934" t="n"/>
      <c r="U356" s="3934" t="n"/>
      <c r="V356" s="3934" t="n"/>
      <c r="W356" s="3934" t="n"/>
      <c r="X356" s="3934" t="n"/>
      <c r="Y356" s="3934" t="n"/>
      <c r="Z356" s="3934" t="n"/>
      <c r="AA356" s="3934" t="n"/>
      <c r="AB356" s="3934" t="n"/>
      <c r="AC356" s="3934" t="n"/>
      <c r="AD356" s="3934" t="n"/>
      <c r="AE356" s="3934" t="n"/>
      <c r="AF356" s="3934" t="n"/>
      <c r="AG356" s="3934" t="n"/>
      <c r="AH356" s="3934" t="n"/>
      <c r="AI356" s="3934" t="n"/>
      <c r="AJ356" s="3934" t="n"/>
      <c r="AK356" s="3934" t="n"/>
      <c r="AL356" s="3934" t="n"/>
      <c r="AM356" s="3934" t="n"/>
      <c r="AN356" s="3934" t="n"/>
      <c r="AO356" s="3934" t="n"/>
      <c r="AP356" s="3934" t="n"/>
      <c r="AQ356" s="3934" t="n"/>
      <c r="AR356" s="3934" t="n"/>
    </row>
    <row r="357">
      <c r="A357" s="3944" t="n"/>
      <c r="B357" s="3944" t="n"/>
      <c r="C357" s="3944" t="n"/>
      <c r="D357" s="3944" t="n"/>
      <c r="E357" s="3944" t="n"/>
      <c r="F357" s="3944" t="n"/>
      <c r="G357" s="3944" t="n"/>
      <c r="H357" s="3944" t="n"/>
      <c r="I357" s="3944" t="n"/>
      <c r="J357" s="3934" t="n"/>
      <c r="K357" s="3934" t="n"/>
      <c r="L357" s="3934" t="n"/>
      <c r="M357" s="3934" t="n"/>
      <c r="N357" s="3934" t="n"/>
      <c r="O357" s="3934" t="n"/>
      <c r="P357" s="3934" t="n"/>
      <c r="Q357" s="3934" t="n"/>
      <c r="R357" s="3934" t="n"/>
      <c r="S357" s="3934" t="n"/>
      <c r="T357" s="3934" t="n"/>
      <c r="U357" s="3934" t="n"/>
      <c r="V357" s="3934" t="n"/>
      <c r="W357" s="3934" t="n"/>
      <c r="X357" s="3934" t="n"/>
      <c r="Y357" s="3934" t="n"/>
      <c r="Z357" s="3934" t="n"/>
      <c r="AA357" s="3934" t="n"/>
      <c r="AB357" s="3934" t="n"/>
      <c r="AC357" s="3934" t="n"/>
      <c r="AD357" s="3934" t="n"/>
      <c r="AE357" s="3934" t="n"/>
      <c r="AF357" s="3934" t="n"/>
      <c r="AG357" s="3934" t="n"/>
      <c r="AH357" s="3934" t="n"/>
      <c r="AI357" s="3934" t="n"/>
      <c r="AJ357" s="3934" t="n"/>
      <c r="AK357" s="3934" t="n"/>
      <c r="AL357" s="3934" t="n"/>
      <c r="AM357" s="3934" t="n"/>
      <c r="AN357" s="3934" t="n"/>
      <c r="AO357" s="3934" t="n"/>
      <c r="AP357" s="3934" t="n"/>
      <c r="AQ357" s="3934" t="n"/>
      <c r="AR357" s="3934" t="n"/>
    </row>
    <row r="358">
      <c r="A358" s="3944" t="n"/>
      <c r="B358" s="3944" t="n"/>
      <c r="C358" s="3944" t="n"/>
      <c r="D358" s="3944" t="n"/>
      <c r="E358" s="3944" t="n"/>
      <c r="F358" s="3944" t="n"/>
      <c r="G358" s="3944" t="n"/>
      <c r="H358" s="3944" t="n"/>
      <c r="I358" s="3944" t="n"/>
      <c r="J358" s="3934" t="n"/>
      <c r="K358" s="3934" t="n"/>
      <c r="L358" s="3934" t="n"/>
      <c r="M358" s="3934" t="n"/>
      <c r="N358" s="3934" t="n"/>
      <c r="O358" s="3934" t="n"/>
      <c r="P358" s="3934" t="n"/>
      <c r="Q358" s="3934" t="n"/>
      <c r="R358" s="3934" t="n"/>
      <c r="S358" s="3934" t="n"/>
      <c r="T358" s="3934" t="n"/>
      <c r="U358" s="3934" t="n"/>
      <c r="V358" s="3934" t="n"/>
      <c r="W358" s="3934" t="n"/>
      <c r="X358" s="3934" t="n"/>
      <c r="Y358" s="3934" t="n"/>
      <c r="Z358" s="3934" t="n"/>
      <c r="AA358" s="3934" t="n"/>
      <c r="AB358" s="3934" t="n"/>
      <c r="AC358" s="3934" t="n"/>
      <c r="AD358" s="3934" t="n"/>
      <c r="AE358" s="3934" t="n"/>
      <c r="AF358" s="3934" t="n"/>
      <c r="AG358" s="3934" t="n"/>
      <c r="AH358" s="3934" t="n"/>
      <c r="AI358" s="3934" t="n"/>
      <c r="AJ358" s="3934" t="n"/>
      <c r="AK358" s="3934" t="n"/>
      <c r="AL358" s="3934" t="n"/>
      <c r="AM358" s="3934" t="n"/>
      <c r="AN358" s="3934" t="n"/>
      <c r="AO358" s="3934" t="n"/>
      <c r="AP358" s="3934" t="n"/>
      <c r="AQ358" s="3934" t="n"/>
      <c r="AR358" s="3934" t="n"/>
    </row>
    <row r="359">
      <c r="A359" s="3944" t="n"/>
      <c r="B359" s="3944" t="n"/>
      <c r="C359" s="3944" t="n"/>
      <c r="D359" s="3944" t="n"/>
      <c r="E359" s="3944" t="n"/>
      <c r="F359" s="3944" t="n"/>
      <c r="G359" s="3944" t="n"/>
      <c r="H359" s="3944" t="n"/>
      <c r="I359" s="3944" t="n"/>
      <c r="J359" s="3934" t="n"/>
      <c r="K359" s="3934" t="n"/>
      <c r="L359" s="3934" t="n"/>
      <c r="M359" s="3934" t="n"/>
      <c r="N359" s="3934" t="n"/>
      <c r="O359" s="3934" t="n"/>
      <c r="P359" s="3934" t="n"/>
      <c r="Q359" s="3934" t="n"/>
      <c r="R359" s="3934" t="n"/>
      <c r="S359" s="3934" t="n"/>
      <c r="T359" s="3934" t="n"/>
      <c r="U359" s="3934" t="n"/>
      <c r="V359" s="3934" t="n"/>
      <c r="W359" s="3934" t="n"/>
      <c r="X359" s="3934" t="n"/>
      <c r="Y359" s="3934" t="n"/>
      <c r="Z359" s="3934" t="n"/>
      <c r="AA359" s="3934" t="n"/>
      <c r="AB359" s="3934" t="n"/>
      <c r="AC359" s="3934" t="n"/>
      <c r="AD359" s="3934" t="n"/>
      <c r="AE359" s="3934" t="n"/>
      <c r="AF359" s="3934" t="n"/>
      <c r="AG359" s="3934" t="n"/>
      <c r="AH359" s="3934" t="n"/>
      <c r="AI359" s="3934" t="n"/>
      <c r="AJ359" s="3934" t="n"/>
      <c r="AK359" s="3934" t="n"/>
      <c r="AL359" s="3934" t="n"/>
      <c r="AM359" s="3934" t="n"/>
      <c r="AN359" s="3934" t="n"/>
      <c r="AO359" s="3934" t="n"/>
      <c r="AP359" s="3934" t="n"/>
      <c r="AQ359" s="3934" t="n"/>
      <c r="AR359" s="3934" t="n"/>
    </row>
    <row r="360">
      <c r="A360" s="3944" t="n"/>
      <c r="B360" s="3944" t="n"/>
      <c r="C360" s="3944" t="n"/>
      <c r="D360" s="3944" t="n"/>
      <c r="E360" s="3944" t="n"/>
      <c r="F360" s="3944" t="n"/>
      <c r="G360" s="3944" t="n"/>
      <c r="H360" s="3944" t="n"/>
      <c r="I360" s="3944" t="n"/>
      <c r="J360" s="3934" t="n"/>
      <c r="K360" s="3934" t="n"/>
      <c r="L360" s="3934" t="n"/>
      <c r="M360" s="3934" t="n"/>
      <c r="N360" s="3934" t="n"/>
      <c r="O360" s="3934" t="n"/>
      <c r="P360" s="3934" t="n"/>
      <c r="Q360" s="3934" t="n"/>
      <c r="R360" s="3934" t="n"/>
      <c r="S360" s="3934" t="n"/>
      <c r="T360" s="3934" t="n"/>
      <c r="U360" s="3934" t="n"/>
      <c r="V360" s="3934" t="n"/>
      <c r="W360" s="3934" t="n"/>
      <c r="X360" s="3934" t="n"/>
      <c r="Y360" s="3934" t="n"/>
      <c r="Z360" s="3934" t="n"/>
      <c r="AA360" s="3934" t="n"/>
      <c r="AB360" s="3934" t="n"/>
      <c r="AC360" s="3934" t="n"/>
      <c r="AD360" s="3934" t="n"/>
      <c r="AE360" s="3934" t="n"/>
      <c r="AF360" s="3934" t="n"/>
      <c r="AG360" s="3934" t="n"/>
      <c r="AH360" s="3934" t="n"/>
      <c r="AI360" s="3934" t="n"/>
      <c r="AJ360" s="3934" t="n"/>
      <c r="AK360" s="3934" t="n"/>
      <c r="AL360" s="3934" t="n"/>
      <c r="AM360" s="3934" t="n"/>
      <c r="AN360" s="3934" t="n"/>
      <c r="AO360" s="3934" t="n"/>
      <c r="AP360" s="3934" t="n"/>
      <c r="AQ360" s="3934" t="n"/>
      <c r="AR360" s="3934" t="n"/>
    </row>
    <row r="361">
      <c r="A361" s="3944" t="n"/>
      <c r="B361" s="3944" t="n"/>
      <c r="C361" s="3944" t="n"/>
      <c r="D361" s="3944" t="n"/>
      <c r="E361" s="3944" t="n"/>
      <c r="F361" s="3944" t="n"/>
      <c r="G361" s="3944" t="n"/>
      <c r="H361" s="3944" t="n"/>
      <c r="I361" s="3944" t="n"/>
      <c r="J361" s="3934" t="n"/>
      <c r="K361" s="3934" t="n"/>
      <c r="L361" s="3934" t="n"/>
      <c r="M361" s="3934" t="n"/>
      <c r="N361" s="3934" t="n"/>
      <c r="O361" s="3934" t="n"/>
      <c r="P361" s="3934" t="n"/>
      <c r="Q361" s="3934" t="n"/>
      <c r="R361" s="3934" t="n"/>
      <c r="S361" s="3934" t="n"/>
      <c r="T361" s="3934" t="n"/>
      <c r="U361" s="3934" t="n"/>
      <c r="V361" s="3934" t="n"/>
      <c r="W361" s="3934" t="n"/>
      <c r="X361" s="3934" t="n"/>
      <c r="Y361" s="3934" t="n"/>
      <c r="Z361" s="3934" t="n"/>
      <c r="AA361" s="3934" t="n"/>
      <c r="AB361" s="3934" t="n"/>
      <c r="AC361" s="3934" t="n"/>
      <c r="AD361" s="3934" t="n"/>
      <c r="AE361" s="3934" t="n"/>
      <c r="AF361" s="3934" t="n"/>
      <c r="AG361" s="3934" t="n"/>
      <c r="AH361" s="3934" t="n"/>
      <c r="AI361" s="3934" t="n"/>
      <c r="AJ361" s="3934" t="n"/>
      <c r="AK361" s="3934" t="n"/>
      <c r="AL361" s="3934" t="n"/>
      <c r="AM361" s="3934" t="n"/>
      <c r="AN361" s="3934" t="n"/>
      <c r="AO361" s="3934" t="n"/>
      <c r="AP361" s="3934" t="n"/>
      <c r="AQ361" s="3934" t="n"/>
      <c r="AR361" s="3934" t="n"/>
    </row>
    <row r="362">
      <c r="A362" s="3944" t="n"/>
      <c r="B362" s="3944" t="n"/>
      <c r="C362" s="3944" t="n"/>
      <c r="D362" s="3944" t="n"/>
      <c r="E362" s="3944" t="n"/>
      <c r="F362" s="3944" t="n"/>
      <c r="G362" s="3944" t="n"/>
      <c r="H362" s="3944" t="n"/>
      <c r="I362" s="3944" t="n"/>
      <c r="J362" s="3934" t="n"/>
      <c r="K362" s="3934" t="n"/>
      <c r="L362" s="3934" t="n"/>
      <c r="M362" s="3934" t="n"/>
      <c r="N362" s="3934" t="n"/>
      <c r="O362" s="3934" t="n"/>
      <c r="P362" s="3934" t="n"/>
      <c r="Q362" s="3934" t="n"/>
      <c r="R362" s="3934" t="n"/>
      <c r="S362" s="3934" t="n"/>
      <c r="T362" s="3934" t="n"/>
      <c r="U362" s="3934" t="n"/>
      <c r="V362" s="3934" t="n"/>
      <c r="W362" s="3934" t="n"/>
      <c r="X362" s="3934" t="n"/>
      <c r="Y362" s="3934" t="n"/>
      <c r="Z362" s="3934" t="n"/>
      <c r="AA362" s="3934" t="n"/>
      <c r="AB362" s="3934" t="n"/>
      <c r="AC362" s="3934" t="n"/>
      <c r="AD362" s="3934" t="n"/>
      <c r="AE362" s="3934" t="n"/>
      <c r="AF362" s="3934" t="n"/>
      <c r="AG362" s="3934" t="n"/>
      <c r="AH362" s="3934" t="n"/>
      <c r="AI362" s="3934" t="n"/>
      <c r="AJ362" s="3934" t="n"/>
      <c r="AK362" s="3934" t="n"/>
      <c r="AL362" s="3934" t="n"/>
      <c r="AM362" s="3934" t="n"/>
      <c r="AN362" s="3934" t="n"/>
      <c r="AO362" s="3934" t="n"/>
      <c r="AP362" s="3934" t="n"/>
      <c r="AQ362" s="3934" t="n"/>
      <c r="AR362" s="3934" t="n"/>
    </row>
    <row r="363">
      <c r="A363" s="3944" t="n"/>
      <c r="B363" s="3944" t="n"/>
      <c r="C363" s="3944" t="n"/>
      <c r="D363" s="3944" t="n"/>
      <c r="E363" s="3944" t="n"/>
      <c r="F363" s="3944" t="n"/>
      <c r="G363" s="3944" t="n"/>
      <c r="H363" s="3944" t="n"/>
      <c r="I363" s="3944" t="n"/>
      <c r="J363" s="3934" t="n"/>
      <c r="K363" s="3934" t="n"/>
      <c r="L363" s="3934" t="n"/>
      <c r="M363" s="3934" t="n"/>
      <c r="N363" s="3934" t="n"/>
      <c r="O363" s="3934" t="n"/>
      <c r="P363" s="3934" t="n"/>
      <c r="Q363" s="3934" t="n"/>
      <c r="R363" s="3934" t="n"/>
      <c r="S363" s="3934" t="n"/>
      <c r="T363" s="3934" t="n"/>
      <c r="U363" s="3934" t="n"/>
      <c r="V363" s="3934" t="n"/>
      <c r="W363" s="3934" t="n"/>
      <c r="X363" s="3934" t="n"/>
      <c r="Y363" s="3934" t="n"/>
      <c r="Z363" s="3934" t="n"/>
      <c r="AA363" s="3934" t="n"/>
      <c r="AB363" s="3934" t="n"/>
      <c r="AC363" s="3934" t="n"/>
      <c r="AD363" s="3934" t="n"/>
      <c r="AE363" s="3934" t="n"/>
      <c r="AF363" s="3934" t="n"/>
      <c r="AG363" s="3934" t="n"/>
      <c r="AH363" s="3934" t="n"/>
      <c r="AI363" s="3934" t="n"/>
      <c r="AJ363" s="3934" t="n"/>
      <c r="AK363" s="3934" t="n"/>
      <c r="AL363" s="3934" t="n"/>
      <c r="AM363" s="3934" t="n"/>
      <c r="AN363" s="3934" t="n"/>
      <c r="AO363" s="3934" t="n"/>
      <c r="AP363" s="3934" t="n"/>
      <c r="AQ363" s="3934" t="n"/>
      <c r="AR363" s="3934" t="n"/>
    </row>
    <row r="364">
      <c r="A364" s="3944" t="n"/>
      <c r="B364" s="3944" t="n"/>
      <c r="C364" s="3944" t="n"/>
      <c r="D364" s="3944" t="n"/>
      <c r="E364" s="3944" t="n"/>
      <c r="F364" s="3944" t="n"/>
      <c r="G364" s="3944" t="n"/>
      <c r="H364" s="3944" t="n"/>
      <c r="I364" s="3944" t="n"/>
      <c r="J364" s="3934" t="n"/>
      <c r="K364" s="3934" t="n"/>
      <c r="L364" s="3934" t="n"/>
      <c r="M364" s="3934" t="n"/>
      <c r="N364" s="3934" t="n"/>
      <c r="O364" s="3934" t="n"/>
      <c r="P364" s="3934" t="n"/>
      <c r="Q364" s="3934" t="n"/>
      <c r="R364" s="3934" t="n"/>
      <c r="S364" s="3934" t="n"/>
      <c r="T364" s="3934" t="n"/>
      <c r="U364" s="3934" t="n"/>
      <c r="V364" s="3934" t="n"/>
      <c r="W364" s="3934" t="n"/>
      <c r="X364" s="3934" t="n"/>
      <c r="Y364" s="3934" t="n"/>
      <c r="Z364" s="3934" t="n"/>
      <c r="AA364" s="3934" t="n"/>
      <c r="AB364" s="3934" t="n"/>
      <c r="AC364" s="3934" t="n"/>
      <c r="AD364" s="3934" t="n"/>
      <c r="AE364" s="3934" t="n"/>
      <c r="AF364" s="3934" t="n"/>
      <c r="AG364" s="3934" t="n"/>
      <c r="AH364" s="3934" t="n"/>
      <c r="AI364" s="3934" t="n"/>
      <c r="AJ364" s="3934" t="n"/>
      <c r="AK364" s="3934" t="n"/>
      <c r="AL364" s="3934" t="n"/>
      <c r="AM364" s="3934" t="n"/>
      <c r="AN364" s="3934" t="n"/>
      <c r="AO364" s="3934" t="n"/>
      <c r="AP364" s="3934" t="n"/>
      <c r="AQ364" s="3934" t="n"/>
      <c r="AR364" s="3934" t="n"/>
    </row>
    <row r="365">
      <c r="A365" s="3944" t="n"/>
      <c r="B365" s="3944" t="n"/>
      <c r="C365" s="3944" t="n"/>
      <c r="D365" s="3944" t="n"/>
      <c r="E365" s="3944" t="n"/>
      <c r="F365" s="3944" t="n"/>
      <c r="G365" s="3944" t="n"/>
      <c r="H365" s="3944" t="n"/>
      <c r="I365" s="3944" t="n"/>
      <c r="J365" s="3934" t="n"/>
      <c r="K365" s="3934" t="n"/>
      <c r="L365" s="3934" t="n"/>
      <c r="M365" s="3934" t="n"/>
      <c r="N365" s="3934" t="n"/>
      <c r="O365" s="3934" t="n"/>
      <c r="P365" s="3934" t="n"/>
      <c r="Q365" s="3934" t="n"/>
      <c r="R365" s="3934" t="n"/>
      <c r="S365" s="3934" t="n"/>
      <c r="T365" s="3934" t="n"/>
      <c r="U365" s="3934" t="n"/>
      <c r="V365" s="3934" t="n"/>
      <c r="W365" s="3934" t="n"/>
      <c r="X365" s="3934" t="n"/>
      <c r="Y365" s="3934" t="n"/>
      <c r="Z365" s="3934" t="n"/>
      <c r="AA365" s="3934" t="n"/>
      <c r="AB365" s="3934" t="n"/>
      <c r="AC365" s="3934" t="n"/>
      <c r="AD365" s="3934" t="n"/>
      <c r="AE365" s="3934" t="n"/>
      <c r="AF365" s="3934" t="n"/>
      <c r="AG365" s="3934" t="n"/>
      <c r="AH365" s="3934" t="n"/>
      <c r="AI365" s="3934" t="n"/>
      <c r="AJ365" s="3934" t="n"/>
      <c r="AK365" s="3934" t="n"/>
      <c r="AL365" s="3934" t="n"/>
      <c r="AM365" s="3934" t="n"/>
      <c r="AN365" s="3934" t="n"/>
      <c r="AO365" s="3934" t="n"/>
      <c r="AP365" s="3934" t="n"/>
      <c r="AQ365" s="3934" t="n"/>
      <c r="AR365" s="3934" t="n"/>
    </row>
    <row r="366">
      <c r="A366" s="3944" t="n"/>
      <c r="B366" s="3944" t="n"/>
      <c r="C366" s="3944" t="n"/>
      <c r="D366" s="3944" t="n"/>
      <c r="E366" s="3944" t="n"/>
      <c r="F366" s="3944" t="n"/>
      <c r="G366" s="3944" t="n"/>
      <c r="H366" s="3944" t="n"/>
      <c r="I366" s="3944" t="n"/>
      <c r="J366" s="3934" t="n"/>
      <c r="K366" s="3934" t="n"/>
      <c r="L366" s="3934" t="n"/>
      <c r="M366" s="3934" t="n"/>
      <c r="N366" s="3934" t="n"/>
      <c r="O366" s="3934" t="n"/>
      <c r="P366" s="3934" t="n"/>
      <c r="Q366" s="3934" t="n"/>
      <c r="R366" s="3934" t="n"/>
      <c r="S366" s="3934" t="n"/>
      <c r="T366" s="3934" t="n"/>
      <c r="U366" s="3934" t="n"/>
      <c r="V366" s="3934" t="n"/>
      <c r="W366" s="3934" t="n"/>
      <c r="X366" s="3934" t="n"/>
      <c r="Y366" s="3934" t="n"/>
      <c r="Z366" s="3934" t="n"/>
      <c r="AA366" s="3934" t="n"/>
      <c r="AB366" s="3934" t="n"/>
      <c r="AC366" s="3934" t="n"/>
      <c r="AD366" s="3934" t="n"/>
      <c r="AE366" s="3934" t="n"/>
      <c r="AF366" s="3934" t="n"/>
      <c r="AG366" s="3934" t="n"/>
      <c r="AH366" s="3934" t="n"/>
      <c r="AI366" s="3934" t="n"/>
      <c r="AJ366" s="3934" t="n"/>
      <c r="AK366" s="3934" t="n"/>
      <c r="AL366" s="3934" t="n"/>
      <c r="AM366" s="3934" t="n"/>
      <c r="AN366" s="3934" t="n"/>
      <c r="AO366" s="3934" t="n"/>
      <c r="AP366" s="3934" t="n"/>
      <c r="AQ366" s="3934" t="n"/>
      <c r="AR366" s="3934" t="n"/>
    </row>
    <row r="367">
      <c r="A367" s="3944" t="n"/>
      <c r="B367" s="3944" t="n"/>
      <c r="C367" s="3944" t="n"/>
      <c r="D367" s="3944" t="n"/>
      <c r="E367" s="3944" t="n"/>
      <c r="F367" s="3944" t="n"/>
      <c r="G367" s="3944" t="n"/>
      <c r="H367" s="3944" t="n"/>
      <c r="I367" s="3944" t="n"/>
      <c r="J367" s="3934" t="n"/>
      <c r="K367" s="3934" t="n"/>
      <c r="L367" s="3934" t="n"/>
      <c r="M367" s="3934" t="n"/>
      <c r="N367" s="3934" t="n"/>
      <c r="O367" s="3934" t="n"/>
      <c r="P367" s="3934" t="n"/>
      <c r="Q367" s="3934" t="n"/>
      <c r="R367" s="3934" t="n"/>
      <c r="S367" s="3934" t="n"/>
      <c r="T367" s="3934" t="n"/>
      <c r="U367" s="3934" t="n"/>
      <c r="V367" s="3934" t="n"/>
      <c r="W367" s="3934" t="n"/>
      <c r="X367" s="3934" t="n"/>
      <c r="Y367" s="3934" t="n"/>
      <c r="Z367" s="3934" t="n"/>
      <c r="AA367" s="3934" t="n"/>
      <c r="AB367" s="3934" t="n"/>
      <c r="AC367" s="3934" t="n"/>
      <c r="AD367" s="3934" t="n"/>
      <c r="AE367" s="3934" t="n"/>
      <c r="AF367" s="3934" t="n"/>
      <c r="AG367" s="3934" t="n"/>
      <c r="AH367" s="3934" t="n"/>
      <c r="AI367" s="3934" t="n"/>
      <c r="AJ367" s="3934" t="n"/>
      <c r="AK367" s="3934" t="n"/>
      <c r="AL367" s="3934" t="n"/>
      <c r="AM367" s="3934" t="n"/>
      <c r="AN367" s="3934" t="n"/>
      <c r="AO367" s="3934" t="n"/>
      <c r="AP367" s="3934" t="n"/>
      <c r="AQ367" s="3934" t="n"/>
      <c r="AR367" s="3934" t="n"/>
    </row>
    <row r="368">
      <c r="A368" s="3944" t="n"/>
      <c r="B368" s="3944" t="n"/>
      <c r="C368" s="3944" t="n"/>
      <c r="D368" s="3944" t="n"/>
      <c r="E368" s="3944" t="n"/>
      <c r="F368" s="3944" t="n"/>
      <c r="G368" s="3944" t="n"/>
      <c r="H368" s="3944" t="n"/>
      <c r="I368" s="3944" t="n"/>
      <c r="J368" s="3934" t="n"/>
      <c r="K368" s="3934" t="n"/>
      <c r="L368" s="3934" t="n"/>
      <c r="M368" s="3934" t="n"/>
      <c r="N368" s="3934" t="n"/>
      <c r="O368" s="3934" t="n"/>
      <c r="P368" s="3934" t="n"/>
      <c r="Q368" s="3934" t="n"/>
      <c r="R368" s="3934" t="n"/>
      <c r="S368" s="3934" t="n"/>
      <c r="T368" s="3934" t="n"/>
      <c r="U368" s="3934" t="n"/>
      <c r="V368" s="3934" t="n"/>
      <c r="W368" s="3934" t="n"/>
      <c r="X368" s="3934" t="n"/>
      <c r="Y368" s="3934" t="n"/>
      <c r="Z368" s="3934" t="n"/>
      <c r="AA368" s="3934" t="n"/>
      <c r="AB368" s="3934" t="n"/>
      <c r="AC368" s="3934" t="n"/>
      <c r="AD368" s="3934" t="n"/>
      <c r="AE368" s="3934" t="n"/>
      <c r="AF368" s="3934" t="n"/>
      <c r="AG368" s="3934" t="n"/>
      <c r="AH368" s="3934" t="n"/>
      <c r="AI368" s="3934" t="n"/>
      <c r="AJ368" s="3934" t="n"/>
      <c r="AK368" s="3934" t="n"/>
      <c r="AL368" s="3934" t="n"/>
      <c r="AM368" s="3934" t="n"/>
      <c r="AN368" s="3934" t="n"/>
      <c r="AO368" s="3934" t="n"/>
      <c r="AP368" s="3934" t="n"/>
      <c r="AQ368" s="3934" t="n"/>
      <c r="AR368" s="3934" t="n"/>
    </row>
    <row r="369">
      <c r="A369" s="3944" t="n"/>
      <c r="B369" s="3944" t="n"/>
      <c r="C369" s="3944" t="n"/>
      <c r="D369" s="3944" t="n"/>
      <c r="E369" s="3944" t="n"/>
      <c r="F369" s="3944" t="n"/>
      <c r="G369" s="3944" t="n"/>
      <c r="H369" s="3944" t="n"/>
      <c r="I369" s="3944" t="n"/>
      <c r="J369" s="3934" t="n"/>
      <c r="K369" s="3934" t="n"/>
      <c r="L369" s="3934" t="n"/>
      <c r="M369" s="3934" t="n"/>
      <c r="N369" s="3934" t="n"/>
      <c r="O369" s="3934" t="n"/>
      <c r="P369" s="3934" t="n"/>
      <c r="Q369" s="3934" t="n"/>
      <c r="R369" s="3934" t="n"/>
      <c r="S369" s="3934" t="n"/>
      <c r="T369" s="3934" t="n"/>
      <c r="U369" s="3934" t="n"/>
      <c r="V369" s="3934" t="n"/>
      <c r="W369" s="3934" t="n"/>
      <c r="X369" s="3934" t="n"/>
      <c r="Y369" s="3934" t="n"/>
      <c r="Z369" s="3934" t="n"/>
      <c r="AA369" s="3934" t="n"/>
      <c r="AB369" s="3934" t="n"/>
      <c r="AC369" s="3934" t="n"/>
      <c r="AD369" s="3934" t="n"/>
      <c r="AE369" s="3934" t="n"/>
      <c r="AF369" s="3934" t="n"/>
      <c r="AG369" s="3934" t="n"/>
      <c r="AH369" s="3934" t="n"/>
      <c r="AI369" s="3934" t="n"/>
      <c r="AJ369" s="3934" t="n"/>
      <c r="AK369" s="3934" t="n"/>
      <c r="AL369" s="3934" t="n"/>
      <c r="AM369" s="3934" t="n"/>
      <c r="AN369" s="3934" t="n"/>
      <c r="AO369" s="3934" t="n"/>
      <c r="AP369" s="3934" t="n"/>
      <c r="AQ369" s="3934" t="n"/>
      <c r="AR369" s="3934" t="n"/>
    </row>
    <row r="370">
      <c r="A370" s="3944" t="n"/>
      <c r="B370" s="3944" t="n"/>
      <c r="C370" s="3944" t="n"/>
      <c r="D370" s="3944" t="n"/>
      <c r="E370" s="3944" t="n"/>
      <c r="F370" s="3944" t="n"/>
      <c r="G370" s="3944" t="n"/>
      <c r="H370" s="3944" t="n"/>
      <c r="I370" s="3944" t="n"/>
      <c r="J370" s="3934" t="n"/>
      <c r="K370" s="3934" t="n"/>
      <c r="L370" s="3934" t="n"/>
      <c r="M370" s="3934" t="n"/>
      <c r="N370" s="3934" t="n"/>
      <c r="O370" s="3934" t="n"/>
      <c r="P370" s="3934" t="n"/>
      <c r="Q370" s="3934" t="n"/>
      <c r="R370" s="3934" t="n"/>
      <c r="S370" s="3934" t="n"/>
      <c r="T370" s="3934" t="n"/>
      <c r="U370" s="3934" t="n"/>
      <c r="V370" s="3934" t="n"/>
      <c r="W370" s="3934" t="n"/>
      <c r="X370" s="3934" t="n"/>
      <c r="Y370" s="3934" t="n"/>
      <c r="Z370" s="3934" t="n"/>
      <c r="AA370" s="3934" t="n"/>
      <c r="AB370" s="3934" t="n"/>
      <c r="AC370" s="3934" t="n"/>
      <c r="AD370" s="3934" t="n"/>
      <c r="AE370" s="3934" t="n"/>
      <c r="AF370" s="3934" t="n"/>
      <c r="AG370" s="3934" t="n"/>
      <c r="AH370" s="3934" t="n"/>
      <c r="AI370" s="3934" t="n"/>
      <c r="AJ370" s="3934" t="n"/>
      <c r="AK370" s="3934" t="n"/>
      <c r="AL370" s="3934" t="n"/>
      <c r="AM370" s="3934" t="n"/>
      <c r="AN370" s="3934" t="n"/>
      <c r="AO370" s="3934" t="n"/>
      <c r="AP370" s="3934" t="n"/>
      <c r="AQ370" s="3934" t="n"/>
      <c r="AR370" s="3934" t="n"/>
    </row>
    <row r="371">
      <c r="A371" s="3944" t="n"/>
      <c r="B371" s="3944" t="n"/>
      <c r="C371" s="3944" t="n"/>
      <c r="D371" s="3944" t="n"/>
      <c r="E371" s="3944" t="n"/>
      <c r="F371" s="3944" t="n"/>
      <c r="G371" s="3944" t="n"/>
      <c r="H371" s="3944" t="n"/>
      <c r="I371" s="3944" t="n"/>
      <c r="J371" s="3934" t="n"/>
      <c r="K371" s="3934" t="n"/>
      <c r="L371" s="3934" t="n"/>
      <c r="M371" s="3934" t="n"/>
      <c r="N371" s="3934" t="n"/>
      <c r="O371" s="3934" t="n"/>
      <c r="P371" s="3934" t="n"/>
      <c r="Q371" s="3934" t="n"/>
      <c r="R371" s="3934" t="n"/>
      <c r="S371" s="3934" t="n"/>
      <c r="T371" s="3934" t="n"/>
      <c r="U371" s="3934" t="n"/>
      <c r="V371" s="3934" t="n"/>
      <c r="W371" s="3934" t="n"/>
      <c r="X371" s="3934" t="n"/>
      <c r="Y371" s="3934" t="n"/>
      <c r="Z371" s="3934" t="n"/>
      <c r="AA371" s="3934" t="n"/>
      <c r="AB371" s="3934" t="n"/>
      <c r="AC371" s="3934" t="n"/>
      <c r="AD371" s="3934" t="n"/>
      <c r="AE371" s="3934" t="n"/>
      <c r="AF371" s="3934" t="n"/>
      <c r="AG371" s="3934" t="n"/>
      <c r="AH371" s="3934" t="n"/>
      <c r="AI371" s="3934" t="n"/>
      <c r="AJ371" s="3934" t="n"/>
      <c r="AK371" s="3934" t="n"/>
      <c r="AL371" s="3934" t="n"/>
      <c r="AM371" s="3934" t="n"/>
      <c r="AN371" s="3934" t="n"/>
      <c r="AO371" s="3934" t="n"/>
      <c r="AP371" s="3934" t="n"/>
      <c r="AQ371" s="3934" t="n"/>
      <c r="AR371" s="3934" t="n"/>
    </row>
    <row r="372">
      <c r="A372" s="3944" t="n"/>
      <c r="B372" s="3944" t="n"/>
      <c r="C372" s="3944" t="n"/>
      <c r="D372" s="3944" t="n"/>
      <c r="E372" s="3944" t="n"/>
      <c r="F372" s="3944" t="n"/>
      <c r="G372" s="3944" t="n"/>
      <c r="H372" s="3944" t="n"/>
      <c r="I372" s="3944" t="n"/>
      <c r="J372" s="3934" t="n"/>
      <c r="K372" s="3934" t="n"/>
      <c r="L372" s="3934" t="n"/>
      <c r="M372" s="3934" t="n"/>
      <c r="N372" s="3934" t="n"/>
      <c r="O372" s="3934" t="n"/>
      <c r="P372" s="3934" t="n"/>
      <c r="Q372" s="3934" t="n"/>
      <c r="R372" s="3934" t="n"/>
      <c r="S372" s="3934" t="n"/>
      <c r="T372" s="3934" t="n"/>
      <c r="U372" s="3934" t="n"/>
      <c r="V372" s="3934" t="n"/>
      <c r="W372" s="3934" t="n"/>
      <c r="X372" s="3934" t="n"/>
      <c r="Y372" s="3934" t="n"/>
      <c r="Z372" s="3934" t="n"/>
      <c r="AA372" s="3934" t="n"/>
      <c r="AB372" s="3934" t="n"/>
      <c r="AC372" s="3934" t="n"/>
      <c r="AD372" s="3934" t="n"/>
      <c r="AE372" s="3934" t="n"/>
      <c r="AF372" s="3934" t="n"/>
      <c r="AG372" s="3934" t="n"/>
      <c r="AH372" s="3934" t="n"/>
      <c r="AI372" s="3934" t="n"/>
      <c r="AJ372" s="3934" t="n"/>
      <c r="AK372" s="3934" t="n"/>
      <c r="AL372" s="3934" t="n"/>
      <c r="AM372" s="3934" t="n"/>
      <c r="AN372" s="3934" t="n"/>
      <c r="AO372" s="3934" t="n"/>
      <c r="AP372" s="3934" t="n"/>
      <c r="AQ372" s="3934" t="n"/>
      <c r="AR372" s="3934" t="n"/>
    </row>
    <row r="373">
      <c r="A373" s="3944" t="n"/>
      <c r="B373" s="3944" t="n"/>
      <c r="C373" s="3944" t="n"/>
      <c r="D373" s="3944" t="n"/>
      <c r="E373" s="3944" t="n"/>
      <c r="F373" s="3944" t="n"/>
      <c r="G373" s="3944" t="n"/>
      <c r="H373" s="3944" t="n"/>
      <c r="I373" s="3944" t="n"/>
      <c r="J373" s="3934" t="n"/>
      <c r="K373" s="3934" t="n"/>
      <c r="L373" s="3934" t="n"/>
      <c r="M373" s="3934" t="n"/>
      <c r="N373" s="3934" t="n"/>
      <c r="O373" s="3934" t="n"/>
      <c r="P373" s="3934" t="n"/>
      <c r="Q373" s="3934" t="n"/>
      <c r="R373" s="3934" t="n"/>
      <c r="S373" s="3934" t="n"/>
      <c r="T373" s="3934" t="n"/>
      <c r="U373" s="3934" t="n"/>
      <c r="V373" s="3934" t="n"/>
      <c r="W373" s="3934" t="n"/>
      <c r="X373" s="3934" t="n"/>
      <c r="Y373" s="3934" t="n"/>
      <c r="Z373" s="3934" t="n"/>
      <c r="AA373" s="3934" t="n"/>
      <c r="AB373" s="3934" t="n"/>
      <c r="AC373" s="3934" t="n"/>
      <c r="AD373" s="3934" t="n"/>
      <c r="AE373" s="3934" t="n"/>
      <c r="AF373" s="3934" t="n"/>
      <c r="AG373" s="3934" t="n"/>
      <c r="AH373" s="3934" t="n"/>
      <c r="AI373" s="3934" t="n"/>
      <c r="AJ373" s="3934" t="n"/>
      <c r="AK373" s="3934" t="n"/>
      <c r="AL373" s="3934" t="n"/>
      <c r="AM373" s="3934" t="n"/>
      <c r="AN373" s="3934" t="n"/>
      <c r="AO373" s="3934" t="n"/>
      <c r="AP373" s="3934" t="n"/>
      <c r="AQ373" s="3934" t="n"/>
      <c r="AR373" s="3934" t="n"/>
    </row>
    <row r="374">
      <c r="A374" s="3944" t="n"/>
      <c r="B374" s="3944" t="n"/>
      <c r="C374" s="3944" t="n"/>
      <c r="D374" s="3944" t="n"/>
      <c r="E374" s="3944" t="n"/>
      <c r="F374" s="3944" t="n"/>
      <c r="G374" s="3944" t="n"/>
      <c r="H374" s="3944" t="n"/>
      <c r="I374" s="3944" t="n"/>
      <c r="J374" s="3934" t="n"/>
      <c r="K374" s="3934" t="n"/>
      <c r="L374" s="3934" t="n"/>
      <c r="M374" s="3934" t="n"/>
      <c r="N374" s="3934" t="n"/>
      <c r="O374" s="3934" t="n"/>
      <c r="P374" s="3934" t="n"/>
      <c r="Q374" s="3934" t="n"/>
      <c r="R374" s="3934" t="n"/>
      <c r="S374" s="3934" t="n"/>
      <c r="T374" s="3934" t="n"/>
      <c r="U374" s="3934" t="n"/>
      <c r="V374" s="3934" t="n"/>
      <c r="W374" s="3934" t="n"/>
      <c r="X374" s="3934" t="n"/>
      <c r="Y374" s="3934" t="n"/>
      <c r="Z374" s="3934" t="n"/>
      <c r="AA374" s="3934" t="n"/>
      <c r="AB374" s="3934" t="n"/>
      <c r="AC374" s="3934" t="n"/>
      <c r="AD374" s="3934" t="n"/>
      <c r="AE374" s="3934" t="n"/>
      <c r="AF374" s="3934" t="n"/>
      <c r="AG374" s="3934" t="n"/>
      <c r="AH374" s="3934" t="n"/>
      <c r="AI374" s="3934" t="n"/>
      <c r="AJ374" s="3934" t="n"/>
      <c r="AK374" s="3934" t="n"/>
      <c r="AL374" s="3934" t="n"/>
      <c r="AM374" s="3934" t="n"/>
      <c r="AN374" s="3934" t="n"/>
      <c r="AO374" s="3934" t="n"/>
      <c r="AP374" s="3934" t="n"/>
      <c r="AQ374" s="3934" t="n"/>
      <c r="AR374" s="3934" t="n"/>
    </row>
    <row r="375">
      <c r="A375" s="3944" t="n"/>
      <c r="B375" s="3944" t="n"/>
      <c r="C375" s="3944" t="n"/>
      <c r="D375" s="3944" t="n"/>
      <c r="E375" s="3944" t="n"/>
      <c r="F375" s="3944" t="n"/>
      <c r="G375" s="3944" t="n"/>
      <c r="H375" s="3944" t="n"/>
      <c r="I375" s="3944" t="n"/>
      <c r="J375" s="3934" t="n"/>
      <c r="K375" s="3934" t="n"/>
      <c r="L375" s="3934" t="n"/>
      <c r="M375" s="3934" t="n"/>
      <c r="N375" s="3934" t="n"/>
      <c r="O375" s="3934" t="n"/>
      <c r="P375" s="3934" t="n"/>
      <c r="Q375" s="3934" t="n"/>
      <c r="R375" s="3934" t="n"/>
      <c r="S375" s="3934" t="n"/>
      <c r="T375" s="3934" t="n"/>
      <c r="U375" s="3934" t="n"/>
      <c r="V375" s="3934" t="n"/>
      <c r="W375" s="3934" t="n"/>
      <c r="X375" s="3934" t="n"/>
      <c r="Y375" s="3934" t="n"/>
      <c r="Z375" s="3934" t="n"/>
      <c r="AA375" s="3934" t="n"/>
      <c r="AB375" s="3934" t="n"/>
      <c r="AC375" s="3934" t="n"/>
      <c r="AD375" s="3934" t="n"/>
      <c r="AE375" s="3934" t="n"/>
      <c r="AF375" s="3934" t="n"/>
      <c r="AG375" s="3934" t="n"/>
      <c r="AH375" s="3934" t="n"/>
      <c r="AI375" s="3934" t="n"/>
      <c r="AJ375" s="3934" t="n"/>
      <c r="AK375" s="3934" t="n"/>
      <c r="AL375" s="3934" t="n"/>
      <c r="AM375" s="3934" t="n"/>
      <c r="AN375" s="3934" t="n"/>
      <c r="AO375" s="3934" t="n"/>
      <c r="AP375" s="3934" t="n"/>
      <c r="AQ375" s="3934" t="n"/>
      <c r="AR375" s="3934" t="n"/>
    </row>
    <row r="376">
      <c r="A376" s="3944" t="n"/>
      <c r="B376" s="3944" t="n"/>
      <c r="C376" s="3944" t="n"/>
      <c r="D376" s="3944" t="n"/>
      <c r="E376" s="3944" t="n"/>
      <c r="F376" s="3944" t="n"/>
      <c r="G376" s="3944" t="n"/>
      <c r="H376" s="3944" t="n"/>
      <c r="I376" s="3944" t="n"/>
      <c r="J376" s="3934" t="n"/>
      <c r="K376" s="3934" t="n"/>
      <c r="L376" s="3934" t="n"/>
      <c r="M376" s="3934" t="n"/>
      <c r="N376" s="3934" t="n"/>
      <c r="O376" s="3934" t="n"/>
      <c r="P376" s="3934" t="n"/>
      <c r="Q376" s="3934" t="n"/>
      <c r="R376" s="3934" t="n"/>
      <c r="S376" s="3934" t="n"/>
      <c r="T376" s="3934" t="n"/>
      <c r="U376" s="3934" t="n"/>
      <c r="V376" s="3934" t="n"/>
      <c r="W376" s="3934" t="n"/>
      <c r="X376" s="3934" t="n"/>
      <c r="Y376" s="3934" t="n"/>
      <c r="Z376" s="3934" t="n"/>
      <c r="AA376" s="3934" t="n"/>
      <c r="AB376" s="3934" t="n"/>
      <c r="AC376" s="3934" t="n"/>
      <c r="AD376" s="3934" t="n"/>
      <c r="AE376" s="3934" t="n"/>
      <c r="AF376" s="3934" t="n"/>
      <c r="AG376" s="3934" t="n"/>
      <c r="AH376" s="3934" t="n"/>
      <c r="AI376" s="3934" t="n"/>
      <c r="AJ376" s="3934" t="n"/>
      <c r="AK376" s="3934" t="n"/>
      <c r="AL376" s="3934" t="n"/>
      <c r="AM376" s="3934" t="n"/>
      <c r="AN376" s="3934" t="n"/>
      <c r="AO376" s="3934" t="n"/>
      <c r="AP376" s="3934" t="n"/>
      <c r="AQ376" s="3934" t="n"/>
      <c r="AR376" s="3934" t="n"/>
    </row>
    <row r="377">
      <c r="A377" s="3944" t="n"/>
      <c r="B377" s="3944" t="n"/>
      <c r="C377" s="3944" t="n"/>
      <c r="D377" s="3944" t="n"/>
      <c r="E377" s="3944" t="n"/>
      <c r="F377" s="3944" t="n"/>
      <c r="G377" s="3944" t="n"/>
      <c r="H377" s="3944" t="n"/>
      <c r="I377" s="3944" t="n"/>
      <c r="J377" s="3934" t="n"/>
      <c r="K377" s="3934" t="n"/>
      <c r="L377" s="3934" t="n"/>
      <c r="M377" s="3934" t="n"/>
      <c r="N377" s="3934" t="n"/>
      <c r="O377" s="3934" t="n"/>
      <c r="P377" s="3934" t="n"/>
      <c r="Q377" s="3934" t="n"/>
      <c r="R377" s="3934" t="n"/>
      <c r="S377" s="3934" t="n"/>
      <c r="T377" s="3934" t="n"/>
      <c r="U377" s="3934" t="n"/>
      <c r="V377" s="3934" t="n"/>
      <c r="W377" s="3934" t="n"/>
      <c r="X377" s="3934" t="n"/>
      <c r="Y377" s="3934" t="n"/>
      <c r="Z377" s="3934" t="n"/>
      <c r="AA377" s="3934" t="n"/>
      <c r="AB377" s="3934" t="n"/>
      <c r="AC377" s="3934" t="n"/>
      <c r="AD377" s="3934" t="n"/>
      <c r="AE377" s="3934" t="n"/>
      <c r="AF377" s="3934" t="n"/>
      <c r="AG377" s="3934" t="n"/>
      <c r="AH377" s="3934" t="n"/>
      <c r="AI377" s="3934" t="n"/>
      <c r="AJ377" s="3934" t="n"/>
      <c r="AK377" s="3934" t="n"/>
      <c r="AL377" s="3934" t="n"/>
      <c r="AM377" s="3934" t="n"/>
      <c r="AN377" s="3934" t="n"/>
      <c r="AO377" s="3934" t="n"/>
      <c r="AP377" s="3934" t="n"/>
      <c r="AQ377" s="3934" t="n"/>
      <c r="AR377" s="3934" t="n"/>
    </row>
    <row r="378">
      <c r="A378" s="3944" t="n"/>
      <c r="B378" s="3944" t="n"/>
      <c r="C378" s="3944" t="n"/>
      <c r="D378" s="3944" t="n"/>
      <c r="E378" s="3944" t="n"/>
      <c r="F378" s="3944" t="n"/>
      <c r="G378" s="3944" t="n"/>
      <c r="H378" s="3944" t="n"/>
      <c r="I378" s="3944" t="n"/>
      <c r="J378" s="3934" t="n"/>
      <c r="K378" s="3934" t="n"/>
      <c r="L378" s="3934" t="n"/>
      <c r="M378" s="3934" t="n"/>
      <c r="N378" s="3934" t="n"/>
      <c r="O378" s="3934" t="n"/>
      <c r="P378" s="3934" t="n"/>
      <c r="Q378" s="3934" t="n"/>
      <c r="R378" s="3934" t="n"/>
      <c r="S378" s="3934" t="n"/>
      <c r="T378" s="3934" t="n"/>
      <c r="U378" s="3934" t="n"/>
      <c r="V378" s="3934" t="n"/>
      <c r="W378" s="3934" t="n"/>
      <c r="X378" s="3934" t="n"/>
      <c r="Y378" s="3934" t="n"/>
      <c r="Z378" s="3934" t="n"/>
      <c r="AA378" s="3934" t="n"/>
      <c r="AB378" s="3934" t="n"/>
      <c r="AC378" s="3934" t="n"/>
      <c r="AD378" s="3934" t="n"/>
      <c r="AE378" s="3934" t="n"/>
      <c r="AF378" s="3934" t="n"/>
      <c r="AG378" s="3934" t="n"/>
      <c r="AH378" s="3934" t="n"/>
      <c r="AI378" s="3934" t="n"/>
      <c r="AJ378" s="3934" t="n"/>
      <c r="AK378" s="3934" t="n"/>
      <c r="AL378" s="3934" t="n"/>
      <c r="AM378" s="3934" t="n"/>
      <c r="AN378" s="3934" t="n"/>
      <c r="AO378" s="3934" t="n"/>
      <c r="AP378" s="3934" t="n"/>
      <c r="AQ378" s="3934" t="n"/>
      <c r="AR378" s="3934" t="n"/>
    </row>
    <row r="379">
      <c r="A379" s="3944" t="n"/>
      <c r="B379" s="3944" t="n"/>
      <c r="C379" s="3944" t="n"/>
      <c r="D379" s="3944" t="n"/>
      <c r="E379" s="3944" t="n"/>
      <c r="F379" s="3944" t="n"/>
      <c r="G379" s="3944" t="n"/>
      <c r="H379" s="3944" t="n"/>
      <c r="I379" s="3944" t="n"/>
      <c r="J379" s="3934" t="n"/>
      <c r="K379" s="3934" t="n"/>
      <c r="L379" s="3934" t="n"/>
      <c r="M379" s="3934" t="n"/>
      <c r="N379" s="3934" t="n"/>
      <c r="O379" s="3934" t="n"/>
      <c r="P379" s="3934" t="n"/>
      <c r="Q379" s="3934" t="n"/>
      <c r="R379" s="3934" t="n"/>
      <c r="S379" s="3934" t="n"/>
      <c r="T379" s="3934" t="n"/>
      <c r="U379" s="3934" t="n"/>
      <c r="V379" s="3934" t="n"/>
      <c r="W379" s="3934" t="n"/>
      <c r="X379" s="3934" t="n"/>
      <c r="Y379" s="3934" t="n"/>
      <c r="Z379" s="3934" t="n"/>
      <c r="AA379" s="3934" t="n"/>
      <c r="AB379" s="3934" t="n"/>
      <c r="AC379" s="3934" t="n"/>
      <c r="AD379" s="3934" t="n"/>
      <c r="AE379" s="3934" t="n"/>
      <c r="AF379" s="3934" t="n"/>
      <c r="AG379" s="3934" t="n"/>
      <c r="AH379" s="3934" t="n"/>
      <c r="AI379" s="3934" t="n"/>
      <c r="AJ379" s="3934" t="n"/>
      <c r="AK379" s="3934" t="n"/>
      <c r="AL379" s="3934" t="n"/>
      <c r="AM379" s="3934" t="n"/>
      <c r="AN379" s="3934" t="n"/>
      <c r="AO379" s="3934" t="n"/>
      <c r="AP379" s="3934" t="n"/>
      <c r="AQ379" s="3934" t="n"/>
      <c r="AR379" s="3934" t="n"/>
    </row>
    <row r="380">
      <c r="A380" s="3944" t="n"/>
      <c r="B380" s="3944" t="n"/>
      <c r="C380" s="3944" t="n"/>
      <c r="D380" s="3944" t="n"/>
      <c r="E380" s="3944" t="n"/>
      <c r="F380" s="3944" t="n"/>
      <c r="G380" s="3944" t="n"/>
      <c r="H380" s="3944" t="n"/>
      <c r="I380" s="3944" t="n"/>
      <c r="J380" s="3934" t="n"/>
      <c r="K380" s="3934" t="n"/>
      <c r="L380" s="3934" t="n"/>
      <c r="M380" s="3934" t="n"/>
      <c r="N380" s="3934" t="n"/>
      <c r="O380" s="3934" t="n"/>
      <c r="P380" s="3934" t="n"/>
      <c r="Q380" s="3934" t="n"/>
      <c r="R380" s="3934" t="n"/>
      <c r="S380" s="3934" t="n"/>
      <c r="T380" s="3934" t="n"/>
      <c r="U380" s="3934" t="n"/>
      <c r="V380" s="3934" t="n"/>
      <c r="W380" s="3934" t="n"/>
      <c r="X380" s="3934" t="n"/>
      <c r="Y380" s="3934" t="n"/>
      <c r="Z380" s="3934" t="n"/>
      <c r="AA380" s="3934" t="n"/>
      <c r="AB380" s="3934" t="n"/>
      <c r="AC380" s="3934" t="n"/>
      <c r="AD380" s="3934" t="n"/>
      <c r="AE380" s="3934" t="n"/>
      <c r="AF380" s="3934" t="n"/>
      <c r="AG380" s="3934" t="n"/>
      <c r="AH380" s="3934" t="n"/>
      <c r="AI380" s="3934" t="n"/>
      <c r="AJ380" s="3934" t="n"/>
      <c r="AK380" s="3934" t="n"/>
      <c r="AL380" s="3934" t="n"/>
      <c r="AM380" s="3934" t="n"/>
      <c r="AN380" s="3934" t="n"/>
      <c r="AO380" s="3934" t="n"/>
      <c r="AP380" s="3934" t="n"/>
      <c r="AQ380" s="3934" t="n"/>
      <c r="AR380" s="3934" t="n"/>
    </row>
    <row r="381">
      <c r="A381" s="3944" t="n"/>
      <c r="B381" s="3944" t="n"/>
      <c r="C381" s="3944" t="n"/>
      <c r="D381" s="3944" t="n"/>
      <c r="E381" s="3944" t="n"/>
      <c r="F381" s="3944" t="n"/>
      <c r="G381" s="3944" t="n"/>
      <c r="H381" s="3944" t="n"/>
      <c r="I381" s="3944" t="n"/>
      <c r="J381" s="3934" t="n"/>
      <c r="K381" s="3934" t="n"/>
      <c r="L381" s="3934" t="n"/>
      <c r="M381" s="3934" t="n"/>
      <c r="N381" s="3934" t="n"/>
      <c r="O381" s="3934" t="n"/>
      <c r="P381" s="3934" t="n"/>
      <c r="Q381" s="3934" t="n"/>
      <c r="R381" s="3934" t="n"/>
      <c r="S381" s="3934" t="n"/>
      <c r="T381" s="3934" t="n"/>
      <c r="U381" s="3934" t="n"/>
      <c r="V381" s="3934" t="n"/>
      <c r="W381" s="3934" t="n"/>
      <c r="X381" s="3934" t="n"/>
      <c r="Y381" s="3934" t="n"/>
      <c r="Z381" s="3934" t="n"/>
      <c r="AA381" s="3934" t="n"/>
      <c r="AB381" s="3934" t="n"/>
      <c r="AC381" s="3934" t="n"/>
      <c r="AD381" s="3934" t="n"/>
      <c r="AE381" s="3934" t="n"/>
      <c r="AF381" s="3934" t="n"/>
      <c r="AG381" s="3934" t="n"/>
      <c r="AH381" s="3934" t="n"/>
      <c r="AI381" s="3934" t="n"/>
      <c r="AJ381" s="3934" t="n"/>
      <c r="AK381" s="3934" t="n"/>
      <c r="AL381" s="3934" t="n"/>
      <c r="AM381" s="3934" t="n"/>
      <c r="AN381" s="3934" t="n"/>
      <c r="AO381" s="3934" t="n"/>
      <c r="AP381" s="3934" t="n"/>
      <c r="AQ381" s="3934" t="n"/>
      <c r="AR381" s="3934" t="n"/>
    </row>
    <row r="382">
      <c r="A382" s="3944" t="n"/>
      <c r="B382" s="3944" t="n"/>
      <c r="C382" s="3944" t="n"/>
      <c r="D382" s="3944" t="n"/>
      <c r="E382" s="3944" t="n"/>
      <c r="F382" s="3944" t="n"/>
      <c r="G382" s="3944" t="n"/>
      <c r="H382" s="3944" t="n"/>
      <c r="I382" s="3944" t="n"/>
      <c r="J382" s="3934" t="n"/>
      <c r="K382" s="3934" t="n"/>
      <c r="L382" s="3934" t="n"/>
      <c r="M382" s="3934" t="n"/>
      <c r="N382" s="3934" t="n"/>
      <c r="O382" s="3934" t="n"/>
      <c r="P382" s="3934" t="n"/>
      <c r="Q382" s="3934" t="n"/>
      <c r="R382" s="3934" t="n"/>
      <c r="S382" s="3934" t="n"/>
      <c r="T382" s="3934" t="n"/>
      <c r="U382" s="3934" t="n"/>
      <c r="V382" s="3934" t="n"/>
      <c r="W382" s="3934" t="n"/>
      <c r="X382" s="3934" t="n"/>
      <c r="Y382" s="3934" t="n"/>
      <c r="Z382" s="3934" t="n"/>
      <c r="AA382" s="3934" t="n"/>
      <c r="AB382" s="3934" t="n"/>
      <c r="AC382" s="3934" t="n"/>
      <c r="AD382" s="3934" t="n"/>
      <c r="AE382" s="3934" t="n"/>
      <c r="AF382" s="3934" t="n"/>
      <c r="AG382" s="3934" t="n"/>
      <c r="AH382" s="3934" t="n"/>
      <c r="AI382" s="3934" t="n"/>
      <c r="AJ382" s="3934" t="n"/>
      <c r="AK382" s="3934" t="n"/>
      <c r="AL382" s="3934" t="n"/>
      <c r="AM382" s="3934" t="n"/>
      <c r="AN382" s="3934" t="n"/>
      <c r="AO382" s="3934" t="n"/>
      <c r="AP382" s="3934" t="n"/>
      <c r="AQ382" s="3934" t="n"/>
      <c r="AR382" s="3934" t="n"/>
    </row>
    <row r="383">
      <c r="A383" s="3944" t="n"/>
      <c r="B383" s="3944" t="n"/>
      <c r="C383" s="3944" t="n"/>
      <c r="D383" s="3944" t="n"/>
      <c r="E383" s="3944" t="n"/>
      <c r="F383" s="3944" t="n"/>
      <c r="G383" s="3944" t="n"/>
      <c r="H383" s="3944" t="n"/>
      <c r="I383" s="3944" t="n"/>
      <c r="J383" s="3934" t="n"/>
      <c r="K383" s="3934" t="n"/>
      <c r="L383" s="3934" t="n"/>
      <c r="M383" s="3934" t="n"/>
      <c r="N383" s="3934" t="n"/>
      <c r="O383" s="3934" t="n"/>
      <c r="P383" s="3934" t="n"/>
      <c r="Q383" s="3934" t="n"/>
      <c r="R383" s="3934" t="n"/>
      <c r="S383" s="3934" t="n"/>
      <c r="T383" s="3934" t="n"/>
      <c r="U383" s="3934" t="n"/>
      <c r="V383" s="3934" t="n"/>
      <c r="W383" s="3934" t="n"/>
      <c r="X383" s="3934" t="n"/>
      <c r="Y383" s="3934" t="n"/>
      <c r="Z383" s="3934" t="n"/>
      <c r="AA383" s="3934" t="n"/>
      <c r="AB383" s="3934" t="n"/>
      <c r="AC383" s="3934" t="n"/>
      <c r="AD383" s="3934" t="n"/>
      <c r="AE383" s="3934" t="n"/>
      <c r="AF383" s="3934" t="n"/>
      <c r="AG383" s="3934" t="n"/>
      <c r="AH383" s="3934" t="n"/>
      <c r="AI383" s="3934" t="n"/>
      <c r="AJ383" s="3934" t="n"/>
      <c r="AK383" s="3934" t="n"/>
      <c r="AL383" s="3934" t="n"/>
      <c r="AM383" s="3934" t="n"/>
      <c r="AN383" s="3934" t="n"/>
      <c r="AO383" s="3934" t="n"/>
      <c r="AP383" s="3934" t="n"/>
      <c r="AQ383" s="3934" t="n"/>
      <c r="AR383" s="3934" t="n"/>
    </row>
    <row r="384">
      <c r="A384" s="3944" t="n"/>
      <c r="B384" s="3944" t="n"/>
      <c r="C384" s="3944" t="n"/>
      <c r="D384" s="3944" t="n"/>
      <c r="E384" s="3944" t="n"/>
      <c r="F384" s="3944" t="n"/>
      <c r="G384" s="3944" t="n"/>
      <c r="H384" s="3944" t="n"/>
      <c r="I384" s="3944" t="n"/>
      <c r="J384" s="3934" t="n"/>
      <c r="K384" s="3934" t="n"/>
      <c r="L384" s="3934" t="n"/>
      <c r="M384" s="3934" t="n"/>
      <c r="N384" s="3934" t="n"/>
      <c r="O384" s="3934" t="n"/>
      <c r="P384" s="3934" t="n"/>
      <c r="Q384" s="3934" t="n"/>
      <c r="R384" s="3934" t="n"/>
      <c r="S384" s="3934" t="n"/>
      <c r="T384" s="3934" t="n"/>
      <c r="U384" s="3934" t="n"/>
      <c r="V384" s="3934" t="n"/>
      <c r="W384" s="3934" t="n"/>
      <c r="X384" s="3934" t="n"/>
      <c r="Y384" s="3934" t="n"/>
      <c r="Z384" s="3934" t="n"/>
      <c r="AA384" s="3934" t="n"/>
      <c r="AB384" s="3934" t="n"/>
      <c r="AC384" s="3934" t="n"/>
      <c r="AD384" s="3934" t="n"/>
      <c r="AE384" s="3934" t="n"/>
      <c r="AF384" s="3934" t="n"/>
      <c r="AG384" s="3934" t="n"/>
      <c r="AH384" s="3934" t="n"/>
      <c r="AI384" s="3934" t="n"/>
      <c r="AJ384" s="3934" t="n"/>
      <c r="AK384" s="3934" t="n"/>
      <c r="AL384" s="3934" t="n"/>
      <c r="AM384" s="3934" t="n"/>
      <c r="AN384" s="3934" t="n"/>
      <c r="AO384" s="3934" t="n"/>
      <c r="AP384" s="3934" t="n"/>
      <c r="AQ384" s="3934" t="n"/>
      <c r="AR384" s="3934" t="n"/>
    </row>
    <row r="385">
      <c r="A385" s="3944" t="n"/>
      <c r="B385" s="3944" t="n"/>
      <c r="C385" s="3944" t="n"/>
      <c r="D385" s="3944" t="n"/>
      <c r="E385" s="3944" t="n"/>
      <c r="F385" s="3944" t="n"/>
      <c r="G385" s="3944" t="n"/>
      <c r="H385" s="3944" t="n"/>
      <c r="I385" s="3944" t="n"/>
      <c r="J385" s="3934" t="n"/>
      <c r="K385" s="3934" t="n"/>
      <c r="L385" s="3934" t="n"/>
      <c r="M385" s="3934" t="n"/>
      <c r="N385" s="3934" t="n"/>
      <c r="O385" s="3934" t="n"/>
      <c r="P385" s="3934" t="n"/>
      <c r="Q385" s="3934" t="n"/>
      <c r="R385" s="3934" t="n"/>
      <c r="S385" s="3934" t="n"/>
      <c r="T385" s="3934" t="n"/>
      <c r="U385" s="3934" t="n"/>
      <c r="V385" s="3934" t="n"/>
      <c r="W385" s="3934" t="n"/>
      <c r="X385" s="3934" t="n"/>
      <c r="Y385" s="3934" t="n"/>
      <c r="Z385" s="3934" t="n"/>
      <c r="AA385" s="3934" t="n"/>
      <c r="AB385" s="3934" t="n"/>
      <c r="AC385" s="3934" t="n"/>
      <c r="AD385" s="3934" t="n"/>
      <c r="AE385" s="3934" t="n"/>
      <c r="AF385" s="3934" t="n"/>
      <c r="AG385" s="3934" t="n"/>
      <c r="AH385" s="3934" t="n"/>
      <c r="AI385" s="3934" t="n"/>
      <c r="AJ385" s="3934" t="n"/>
      <c r="AK385" s="3934" t="n"/>
      <c r="AL385" s="3934" t="n"/>
      <c r="AM385" s="3934" t="n"/>
      <c r="AN385" s="3934" t="n"/>
      <c r="AO385" s="3934" t="n"/>
      <c r="AP385" s="3934" t="n"/>
      <c r="AQ385" s="3934" t="n"/>
      <c r="AR385" s="3934" t="n"/>
    </row>
    <row r="386">
      <c r="A386" s="3944" t="n"/>
      <c r="B386" s="3944" t="n"/>
      <c r="C386" s="3944" t="n"/>
      <c r="D386" s="3944" t="n"/>
      <c r="E386" s="3944" t="n"/>
      <c r="F386" s="3944" t="n"/>
      <c r="G386" s="3944" t="n"/>
      <c r="H386" s="3944" t="n"/>
      <c r="I386" s="3944" t="n"/>
      <c r="J386" s="3934" t="n"/>
      <c r="K386" s="3934" t="n"/>
      <c r="L386" s="3934" t="n"/>
      <c r="M386" s="3934" t="n"/>
      <c r="N386" s="3934" t="n"/>
      <c r="O386" s="3934" t="n"/>
      <c r="P386" s="3934" t="n"/>
      <c r="Q386" s="3934" t="n"/>
      <c r="R386" s="3934" t="n"/>
      <c r="S386" s="3934" t="n"/>
      <c r="T386" s="3934" t="n"/>
      <c r="U386" s="3934" t="n"/>
      <c r="V386" s="3934" t="n"/>
      <c r="W386" s="3934" t="n"/>
      <c r="X386" s="3934" t="n"/>
      <c r="Y386" s="3934" t="n"/>
      <c r="Z386" s="3934" t="n"/>
      <c r="AA386" s="3934" t="n"/>
      <c r="AB386" s="3934" t="n"/>
      <c r="AC386" s="3934" t="n"/>
      <c r="AD386" s="3934" t="n"/>
      <c r="AE386" s="3934" t="n"/>
      <c r="AF386" s="3934" t="n"/>
      <c r="AG386" s="3934" t="n"/>
      <c r="AH386" s="3934" t="n"/>
      <c r="AI386" s="3934" t="n"/>
      <c r="AJ386" s="3934" t="n"/>
      <c r="AK386" s="3934" t="n"/>
      <c r="AL386" s="3934" t="n"/>
      <c r="AM386" s="3934" t="n"/>
      <c r="AN386" s="3934" t="n"/>
      <c r="AO386" s="3934" t="n"/>
      <c r="AP386" s="3934" t="n"/>
      <c r="AQ386" s="3934" t="n"/>
      <c r="AR386" s="3934" t="n"/>
    </row>
    <row r="387">
      <c r="A387" s="3944" t="n"/>
      <c r="B387" s="3944" t="n"/>
      <c r="C387" s="3944" t="n"/>
      <c r="D387" s="3944" t="n"/>
      <c r="E387" s="3944" t="n"/>
      <c r="F387" s="3944" t="n"/>
      <c r="G387" s="3944" t="n"/>
      <c r="H387" s="3944" t="n"/>
      <c r="I387" s="3944" t="n"/>
      <c r="J387" s="3934" t="n"/>
      <c r="K387" s="3934" t="n"/>
      <c r="L387" s="3934" t="n"/>
      <c r="M387" s="3934" t="n"/>
      <c r="N387" s="3934" t="n"/>
      <c r="O387" s="3934" t="n"/>
      <c r="P387" s="3934" t="n"/>
      <c r="Q387" s="3934" t="n"/>
      <c r="R387" s="3934" t="n"/>
      <c r="S387" s="3934" t="n"/>
      <c r="T387" s="3934" t="n"/>
      <c r="U387" s="3934" t="n"/>
      <c r="V387" s="3934" t="n"/>
      <c r="W387" s="3934" t="n"/>
      <c r="X387" s="3934" t="n"/>
      <c r="Y387" s="3934" t="n"/>
      <c r="Z387" s="3934" t="n"/>
      <c r="AA387" s="3934" t="n"/>
      <c r="AB387" s="3934" t="n"/>
      <c r="AC387" s="3934" t="n"/>
      <c r="AD387" s="3934" t="n"/>
      <c r="AE387" s="3934" t="n"/>
      <c r="AF387" s="3934" t="n"/>
      <c r="AG387" s="3934" t="n"/>
      <c r="AH387" s="3934" t="n"/>
      <c r="AI387" s="3934" t="n"/>
      <c r="AJ387" s="3934" t="n"/>
      <c r="AK387" s="3934" t="n"/>
      <c r="AL387" s="3934" t="n"/>
      <c r="AM387" s="3934" t="n"/>
      <c r="AN387" s="3934" t="n"/>
      <c r="AO387" s="3934" t="n"/>
      <c r="AP387" s="3934" t="n"/>
      <c r="AQ387" s="3934" t="n"/>
      <c r="AR387" s="3934" t="n"/>
    </row>
    <row r="388">
      <c r="A388" s="3944" t="n"/>
      <c r="B388" s="3944" t="n"/>
      <c r="C388" s="3944" t="n"/>
      <c r="D388" s="3944" t="n"/>
      <c r="E388" s="3944" t="n"/>
      <c r="F388" s="3944" t="n"/>
      <c r="G388" s="3944" t="n"/>
      <c r="H388" s="3944" t="n"/>
      <c r="I388" s="3944" t="n"/>
      <c r="J388" s="3934" t="n"/>
      <c r="K388" s="3934" t="n"/>
      <c r="L388" s="3934" t="n"/>
      <c r="M388" s="3934" t="n"/>
      <c r="N388" s="3934" t="n"/>
      <c r="O388" s="3934" t="n"/>
      <c r="P388" s="3934" t="n"/>
      <c r="Q388" s="3934" t="n"/>
      <c r="R388" s="3934" t="n"/>
      <c r="S388" s="3934" t="n"/>
      <c r="T388" s="3934" t="n"/>
      <c r="U388" s="3934" t="n"/>
      <c r="V388" s="3934" t="n"/>
      <c r="W388" s="3934" t="n"/>
      <c r="X388" s="3934" t="n"/>
      <c r="Y388" s="3934" t="n"/>
      <c r="Z388" s="3934" t="n"/>
      <c r="AA388" s="3934" t="n"/>
      <c r="AB388" s="3934" t="n"/>
      <c r="AC388" s="3934" t="n"/>
      <c r="AD388" s="3934" t="n"/>
      <c r="AE388" s="3934" t="n"/>
      <c r="AF388" s="3934" t="n"/>
      <c r="AG388" s="3934" t="n"/>
      <c r="AH388" s="3934" t="n"/>
      <c r="AI388" s="3934" t="n"/>
      <c r="AJ388" s="3934" t="n"/>
      <c r="AK388" s="3934" t="n"/>
      <c r="AL388" s="3934" t="n"/>
      <c r="AM388" s="3934" t="n"/>
      <c r="AN388" s="3934" t="n"/>
      <c r="AO388" s="3934" t="n"/>
      <c r="AP388" s="3934" t="n"/>
      <c r="AQ388" s="3934" t="n"/>
      <c r="AR388" s="3934" t="n"/>
    </row>
    <row r="389">
      <c r="A389" s="3944" t="n"/>
      <c r="B389" s="3944" t="n"/>
      <c r="C389" s="3944" t="n"/>
      <c r="D389" s="3944" t="n"/>
      <c r="E389" s="3944" t="n"/>
      <c r="F389" s="3944" t="n"/>
      <c r="G389" s="3944" t="n"/>
      <c r="H389" s="3944" t="n"/>
      <c r="I389" s="3944" t="n"/>
      <c r="J389" s="3934" t="n"/>
      <c r="K389" s="3934" t="n"/>
      <c r="L389" s="3934" t="n"/>
      <c r="M389" s="3934" t="n"/>
      <c r="N389" s="3934" t="n"/>
      <c r="O389" s="3934" t="n"/>
      <c r="P389" s="3934" t="n"/>
      <c r="Q389" s="3934" t="n"/>
      <c r="R389" s="3934" t="n"/>
      <c r="S389" s="3934" t="n"/>
      <c r="T389" s="3934" t="n"/>
      <c r="U389" s="3934" t="n"/>
      <c r="V389" s="3934" t="n"/>
      <c r="W389" s="3934" t="n"/>
      <c r="X389" s="3934" t="n"/>
      <c r="Y389" s="3934" t="n"/>
      <c r="Z389" s="3934" t="n"/>
      <c r="AA389" s="3934" t="n"/>
      <c r="AB389" s="3934" t="n"/>
      <c r="AC389" s="3934" t="n"/>
      <c r="AD389" s="3934" t="n"/>
      <c r="AE389" s="3934" t="n"/>
      <c r="AF389" s="3934" t="n"/>
      <c r="AG389" s="3934" t="n"/>
      <c r="AH389" s="3934" t="n"/>
      <c r="AI389" s="3934" t="n"/>
      <c r="AJ389" s="3934" t="n"/>
      <c r="AK389" s="3934" t="n"/>
      <c r="AL389" s="3934" t="n"/>
      <c r="AM389" s="3934" t="n"/>
      <c r="AN389" s="3934" t="n"/>
      <c r="AO389" s="3934" t="n"/>
      <c r="AP389" s="3934" t="n"/>
      <c r="AQ389" s="3934" t="n"/>
      <c r="AR389" s="3934" t="n"/>
    </row>
    <row r="390">
      <c r="A390" s="3944" t="n"/>
      <c r="B390" s="3944" t="n"/>
      <c r="C390" s="3944" t="n"/>
      <c r="D390" s="3944" t="n"/>
      <c r="E390" s="3944" t="n"/>
      <c r="F390" s="3944" t="n"/>
      <c r="G390" s="3944" t="n"/>
      <c r="H390" s="3944" t="n"/>
      <c r="I390" s="3944" t="n"/>
      <c r="J390" s="3934" t="n"/>
      <c r="K390" s="3934" t="n"/>
      <c r="L390" s="3934" t="n"/>
      <c r="M390" s="3934" t="n"/>
      <c r="N390" s="3934" t="n"/>
      <c r="O390" s="3934" t="n"/>
      <c r="P390" s="3934" t="n"/>
      <c r="Q390" s="3934" t="n"/>
      <c r="R390" s="3934" t="n"/>
      <c r="S390" s="3934" t="n"/>
      <c r="T390" s="3934" t="n"/>
      <c r="U390" s="3934" t="n"/>
      <c r="V390" s="3934" t="n"/>
      <c r="W390" s="3934" t="n"/>
      <c r="X390" s="3934" t="n"/>
      <c r="Y390" s="3934" t="n"/>
      <c r="Z390" s="3934" t="n"/>
      <c r="AA390" s="3934" t="n"/>
      <c r="AB390" s="3934" t="n"/>
      <c r="AC390" s="3934" t="n"/>
      <c r="AD390" s="3934" t="n"/>
      <c r="AE390" s="3934" t="n"/>
      <c r="AF390" s="3934" t="n"/>
      <c r="AG390" s="3934" t="n"/>
      <c r="AH390" s="3934" t="n"/>
      <c r="AI390" s="3934" t="n"/>
      <c r="AJ390" s="3934" t="n"/>
      <c r="AK390" s="3934" t="n"/>
      <c r="AL390" s="3934" t="n"/>
      <c r="AM390" s="3934" t="n"/>
      <c r="AN390" s="3934" t="n"/>
      <c r="AO390" s="3934" t="n"/>
      <c r="AP390" s="3934" t="n"/>
      <c r="AQ390" s="3934" t="n"/>
      <c r="AR390" s="3934" t="n"/>
    </row>
    <row r="391">
      <c r="A391" s="3944" t="n"/>
      <c r="B391" s="3944" t="n"/>
      <c r="C391" s="3944" t="n"/>
      <c r="D391" s="3944" t="n"/>
      <c r="E391" s="3944" t="n"/>
      <c r="F391" s="3944" t="n"/>
      <c r="G391" s="3944" t="n"/>
      <c r="H391" s="3944" t="n"/>
      <c r="I391" s="3944" t="n"/>
      <c r="J391" s="3934" t="n"/>
      <c r="K391" s="3934" t="n"/>
      <c r="L391" s="3934" t="n"/>
      <c r="M391" s="3934" t="n"/>
      <c r="N391" s="3934" t="n"/>
      <c r="O391" s="3934" t="n"/>
      <c r="P391" s="3934" t="n"/>
      <c r="Q391" s="3934" t="n"/>
      <c r="R391" s="3934" t="n"/>
      <c r="S391" s="3934" t="n"/>
      <c r="T391" s="3934" t="n"/>
      <c r="U391" s="3934" t="n"/>
      <c r="V391" s="3934" t="n"/>
      <c r="W391" s="3934" t="n"/>
      <c r="X391" s="3934" t="n"/>
      <c r="Y391" s="3934" t="n"/>
      <c r="Z391" s="3934" t="n"/>
      <c r="AA391" s="3934" t="n"/>
      <c r="AB391" s="3934" t="n"/>
      <c r="AC391" s="3934" t="n"/>
      <c r="AD391" s="3934" t="n"/>
      <c r="AE391" s="3934" t="n"/>
      <c r="AF391" s="3934" t="n"/>
      <c r="AG391" s="3934" t="n"/>
      <c r="AH391" s="3934" t="n"/>
      <c r="AI391" s="3934" t="n"/>
      <c r="AJ391" s="3934" t="n"/>
      <c r="AK391" s="3934" t="n"/>
      <c r="AL391" s="3934" t="n"/>
      <c r="AM391" s="3934" t="n"/>
      <c r="AN391" s="3934" t="n"/>
      <c r="AO391" s="3934" t="n"/>
      <c r="AP391" s="3934" t="n"/>
      <c r="AQ391" s="3934" t="n"/>
      <c r="AR391" s="3934" t="n"/>
    </row>
    <row r="392">
      <c r="A392" s="3944" t="n"/>
      <c r="B392" s="3944" t="n"/>
      <c r="C392" s="3944" t="n"/>
      <c r="D392" s="3944" t="n"/>
      <c r="E392" s="3944" t="n"/>
      <c r="F392" s="3944" t="n"/>
      <c r="G392" s="3944" t="n"/>
      <c r="H392" s="3944" t="n"/>
      <c r="I392" s="3944" t="n"/>
      <c r="J392" s="3934" t="n"/>
      <c r="K392" s="3934" t="n"/>
      <c r="L392" s="3934" t="n"/>
      <c r="M392" s="3934" t="n"/>
      <c r="N392" s="3934" t="n"/>
      <c r="O392" s="3934" t="n"/>
      <c r="P392" s="3934" t="n"/>
      <c r="Q392" s="3934" t="n"/>
      <c r="R392" s="3934" t="n"/>
      <c r="S392" s="3934" t="n"/>
      <c r="T392" s="3934" t="n"/>
      <c r="U392" s="3934" t="n"/>
      <c r="V392" s="3934" t="n"/>
      <c r="W392" s="3934" t="n"/>
      <c r="X392" s="3934" t="n"/>
      <c r="Y392" s="3934" t="n"/>
      <c r="Z392" s="3934" t="n"/>
      <c r="AA392" s="3934" t="n"/>
      <c r="AB392" s="3934" t="n"/>
      <c r="AC392" s="3934" t="n"/>
      <c r="AD392" s="3934" t="n"/>
      <c r="AE392" s="3934" t="n"/>
      <c r="AF392" s="3934" t="n"/>
      <c r="AG392" s="3934" t="n"/>
      <c r="AH392" s="3934" t="n"/>
      <c r="AI392" s="3934" t="n"/>
      <c r="AJ392" s="3934" t="n"/>
      <c r="AK392" s="3934" t="n"/>
      <c r="AL392" s="3934" t="n"/>
      <c r="AM392" s="3934" t="n"/>
      <c r="AN392" s="3934" t="n"/>
      <c r="AO392" s="3934" t="n"/>
      <c r="AP392" s="3934" t="n"/>
      <c r="AQ392" s="3934" t="n"/>
      <c r="AR392" s="3934" t="n"/>
    </row>
    <row r="393">
      <c r="A393" s="3944" t="n"/>
      <c r="B393" s="3944" t="n"/>
      <c r="C393" s="3944" t="n"/>
      <c r="D393" s="3944" t="n"/>
      <c r="E393" s="3944" t="n"/>
      <c r="F393" s="3944" t="n"/>
      <c r="G393" s="3944" t="n"/>
      <c r="H393" s="3944" t="n"/>
      <c r="I393" s="3944" t="n"/>
      <c r="J393" s="3934" t="n"/>
      <c r="K393" s="3934" t="n"/>
      <c r="L393" s="3934" t="n"/>
      <c r="M393" s="3934" t="n"/>
      <c r="N393" s="3934" t="n"/>
      <c r="O393" s="3934" t="n"/>
      <c r="P393" s="3934" t="n"/>
      <c r="Q393" s="3934" t="n"/>
      <c r="R393" s="3934" t="n"/>
      <c r="S393" s="3934" t="n"/>
      <c r="T393" s="3934" t="n"/>
      <c r="U393" s="3934" t="n"/>
      <c r="V393" s="3934" t="n"/>
      <c r="W393" s="3934" t="n"/>
      <c r="X393" s="3934" t="n"/>
      <c r="Y393" s="3934" t="n"/>
      <c r="Z393" s="3934" t="n"/>
      <c r="AA393" s="3934" t="n"/>
      <c r="AB393" s="3934" t="n"/>
      <c r="AC393" s="3934" t="n"/>
      <c r="AD393" s="3934" t="n"/>
      <c r="AE393" s="3934" t="n"/>
      <c r="AF393" s="3934" t="n"/>
      <c r="AG393" s="3934" t="n"/>
      <c r="AH393" s="3934" t="n"/>
      <c r="AI393" s="3934" t="n"/>
      <c r="AJ393" s="3934" t="n"/>
      <c r="AK393" s="3934" t="n"/>
      <c r="AL393" s="3934" t="n"/>
      <c r="AM393" s="3934" t="n"/>
      <c r="AN393" s="3934" t="n"/>
      <c r="AO393" s="3934" t="n"/>
      <c r="AP393" s="3934" t="n"/>
      <c r="AQ393" s="3934" t="n"/>
      <c r="AR393" s="3934" t="n"/>
    </row>
    <row r="394">
      <c r="A394" s="3944" t="n"/>
      <c r="B394" s="3944" t="n"/>
      <c r="C394" s="3944" t="n"/>
      <c r="D394" s="3944" t="n"/>
      <c r="E394" s="3944" t="n"/>
      <c r="F394" s="3944" t="n"/>
      <c r="G394" s="3944" t="n"/>
      <c r="H394" s="3944" t="n"/>
      <c r="I394" s="3944" t="n"/>
      <c r="J394" s="3934" t="n"/>
      <c r="K394" s="3934" t="n"/>
      <c r="L394" s="3934" t="n"/>
      <c r="M394" s="3934" t="n"/>
      <c r="N394" s="3934" t="n"/>
      <c r="O394" s="3934" t="n"/>
      <c r="P394" s="3934" t="n"/>
      <c r="Q394" s="3934" t="n"/>
      <c r="R394" s="3934" t="n"/>
      <c r="S394" s="3934" t="n"/>
      <c r="T394" s="3934" t="n"/>
      <c r="U394" s="3934" t="n"/>
      <c r="V394" s="3934" t="n"/>
      <c r="W394" s="3934" t="n"/>
      <c r="X394" s="3934" t="n"/>
      <c r="Y394" s="3934" t="n"/>
      <c r="Z394" s="3934" t="n"/>
      <c r="AA394" s="3934" t="n"/>
      <c r="AB394" s="3934" t="n"/>
      <c r="AC394" s="3934" t="n"/>
      <c r="AD394" s="3934" t="n"/>
      <c r="AE394" s="3934" t="n"/>
      <c r="AF394" s="3934" t="n"/>
      <c r="AG394" s="3934" t="n"/>
      <c r="AH394" s="3934" t="n"/>
      <c r="AI394" s="3934" t="n"/>
      <c r="AJ394" s="3934" t="n"/>
      <c r="AK394" s="3934" t="n"/>
      <c r="AL394" s="3934" t="n"/>
      <c r="AM394" s="3934" t="n"/>
      <c r="AN394" s="3934" t="n"/>
      <c r="AO394" s="3934" t="n"/>
      <c r="AP394" s="3934" t="n"/>
      <c r="AQ394" s="3934" t="n"/>
      <c r="AR394" s="3934" t="n"/>
    </row>
    <row r="395">
      <c r="A395" s="3944" t="n"/>
      <c r="B395" s="3944" t="n"/>
      <c r="C395" s="3944" t="n"/>
      <c r="D395" s="3944" t="n"/>
      <c r="E395" s="3944" t="n"/>
      <c r="F395" s="3944" t="n"/>
      <c r="G395" s="3944" t="n"/>
      <c r="H395" s="3944" t="n"/>
      <c r="I395" s="3944" t="n"/>
      <c r="J395" s="3934" t="n"/>
      <c r="K395" s="3934" t="n"/>
      <c r="L395" s="3934" t="n"/>
      <c r="M395" s="3934" t="n"/>
      <c r="N395" s="3934" t="n"/>
      <c r="O395" s="3934" t="n"/>
      <c r="P395" s="3934" t="n"/>
      <c r="Q395" s="3934" t="n"/>
      <c r="R395" s="3934" t="n"/>
      <c r="S395" s="3934" t="n"/>
      <c r="T395" s="3934" t="n"/>
      <c r="U395" s="3934" t="n"/>
      <c r="V395" s="3934" t="n"/>
      <c r="W395" s="3934" t="n"/>
      <c r="X395" s="3934" t="n"/>
      <c r="Y395" s="3934" t="n"/>
      <c r="Z395" s="3934" t="n"/>
      <c r="AA395" s="3934" t="n"/>
      <c r="AB395" s="3934" t="n"/>
      <c r="AC395" s="3934" t="n"/>
      <c r="AD395" s="3934" t="n"/>
      <c r="AE395" s="3934" t="n"/>
      <c r="AF395" s="3934" t="n"/>
      <c r="AG395" s="3934" t="n"/>
      <c r="AH395" s="3934" t="n"/>
      <c r="AI395" s="3934" t="n"/>
      <c r="AJ395" s="3934" t="n"/>
      <c r="AK395" s="3934" t="n"/>
      <c r="AL395" s="3934" t="n"/>
      <c r="AM395" s="3934" t="n"/>
      <c r="AN395" s="3934" t="n"/>
      <c r="AO395" s="3934" t="n"/>
      <c r="AP395" s="3934" t="n"/>
      <c r="AQ395" s="3934" t="n"/>
      <c r="AR395" s="3934" t="n"/>
    </row>
    <row r="396">
      <c r="A396" s="3944" t="n"/>
      <c r="B396" s="3944" t="n"/>
      <c r="C396" s="3944" t="n"/>
      <c r="D396" s="3944" t="n"/>
      <c r="E396" s="3944" t="n"/>
      <c r="F396" s="3944" t="n"/>
      <c r="G396" s="3944" t="n"/>
      <c r="H396" s="3944" t="n"/>
      <c r="I396" s="3944" t="n"/>
      <c r="J396" s="3934" t="n"/>
      <c r="K396" s="3934" t="n"/>
      <c r="L396" s="3934" t="n"/>
      <c r="M396" s="3934" t="n"/>
      <c r="N396" s="3934" t="n"/>
      <c r="O396" s="3934" t="n"/>
      <c r="P396" s="3934" t="n"/>
      <c r="Q396" s="3934" t="n"/>
      <c r="R396" s="3934" t="n"/>
      <c r="S396" s="3934" t="n"/>
      <c r="T396" s="3934" t="n"/>
      <c r="U396" s="3934" t="n"/>
      <c r="V396" s="3934" t="n"/>
      <c r="W396" s="3934" t="n"/>
      <c r="X396" s="3934" t="n"/>
      <c r="Y396" s="3934" t="n"/>
      <c r="Z396" s="3934" t="n"/>
      <c r="AA396" s="3934" t="n"/>
      <c r="AB396" s="3934" t="n"/>
      <c r="AC396" s="3934" t="n"/>
      <c r="AD396" s="3934" t="n"/>
      <c r="AE396" s="3934" t="n"/>
      <c r="AF396" s="3934" t="n"/>
      <c r="AG396" s="3934" t="n"/>
      <c r="AH396" s="3934" t="n"/>
      <c r="AI396" s="3934" t="n"/>
      <c r="AJ396" s="3934" t="n"/>
      <c r="AK396" s="3934" t="n"/>
      <c r="AL396" s="3934" t="n"/>
      <c r="AM396" s="3934" t="n"/>
      <c r="AN396" s="3934" t="n"/>
      <c r="AO396" s="3934" t="n"/>
      <c r="AP396" s="3934" t="n"/>
      <c r="AQ396" s="3934" t="n"/>
      <c r="AR396" s="3934" t="n"/>
    </row>
    <row r="397">
      <c r="A397" s="3944" t="n"/>
      <c r="B397" s="3944" t="n"/>
      <c r="C397" s="3944" t="n"/>
      <c r="D397" s="3944" t="n"/>
      <c r="E397" s="3944" t="n"/>
      <c r="F397" s="3944" t="n"/>
      <c r="G397" s="3944" t="n"/>
      <c r="H397" s="3944" t="n"/>
      <c r="I397" s="3944" t="n"/>
      <c r="J397" s="3934" t="n"/>
      <c r="K397" s="3934" t="n"/>
      <c r="L397" s="3934" t="n"/>
      <c r="M397" s="3934" t="n"/>
      <c r="N397" s="3934" t="n"/>
      <c r="O397" s="3934" t="n"/>
      <c r="P397" s="3934" t="n"/>
      <c r="Q397" s="3934" t="n"/>
      <c r="R397" s="3934" t="n"/>
      <c r="S397" s="3934" t="n"/>
      <c r="T397" s="3934" t="n"/>
      <c r="U397" s="3934" t="n"/>
      <c r="V397" s="3934" t="n"/>
      <c r="W397" s="3934" t="n"/>
      <c r="X397" s="3934" t="n"/>
      <c r="Y397" s="3934" t="n"/>
      <c r="Z397" s="3934" t="n"/>
      <c r="AA397" s="3934" t="n"/>
      <c r="AB397" s="3934" t="n"/>
      <c r="AC397" s="3934" t="n"/>
      <c r="AD397" s="3934" t="n"/>
      <c r="AE397" s="3934" t="n"/>
      <c r="AF397" s="3934" t="n"/>
      <c r="AG397" s="3934" t="n"/>
      <c r="AH397" s="3934" t="n"/>
      <c r="AI397" s="3934" t="n"/>
      <c r="AJ397" s="3934" t="n"/>
      <c r="AK397" s="3934" t="n"/>
      <c r="AL397" s="3934" t="n"/>
      <c r="AM397" s="3934" t="n"/>
      <c r="AN397" s="3934" t="n"/>
      <c r="AO397" s="3934" t="n"/>
      <c r="AP397" s="3934" t="n"/>
      <c r="AQ397" s="3934" t="n"/>
      <c r="AR397" s="3934" t="n"/>
    </row>
    <row r="398">
      <c r="A398" s="3944" t="n"/>
      <c r="B398" s="3944" t="n"/>
      <c r="C398" s="3944" t="n"/>
      <c r="D398" s="3944" t="n"/>
      <c r="E398" s="3944" t="n"/>
      <c r="F398" s="3944" t="n"/>
      <c r="G398" s="3944" t="n"/>
      <c r="H398" s="3944" t="n"/>
      <c r="I398" s="3944" t="n"/>
      <c r="J398" s="3934" t="n"/>
      <c r="K398" s="3934" t="n"/>
      <c r="L398" s="3934" t="n"/>
      <c r="M398" s="3934" t="n"/>
      <c r="N398" s="3934" t="n"/>
      <c r="O398" s="3934" t="n"/>
      <c r="P398" s="3934" t="n"/>
      <c r="Q398" s="3934" t="n"/>
      <c r="R398" s="3934" t="n"/>
      <c r="S398" s="3934" t="n"/>
      <c r="T398" s="3934" t="n"/>
      <c r="U398" s="3934" t="n"/>
      <c r="V398" s="3934" t="n"/>
      <c r="W398" s="3934" t="n"/>
      <c r="X398" s="3934" t="n"/>
      <c r="Y398" s="3934" t="n"/>
      <c r="Z398" s="3934" t="n"/>
      <c r="AA398" s="3934" t="n"/>
      <c r="AB398" s="3934" t="n"/>
      <c r="AC398" s="3934" t="n"/>
      <c r="AD398" s="3934" t="n"/>
      <c r="AE398" s="3934" t="n"/>
      <c r="AF398" s="3934" t="n"/>
      <c r="AG398" s="3934" t="n"/>
      <c r="AH398" s="3934" t="n"/>
      <c r="AI398" s="3934" t="n"/>
      <c r="AJ398" s="3934" t="n"/>
      <c r="AK398" s="3934" t="n"/>
      <c r="AL398" s="3934" t="n"/>
      <c r="AM398" s="3934" t="n"/>
      <c r="AN398" s="3934" t="n"/>
      <c r="AO398" s="3934" t="n"/>
      <c r="AP398" s="3934" t="n"/>
      <c r="AQ398" s="3934" t="n"/>
      <c r="AR398" s="3934" t="n"/>
    </row>
    <row r="399">
      <c r="A399" s="3944" t="n"/>
      <c r="B399" s="3944" t="n"/>
      <c r="C399" s="3944" t="n"/>
      <c r="D399" s="3944" t="n"/>
      <c r="E399" s="3944" t="n"/>
      <c r="F399" s="3944" t="n"/>
      <c r="G399" s="3944" t="n"/>
      <c r="H399" s="3944" t="n"/>
      <c r="I399" s="3944" t="n"/>
      <c r="J399" s="3934" t="n"/>
      <c r="K399" s="3934" t="n"/>
      <c r="L399" s="3934" t="n"/>
      <c r="M399" s="3934" t="n"/>
      <c r="N399" s="3934" t="n"/>
      <c r="O399" s="3934" t="n"/>
      <c r="P399" s="3934" t="n"/>
      <c r="Q399" s="3934" t="n"/>
      <c r="R399" s="3934" t="n"/>
      <c r="S399" s="3934" t="n"/>
      <c r="T399" s="3934" t="n"/>
      <c r="U399" s="3934" t="n"/>
      <c r="V399" s="3934" t="n"/>
      <c r="W399" s="3934" t="n"/>
      <c r="X399" s="3934" t="n"/>
      <c r="Y399" s="3934" t="n"/>
      <c r="Z399" s="3934" t="n"/>
      <c r="AA399" s="3934" t="n"/>
      <c r="AB399" s="3934" t="n"/>
      <c r="AC399" s="3934" t="n"/>
      <c r="AD399" s="3934" t="n"/>
      <c r="AE399" s="3934" t="n"/>
      <c r="AF399" s="3934" t="n"/>
      <c r="AG399" s="3934" t="n"/>
      <c r="AH399" s="3934" t="n"/>
      <c r="AI399" s="3934" t="n"/>
      <c r="AJ399" s="3934" t="n"/>
      <c r="AK399" s="3934" t="n"/>
      <c r="AL399" s="3934" t="n"/>
      <c r="AM399" s="3934" t="n"/>
      <c r="AN399" s="3934" t="n"/>
      <c r="AO399" s="3934" t="n"/>
      <c r="AP399" s="3934" t="n"/>
      <c r="AQ399" s="3934" t="n"/>
      <c r="AR399" s="3934" t="n"/>
    </row>
    <row r="400">
      <c r="A400" s="3944" t="n"/>
      <c r="B400" s="3944" t="n"/>
      <c r="C400" s="3944" t="n"/>
      <c r="D400" s="3944" t="n"/>
      <c r="E400" s="3944" t="n"/>
      <c r="F400" s="3944" t="n"/>
      <c r="G400" s="3944" t="n"/>
      <c r="H400" s="3944" t="n"/>
      <c r="I400" s="3944" t="n"/>
      <c r="J400" s="3934" t="n"/>
      <c r="K400" s="3934" t="n"/>
      <c r="L400" s="3934" t="n"/>
      <c r="M400" s="3934" t="n"/>
      <c r="N400" s="3934" t="n"/>
      <c r="O400" s="3934" t="n"/>
      <c r="P400" s="3934" t="n"/>
      <c r="Q400" s="3934" t="n"/>
      <c r="R400" s="3934" t="n"/>
      <c r="S400" s="3934" t="n"/>
      <c r="T400" s="3934" t="n"/>
      <c r="U400" s="3934" t="n"/>
      <c r="V400" s="3934" t="n"/>
      <c r="W400" s="3934" t="n"/>
      <c r="X400" s="3934" t="n"/>
      <c r="Y400" s="3934" t="n"/>
      <c r="Z400" s="3934" t="n"/>
      <c r="AA400" s="3934" t="n"/>
      <c r="AB400" s="3934" t="n"/>
      <c r="AC400" s="3934" t="n"/>
      <c r="AD400" s="3934" t="n"/>
      <c r="AE400" s="3934" t="n"/>
      <c r="AF400" s="3934" t="n"/>
      <c r="AG400" s="3934" t="n"/>
      <c r="AH400" s="3934" t="n"/>
      <c r="AI400" s="3934" t="n"/>
      <c r="AJ400" s="3934" t="n"/>
      <c r="AK400" s="3934" t="n"/>
      <c r="AL400" s="3934" t="n"/>
      <c r="AM400" s="3934" t="n"/>
      <c r="AN400" s="3934" t="n"/>
      <c r="AO400" s="3934" t="n"/>
      <c r="AP400" s="3934" t="n"/>
      <c r="AQ400" s="3934" t="n"/>
      <c r="AR400" s="3934" t="n"/>
    </row>
    <row r="401">
      <c r="A401" s="3944" t="n"/>
      <c r="B401" s="3944" t="n"/>
      <c r="C401" s="3944" t="n"/>
      <c r="D401" s="3944" t="n"/>
      <c r="E401" s="3944" t="n"/>
      <c r="F401" s="3944" t="n"/>
      <c r="G401" s="3944" t="n"/>
      <c r="H401" s="3944" t="n"/>
      <c r="I401" s="3944" t="n"/>
      <c r="J401" s="3934" t="n"/>
      <c r="K401" s="3934" t="n"/>
      <c r="L401" s="3934" t="n"/>
      <c r="M401" s="3934" t="n"/>
      <c r="N401" s="3934" t="n"/>
      <c r="O401" s="3934" t="n"/>
      <c r="P401" s="3934" t="n"/>
      <c r="Q401" s="3934" t="n"/>
      <c r="R401" s="3934" t="n"/>
      <c r="S401" s="3934" t="n"/>
      <c r="T401" s="3934" t="n"/>
      <c r="U401" s="3934" t="n"/>
      <c r="V401" s="3934" t="n"/>
      <c r="W401" s="3934" t="n"/>
      <c r="X401" s="3934" t="n"/>
      <c r="Y401" s="3934" t="n"/>
      <c r="Z401" s="3934" t="n"/>
      <c r="AA401" s="3934" t="n"/>
      <c r="AB401" s="3934" t="n"/>
      <c r="AC401" s="3934" t="n"/>
      <c r="AD401" s="3934" t="n"/>
      <c r="AE401" s="3934" t="n"/>
      <c r="AF401" s="3934" t="n"/>
      <c r="AG401" s="3934" t="n"/>
      <c r="AH401" s="3934" t="n"/>
      <c r="AI401" s="3934" t="n"/>
      <c r="AJ401" s="3934" t="n"/>
      <c r="AK401" s="3934" t="n"/>
      <c r="AL401" s="3934" t="n"/>
      <c r="AM401" s="3934" t="n"/>
      <c r="AN401" s="3934" t="n"/>
      <c r="AO401" s="3934" t="n"/>
      <c r="AP401" s="3934" t="n"/>
      <c r="AQ401" s="3934" t="n"/>
      <c r="AR401" s="3934" t="n"/>
    </row>
    <row r="402">
      <c r="A402" s="3944" t="n"/>
      <c r="B402" s="3944" t="n"/>
      <c r="C402" s="3944" t="n"/>
      <c r="D402" s="3944" t="n"/>
      <c r="E402" s="3944" t="n"/>
      <c r="F402" s="3944" t="n"/>
      <c r="G402" s="3944" t="n"/>
      <c r="H402" s="3944" t="n"/>
      <c r="I402" s="3944" t="n"/>
      <c r="J402" s="3934" t="n"/>
      <c r="K402" s="3934" t="n"/>
      <c r="L402" s="3934" t="n"/>
      <c r="M402" s="3934" t="n"/>
      <c r="N402" s="3934" t="n"/>
      <c r="O402" s="3934" t="n"/>
      <c r="P402" s="3934" t="n"/>
      <c r="Q402" s="3934" t="n"/>
      <c r="R402" s="3934" t="n"/>
      <c r="S402" s="3934" t="n"/>
      <c r="T402" s="3934" t="n"/>
      <c r="U402" s="3934" t="n"/>
      <c r="V402" s="3934" t="n"/>
      <c r="W402" s="3934" t="n"/>
      <c r="X402" s="3934" t="n"/>
      <c r="Y402" s="3934" t="n"/>
      <c r="Z402" s="3934" t="n"/>
      <c r="AA402" s="3934" t="n"/>
      <c r="AB402" s="3934" t="n"/>
      <c r="AC402" s="3934" t="n"/>
      <c r="AD402" s="3934" t="n"/>
      <c r="AE402" s="3934" t="n"/>
      <c r="AF402" s="3934" t="n"/>
      <c r="AG402" s="3934" t="n"/>
      <c r="AH402" s="3934" t="n"/>
      <c r="AI402" s="3934" t="n"/>
      <c r="AJ402" s="3934" t="n"/>
      <c r="AK402" s="3934" t="n"/>
      <c r="AL402" s="3934" t="n"/>
      <c r="AM402" s="3934" t="n"/>
      <c r="AN402" s="3934" t="n"/>
      <c r="AO402" s="3934" t="n"/>
      <c r="AP402" s="3934" t="n"/>
      <c r="AQ402" s="3934" t="n"/>
      <c r="AR402" s="3934" t="n"/>
    </row>
    <row r="403">
      <c r="A403" s="3944" t="n"/>
      <c r="B403" s="3944" t="n"/>
      <c r="C403" s="3944" t="n"/>
      <c r="D403" s="3944" t="n"/>
      <c r="E403" s="3944" t="n"/>
      <c r="F403" s="3944" t="n"/>
      <c r="G403" s="3944" t="n"/>
      <c r="H403" s="3944" t="n"/>
      <c r="I403" s="3944" t="n"/>
      <c r="J403" s="3934" t="n"/>
      <c r="K403" s="3934" t="n"/>
      <c r="L403" s="3934" t="n"/>
      <c r="M403" s="3934" t="n"/>
      <c r="N403" s="3934" t="n"/>
      <c r="O403" s="3934" t="n"/>
      <c r="P403" s="3934" t="n"/>
      <c r="Q403" s="3934" t="n"/>
      <c r="R403" s="3934" t="n"/>
      <c r="S403" s="3934" t="n"/>
      <c r="T403" s="3934" t="n"/>
      <c r="U403" s="3934" t="n"/>
      <c r="V403" s="3934" t="n"/>
      <c r="W403" s="3934" t="n"/>
      <c r="X403" s="3934" t="n"/>
      <c r="Y403" s="3934" t="n"/>
      <c r="Z403" s="3934" t="n"/>
      <c r="AA403" s="3934" t="n"/>
      <c r="AB403" s="3934" t="n"/>
      <c r="AC403" s="3934" t="n"/>
      <c r="AD403" s="3934" t="n"/>
      <c r="AE403" s="3934" t="n"/>
      <c r="AF403" s="3934" t="n"/>
      <c r="AG403" s="3934" t="n"/>
      <c r="AH403" s="3934" t="n"/>
      <c r="AI403" s="3934" t="n"/>
      <c r="AJ403" s="3934" t="n"/>
      <c r="AK403" s="3934" t="n"/>
      <c r="AL403" s="3934" t="n"/>
      <c r="AM403" s="3934" t="n"/>
      <c r="AN403" s="3934" t="n"/>
      <c r="AO403" s="3934" t="n"/>
      <c r="AP403" s="3934" t="n"/>
      <c r="AQ403" s="3934" t="n"/>
      <c r="AR403" s="3934" t="n"/>
    </row>
    <row r="404">
      <c r="A404" s="3944" t="n"/>
      <c r="B404" s="3944" t="n"/>
      <c r="C404" s="3944" t="n"/>
      <c r="D404" s="3944" t="n"/>
      <c r="E404" s="3944" t="n"/>
      <c r="F404" s="3944" t="n"/>
      <c r="G404" s="3944" t="n"/>
      <c r="H404" s="3944" t="n"/>
      <c r="I404" s="3944" t="n"/>
      <c r="J404" s="3934" t="n"/>
      <c r="K404" s="3934" t="n"/>
      <c r="L404" s="3934" t="n"/>
      <c r="M404" s="3934" t="n"/>
      <c r="N404" s="3934" t="n"/>
      <c r="O404" s="3934" t="n"/>
      <c r="P404" s="3934" t="n"/>
      <c r="Q404" s="3934" t="n"/>
      <c r="R404" s="3934" t="n"/>
      <c r="S404" s="3934" t="n"/>
      <c r="T404" s="3934" t="n"/>
      <c r="U404" s="3934" t="n"/>
      <c r="V404" s="3934" t="n"/>
      <c r="W404" s="3934" t="n"/>
      <c r="X404" s="3934" t="n"/>
      <c r="Y404" s="3934" t="n"/>
      <c r="Z404" s="3934" t="n"/>
      <c r="AA404" s="3934" t="n"/>
      <c r="AB404" s="3934" t="n"/>
      <c r="AC404" s="3934" t="n"/>
      <c r="AD404" s="3934" t="n"/>
      <c r="AE404" s="3934" t="n"/>
      <c r="AF404" s="3934" t="n"/>
      <c r="AG404" s="3934" t="n"/>
      <c r="AH404" s="3934" t="n"/>
      <c r="AI404" s="3934" t="n"/>
      <c r="AJ404" s="3934" t="n"/>
      <c r="AK404" s="3934" t="n"/>
      <c r="AL404" s="3934" t="n"/>
      <c r="AM404" s="3934" t="n"/>
      <c r="AN404" s="3934" t="n"/>
      <c r="AO404" s="3934" t="n"/>
      <c r="AP404" s="3934" t="n"/>
      <c r="AQ404" s="3934" t="n"/>
      <c r="AR404" s="3934" t="n"/>
    </row>
    <row r="405">
      <c r="A405" s="3944" t="n"/>
      <c r="B405" s="3944" t="n"/>
      <c r="C405" s="3944" t="n"/>
      <c r="D405" s="3944" t="n"/>
      <c r="E405" s="3944" t="n"/>
      <c r="F405" s="3944" t="n"/>
      <c r="G405" s="3944" t="n"/>
      <c r="H405" s="3944" t="n"/>
      <c r="I405" s="3944" t="n"/>
      <c r="J405" s="3934" t="n"/>
      <c r="K405" s="3934" t="n"/>
      <c r="L405" s="3934" t="n"/>
      <c r="M405" s="3934" t="n"/>
      <c r="N405" s="3934" t="n"/>
      <c r="O405" s="3934" t="n"/>
      <c r="P405" s="3934" t="n"/>
      <c r="Q405" s="3934" t="n"/>
      <c r="R405" s="3934" t="n"/>
      <c r="S405" s="3934" t="n"/>
      <c r="T405" s="3934" t="n"/>
      <c r="U405" s="3934" t="n"/>
      <c r="V405" s="3934" t="n"/>
      <c r="W405" s="3934" t="n"/>
      <c r="X405" s="3934" t="n"/>
      <c r="Y405" s="3934" t="n"/>
      <c r="Z405" s="3934" t="n"/>
      <c r="AA405" s="3934" t="n"/>
      <c r="AB405" s="3934" t="n"/>
      <c r="AC405" s="3934" t="n"/>
      <c r="AD405" s="3934" t="n"/>
      <c r="AE405" s="3934" t="n"/>
      <c r="AF405" s="3934" t="n"/>
      <c r="AG405" s="3934" t="n"/>
      <c r="AH405" s="3934" t="n"/>
      <c r="AI405" s="3934" t="n"/>
      <c r="AJ405" s="3934" t="n"/>
      <c r="AK405" s="3934" t="n"/>
      <c r="AL405" s="3934" t="n"/>
      <c r="AM405" s="3934" t="n"/>
      <c r="AN405" s="3934" t="n"/>
      <c r="AO405" s="3934" t="n"/>
      <c r="AP405" s="3934" t="n"/>
      <c r="AQ405" s="3934" t="n"/>
      <c r="AR405" s="3934" t="n"/>
    </row>
    <row r="406">
      <c r="A406" s="3944" t="n"/>
      <c r="B406" s="3944" t="n"/>
      <c r="C406" s="3944" t="n"/>
      <c r="D406" s="3944" t="n"/>
      <c r="E406" s="3944" t="n"/>
      <c r="F406" s="3944" t="n"/>
      <c r="G406" s="3944" t="n"/>
      <c r="H406" s="3944" t="n"/>
      <c r="I406" s="3944" t="n"/>
      <c r="J406" s="3934" t="n"/>
      <c r="K406" s="3934" t="n"/>
      <c r="L406" s="3934" t="n"/>
      <c r="M406" s="3934" t="n"/>
      <c r="N406" s="3934" t="n"/>
      <c r="O406" s="3934" t="n"/>
      <c r="P406" s="3934" t="n"/>
      <c r="Q406" s="3934" t="n"/>
      <c r="R406" s="3934" t="n"/>
      <c r="S406" s="3934" t="n"/>
      <c r="T406" s="3934" t="n"/>
      <c r="U406" s="3934" t="n"/>
      <c r="V406" s="3934" t="n"/>
      <c r="W406" s="3934" t="n"/>
      <c r="X406" s="3934" t="n"/>
      <c r="Y406" s="3934" t="n"/>
      <c r="Z406" s="3934" t="n"/>
      <c r="AA406" s="3934" t="n"/>
      <c r="AB406" s="3934" t="n"/>
      <c r="AC406" s="3934" t="n"/>
      <c r="AD406" s="3934" t="n"/>
      <c r="AE406" s="3934" t="n"/>
      <c r="AF406" s="3934" t="n"/>
      <c r="AG406" s="3934" t="n"/>
      <c r="AH406" s="3934" t="n"/>
      <c r="AI406" s="3934" t="n"/>
      <c r="AJ406" s="3934" t="n"/>
      <c r="AK406" s="3934" t="n"/>
      <c r="AL406" s="3934" t="n"/>
      <c r="AM406" s="3934" t="n"/>
      <c r="AN406" s="3934" t="n"/>
      <c r="AO406" s="3934" t="n"/>
      <c r="AP406" s="3934" t="n"/>
      <c r="AQ406" s="3934" t="n"/>
      <c r="AR406" s="3934" t="n"/>
    </row>
    <row r="407">
      <c r="A407" s="3944" t="n"/>
      <c r="B407" s="3944" t="n"/>
      <c r="C407" s="3944" t="n"/>
      <c r="D407" s="3944" t="n"/>
      <c r="E407" s="3944" t="n"/>
      <c r="F407" s="3944" t="n"/>
      <c r="G407" s="3944" t="n"/>
      <c r="H407" s="3944" t="n"/>
      <c r="I407" s="3944" t="n"/>
      <c r="J407" s="3934" t="n"/>
      <c r="K407" s="3934" t="n"/>
      <c r="L407" s="3934" t="n"/>
      <c r="M407" s="3934" t="n"/>
      <c r="N407" s="3934" t="n"/>
      <c r="O407" s="3934" t="n"/>
      <c r="P407" s="3934" t="n"/>
      <c r="Q407" s="3934" t="n"/>
      <c r="R407" s="3934" t="n"/>
      <c r="S407" s="3934" t="n"/>
      <c r="T407" s="3934" t="n"/>
      <c r="U407" s="3934" t="n"/>
      <c r="V407" s="3934" t="n"/>
      <c r="W407" s="3934" t="n"/>
      <c r="X407" s="3934" t="n"/>
      <c r="Y407" s="3934" t="n"/>
      <c r="Z407" s="3934" t="n"/>
      <c r="AA407" s="3934" t="n"/>
      <c r="AB407" s="3934" t="n"/>
      <c r="AC407" s="3934" t="n"/>
      <c r="AD407" s="3934" t="n"/>
      <c r="AE407" s="3934" t="n"/>
      <c r="AF407" s="3934" t="n"/>
      <c r="AG407" s="3934" t="n"/>
      <c r="AH407" s="3934" t="n"/>
      <c r="AI407" s="3934" t="n"/>
      <c r="AJ407" s="3934" t="n"/>
      <c r="AK407" s="3934" t="n"/>
      <c r="AL407" s="3934" t="n"/>
      <c r="AM407" s="3934" t="n"/>
      <c r="AN407" s="3934" t="n"/>
      <c r="AO407" s="3934" t="n"/>
      <c r="AP407" s="3934" t="n"/>
      <c r="AQ407" s="3934" t="n"/>
      <c r="AR407" s="3934" t="n"/>
    </row>
    <row r="408">
      <c r="A408" s="3944" t="n"/>
      <c r="B408" s="3944" t="n"/>
      <c r="C408" s="3944" t="n"/>
      <c r="D408" s="3944" t="n"/>
      <c r="E408" s="3944" t="n"/>
      <c r="F408" s="3944" t="n"/>
      <c r="G408" s="3944" t="n"/>
      <c r="H408" s="3944" t="n"/>
      <c r="I408" s="3944" t="n"/>
      <c r="J408" s="3934" t="n"/>
      <c r="K408" s="3934" t="n"/>
      <c r="L408" s="3934" t="n"/>
      <c r="M408" s="3934" t="n"/>
      <c r="N408" s="3934" t="n"/>
      <c r="O408" s="3934" t="n"/>
      <c r="P408" s="3934" t="n"/>
      <c r="Q408" s="3934" t="n"/>
      <c r="R408" s="3934" t="n"/>
      <c r="S408" s="3934" t="n"/>
      <c r="T408" s="3934" t="n"/>
      <c r="U408" s="3934" t="n"/>
      <c r="V408" s="3934" t="n"/>
      <c r="W408" s="3934" t="n"/>
      <c r="X408" s="3934" t="n"/>
      <c r="Y408" s="3934" t="n"/>
      <c r="Z408" s="3934" t="n"/>
      <c r="AA408" s="3934" t="n"/>
      <c r="AB408" s="3934" t="n"/>
      <c r="AC408" s="3934" t="n"/>
      <c r="AD408" s="3934" t="n"/>
      <c r="AE408" s="3934" t="n"/>
      <c r="AF408" s="3934" t="n"/>
      <c r="AG408" s="3934" t="n"/>
      <c r="AH408" s="3934" t="n"/>
      <c r="AI408" s="3934" t="n"/>
      <c r="AJ408" s="3934" t="n"/>
      <c r="AK408" s="3934" t="n"/>
      <c r="AL408" s="3934" t="n"/>
      <c r="AM408" s="3934" t="n"/>
      <c r="AN408" s="3934" t="n"/>
      <c r="AO408" s="3934" t="n"/>
      <c r="AP408" s="3934" t="n"/>
      <c r="AQ408" s="3934" t="n"/>
      <c r="AR408" s="3934" t="n"/>
    </row>
    <row r="409">
      <c r="A409" s="3944" t="n"/>
      <c r="B409" s="3944" t="n"/>
      <c r="C409" s="3944" t="n"/>
      <c r="D409" s="3944" t="n"/>
      <c r="E409" s="3944" t="n"/>
      <c r="F409" s="3944" t="n"/>
      <c r="G409" s="3944" t="n"/>
      <c r="H409" s="3944" t="n"/>
      <c r="I409" s="3944" t="n"/>
      <c r="J409" s="3934" t="n"/>
      <c r="K409" s="3934" t="n"/>
      <c r="L409" s="3934" t="n"/>
      <c r="M409" s="3934" t="n"/>
      <c r="N409" s="3934" t="n"/>
      <c r="O409" s="3934" t="n"/>
      <c r="P409" s="3934" t="n"/>
      <c r="Q409" s="3934" t="n"/>
      <c r="R409" s="3934" t="n"/>
      <c r="S409" s="3934" t="n"/>
      <c r="T409" s="3934" t="n"/>
      <c r="U409" s="3934" t="n"/>
      <c r="V409" s="3934" t="n"/>
      <c r="W409" s="3934" t="n"/>
      <c r="X409" s="3934" t="n"/>
      <c r="Y409" s="3934" t="n"/>
      <c r="Z409" s="3934" t="n"/>
      <c r="AA409" s="3934" t="n"/>
      <c r="AB409" s="3934" t="n"/>
      <c r="AC409" s="3934" t="n"/>
      <c r="AD409" s="3934" t="n"/>
      <c r="AE409" s="3934" t="n"/>
      <c r="AF409" s="3934" t="n"/>
      <c r="AG409" s="3934" t="n"/>
      <c r="AH409" s="3934" t="n"/>
      <c r="AI409" s="3934" t="n"/>
      <c r="AJ409" s="3934" t="n"/>
      <c r="AK409" s="3934" t="n"/>
      <c r="AL409" s="3934" t="n"/>
      <c r="AM409" s="3934" t="n"/>
      <c r="AN409" s="3934" t="n"/>
      <c r="AO409" s="3934" t="n"/>
      <c r="AP409" s="3934" t="n"/>
      <c r="AQ409" s="3934" t="n"/>
      <c r="AR409" s="3934" t="n"/>
    </row>
    <row r="410">
      <c r="A410" s="3944" t="n"/>
      <c r="B410" s="3944" t="n"/>
      <c r="C410" s="3944" t="n"/>
      <c r="D410" s="3944" t="n"/>
      <c r="E410" s="3944" t="n"/>
      <c r="F410" s="3944" t="n"/>
      <c r="G410" s="3944" t="n"/>
      <c r="H410" s="3944" t="n"/>
      <c r="I410" s="3944" t="n"/>
      <c r="J410" s="3934" t="n"/>
      <c r="K410" s="3934" t="n"/>
      <c r="L410" s="3934" t="n"/>
      <c r="M410" s="3934" t="n"/>
      <c r="N410" s="3934" t="n"/>
      <c r="O410" s="3934" t="n"/>
      <c r="P410" s="3934" t="n"/>
      <c r="Q410" s="3934" t="n"/>
      <c r="R410" s="3934" t="n"/>
      <c r="S410" s="3934" t="n"/>
      <c r="T410" s="3934" t="n"/>
      <c r="U410" s="3934" t="n"/>
      <c r="V410" s="3934" t="n"/>
      <c r="W410" s="3934" t="n"/>
      <c r="X410" s="3934" t="n"/>
      <c r="Y410" s="3934" t="n"/>
      <c r="Z410" s="3934" t="n"/>
      <c r="AA410" s="3934" t="n"/>
      <c r="AB410" s="3934" t="n"/>
      <c r="AC410" s="3934" t="n"/>
      <c r="AD410" s="3934" t="n"/>
      <c r="AE410" s="3934" t="n"/>
      <c r="AF410" s="3934" t="n"/>
      <c r="AG410" s="3934" t="n"/>
      <c r="AH410" s="3934" t="n"/>
      <c r="AI410" s="3934" t="n"/>
      <c r="AJ410" s="3934" t="n"/>
      <c r="AK410" s="3934" t="n"/>
      <c r="AL410" s="3934" t="n"/>
      <c r="AM410" s="3934" t="n"/>
      <c r="AN410" s="3934" t="n"/>
      <c r="AO410" s="3934" t="n"/>
      <c r="AP410" s="3934" t="n"/>
      <c r="AQ410" s="3934" t="n"/>
      <c r="AR410" s="3934" t="n"/>
    </row>
    <row r="411">
      <c r="A411" s="3944" t="n"/>
      <c r="B411" s="3944" t="n"/>
      <c r="C411" s="3944" t="n"/>
      <c r="D411" s="3944" t="n"/>
      <c r="E411" s="3944" t="n"/>
      <c r="F411" s="3944" t="n"/>
      <c r="G411" s="3944" t="n"/>
      <c r="H411" s="3944" t="n"/>
      <c r="I411" s="3944" t="n"/>
      <c r="J411" s="3934" t="n"/>
      <c r="K411" s="3934" t="n"/>
      <c r="L411" s="3934" t="n"/>
      <c r="M411" s="3934" t="n"/>
      <c r="N411" s="3934" t="n"/>
      <c r="O411" s="3934" t="n"/>
      <c r="P411" s="3934" t="n"/>
      <c r="Q411" s="3934" t="n"/>
      <c r="R411" s="3934" t="n"/>
      <c r="S411" s="3934" t="n"/>
      <c r="T411" s="3934" t="n"/>
      <c r="U411" s="3934" t="n"/>
      <c r="V411" s="3934" t="n"/>
      <c r="W411" s="3934" t="n"/>
      <c r="X411" s="3934" t="n"/>
      <c r="Y411" s="3934" t="n"/>
      <c r="Z411" s="3934" t="n"/>
      <c r="AA411" s="3934" t="n"/>
      <c r="AB411" s="3934" t="n"/>
      <c r="AC411" s="3934" t="n"/>
      <c r="AD411" s="3934" t="n"/>
      <c r="AE411" s="3934" t="n"/>
      <c r="AF411" s="3934" t="n"/>
      <c r="AG411" s="3934" t="n"/>
      <c r="AH411" s="3934" t="n"/>
      <c r="AI411" s="3934" t="n"/>
      <c r="AJ411" s="3934" t="n"/>
      <c r="AK411" s="3934" t="n"/>
      <c r="AL411" s="3934" t="n"/>
      <c r="AM411" s="3934" t="n"/>
      <c r="AN411" s="3934" t="n"/>
      <c r="AO411" s="3934" t="n"/>
      <c r="AP411" s="3934" t="n"/>
      <c r="AQ411" s="3934" t="n"/>
      <c r="AR411" s="3934" t="n"/>
    </row>
    <row r="412">
      <c r="A412" s="3944" t="n"/>
      <c r="B412" s="3944" t="n"/>
      <c r="C412" s="3944" t="n"/>
      <c r="D412" s="3944" t="n"/>
      <c r="E412" s="3944" t="n"/>
      <c r="F412" s="3944" t="n"/>
      <c r="G412" s="3944" t="n"/>
      <c r="H412" s="3944" t="n"/>
      <c r="I412" s="3944" t="n"/>
      <c r="J412" s="3934" t="n"/>
      <c r="K412" s="3934" t="n"/>
      <c r="L412" s="3934" t="n"/>
      <c r="M412" s="3934" t="n"/>
      <c r="N412" s="3934" t="n"/>
      <c r="O412" s="3934" t="n"/>
      <c r="P412" s="3934" t="n"/>
      <c r="Q412" s="3934" t="n"/>
      <c r="R412" s="3934" t="n"/>
      <c r="S412" s="3934" t="n"/>
      <c r="T412" s="3934" t="n"/>
      <c r="U412" s="3934" t="n"/>
      <c r="V412" s="3934" t="n"/>
      <c r="W412" s="3934" t="n"/>
      <c r="X412" s="3934" t="n"/>
      <c r="Y412" s="3934" t="n"/>
      <c r="Z412" s="3934" t="n"/>
      <c r="AA412" s="3934" t="n"/>
      <c r="AB412" s="3934" t="n"/>
      <c r="AC412" s="3934" t="n"/>
      <c r="AD412" s="3934" t="n"/>
      <c r="AE412" s="3934" t="n"/>
      <c r="AF412" s="3934" t="n"/>
      <c r="AG412" s="3934" t="n"/>
      <c r="AH412" s="3934" t="n"/>
      <c r="AI412" s="3934" t="n"/>
      <c r="AJ412" s="3934" t="n"/>
      <c r="AK412" s="3934" t="n"/>
      <c r="AL412" s="3934" t="n"/>
      <c r="AM412" s="3934" t="n"/>
      <c r="AN412" s="3934" t="n"/>
      <c r="AO412" s="3934" t="n"/>
      <c r="AP412" s="3934" t="n"/>
      <c r="AQ412" s="3934" t="n"/>
      <c r="AR412" s="3934" t="n"/>
    </row>
    <row r="413">
      <c r="A413" s="3944" t="n"/>
      <c r="B413" s="3944" t="n"/>
      <c r="C413" s="3944" t="n"/>
      <c r="D413" s="3944" t="n"/>
      <c r="E413" s="3944" t="n"/>
      <c r="F413" s="3944" t="n"/>
      <c r="G413" s="3944" t="n"/>
      <c r="H413" s="3944" t="n"/>
      <c r="I413" s="3944" t="n"/>
      <c r="J413" s="3934" t="n"/>
      <c r="K413" s="3934" t="n"/>
      <c r="L413" s="3934" t="n"/>
      <c r="M413" s="3934" t="n"/>
      <c r="N413" s="3934" t="n"/>
      <c r="O413" s="3934" t="n"/>
      <c r="P413" s="3934" t="n"/>
      <c r="Q413" s="3934" t="n"/>
      <c r="R413" s="3934" t="n"/>
      <c r="S413" s="3934" t="n"/>
      <c r="T413" s="3934" t="n"/>
      <c r="U413" s="3934" t="n"/>
      <c r="V413" s="3934" t="n"/>
      <c r="W413" s="3934" t="n"/>
      <c r="X413" s="3934" t="n"/>
      <c r="Y413" s="3934" t="n"/>
      <c r="Z413" s="3934" t="n"/>
      <c r="AA413" s="3934" t="n"/>
      <c r="AB413" s="3934" t="n"/>
      <c r="AC413" s="3934" t="n"/>
      <c r="AD413" s="3934" t="n"/>
      <c r="AE413" s="3934" t="n"/>
      <c r="AF413" s="3934" t="n"/>
      <c r="AG413" s="3934" t="n"/>
      <c r="AH413" s="3934" t="n"/>
      <c r="AI413" s="3934" t="n"/>
      <c r="AJ413" s="3934" t="n"/>
      <c r="AK413" s="3934" t="n"/>
      <c r="AL413" s="3934" t="n"/>
      <c r="AM413" s="3934" t="n"/>
      <c r="AN413" s="3934" t="n"/>
      <c r="AO413" s="3934" t="n"/>
      <c r="AP413" s="3934" t="n"/>
      <c r="AQ413" s="3934" t="n"/>
      <c r="AR413" s="3934" t="n"/>
    </row>
    <row r="414">
      <c r="A414" s="3944" t="n"/>
      <c r="B414" s="3944" t="n"/>
      <c r="C414" s="3944" t="n"/>
      <c r="D414" s="3944" t="n"/>
      <c r="E414" s="3944" t="n"/>
      <c r="F414" s="3944" t="n"/>
      <c r="G414" s="3944" t="n"/>
      <c r="H414" s="3944" t="n"/>
      <c r="I414" s="3944" t="n"/>
      <c r="J414" s="3934" t="n"/>
      <c r="K414" s="3934" t="n"/>
      <c r="L414" s="3934" t="n"/>
      <c r="M414" s="3934" t="n"/>
      <c r="N414" s="3934" t="n"/>
      <c r="O414" s="3934" t="n"/>
      <c r="P414" s="3934" t="n"/>
      <c r="Q414" s="3934" t="n"/>
      <c r="R414" s="3934" t="n"/>
      <c r="S414" s="3934" t="n"/>
      <c r="T414" s="3934" t="n"/>
      <c r="U414" s="3934" t="n"/>
      <c r="V414" s="3934" t="n"/>
      <c r="W414" s="3934" t="n"/>
      <c r="X414" s="3934" t="n"/>
      <c r="Y414" s="3934" t="n"/>
      <c r="Z414" s="3934" t="n"/>
      <c r="AA414" s="3934" t="n"/>
      <c r="AB414" s="3934" t="n"/>
      <c r="AC414" s="3934" t="n"/>
      <c r="AD414" s="3934" t="n"/>
      <c r="AE414" s="3934" t="n"/>
      <c r="AF414" s="3934" t="n"/>
      <c r="AG414" s="3934" t="n"/>
      <c r="AH414" s="3934" t="n"/>
      <c r="AI414" s="3934" t="n"/>
      <c r="AJ414" s="3934" t="n"/>
      <c r="AK414" s="3934" t="n"/>
      <c r="AL414" s="3934" t="n"/>
      <c r="AM414" s="3934" t="n"/>
      <c r="AN414" s="3934" t="n"/>
      <c r="AO414" s="3934" t="n"/>
      <c r="AP414" s="3934" t="n"/>
      <c r="AQ414" s="3934" t="n"/>
      <c r="AR414" s="3934" t="n"/>
    </row>
    <row r="415">
      <c r="A415" s="3944" t="n"/>
      <c r="B415" s="3944" t="n"/>
      <c r="C415" s="3944" t="n"/>
      <c r="D415" s="3944" t="n"/>
      <c r="E415" s="3944" t="n"/>
      <c r="F415" s="3944" t="n"/>
      <c r="G415" s="3944" t="n"/>
      <c r="H415" s="3944" t="n"/>
      <c r="I415" s="3944" t="n"/>
      <c r="J415" s="3934" t="n"/>
      <c r="K415" s="3934" t="n"/>
      <c r="L415" s="3934" t="n"/>
      <c r="M415" s="3934" t="n"/>
      <c r="N415" s="3934" t="n"/>
      <c r="O415" s="3934" t="n"/>
      <c r="P415" s="3934" t="n"/>
      <c r="Q415" s="3934" t="n"/>
      <c r="R415" s="3934" t="n"/>
      <c r="S415" s="3934" t="n"/>
      <c r="T415" s="3934" t="n"/>
      <c r="U415" s="3934" t="n"/>
      <c r="V415" s="3934" t="n"/>
      <c r="W415" s="3934" t="n"/>
      <c r="X415" s="3934" t="n"/>
      <c r="Y415" s="3934" t="n"/>
      <c r="Z415" s="3934" t="n"/>
      <c r="AA415" s="3934" t="n"/>
      <c r="AB415" s="3934" t="n"/>
      <c r="AC415" s="3934" t="n"/>
      <c r="AD415" s="3934" t="n"/>
      <c r="AE415" s="3934" t="n"/>
      <c r="AF415" s="3934" t="n"/>
      <c r="AG415" s="3934" t="n"/>
      <c r="AH415" s="3934" t="n"/>
      <c r="AI415" s="3934" t="n"/>
      <c r="AJ415" s="3934" t="n"/>
      <c r="AK415" s="3934" t="n"/>
      <c r="AL415" s="3934" t="n"/>
      <c r="AM415" s="3934" t="n"/>
      <c r="AN415" s="3934" t="n"/>
      <c r="AO415" s="3934" t="n"/>
      <c r="AP415" s="3934" t="n"/>
      <c r="AQ415" s="3934" t="n"/>
      <c r="AR415" s="3934" t="n"/>
    </row>
    <row r="416">
      <c r="A416" s="3944" t="n"/>
      <c r="B416" s="3944" t="n"/>
      <c r="C416" s="3944" t="n"/>
      <c r="D416" s="3944" t="n"/>
      <c r="E416" s="3944" t="n"/>
      <c r="F416" s="3944" t="n"/>
      <c r="G416" s="3944" t="n"/>
      <c r="H416" s="3944" t="n"/>
      <c r="I416" s="3944" t="n"/>
      <c r="J416" s="3934" t="n"/>
      <c r="K416" s="3934" t="n"/>
      <c r="L416" s="3934" t="n"/>
      <c r="M416" s="3934" t="n"/>
      <c r="N416" s="3934" t="n"/>
      <c r="O416" s="3934" t="n"/>
      <c r="P416" s="3934" t="n"/>
      <c r="Q416" s="3934" t="n"/>
      <c r="R416" s="3934" t="n"/>
      <c r="S416" s="3934" t="n"/>
      <c r="T416" s="3934" t="n"/>
      <c r="U416" s="3934" t="n"/>
      <c r="V416" s="3934" t="n"/>
      <c r="W416" s="3934" t="n"/>
      <c r="X416" s="3934" t="n"/>
      <c r="Y416" s="3934" t="n"/>
      <c r="Z416" s="3934" t="n"/>
      <c r="AA416" s="3934" t="n"/>
      <c r="AB416" s="3934" t="n"/>
      <c r="AC416" s="3934" t="n"/>
      <c r="AD416" s="3934" t="n"/>
      <c r="AE416" s="3934" t="n"/>
      <c r="AF416" s="3934" t="n"/>
      <c r="AG416" s="3934" t="n"/>
      <c r="AH416" s="3934" t="n"/>
      <c r="AI416" s="3934" t="n"/>
      <c r="AJ416" s="3934" t="n"/>
      <c r="AK416" s="3934" t="n"/>
      <c r="AL416" s="3934" t="n"/>
      <c r="AM416" s="3934" t="n"/>
      <c r="AN416" s="3934" t="n"/>
      <c r="AO416" s="3934" t="n"/>
      <c r="AP416" s="3934" t="n"/>
      <c r="AQ416" s="3934" t="n"/>
      <c r="AR416" s="3934" t="n"/>
    </row>
    <row r="417">
      <c r="A417" s="3944" t="n"/>
      <c r="B417" s="3944" t="n"/>
      <c r="C417" s="3944" t="n"/>
      <c r="D417" s="3944" t="n"/>
      <c r="E417" s="3944" t="n"/>
      <c r="F417" s="3944" t="n"/>
      <c r="G417" s="3944" t="n"/>
      <c r="H417" s="3944" t="n"/>
      <c r="I417" s="3944" t="n"/>
      <c r="J417" s="3934" t="n"/>
      <c r="K417" s="3934" t="n"/>
      <c r="L417" s="3934" t="n"/>
      <c r="M417" s="3934" t="n"/>
      <c r="N417" s="3934" t="n"/>
      <c r="O417" s="3934" t="n"/>
      <c r="P417" s="3934" t="n"/>
      <c r="Q417" s="3934" t="n"/>
      <c r="R417" s="3934" t="n"/>
      <c r="S417" s="3934" t="n"/>
      <c r="T417" s="3934" t="n"/>
      <c r="U417" s="3934" t="n"/>
      <c r="V417" s="3934" t="n"/>
      <c r="W417" s="3934" t="n"/>
      <c r="X417" s="3934" t="n"/>
      <c r="Y417" s="3934" t="n"/>
      <c r="Z417" s="3934" t="n"/>
      <c r="AA417" s="3934" t="n"/>
      <c r="AB417" s="3934" t="n"/>
      <c r="AC417" s="3934" t="n"/>
      <c r="AD417" s="3934" t="n"/>
      <c r="AE417" s="3934" t="n"/>
      <c r="AF417" s="3934" t="n"/>
      <c r="AG417" s="3934" t="n"/>
      <c r="AH417" s="3934" t="n"/>
      <c r="AI417" s="3934" t="n"/>
      <c r="AJ417" s="3934" t="n"/>
      <c r="AK417" s="3934" t="n"/>
      <c r="AL417" s="3934" t="n"/>
      <c r="AM417" s="3934" t="n"/>
      <c r="AN417" s="3934" t="n"/>
      <c r="AO417" s="3934" t="n"/>
      <c r="AP417" s="3934" t="n"/>
      <c r="AQ417" s="3934" t="n"/>
      <c r="AR417" s="3934" t="n"/>
    </row>
    <row r="418">
      <c r="A418" s="3944" t="n"/>
      <c r="B418" s="3944" t="n"/>
      <c r="C418" s="3944" t="n"/>
      <c r="D418" s="3944" t="n"/>
      <c r="E418" s="3944" t="n"/>
      <c r="F418" s="3944" t="n"/>
      <c r="G418" s="3944" t="n"/>
      <c r="H418" s="3944" t="n"/>
      <c r="I418" s="3944" t="n"/>
      <c r="J418" s="3934" t="n"/>
      <c r="K418" s="3934" t="n"/>
      <c r="L418" s="3934" t="n"/>
      <c r="M418" s="3934" t="n"/>
      <c r="N418" s="3934" t="n"/>
      <c r="O418" s="3934" t="n"/>
      <c r="P418" s="3934" t="n"/>
      <c r="Q418" s="3934" t="n"/>
      <c r="R418" s="3934" t="n"/>
      <c r="S418" s="3934" t="n"/>
      <c r="T418" s="3934" t="n"/>
      <c r="U418" s="3934" t="n"/>
      <c r="V418" s="3934" t="n"/>
      <c r="W418" s="3934" t="n"/>
      <c r="X418" s="3934" t="n"/>
      <c r="Y418" s="3934" t="n"/>
      <c r="Z418" s="3934" t="n"/>
      <c r="AA418" s="3934" t="n"/>
      <c r="AB418" s="3934" t="n"/>
      <c r="AC418" s="3934" t="n"/>
      <c r="AD418" s="3934" t="n"/>
      <c r="AE418" s="3934" t="n"/>
      <c r="AF418" s="3934" t="n"/>
      <c r="AG418" s="3934" t="n"/>
      <c r="AH418" s="3934" t="n"/>
      <c r="AI418" s="3934" t="n"/>
      <c r="AJ418" s="3934" t="n"/>
      <c r="AK418" s="3934" t="n"/>
      <c r="AL418" s="3934" t="n"/>
      <c r="AM418" s="3934" t="n"/>
      <c r="AN418" s="3934" t="n"/>
      <c r="AO418" s="3934" t="n"/>
      <c r="AP418" s="3934" t="n"/>
      <c r="AQ418" s="3934" t="n"/>
      <c r="AR418" s="3934" t="n"/>
    </row>
    <row r="419">
      <c r="A419" s="3944" t="n"/>
      <c r="B419" s="3944" t="n"/>
      <c r="C419" s="3944" t="n"/>
      <c r="D419" s="3944" t="n"/>
      <c r="E419" s="3944" t="n"/>
      <c r="F419" s="3944" t="n"/>
      <c r="G419" s="3944" t="n"/>
      <c r="H419" s="3944" t="n"/>
      <c r="I419" s="3944" t="n"/>
      <c r="J419" s="3934" t="n"/>
      <c r="K419" s="3934" t="n"/>
      <c r="L419" s="3934" t="n"/>
      <c r="M419" s="3934" t="n"/>
      <c r="N419" s="3934" t="n"/>
      <c r="O419" s="3934" t="n"/>
      <c r="P419" s="3934" t="n"/>
      <c r="Q419" s="3934" t="n"/>
      <c r="R419" s="3934" t="n"/>
      <c r="S419" s="3934" t="n"/>
      <c r="T419" s="3934" t="n"/>
      <c r="U419" s="3934" t="n"/>
      <c r="V419" s="3934" t="n"/>
      <c r="W419" s="3934" t="n"/>
      <c r="X419" s="3934" t="n"/>
      <c r="Y419" s="3934" t="n"/>
      <c r="Z419" s="3934" t="n"/>
      <c r="AA419" s="3934" t="n"/>
      <c r="AB419" s="3934" t="n"/>
      <c r="AC419" s="3934" t="n"/>
      <c r="AD419" s="3934" t="n"/>
      <c r="AE419" s="3934" t="n"/>
      <c r="AF419" s="3934" t="n"/>
      <c r="AG419" s="3934" t="n"/>
      <c r="AH419" s="3934" t="n"/>
      <c r="AI419" s="3934" t="n"/>
      <c r="AJ419" s="3934" t="n"/>
      <c r="AK419" s="3934" t="n"/>
      <c r="AL419" s="3934" t="n"/>
      <c r="AM419" s="3934" t="n"/>
      <c r="AN419" s="3934" t="n"/>
      <c r="AO419" s="3934" t="n"/>
      <c r="AP419" s="3934" t="n"/>
      <c r="AQ419" s="3934" t="n"/>
      <c r="AR419" s="3934" t="n"/>
    </row>
    <row r="420">
      <c r="A420" s="3944" t="n"/>
      <c r="B420" s="3944" t="n"/>
      <c r="C420" s="3944" t="n"/>
      <c r="D420" s="3944" t="n"/>
      <c r="E420" s="3944" t="n"/>
      <c r="F420" s="3944" t="n"/>
      <c r="G420" s="3944" t="n"/>
      <c r="H420" s="3944" t="n"/>
      <c r="I420" s="3944" t="n"/>
      <c r="J420" s="3934" t="n"/>
      <c r="K420" s="3934" t="n"/>
      <c r="L420" s="3934" t="n"/>
      <c r="M420" s="3934" t="n"/>
      <c r="N420" s="3934" t="n"/>
      <c r="O420" s="3934" t="n"/>
      <c r="P420" s="3934" t="n"/>
      <c r="Q420" s="3934" t="n"/>
      <c r="R420" s="3934" t="n"/>
      <c r="S420" s="3934" t="n"/>
      <c r="T420" s="3934" t="n"/>
      <c r="U420" s="3934" t="n"/>
      <c r="V420" s="3934" t="n"/>
      <c r="W420" s="3934" t="n"/>
      <c r="X420" s="3934" t="n"/>
      <c r="Y420" s="3934" t="n"/>
      <c r="Z420" s="3934" t="n"/>
      <c r="AA420" s="3934" t="n"/>
      <c r="AB420" s="3934" t="n"/>
      <c r="AC420" s="3934" t="n"/>
      <c r="AD420" s="3934" t="n"/>
      <c r="AE420" s="3934" t="n"/>
      <c r="AF420" s="3934" t="n"/>
      <c r="AG420" s="3934" t="n"/>
      <c r="AH420" s="3934" t="n"/>
      <c r="AI420" s="3934" t="n"/>
      <c r="AJ420" s="3934" t="n"/>
      <c r="AK420" s="3934" t="n"/>
      <c r="AL420" s="3934" t="n"/>
      <c r="AM420" s="3934" t="n"/>
      <c r="AN420" s="3934" t="n"/>
      <c r="AO420" s="3934" t="n"/>
      <c r="AP420" s="3934" t="n"/>
      <c r="AQ420" s="3934" t="n"/>
      <c r="AR420" s="3934" t="n"/>
    </row>
    <row r="421">
      <c r="A421" s="3944" t="n"/>
      <c r="B421" s="3944" t="n"/>
      <c r="C421" s="3944" t="n"/>
      <c r="D421" s="3944" t="n"/>
      <c r="E421" s="3944" t="n"/>
      <c r="F421" s="3944" t="n"/>
      <c r="G421" s="3944" t="n"/>
      <c r="H421" s="3944" t="n"/>
      <c r="I421" s="3944" t="n"/>
      <c r="J421" s="3934" t="n"/>
      <c r="K421" s="3934" t="n"/>
      <c r="L421" s="3934" t="n"/>
      <c r="M421" s="3934" t="n"/>
      <c r="N421" s="3934" t="n"/>
      <c r="O421" s="3934" t="n"/>
      <c r="P421" s="3934" t="n"/>
      <c r="Q421" s="3934" t="n"/>
      <c r="R421" s="3934" t="n"/>
      <c r="S421" s="3934" t="n"/>
      <c r="T421" s="3934" t="n"/>
      <c r="U421" s="3934" t="n"/>
      <c r="V421" s="3934" t="n"/>
      <c r="W421" s="3934" t="n"/>
      <c r="X421" s="3934" t="n"/>
      <c r="Y421" s="3934" t="n"/>
      <c r="Z421" s="3934" t="n"/>
      <c r="AA421" s="3934" t="n"/>
      <c r="AB421" s="3934" t="n"/>
      <c r="AC421" s="3934" t="n"/>
      <c r="AD421" s="3934" t="n"/>
      <c r="AE421" s="3934" t="n"/>
      <c r="AF421" s="3934" t="n"/>
      <c r="AG421" s="3934" t="n"/>
      <c r="AH421" s="3934" t="n"/>
      <c r="AI421" s="3934" t="n"/>
      <c r="AJ421" s="3934" t="n"/>
      <c r="AK421" s="3934" t="n"/>
      <c r="AL421" s="3934" t="n"/>
      <c r="AM421" s="3934" t="n"/>
      <c r="AN421" s="3934" t="n"/>
      <c r="AO421" s="3934" t="n"/>
      <c r="AP421" s="3934" t="n"/>
      <c r="AQ421" s="3934" t="n"/>
      <c r="AR421" s="3934" t="n"/>
    </row>
    <row r="422">
      <c r="A422" s="3944" t="n"/>
      <c r="B422" s="3944" t="n"/>
      <c r="C422" s="3944" t="n"/>
      <c r="D422" s="3944" t="n"/>
      <c r="E422" s="3944" t="n"/>
      <c r="F422" s="3944" t="n"/>
      <c r="G422" s="3944" t="n"/>
      <c r="H422" s="3944" t="n"/>
      <c r="I422" s="3944" t="n"/>
      <c r="J422" s="3934" t="n"/>
      <c r="K422" s="3934" t="n"/>
      <c r="L422" s="3934" t="n"/>
      <c r="M422" s="3934" t="n"/>
      <c r="N422" s="3934" t="n"/>
      <c r="O422" s="3934" t="n"/>
      <c r="P422" s="3934" t="n"/>
      <c r="Q422" s="3934" t="n"/>
      <c r="R422" s="3934" t="n"/>
      <c r="S422" s="3934" t="n"/>
      <c r="T422" s="3934" t="n"/>
      <c r="U422" s="3934" t="n"/>
      <c r="V422" s="3934" t="n"/>
      <c r="W422" s="3934" t="n"/>
      <c r="X422" s="3934" t="n"/>
      <c r="Y422" s="3934" t="n"/>
      <c r="Z422" s="3934" t="n"/>
      <c r="AA422" s="3934" t="n"/>
      <c r="AB422" s="3934" t="n"/>
      <c r="AC422" s="3934" t="n"/>
      <c r="AD422" s="3934" t="n"/>
      <c r="AE422" s="3934" t="n"/>
      <c r="AF422" s="3934" t="n"/>
      <c r="AG422" s="3934" t="n"/>
      <c r="AH422" s="3934" t="n"/>
      <c r="AI422" s="3934" t="n"/>
      <c r="AJ422" s="3934" t="n"/>
      <c r="AK422" s="3934" t="n"/>
      <c r="AL422" s="3934" t="n"/>
      <c r="AM422" s="3934" t="n"/>
      <c r="AN422" s="3934" t="n"/>
      <c r="AO422" s="3934" t="n"/>
      <c r="AP422" s="3934" t="n"/>
      <c r="AQ422" s="3934" t="n"/>
      <c r="AR422" s="3934" t="n"/>
    </row>
    <row r="423">
      <c r="A423" s="3944" t="n"/>
      <c r="B423" s="3944" t="n"/>
      <c r="C423" s="3944" t="n"/>
      <c r="D423" s="3944" t="n"/>
      <c r="E423" s="3944" t="n"/>
      <c r="F423" s="3944" t="n"/>
      <c r="G423" s="3944" t="n"/>
      <c r="H423" s="3944" t="n"/>
      <c r="I423" s="3944" t="n"/>
      <c r="J423" s="3934" t="n"/>
      <c r="K423" s="3934" t="n"/>
      <c r="L423" s="3934" t="n"/>
      <c r="M423" s="3934" t="n"/>
      <c r="N423" s="3934" t="n"/>
      <c r="O423" s="3934" t="n"/>
      <c r="P423" s="3934" t="n"/>
      <c r="Q423" s="3934" t="n"/>
      <c r="R423" s="3934" t="n"/>
      <c r="S423" s="3934" t="n"/>
      <c r="T423" s="3934" t="n"/>
      <c r="U423" s="3934" t="n"/>
      <c r="V423" s="3934" t="n"/>
      <c r="W423" s="3934" t="n"/>
      <c r="X423" s="3934" t="n"/>
      <c r="Y423" s="3934" t="n"/>
      <c r="Z423" s="3934" t="n"/>
      <c r="AA423" s="3934" t="n"/>
      <c r="AB423" s="3934" t="n"/>
      <c r="AC423" s="3934" t="n"/>
      <c r="AD423" s="3934" t="n"/>
      <c r="AE423" s="3934" t="n"/>
      <c r="AF423" s="3934" t="n"/>
      <c r="AG423" s="3934" t="n"/>
      <c r="AH423" s="3934" t="n"/>
      <c r="AI423" s="3934" t="n"/>
      <c r="AJ423" s="3934" t="n"/>
      <c r="AK423" s="3934" t="n"/>
      <c r="AL423" s="3934" t="n"/>
      <c r="AM423" s="3934" t="n"/>
      <c r="AN423" s="3934" t="n"/>
      <c r="AO423" s="3934" t="n"/>
      <c r="AP423" s="3934" t="n"/>
      <c r="AQ423" s="3934" t="n"/>
      <c r="AR423" s="3934" t="n"/>
    </row>
    <row r="424">
      <c r="A424" s="3944" t="n"/>
      <c r="B424" s="3944" t="n"/>
      <c r="C424" s="3944" t="n"/>
      <c r="D424" s="3944" t="n"/>
      <c r="E424" s="3944" t="n"/>
      <c r="F424" s="3944" t="n"/>
      <c r="G424" s="3944" t="n"/>
      <c r="H424" s="3944" t="n"/>
      <c r="I424" s="3944" t="n"/>
      <c r="J424" s="3934" t="n"/>
      <c r="K424" s="3934" t="n"/>
      <c r="L424" s="3934" t="n"/>
      <c r="M424" s="3934" t="n"/>
      <c r="N424" s="3934" t="n"/>
      <c r="O424" s="3934" t="n"/>
      <c r="P424" s="3934" t="n"/>
      <c r="Q424" s="3934" t="n"/>
      <c r="R424" s="3934" t="n"/>
      <c r="S424" s="3934" t="n"/>
      <c r="T424" s="3934" t="n"/>
      <c r="U424" s="3934" t="n"/>
      <c r="V424" s="3934" t="n"/>
      <c r="W424" s="3934" t="n"/>
      <c r="X424" s="3934" t="n"/>
      <c r="Y424" s="3934" t="n"/>
      <c r="Z424" s="3934" t="n"/>
      <c r="AA424" s="3934" t="n"/>
      <c r="AB424" s="3934" t="n"/>
      <c r="AC424" s="3934" t="n"/>
      <c r="AD424" s="3934" t="n"/>
      <c r="AE424" s="3934" t="n"/>
      <c r="AF424" s="3934" t="n"/>
      <c r="AG424" s="3934" t="n"/>
      <c r="AH424" s="3934" t="n"/>
      <c r="AI424" s="3934" t="n"/>
      <c r="AJ424" s="3934" t="n"/>
      <c r="AK424" s="3934" t="n"/>
      <c r="AL424" s="3934" t="n"/>
      <c r="AM424" s="3934" t="n"/>
      <c r="AN424" s="3934" t="n"/>
      <c r="AO424" s="3934" t="n"/>
      <c r="AP424" s="3934" t="n"/>
      <c r="AQ424" s="3934" t="n"/>
      <c r="AR424" s="3934" t="n"/>
    </row>
    <row r="425">
      <c r="A425" s="3944" t="n"/>
      <c r="B425" s="3944" t="n"/>
      <c r="C425" s="3944" t="n"/>
      <c r="D425" s="3944" t="n"/>
      <c r="E425" s="3944" t="n"/>
      <c r="F425" s="3944" t="n"/>
      <c r="G425" s="3944" t="n"/>
      <c r="H425" s="3944" t="n"/>
      <c r="I425" s="3944" t="n"/>
      <c r="J425" s="3934" t="n"/>
      <c r="K425" s="3934" t="n"/>
      <c r="L425" s="3934" t="n"/>
      <c r="M425" s="3934" t="n"/>
      <c r="N425" s="3934" t="n"/>
      <c r="O425" s="3934" t="n"/>
      <c r="P425" s="3934" t="n"/>
      <c r="Q425" s="3934" t="n"/>
      <c r="R425" s="3934" t="n"/>
      <c r="S425" s="3934" t="n"/>
      <c r="T425" s="3934" t="n"/>
      <c r="U425" s="3934" t="n"/>
      <c r="V425" s="3934" t="n"/>
      <c r="W425" s="3934" t="n"/>
      <c r="X425" s="3934" t="n"/>
      <c r="Y425" s="3934" t="n"/>
      <c r="Z425" s="3934" t="n"/>
      <c r="AA425" s="3934" t="n"/>
      <c r="AB425" s="3934" t="n"/>
      <c r="AC425" s="3934" t="n"/>
      <c r="AD425" s="3934" t="n"/>
      <c r="AE425" s="3934" t="n"/>
      <c r="AF425" s="3934" t="n"/>
      <c r="AG425" s="3934" t="n"/>
      <c r="AH425" s="3934" t="n"/>
      <c r="AI425" s="3934" t="n"/>
      <c r="AJ425" s="3934" t="n"/>
      <c r="AK425" s="3934" t="n"/>
      <c r="AL425" s="3934" t="n"/>
      <c r="AM425" s="3934" t="n"/>
      <c r="AN425" s="3934" t="n"/>
      <c r="AO425" s="3934" t="n"/>
      <c r="AP425" s="3934" t="n"/>
      <c r="AQ425" s="3934" t="n"/>
      <c r="AR425" s="3934" t="n"/>
    </row>
    <row r="426">
      <c r="A426" s="3944" t="n"/>
      <c r="B426" s="3944" t="n"/>
      <c r="C426" s="3944" t="n"/>
      <c r="D426" s="3944" t="n"/>
      <c r="E426" s="3944" t="n"/>
      <c r="F426" s="3944" t="n"/>
      <c r="G426" s="3944" t="n"/>
      <c r="H426" s="3944" t="n"/>
      <c r="I426" s="3944" t="n"/>
      <c r="J426" s="3934" t="n"/>
      <c r="K426" s="3934" t="n"/>
      <c r="L426" s="3934" t="n"/>
      <c r="M426" s="3934" t="n"/>
      <c r="N426" s="3934" t="n"/>
      <c r="O426" s="3934" t="n"/>
      <c r="P426" s="3934" t="n"/>
      <c r="Q426" s="3934" t="n"/>
      <c r="R426" s="3934" t="n"/>
      <c r="S426" s="3934" t="n"/>
      <c r="T426" s="3934" t="n"/>
      <c r="U426" s="3934" t="n"/>
      <c r="V426" s="3934" t="n"/>
      <c r="W426" s="3934" t="n"/>
      <c r="X426" s="3934" t="n"/>
      <c r="Y426" s="3934" t="n"/>
      <c r="Z426" s="3934" t="n"/>
      <c r="AA426" s="3934" t="n"/>
      <c r="AB426" s="3934" t="n"/>
      <c r="AC426" s="3934" t="n"/>
      <c r="AD426" s="3934" t="n"/>
      <c r="AE426" s="3934" t="n"/>
      <c r="AF426" s="3934" t="n"/>
      <c r="AG426" s="3934" t="n"/>
      <c r="AH426" s="3934" t="n"/>
      <c r="AI426" s="3934" t="n"/>
      <c r="AJ426" s="3934" t="n"/>
      <c r="AK426" s="3934" t="n"/>
      <c r="AL426" s="3934" t="n"/>
      <c r="AM426" s="3934" t="n"/>
      <c r="AN426" s="3934" t="n"/>
      <c r="AO426" s="3934" t="n"/>
      <c r="AP426" s="3934" t="n"/>
      <c r="AQ426" s="3934" t="n"/>
      <c r="AR426" s="3934" t="n"/>
    </row>
    <row r="427">
      <c r="A427" s="3944" t="n"/>
      <c r="B427" s="3944" t="n"/>
      <c r="C427" s="3944" t="n"/>
      <c r="D427" s="3944" t="n"/>
      <c r="E427" s="3944" t="n"/>
      <c r="F427" s="3944" t="n"/>
      <c r="G427" s="3944" t="n"/>
      <c r="H427" s="3944" t="n"/>
      <c r="I427" s="3944" t="n"/>
      <c r="J427" s="3934" t="n"/>
      <c r="K427" s="3934" t="n"/>
      <c r="L427" s="3934" t="n"/>
      <c r="M427" s="3934" t="n"/>
      <c r="N427" s="3934" t="n"/>
      <c r="O427" s="3934" t="n"/>
      <c r="P427" s="3934" t="n"/>
      <c r="Q427" s="3934" t="n"/>
      <c r="R427" s="3934" t="n"/>
      <c r="S427" s="3934" t="n"/>
      <c r="T427" s="3934" t="n"/>
      <c r="U427" s="3934" t="n"/>
      <c r="V427" s="3934" t="n"/>
      <c r="W427" s="3934" t="n"/>
      <c r="X427" s="3934" t="n"/>
      <c r="Y427" s="3934" t="n"/>
      <c r="Z427" s="3934" t="n"/>
      <c r="AA427" s="3934" t="n"/>
      <c r="AB427" s="3934" t="n"/>
      <c r="AC427" s="3934" t="n"/>
      <c r="AD427" s="3934" t="n"/>
      <c r="AE427" s="3934" t="n"/>
      <c r="AF427" s="3934" t="n"/>
      <c r="AG427" s="3934" t="n"/>
      <c r="AH427" s="3934" t="n"/>
      <c r="AI427" s="3934" t="n"/>
      <c r="AJ427" s="3934" t="n"/>
      <c r="AK427" s="3934" t="n"/>
      <c r="AL427" s="3934" t="n"/>
      <c r="AM427" s="3934" t="n"/>
      <c r="AN427" s="3934" t="n"/>
      <c r="AO427" s="3934" t="n"/>
      <c r="AP427" s="3934" t="n"/>
      <c r="AQ427" s="3934" t="n"/>
      <c r="AR427" s="3934" t="n"/>
    </row>
    <row r="428">
      <c r="A428" s="3944" t="n"/>
      <c r="B428" s="3944" t="n"/>
      <c r="C428" s="3944" t="n"/>
      <c r="D428" s="3944" t="n"/>
      <c r="E428" s="3944" t="n"/>
      <c r="F428" s="3944" t="n"/>
      <c r="G428" s="3944" t="n"/>
      <c r="H428" s="3944" t="n"/>
      <c r="I428" s="3944" t="n"/>
      <c r="J428" s="3934" t="n"/>
      <c r="K428" s="3934" t="n"/>
      <c r="L428" s="3934" t="n"/>
      <c r="M428" s="3934" t="n"/>
      <c r="N428" s="3934" t="n"/>
      <c r="O428" s="3934" t="n"/>
      <c r="P428" s="3934" t="n"/>
      <c r="Q428" s="3934" t="n"/>
      <c r="R428" s="3934" t="n"/>
      <c r="S428" s="3934" t="n"/>
      <c r="T428" s="3934" t="n"/>
      <c r="U428" s="3934" t="n"/>
      <c r="V428" s="3934" t="n"/>
      <c r="W428" s="3934" t="n"/>
      <c r="X428" s="3934" t="n"/>
      <c r="Y428" s="3934" t="n"/>
      <c r="Z428" s="3934" t="n"/>
      <c r="AA428" s="3934" t="n"/>
      <c r="AB428" s="3934" t="n"/>
      <c r="AC428" s="3934" t="n"/>
      <c r="AD428" s="3934" t="n"/>
      <c r="AE428" s="3934" t="n"/>
      <c r="AF428" s="3934" t="n"/>
      <c r="AG428" s="3934" t="n"/>
      <c r="AH428" s="3934" t="n"/>
      <c r="AI428" s="3934" t="n"/>
      <c r="AJ428" s="3934" t="n"/>
      <c r="AK428" s="3934" t="n"/>
      <c r="AL428" s="3934" t="n"/>
      <c r="AM428" s="3934" t="n"/>
      <c r="AN428" s="3934" t="n"/>
      <c r="AO428" s="3934" t="n"/>
      <c r="AP428" s="3934" t="n"/>
      <c r="AQ428" s="3934" t="n"/>
      <c r="AR428" s="3934" t="n"/>
    </row>
    <row r="429">
      <c r="A429" s="3944" t="n"/>
      <c r="B429" s="3944" t="n"/>
      <c r="C429" s="3944" t="n"/>
      <c r="D429" s="3944" t="n"/>
      <c r="E429" s="3944" t="n"/>
      <c r="F429" s="3944" t="n"/>
      <c r="G429" s="3944" t="n"/>
      <c r="H429" s="3944" t="n"/>
      <c r="I429" s="3944" t="n"/>
      <c r="J429" s="3934" t="n"/>
      <c r="K429" s="3934" t="n"/>
      <c r="L429" s="3934" t="n"/>
      <c r="M429" s="3934" t="n"/>
      <c r="N429" s="3934" t="n"/>
      <c r="O429" s="3934" t="n"/>
      <c r="P429" s="3934" t="n"/>
      <c r="Q429" s="3934" t="n"/>
      <c r="R429" s="3934" t="n"/>
      <c r="S429" s="3934" t="n"/>
      <c r="T429" s="3934" t="n"/>
      <c r="U429" s="3934" t="n"/>
      <c r="V429" s="3934" t="n"/>
      <c r="W429" s="3934" t="n"/>
      <c r="X429" s="3934" t="n"/>
      <c r="Y429" s="3934" t="n"/>
      <c r="Z429" s="3934" t="n"/>
      <c r="AA429" s="3934" t="n"/>
      <c r="AB429" s="3934" t="n"/>
      <c r="AC429" s="3934" t="n"/>
      <c r="AD429" s="3934" t="n"/>
      <c r="AE429" s="3934" t="n"/>
      <c r="AF429" s="3934" t="n"/>
      <c r="AG429" s="3934" t="n"/>
      <c r="AH429" s="3934" t="n"/>
      <c r="AI429" s="3934" t="n"/>
      <c r="AJ429" s="3934" t="n"/>
      <c r="AK429" s="3934" t="n"/>
      <c r="AL429" s="3934" t="n"/>
      <c r="AM429" s="3934" t="n"/>
      <c r="AN429" s="3934" t="n"/>
      <c r="AO429" s="3934" t="n"/>
      <c r="AP429" s="3934" t="n"/>
      <c r="AQ429" s="3934" t="n"/>
      <c r="AR429" s="3934" t="n"/>
    </row>
    <row r="430">
      <c r="A430" s="3944" t="n"/>
      <c r="B430" s="3944" t="n"/>
      <c r="C430" s="3944" t="n"/>
      <c r="D430" s="3944" t="n"/>
      <c r="E430" s="3944" t="n"/>
      <c r="F430" s="3944" t="n"/>
      <c r="G430" s="3944" t="n"/>
      <c r="H430" s="3944" t="n"/>
      <c r="I430" s="3944" t="n"/>
      <c r="J430" s="3934" t="n"/>
      <c r="K430" s="3934" t="n"/>
      <c r="L430" s="3934" t="n"/>
      <c r="M430" s="3934" t="n"/>
      <c r="N430" s="3934" t="n"/>
      <c r="O430" s="3934" t="n"/>
      <c r="P430" s="3934" t="n"/>
      <c r="Q430" s="3934" t="n"/>
      <c r="R430" s="3934" t="n"/>
      <c r="S430" s="3934" t="n"/>
      <c r="T430" s="3934" t="n"/>
      <c r="U430" s="3934" t="n"/>
      <c r="V430" s="3934" t="n"/>
      <c r="W430" s="3934" t="n"/>
      <c r="X430" s="3934" t="n"/>
      <c r="Y430" s="3934" t="n"/>
      <c r="Z430" s="3934" t="n"/>
      <c r="AA430" s="3934" t="n"/>
      <c r="AB430" s="3934" t="n"/>
      <c r="AC430" s="3934" t="n"/>
      <c r="AD430" s="3934" t="n"/>
      <c r="AE430" s="3934" t="n"/>
      <c r="AF430" s="3934" t="n"/>
      <c r="AG430" s="3934" t="n"/>
      <c r="AH430" s="3934" t="n"/>
      <c r="AI430" s="3934" t="n"/>
      <c r="AJ430" s="3934" t="n"/>
      <c r="AK430" s="3934" t="n"/>
      <c r="AL430" s="3934" t="n"/>
      <c r="AM430" s="3934" t="n"/>
      <c r="AN430" s="3934" t="n"/>
      <c r="AO430" s="3934" t="n"/>
      <c r="AP430" s="3934" t="n"/>
      <c r="AQ430" s="3934" t="n"/>
      <c r="AR430" s="3934" t="n"/>
    </row>
    <row r="431">
      <c r="A431" s="3944" t="n"/>
      <c r="B431" s="3944" t="n"/>
      <c r="C431" s="3944" t="n"/>
      <c r="D431" s="3944" t="n"/>
      <c r="E431" s="3944" t="n"/>
      <c r="F431" s="3944" t="n"/>
      <c r="G431" s="3944" t="n"/>
      <c r="H431" s="3944" t="n"/>
      <c r="I431" s="3944" t="n"/>
      <c r="J431" s="3934" t="n"/>
      <c r="K431" s="3934" t="n"/>
      <c r="L431" s="3934" t="n"/>
      <c r="M431" s="3934" t="n"/>
      <c r="N431" s="3934" t="n"/>
      <c r="O431" s="3934" t="n"/>
      <c r="P431" s="3934" t="n"/>
      <c r="Q431" s="3934" t="n"/>
      <c r="R431" s="3934" t="n"/>
      <c r="S431" s="3934" t="n"/>
      <c r="T431" s="3934" t="n"/>
      <c r="U431" s="3934" t="n"/>
      <c r="V431" s="3934" t="n"/>
      <c r="W431" s="3934" t="n"/>
      <c r="X431" s="3934" t="n"/>
      <c r="Y431" s="3934" t="n"/>
      <c r="Z431" s="3934" t="n"/>
      <c r="AA431" s="3934" t="n"/>
      <c r="AB431" s="3934" t="n"/>
      <c r="AC431" s="3934" t="n"/>
      <c r="AD431" s="3934" t="n"/>
      <c r="AE431" s="3934" t="n"/>
      <c r="AF431" s="3934" t="n"/>
      <c r="AG431" s="3934" t="n"/>
      <c r="AH431" s="3934" t="n"/>
      <c r="AI431" s="3934" t="n"/>
      <c r="AJ431" s="3934" t="n"/>
      <c r="AK431" s="3934" t="n"/>
      <c r="AL431" s="3934" t="n"/>
      <c r="AM431" s="3934" t="n"/>
      <c r="AN431" s="3934" t="n"/>
      <c r="AO431" s="3934" t="n"/>
      <c r="AP431" s="3934" t="n"/>
      <c r="AQ431" s="3934" t="n"/>
      <c r="AR431" s="3934" t="n"/>
    </row>
    <row r="432">
      <c r="A432" s="3944" t="n"/>
      <c r="B432" s="3944" t="n"/>
      <c r="C432" s="3944" t="n"/>
      <c r="D432" s="3944" t="n"/>
      <c r="E432" s="3944" t="n"/>
      <c r="F432" s="3944" t="n"/>
      <c r="G432" s="3944" t="n"/>
      <c r="H432" s="3944" t="n"/>
      <c r="I432" s="3944" t="n"/>
      <c r="J432" s="3934" t="n"/>
      <c r="K432" s="3934" t="n"/>
      <c r="L432" s="3934" t="n"/>
      <c r="M432" s="3934" t="n"/>
      <c r="N432" s="3934" t="n"/>
      <c r="O432" s="3934" t="n"/>
      <c r="P432" s="3934" t="n"/>
      <c r="Q432" s="3934" t="n"/>
      <c r="R432" s="3934" t="n"/>
      <c r="S432" s="3934" t="n"/>
      <c r="T432" s="3934" t="n"/>
      <c r="U432" s="3934" t="n"/>
      <c r="V432" s="3934" t="n"/>
      <c r="W432" s="3934" t="n"/>
      <c r="X432" s="3934" t="n"/>
      <c r="Y432" s="3934" t="n"/>
      <c r="Z432" s="3934" t="n"/>
      <c r="AA432" s="3934" t="n"/>
      <c r="AB432" s="3934" t="n"/>
      <c r="AC432" s="3934" t="n"/>
      <c r="AD432" s="3934" t="n"/>
      <c r="AE432" s="3934" t="n"/>
      <c r="AF432" s="3934" t="n"/>
      <c r="AG432" s="3934" t="n"/>
      <c r="AH432" s="3934" t="n"/>
      <c r="AI432" s="3934" t="n"/>
      <c r="AJ432" s="3934" t="n"/>
      <c r="AK432" s="3934" t="n"/>
      <c r="AL432" s="3934" t="n"/>
      <c r="AM432" s="3934" t="n"/>
      <c r="AN432" s="3934" t="n"/>
      <c r="AO432" s="3934" t="n"/>
      <c r="AP432" s="3934" t="n"/>
      <c r="AQ432" s="3934" t="n"/>
      <c r="AR432" s="3934" t="n"/>
    </row>
    <row r="433">
      <c r="A433" s="3944" t="n"/>
      <c r="B433" s="3944" t="n"/>
      <c r="C433" s="3944" t="n"/>
      <c r="D433" s="3944" t="n"/>
      <c r="E433" s="3944" t="n"/>
      <c r="F433" s="3944" t="n"/>
      <c r="G433" s="3944" t="n"/>
      <c r="H433" s="3944" t="n"/>
      <c r="I433" s="3944" t="n"/>
      <c r="J433" s="3934" t="n"/>
      <c r="K433" s="3934" t="n"/>
      <c r="L433" s="3934" t="n"/>
      <c r="M433" s="3934" t="n"/>
      <c r="N433" s="3934" t="n"/>
      <c r="O433" s="3934" t="n"/>
      <c r="P433" s="3934" t="n"/>
      <c r="Q433" s="3934" t="n"/>
      <c r="R433" s="3934" t="n"/>
      <c r="S433" s="3934" t="n"/>
      <c r="T433" s="3934" t="n"/>
      <c r="U433" s="3934" t="n"/>
      <c r="V433" s="3934" t="n"/>
      <c r="W433" s="3934" t="n"/>
      <c r="X433" s="3934" t="n"/>
      <c r="Y433" s="3934" t="n"/>
      <c r="Z433" s="3934" t="n"/>
      <c r="AA433" s="3934" t="n"/>
      <c r="AB433" s="3934" t="n"/>
      <c r="AC433" s="3934" t="n"/>
      <c r="AD433" s="3934" t="n"/>
      <c r="AE433" s="3934" t="n"/>
      <c r="AF433" s="3934" t="n"/>
      <c r="AG433" s="3934" t="n"/>
      <c r="AH433" s="3934" t="n"/>
      <c r="AI433" s="3934" t="n"/>
      <c r="AJ433" s="3934" t="n"/>
      <c r="AK433" s="3934" t="n"/>
      <c r="AL433" s="3934" t="n"/>
      <c r="AM433" s="3934" t="n"/>
      <c r="AN433" s="3934" t="n"/>
      <c r="AO433" s="3934" t="n"/>
      <c r="AP433" s="3934" t="n"/>
      <c r="AQ433" s="3934" t="n"/>
      <c r="AR433" s="3934" t="n"/>
    </row>
    <row r="434">
      <c r="A434" s="3944" t="n"/>
      <c r="B434" s="3944" t="n"/>
      <c r="C434" s="3944" t="n"/>
      <c r="D434" s="3944" t="n"/>
      <c r="E434" s="3944" t="n"/>
      <c r="F434" s="3944" t="n"/>
      <c r="G434" s="3944" t="n"/>
      <c r="H434" s="3944" t="n"/>
      <c r="I434" s="3944" t="n"/>
      <c r="J434" s="3934" t="n"/>
      <c r="K434" s="3934" t="n"/>
      <c r="L434" s="3934" t="n"/>
      <c r="M434" s="3934" t="n"/>
      <c r="N434" s="3934" t="n"/>
      <c r="O434" s="3934" t="n"/>
      <c r="P434" s="3934" t="n"/>
      <c r="Q434" s="3934" t="n"/>
      <c r="R434" s="3934" t="n"/>
      <c r="S434" s="3934" t="n"/>
      <c r="T434" s="3934" t="n"/>
      <c r="U434" s="3934" t="n"/>
      <c r="V434" s="3934" t="n"/>
      <c r="W434" s="3934" t="n"/>
      <c r="X434" s="3934" t="n"/>
      <c r="Y434" s="3934" t="n"/>
      <c r="Z434" s="3934" t="n"/>
      <c r="AA434" s="3934" t="n"/>
      <c r="AB434" s="3934" t="n"/>
      <c r="AC434" s="3934" t="n"/>
      <c r="AD434" s="3934" t="n"/>
      <c r="AE434" s="3934" t="n"/>
      <c r="AF434" s="3934" t="n"/>
      <c r="AG434" s="3934" t="n"/>
      <c r="AH434" s="3934" t="n"/>
      <c r="AI434" s="3934" t="n"/>
      <c r="AJ434" s="3934" t="n"/>
      <c r="AK434" s="3934" t="n"/>
      <c r="AL434" s="3934" t="n"/>
      <c r="AM434" s="3934" t="n"/>
      <c r="AN434" s="3934" t="n"/>
      <c r="AO434" s="3934" t="n"/>
      <c r="AP434" s="3934" t="n"/>
      <c r="AQ434" s="3934" t="n"/>
      <c r="AR434" s="3934" t="n"/>
    </row>
    <row r="435">
      <c r="A435" s="3944" t="n"/>
      <c r="B435" s="3944" t="n"/>
      <c r="C435" s="3944" t="n"/>
      <c r="D435" s="3944" t="n"/>
      <c r="E435" s="3944" t="n"/>
      <c r="F435" s="3944" t="n"/>
      <c r="G435" s="3944" t="n"/>
      <c r="H435" s="3944" t="n"/>
      <c r="I435" s="3944" t="n"/>
      <c r="J435" s="3934" t="n"/>
      <c r="K435" s="3934" t="n"/>
      <c r="L435" s="3934" t="n"/>
      <c r="M435" s="3934" t="n"/>
      <c r="N435" s="3934" t="n"/>
      <c r="O435" s="3934" t="n"/>
      <c r="P435" s="3934" t="n"/>
      <c r="Q435" s="3934" t="n"/>
      <c r="R435" s="3934" t="n"/>
      <c r="S435" s="3934" t="n"/>
      <c r="T435" s="3934" t="n"/>
      <c r="U435" s="3934" t="n"/>
      <c r="V435" s="3934" t="n"/>
      <c r="W435" s="3934" t="n"/>
      <c r="X435" s="3934" t="n"/>
      <c r="Y435" s="3934" t="n"/>
      <c r="Z435" s="3934" t="n"/>
      <c r="AA435" s="3934" t="n"/>
      <c r="AB435" s="3934" t="n"/>
      <c r="AC435" s="3934" t="n"/>
      <c r="AD435" s="3934" t="n"/>
      <c r="AE435" s="3934" t="n"/>
      <c r="AF435" s="3934" t="n"/>
      <c r="AG435" s="3934" t="n"/>
      <c r="AH435" s="3934" t="n"/>
      <c r="AI435" s="3934" t="n"/>
      <c r="AJ435" s="3934" t="n"/>
      <c r="AK435" s="3934" t="n"/>
      <c r="AL435" s="3934" t="n"/>
      <c r="AM435" s="3934" t="n"/>
      <c r="AN435" s="3934" t="n"/>
      <c r="AO435" s="3934" t="n"/>
      <c r="AP435" s="3934" t="n"/>
      <c r="AQ435" s="3934" t="n"/>
      <c r="AR435" s="3934" t="n"/>
    </row>
    <row r="436">
      <c r="A436" s="3944" t="n"/>
      <c r="B436" s="3944" t="n"/>
      <c r="C436" s="3944" t="n"/>
      <c r="D436" s="3944" t="n"/>
      <c r="E436" s="3944" t="n"/>
      <c r="F436" s="3944" t="n"/>
      <c r="G436" s="3944" t="n"/>
      <c r="H436" s="3944" t="n"/>
      <c r="I436" s="3944" t="n"/>
      <c r="J436" s="3934" t="n"/>
      <c r="K436" s="3934" t="n"/>
      <c r="L436" s="3934" t="n"/>
      <c r="M436" s="3934" t="n"/>
      <c r="N436" s="3934" t="n"/>
      <c r="O436" s="3934" t="n"/>
      <c r="P436" s="3934" t="n"/>
      <c r="Q436" s="3934" t="n"/>
      <c r="R436" s="3934" t="n"/>
      <c r="S436" s="3934" t="n"/>
      <c r="T436" s="3934" t="n"/>
      <c r="U436" s="3934" t="n"/>
      <c r="V436" s="3934" t="n"/>
      <c r="W436" s="3934" t="n"/>
      <c r="X436" s="3934" t="n"/>
      <c r="Y436" s="3934" t="n"/>
      <c r="Z436" s="3934" t="n"/>
      <c r="AA436" s="3934" t="n"/>
      <c r="AB436" s="3934" t="n"/>
      <c r="AC436" s="3934" t="n"/>
      <c r="AD436" s="3934" t="n"/>
      <c r="AE436" s="3934" t="n"/>
      <c r="AF436" s="3934" t="n"/>
      <c r="AG436" s="3934" t="n"/>
      <c r="AH436" s="3934" t="n"/>
      <c r="AI436" s="3934" t="n"/>
      <c r="AJ436" s="3934" t="n"/>
      <c r="AK436" s="3934" t="n"/>
      <c r="AL436" s="3934" t="n"/>
      <c r="AM436" s="3934" t="n"/>
      <c r="AN436" s="3934" t="n"/>
      <c r="AO436" s="3934" t="n"/>
      <c r="AP436" s="3934" t="n"/>
      <c r="AQ436" s="3934" t="n"/>
      <c r="AR436" s="3934" t="n"/>
    </row>
    <row r="437">
      <c r="A437" s="3944" t="n"/>
      <c r="B437" s="3944" t="n"/>
      <c r="C437" s="3944" t="n"/>
      <c r="D437" s="3944" t="n"/>
      <c r="E437" s="3944" t="n"/>
      <c r="F437" s="3944" t="n"/>
      <c r="G437" s="3944" t="n"/>
      <c r="H437" s="3944" t="n"/>
      <c r="I437" s="3944" t="n"/>
      <c r="J437" s="3934" t="n"/>
      <c r="K437" s="3934" t="n"/>
      <c r="L437" s="3934" t="n"/>
      <c r="M437" s="3934" t="n"/>
      <c r="N437" s="3934" t="n"/>
      <c r="O437" s="3934" t="n"/>
      <c r="P437" s="3934" t="n"/>
      <c r="Q437" s="3934" t="n"/>
      <c r="R437" s="3934" t="n"/>
      <c r="S437" s="3934" t="n"/>
      <c r="T437" s="3934" t="n"/>
      <c r="U437" s="3934" t="n"/>
      <c r="V437" s="3934" t="n"/>
      <c r="W437" s="3934" t="n"/>
      <c r="X437" s="3934" t="n"/>
      <c r="Y437" s="3934" t="n"/>
      <c r="Z437" s="3934" t="n"/>
      <c r="AA437" s="3934" t="n"/>
      <c r="AB437" s="3934" t="n"/>
      <c r="AC437" s="3934" t="n"/>
      <c r="AD437" s="3934" t="n"/>
      <c r="AE437" s="3934" t="n"/>
      <c r="AF437" s="3934" t="n"/>
      <c r="AG437" s="3934" t="n"/>
      <c r="AH437" s="3934" t="n"/>
      <c r="AI437" s="3934" t="n"/>
      <c r="AJ437" s="3934" t="n"/>
      <c r="AK437" s="3934" t="n"/>
      <c r="AL437" s="3934" t="n"/>
      <c r="AM437" s="3934" t="n"/>
      <c r="AN437" s="3934" t="n"/>
      <c r="AO437" s="3934" t="n"/>
      <c r="AP437" s="3934" t="n"/>
      <c r="AQ437" s="3934" t="n"/>
      <c r="AR437" s="3934" t="n"/>
    </row>
    <row r="438">
      <c r="A438" s="3944" t="n"/>
      <c r="B438" s="3944" t="n"/>
      <c r="C438" s="3944" t="n"/>
      <c r="D438" s="3944" t="n"/>
      <c r="E438" s="3944" t="n"/>
      <c r="F438" s="3944" t="n"/>
      <c r="G438" s="3944" t="n"/>
      <c r="H438" s="3944" t="n"/>
      <c r="I438" s="3944" t="n"/>
      <c r="J438" s="3934" t="n"/>
      <c r="K438" s="3934" t="n"/>
      <c r="L438" s="3934" t="n"/>
      <c r="M438" s="3934" t="n"/>
      <c r="N438" s="3934" t="n"/>
      <c r="O438" s="3934" t="n"/>
      <c r="P438" s="3934" t="n"/>
      <c r="Q438" s="3934" t="n"/>
      <c r="R438" s="3934" t="n"/>
      <c r="S438" s="3934" t="n"/>
      <c r="T438" s="3934" t="n"/>
      <c r="U438" s="3934" t="n"/>
      <c r="V438" s="3934" t="n"/>
      <c r="W438" s="3934" t="n"/>
      <c r="X438" s="3934" t="n"/>
      <c r="Y438" s="3934" t="n"/>
      <c r="Z438" s="3934" t="n"/>
      <c r="AA438" s="3934" t="n"/>
      <c r="AB438" s="3934" t="n"/>
      <c r="AC438" s="3934" t="n"/>
      <c r="AD438" s="3934" t="n"/>
      <c r="AE438" s="3934" t="n"/>
      <c r="AF438" s="3934" t="n"/>
      <c r="AG438" s="3934" t="n"/>
      <c r="AH438" s="3934" t="n"/>
      <c r="AI438" s="3934" t="n"/>
      <c r="AJ438" s="3934" t="n"/>
      <c r="AK438" s="3934" t="n"/>
      <c r="AL438" s="3934" t="n"/>
      <c r="AM438" s="3934" t="n"/>
      <c r="AN438" s="3934" t="n"/>
      <c r="AO438" s="3934" t="n"/>
      <c r="AP438" s="3934" t="n"/>
      <c r="AQ438" s="3934" t="n"/>
      <c r="AR438" s="3934" t="n"/>
    </row>
    <row r="439">
      <c r="A439" s="3944" t="n"/>
      <c r="B439" s="3944" t="n"/>
      <c r="C439" s="3944" t="n"/>
      <c r="D439" s="3944" t="n"/>
      <c r="E439" s="3944" t="n"/>
      <c r="F439" s="3944" t="n"/>
      <c r="G439" s="3944" t="n"/>
      <c r="H439" s="3944" t="n"/>
      <c r="I439" s="3944" t="n"/>
      <c r="J439" s="3934" t="n"/>
      <c r="K439" s="3934" t="n"/>
      <c r="L439" s="3934" t="n"/>
      <c r="M439" s="3934" t="n"/>
      <c r="N439" s="3934" t="n"/>
      <c r="O439" s="3934" t="n"/>
      <c r="P439" s="3934" t="n"/>
      <c r="Q439" s="3934" t="n"/>
      <c r="R439" s="3934" t="n"/>
      <c r="S439" s="3934" t="n"/>
      <c r="T439" s="3934" t="n"/>
      <c r="U439" s="3934" t="n"/>
      <c r="V439" s="3934" t="n"/>
      <c r="W439" s="3934" t="n"/>
      <c r="X439" s="3934" t="n"/>
      <c r="Y439" s="3934" t="n"/>
      <c r="Z439" s="3934" t="n"/>
      <c r="AA439" s="3934" t="n"/>
      <c r="AB439" s="3934" t="n"/>
      <c r="AC439" s="3934" t="n"/>
      <c r="AD439" s="3934" t="n"/>
      <c r="AE439" s="3934" t="n"/>
      <c r="AF439" s="3934" t="n"/>
      <c r="AG439" s="3934" t="n"/>
      <c r="AH439" s="3934" t="n"/>
      <c r="AI439" s="3934" t="n"/>
      <c r="AJ439" s="3934" t="n"/>
      <c r="AK439" s="3934" t="n"/>
      <c r="AL439" s="3934" t="n"/>
      <c r="AM439" s="3934" t="n"/>
      <c r="AN439" s="3934" t="n"/>
      <c r="AO439" s="3934" t="n"/>
      <c r="AP439" s="3934" t="n"/>
      <c r="AQ439" s="3934" t="n"/>
      <c r="AR439" s="3934" t="n"/>
    </row>
    <row r="440">
      <c r="A440" s="3944" t="n"/>
      <c r="B440" s="3944" t="n"/>
      <c r="C440" s="3944" t="n"/>
      <c r="D440" s="3944" t="n"/>
      <c r="E440" s="3944" t="n"/>
      <c r="F440" s="3944" t="n"/>
      <c r="G440" s="3944" t="n"/>
      <c r="H440" s="3944" t="n"/>
      <c r="I440" s="3944" t="n"/>
      <c r="J440" s="3934" t="n"/>
      <c r="K440" s="3934" t="n"/>
      <c r="L440" s="3934" t="n"/>
      <c r="M440" s="3934" t="n"/>
      <c r="N440" s="3934" t="n"/>
      <c r="O440" s="3934" t="n"/>
      <c r="P440" s="3934" t="n"/>
      <c r="Q440" s="3934" t="n"/>
      <c r="R440" s="3934" t="n"/>
      <c r="S440" s="3934" t="n"/>
      <c r="T440" s="3934" t="n"/>
      <c r="U440" s="3934" t="n"/>
      <c r="V440" s="3934" t="n"/>
      <c r="W440" s="3934" t="n"/>
      <c r="X440" s="3934" t="n"/>
      <c r="Y440" s="3934" t="n"/>
      <c r="Z440" s="3934" t="n"/>
      <c r="AA440" s="3934" t="n"/>
      <c r="AB440" s="3934" t="n"/>
      <c r="AC440" s="3934" t="n"/>
      <c r="AD440" s="3934" t="n"/>
      <c r="AE440" s="3934" t="n"/>
      <c r="AF440" s="3934" t="n"/>
      <c r="AG440" s="3934" t="n"/>
      <c r="AH440" s="3934" t="n"/>
      <c r="AI440" s="3934" t="n"/>
      <c r="AJ440" s="3934" t="n"/>
      <c r="AK440" s="3934" t="n"/>
      <c r="AL440" s="3934" t="n"/>
      <c r="AM440" s="3934" t="n"/>
      <c r="AN440" s="3934" t="n"/>
      <c r="AO440" s="3934" t="n"/>
      <c r="AP440" s="3934" t="n"/>
      <c r="AQ440" s="3934" t="n"/>
      <c r="AR440" s="3934" t="n"/>
    </row>
    <row r="441">
      <c r="A441" s="3944" t="n"/>
      <c r="B441" s="3944" t="n"/>
      <c r="C441" s="3944" t="n"/>
      <c r="D441" s="3944" t="n"/>
      <c r="E441" s="3944" t="n"/>
      <c r="F441" s="3944" t="n"/>
      <c r="G441" s="3944" t="n"/>
      <c r="H441" s="3944" t="n"/>
      <c r="I441" s="3944" t="n"/>
      <c r="J441" s="3934" t="n"/>
      <c r="K441" s="3934" t="n"/>
      <c r="L441" s="3934" t="n"/>
      <c r="M441" s="3934" t="n"/>
      <c r="N441" s="3934" t="n"/>
      <c r="O441" s="3934" t="n"/>
      <c r="P441" s="3934" t="n"/>
      <c r="Q441" s="3934" t="n"/>
      <c r="R441" s="3934" t="n"/>
      <c r="S441" s="3934" t="n"/>
      <c r="T441" s="3934" t="n"/>
      <c r="U441" s="3934" t="n"/>
      <c r="V441" s="3934" t="n"/>
      <c r="W441" s="3934" t="n"/>
      <c r="X441" s="3934" t="n"/>
      <c r="Y441" s="3934" t="n"/>
      <c r="Z441" s="3934" t="n"/>
      <c r="AA441" s="3934" t="n"/>
      <c r="AB441" s="3934" t="n"/>
      <c r="AC441" s="3934" t="n"/>
      <c r="AD441" s="3934" t="n"/>
      <c r="AE441" s="3934" t="n"/>
      <c r="AF441" s="3934" t="n"/>
      <c r="AG441" s="3934" t="n"/>
      <c r="AH441" s="3934" t="n"/>
      <c r="AI441" s="3934" t="n"/>
      <c r="AJ441" s="3934" t="n"/>
      <c r="AK441" s="3934" t="n"/>
      <c r="AL441" s="3934" t="n"/>
      <c r="AM441" s="3934" t="n"/>
      <c r="AN441" s="3934" t="n"/>
      <c r="AO441" s="3934" t="n"/>
      <c r="AP441" s="3934" t="n"/>
      <c r="AQ441" s="3934" t="n"/>
      <c r="AR441" s="3934" t="n"/>
    </row>
    <row r="442">
      <c r="A442" s="3944" t="n"/>
      <c r="B442" s="3944" t="n"/>
      <c r="C442" s="3944" t="n"/>
      <c r="D442" s="3944" t="n"/>
      <c r="E442" s="3944" t="n"/>
      <c r="F442" s="3944" t="n"/>
      <c r="G442" s="3944" t="n"/>
      <c r="H442" s="3944" t="n"/>
      <c r="I442" s="3944" t="n"/>
      <c r="J442" s="3934" t="n"/>
      <c r="K442" s="3934" t="n"/>
      <c r="L442" s="3934" t="n"/>
      <c r="M442" s="3934" t="n"/>
      <c r="N442" s="3934" t="n"/>
      <c r="O442" s="3934" t="n"/>
      <c r="P442" s="3934" t="n"/>
      <c r="Q442" s="3934" t="n"/>
      <c r="R442" s="3934" t="n"/>
      <c r="S442" s="3934" t="n"/>
      <c r="T442" s="3934" t="n"/>
      <c r="U442" s="3934" t="n"/>
      <c r="V442" s="3934" t="n"/>
      <c r="W442" s="3934" t="n"/>
      <c r="X442" s="3934" t="n"/>
      <c r="Y442" s="3934" t="n"/>
      <c r="Z442" s="3934" t="n"/>
      <c r="AA442" s="3934" t="n"/>
      <c r="AB442" s="3934" t="n"/>
      <c r="AC442" s="3934" t="n"/>
      <c r="AD442" s="3934" t="n"/>
      <c r="AE442" s="3934" t="n"/>
      <c r="AF442" s="3934" t="n"/>
      <c r="AG442" s="3934" t="n"/>
      <c r="AH442" s="3934" t="n"/>
      <c r="AI442" s="3934" t="n"/>
      <c r="AJ442" s="3934" t="n"/>
      <c r="AK442" s="3934" t="n"/>
      <c r="AL442" s="3934" t="n"/>
      <c r="AM442" s="3934" t="n"/>
      <c r="AN442" s="3934" t="n"/>
      <c r="AO442" s="3934" t="n"/>
      <c r="AP442" s="3934" t="n"/>
      <c r="AQ442" s="3934" t="n"/>
      <c r="AR442" s="3934" t="n"/>
    </row>
    <row r="443">
      <c r="A443" s="3944" t="n"/>
      <c r="B443" s="3944" t="n"/>
      <c r="C443" s="3944" t="n"/>
      <c r="D443" s="3944" t="n"/>
      <c r="E443" s="3944" t="n"/>
      <c r="F443" s="3944" t="n"/>
      <c r="G443" s="3944" t="n"/>
      <c r="H443" s="3944" t="n"/>
      <c r="I443" s="3944" t="n"/>
      <c r="J443" s="3934" t="n"/>
      <c r="K443" s="3934" t="n"/>
      <c r="L443" s="3934" t="n"/>
      <c r="M443" s="3934" t="n"/>
      <c r="N443" s="3934" t="n"/>
      <c r="O443" s="3934" t="n"/>
      <c r="P443" s="3934" t="n"/>
      <c r="Q443" s="3934" t="n"/>
      <c r="R443" s="3934" t="n"/>
      <c r="S443" s="3934" t="n"/>
      <c r="T443" s="3934" t="n"/>
      <c r="U443" s="3934" t="n"/>
      <c r="V443" s="3934" t="n"/>
      <c r="W443" s="3934" t="n"/>
      <c r="X443" s="3934" t="n"/>
      <c r="Y443" s="3934" t="n"/>
      <c r="Z443" s="3934" t="n"/>
      <c r="AA443" s="3934" t="n"/>
      <c r="AB443" s="3934" t="n"/>
      <c r="AC443" s="3934" t="n"/>
      <c r="AD443" s="3934" t="n"/>
      <c r="AE443" s="3934" t="n"/>
      <c r="AF443" s="3934" t="n"/>
      <c r="AG443" s="3934" t="n"/>
      <c r="AH443" s="3934" t="n"/>
      <c r="AI443" s="3934" t="n"/>
      <c r="AJ443" s="3934" t="n"/>
      <c r="AK443" s="3934" t="n"/>
      <c r="AL443" s="3934" t="n"/>
      <c r="AM443" s="3934" t="n"/>
      <c r="AN443" s="3934" t="n"/>
      <c r="AO443" s="3934" t="n"/>
      <c r="AP443" s="3934" t="n"/>
      <c r="AQ443" s="3934" t="n"/>
      <c r="AR443" s="3934" t="n"/>
    </row>
    <row r="444">
      <c r="A444" s="3944" t="n"/>
      <c r="B444" s="3944" t="n"/>
      <c r="C444" s="3944" t="n"/>
      <c r="D444" s="3944" t="n"/>
      <c r="E444" s="3944" t="n"/>
      <c r="F444" s="3944" t="n"/>
      <c r="G444" s="3944" t="n"/>
      <c r="H444" s="3944" t="n"/>
      <c r="I444" s="3944" t="n"/>
      <c r="J444" s="3934" t="n"/>
      <c r="K444" s="3934" t="n"/>
      <c r="L444" s="3934" t="n"/>
      <c r="M444" s="3934" t="n"/>
      <c r="N444" s="3934" t="n"/>
      <c r="O444" s="3934" t="n"/>
      <c r="P444" s="3934" t="n"/>
      <c r="Q444" s="3934" t="n"/>
      <c r="R444" s="3934" t="n"/>
      <c r="S444" s="3934" t="n"/>
      <c r="T444" s="3934" t="n"/>
      <c r="U444" s="3934" t="n"/>
      <c r="V444" s="3934" t="n"/>
      <c r="W444" s="3934" t="n"/>
      <c r="X444" s="3934" t="n"/>
      <c r="Y444" s="3934" t="n"/>
      <c r="Z444" s="3934" t="n"/>
      <c r="AA444" s="3934" t="n"/>
      <c r="AB444" s="3934" t="n"/>
      <c r="AC444" s="3934" t="n"/>
      <c r="AD444" s="3934" t="n"/>
      <c r="AE444" s="3934" t="n"/>
      <c r="AF444" s="3934" t="n"/>
      <c r="AG444" s="3934" t="n"/>
      <c r="AH444" s="3934" t="n"/>
      <c r="AI444" s="3934" t="n"/>
      <c r="AJ444" s="3934" t="n"/>
      <c r="AK444" s="3934" t="n"/>
      <c r="AL444" s="3934" t="n"/>
      <c r="AM444" s="3934" t="n"/>
      <c r="AN444" s="3934" t="n"/>
      <c r="AO444" s="3934" t="n"/>
      <c r="AP444" s="3934" t="n"/>
      <c r="AQ444" s="3934" t="n"/>
      <c r="AR444" s="3934" t="n"/>
    </row>
    <row r="445">
      <c r="A445" s="3944" t="n"/>
      <c r="B445" s="3944" t="n"/>
      <c r="C445" s="3944" t="n"/>
      <c r="D445" s="3944" t="n"/>
      <c r="E445" s="3944" t="n"/>
      <c r="F445" s="3944" t="n"/>
      <c r="G445" s="3944" t="n"/>
      <c r="H445" s="3944" t="n"/>
      <c r="I445" s="3944" t="n"/>
      <c r="J445" s="3934" t="n"/>
      <c r="K445" s="3934" t="n"/>
      <c r="L445" s="3934" t="n"/>
      <c r="M445" s="3934" t="n"/>
      <c r="N445" s="3934" t="n"/>
      <c r="O445" s="3934" t="n"/>
      <c r="P445" s="3934" t="n"/>
      <c r="Q445" s="3934" t="n"/>
      <c r="R445" s="3934" t="n"/>
      <c r="S445" s="3934" t="n"/>
      <c r="T445" s="3934" t="n"/>
      <c r="U445" s="3934" t="n"/>
      <c r="V445" s="3934" t="n"/>
      <c r="W445" s="3934" t="n"/>
      <c r="X445" s="3934" t="n"/>
      <c r="Y445" s="3934" t="n"/>
      <c r="Z445" s="3934" t="n"/>
      <c r="AA445" s="3934" t="n"/>
      <c r="AB445" s="3934" t="n"/>
      <c r="AC445" s="3934" t="n"/>
      <c r="AD445" s="3934" t="n"/>
      <c r="AE445" s="3934" t="n"/>
      <c r="AF445" s="3934" t="n"/>
      <c r="AG445" s="3934" t="n"/>
      <c r="AH445" s="3934" t="n"/>
      <c r="AI445" s="3934" t="n"/>
      <c r="AJ445" s="3934" t="n"/>
      <c r="AK445" s="3934" t="n"/>
      <c r="AL445" s="3934" t="n"/>
      <c r="AM445" s="3934" t="n"/>
      <c r="AN445" s="3934" t="n"/>
      <c r="AO445" s="3934" t="n"/>
      <c r="AP445" s="3934" t="n"/>
      <c r="AQ445" s="3934" t="n"/>
      <c r="AR445" s="3934" t="n"/>
    </row>
    <row r="446">
      <c r="A446" s="3944" t="n"/>
      <c r="B446" s="3944" t="n"/>
      <c r="C446" s="3944" t="n"/>
      <c r="D446" s="3944" t="n"/>
      <c r="E446" s="3944" t="n"/>
      <c r="F446" s="3944" t="n"/>
      <c r="G446" s="3944" t="n"/>
      <c r="H446" s="3944" t="n"/>
      <c r="I446" s="3944" t="n"/>
      <c r="J446" s="3934" t="n"/>
      <c r="K446" s="3934" t="n"/>
      <c r="L446" s="3934" t="n"/>
      <c r="M446" s="3934" t="n"/>
      <c r="N446" s="3934" t="n"/>
      <c r="O446" s="3934" t="n"/>
      <c r="P446" s="3934" t="n"/>
      <c r="Q446" s="3934" t="n"/>
      <c r="R446" s="3934" t="n"/>
      <c r="S446" s="3934" t="n"/>
      <c r="T446" s="3934" t="n"/>
      <c r="U446" s="3934" t="n"/>
      <c r="V446" s="3934" t="n"/>
      <c r="W446" s="3934" t="n"/>
      <c r="X446" s="3934" t="n"/>
      <c r="Y446" s="3934" t="n"/>
      <c r="Z446" s="3934" t="n"/>
      <c r="AA446" s="3934" t="n"/>
      <c r="AB446" s="3934" t="n"/>
      <c r="AC446" s="3934" t="n"/>
      <c r="AD446" s="3934" t="n"/>
      <c r="AE446" s="3934" t="n"/>
      <c r="AF446" s="3934" t="n"/>
      <c r="AG446" s="3934" t="n"/>
      <c r="AH446" s="3934" t="n"/>
      <c r="AI446" s="3934" t="n"/>
      <c r="AJ446" s="3934" t="n"/>
      <c r="AK446" s="3934" t="n"/>
      <c r="AL446" s="3934" t="n"/>
      <c r="AM446" s="3934" t="n"/>
      <c r="AN446" s="3934" t="n"/>
      <c r="AO446" s="3934" t="n"/>
      <c r="AP446" s="3934" t="n"/>
      <c r="AQ446" s="3934" t="n"/>
      <c r="AR446" s="3934" t="n"/>
    </row>
    <row r="447">
      <c r="A447" s="3944" t="n"/>
      <c r="B447" s="3944" t="n"/>
      <c r="C447" s="3944" t="n"/>
      <c r="D447" s="3944" t="n"/>
      <c r="E447" s="3944" t="n"/>
      <c r="F447" s="3944" t="n"/>
      <c r="G447" s="3944" t="n"/>
      <c r="H447" s="3944" t="n"/>
      <c r="I447" s="3944" t="n"/>
      <c r="J447" s="3934" t="n"/>
      <c r="K447" s="3934" t="n"/>
      <c r="L447" s="3934" t="n"/>
      <c r="M447" s="3934" t="n"/>
      <c r="N447" s="3934" t="n"/>
      <c r="O447" s="3934" t="n"/>
      <c r="P447" s="3934" t="n"/>
      <c r="Q447" s="3934" t="n"/>
      <c r="R447" s="3934" t="n"/>
      <c r="S447" s="3934" t="n"/>
      <c r="T447" s="3934" t="n"/>
      <c r="U447" s="3934" t="n"/>
      <c r="V447" s="3934" t="n"/>
      <c r="W447" s="3934" t="n"/>
      <c r="X447" s="3934" t="n"/>
      <c r="Y447" s="3934" t="n"/>
      <c r="Z447" s="3934" t="n"/>
      <c r="AA447" s="3934" t="n"/>
      <c r="AB447" s="3934" t="n"/>
      <c r="AC447" s="3934" t="n"/>
      <c r="AD447" s="3934" t="n"/>
      <c r="AE447" s="3934" t="n"/>
      <c r="AF447" s="3934" t="n"/>
      <c r="AG447" s="3934" t="n"/>
      <c r="AH447" s="3934" t="n"/>
      <c r="AI447" s="3934" t="n"/>
      <c r="AJ447" s="3934" t="n"/>
      <c r="AK447" s="3934" t="n"/>
      <c r="AL447" s="3934" t="n"/>
      <c r="AM447" s="3934" t="n"/>
      <c r="AN447" s="3934" t="n"/>
      <c r="AO447" s="3934" t="n"/>
      <c r="AP447" s="3934" t="n"/>
      <c r="AQ447" s="3934" t="n"/>
      <c r="AR447" s="3934" t="n"/>
    </row>
    <row r="448">
      <c r="A448" s="3944" t="n"/>
      <c r="B448" s="3944" t="n"/>
      <c r="C448" s="3944" t="n"/>
      <c r="D448" s="3944" t="n"/>
      <c r="E448" s="3944" t="n"/>
      <c r="F448" s="3944" t="n"/>
      <c r="G448" s="3944" t="n"/>
      <c r="H448" s="3944" t="n"/>
      <c r="I448" s="3944" t="n"/>
      <c r="J448" s="3934" t="n"/>
      <c r="K448" s="3934" t="n"/>
      <c r="L448" s="3934" t="n"/>
      <c r="M448" s="3934" t="n"/>
      <c r="N448" s="3934" t="n"/>
      <c r="O448" s="3934" t="n"/>
      <c r="P448" s="3934" t="n"/>
      <c r="Q448" s="3934" t="n"/>
      <c r="R448" s="3934" t="n"/>
      <c r="S448" s="3934" t="n"/>
      <c r="T448" s="3934" t="n"/>
      <c r="U448" s="3934" t="n"/>
      <c r="V448" s="3934" t="n"/>
      <c r="W448" s="3934" t="n"/>
      <c r="X448" s="3934" t="n"/>
      <c r="Y448" s="3934" t="n"/>
      <c r="Z448" s="3934" t="n"/>
      <c r="AA448" s="3934" t="n"/>
      <c r="AB448" s="3934" t="n"/>
      <c r="AC448" s="3934" t="n"/>
      <c r="AD448" s="3934" t="n"/>
      <c r="AE448" s="3934" t="n"/>
      <c r="AF448" s="3934" t="n"/>
      <c r="AG448" s="3934" t="n"/>
      <c r="AH448" s="3934" t="n"/>
      <c r="AI448" s="3934" t="n"/>
      <c r="AJ448" s="3934" t="n"/>
      <c r="AK448" s="3934" t="n"/>
      <c r="AL448" s="3934" t="n"/>
      <c r="AM448" s="3934" t="n"/>
      <c r="AN448" s="3934" t="n"/>
      <c r="AO448" s="3934" t="n"/>
      <c r="AP448" s="3934" t="n"/>
      <c r="AQ448" s="3934" t="n"/>
      <c r="AR448" s="3934" t="n"/>
    </row>
    <row r="449">
      <c r="A449" s="3944" t="n"/>
      <c r="B449" s="3944" t="n"/>
      <c r="C449" s="3944" t="n"/>
      <c r="D449" s="3944" t="n"/>
      <c r="E449" s="3944" t="n"/>
      <c r="F449" s="3944" t="n"/>
      <c r="G449" s="3944" t="n"/>
      <c r="H449" s="3944" t="n"/>
      <c r="I449" s="3944" t="n"/>
      <c r="J449" s="3934" t="n"/>
      <c r="K449" s="3934" t="n"/>
      <c r="L449" s="3934" t="n"/>
      <c r="M449" s="3934" t="n"/>
      <c r="N449" s="3934" t="n"/>
      <c r="O449" s="3934" t="n"/>
      <c r="P449" s="3934" t="n"/>
      <c r="Q449" s="3934" t="n"/>
      <c r="R449" s="3934" t="n"/>
      <c r="S449" s="3934" t="n"/>
      <c r="T449" s="3934" t="n"/>
      <c r="U449" s="3934" t="n"/>
      <c r="V449" s="3934" t="n"/>
      <c r="W449" s="3934" t="n"/>
      <c r="X449" s="3934" t="n"/>
      <c r="Y449" s="3934" t="n"/>
      <c r="Z449" s="3934" t="n"/>
      <c r="AA449" s="3934" t="n"/>
      <c r="AB449" s="3934" t="n"/>
      <c r="AC449" s="3934" t="n"/>
      <c r="AD449" s="3934" t="n"/>
      <c r="AE449" s="3934" t="n"/>
      <c r="AF449" s="3934" t="n"/>
      <c r="AG449" s="3934" t="n"/>
      <c r="AH449" s="3934" t="n"/>
      <c r="AI449" s="3934" t="n"/>
      <c r="AJ449" s="3934" t="n"/>
      <c r="AK449" s="3934" t="n"/>
      <c r="AL449" s="3934" t="n"/>
      <c r="AM449" s="3934" t="n"/>
      <c r="AN449" s="3934" t="n"/>
      <c r="AO449" s="3934" t="n"/>
      <c r="AP449" s="3934" t="n"/>
      <c r="AQ449" s="3934" t="n"/>
      <c r="AR449" s="3934" t="n"/>
    </row>
    <row r="450">
      <c r="A450" s="3944" t="n"/>
      <c r="B450" s="3944" t="n"/>
      <c r="C450" s="3944" t="n"/>
      <c r="D450" s="3944" t="n"/>
      <c r="E450" s="3944" t="n"/>
      <c r="F450" s="3944" t="n"/>
      <c r="G450" s="3944" t="n"/>
      <c r="H450" s="3944" t="n"/>
      <c r="I450" s="3944" t="n"/>
      <c r="J450" s="3934" t="n"/>
      <c r="K450" s="3934" t="n"/>
      <c r="L450" s="3934" t="n"/>
      <c r="M450" s="3934" t="n"/>
      <c r="N450" s="3934" t="n"/>
      <c r="O450" s="3934" t="n"/>
      <c r="P450" s="3934" t="n"/>
      <c r="Q450" s="3934" t="n"/>
      <c r="R450" s="3934" t="n"/>
      <c r="S450" s="3934" t="n"/>
      <c r="T450" s="3934" t="n"/>
      <c r="U450" s="3934" t="n"/>
      <c r="V450" s="3934" t="n"/>
      <c r="W450" s="3934" t="n"/>
      <c r="X450" s="3934" t="n"/>
      <c r="Y450" s="3934" t="n"/>
      <c r="Z450" s="3934" t="n"/>
      <c r="AA450" s="3934" t="n"/>
      <c r="AB450" s="3934" t="n"/>
      <c r="AC450" s="3934" t="n"/>
      <c r="AD450" s="3934" t="n"/>
      <c r="AE450" s="3934" t="n"/>
      <c r="AF450" s="3934" t="n"/>
      <c r="AG450" s="3934" t="n"/>
      <c r="AH450" s="3934" t="n"/>
      <c r="AI450" s="3934" t="n"/>
      <c r="AJ450" s="3934" t="n"/>
      <c r="AK450" s="3934" t="n"/>
      <c r="AL450" s="3934" t="n"/>
      <c r="AM450" s="3934" t="n"/>
      <c r="AN450" s="3934" t="n"/>
      <c r="AO450" s="3934" t="n"/>
      <c r="AP450" s="3934" t="n"/>
      <c r="AQ450" s="3934" t="n"/>
      <c r="AR450" s="3934" t="n"/>
    </row>
    <row r="451">
      <c r="A451" s="3944" t="n"/>
      <c r="B451" s="3944" t="n"/>
      <c r="C451" s="3944" t="n"/>
      <c r="D451" s="3944" t="n"/>
      <c r="E451" s="3944" t="n"/>
      <c r="F451" s="3944" t="n"/>
      <c r="G451" s="3944" t="n"/>
      <c r="H451" s="3944" t="n"/>
      <c r="I451" s="3944" t="n"/>
      <c r="J451" s="3934" t="n"/>
      <c r="K451" s="3934" t="n"/>
      <c r="L451" s="3934" t="n"/>
      <c r="M451" s="3934" t="n"/>
      <c r="N451" s="3934" t="n"/>
      <c r="O451" s="3934" t="n"/>
      <c r="P451" s="3934" t="n"/>
      <c r="Q451" s="3934" t="n"/>
      <c r="R451" s="3934" t="n"/>
      <c r="S451" s="3934" t="n"/>
      <c r="T451" s="3934" t="n"/>
      <c r="U451" s="3934" t="n"/>
      <c r="V451" s="3934" t="n"/>
      <c r="W451" s="3934" t="n"/>
      <c r="X451" s="3934" t="n"/>
      <c r="Y451" s="3934" t="n"/>
      <c r="Z451" s="3934" t="n"/>
      <c r="AA451" s="3934" t="n"/>
      <c r="AB451" s="3934" t="n"/>
      <c r="AC451" s="3934" t="n"/>
      <c r="AD451" s="3934" t="n"/>
      <c r="AE451" s="3934" t="n"/>
      <c r="AF451" s="3934" t="n"/>
      <c r="AG451" s="3934" t="n"/>
      <c r="AH451" s="3934" t="n"/>
      <c r="AI451" s="3934" t="n"/>
      <c r="AJ451" s="3934" t="n"/>
      <c r="AK451" s="3934" t="n"/>
      <c r="AL451" s="3934" t="n"/>
      <c r="AM451" s="3934" t="n"/>
      <c r="AN451" s="3934" t="n"/>
      <c r="AO451" s="3934" t="n"/>
      <c r="AP451" s="3934" t="n"/>
      <c r="AQ451" s="3934" t="n"/>
      <c r="AR451" s="3934" t="n"/>
    </row>
    <row r="452">
      <c r="A452" s="3944" t="n"/>
      <c r="B452" s="3944" t="n"/>
      <c r="C452" s="3944" t="n"/>
      <c r="D452" s="3944" t="n"/>
      <c r="E452" s="3944" t="n"/>
      <c r="F452" s="3944" t="n"/>
      <c r="G452" s="3944" t="n"/>
      <c r="H452" s="3944" t="n"/>
      <c r="I452" s="3944" t="n"/>
      <c r="J452" s="3934" t="n"/>
      <c r="K452" s="3934" t="n"/>
      <c r="L452" s="3934" t="n"/>
      <c r="M452" s="3934" t="n"/>
      <c r="N452" s="3934" t="n"/>
      <c r="O452" s="3934" t="n"/>
      <c r="P452" s="3934" t="n"/>
      <c r="Q452" s="3934" t="n"/>
      <c r="R452" s="3934" t="n"/>
      <c r="S452" s="3934" t="n"/>
      <c r="T452" s="3934" t="n"/>
      <c r="U452" s="3934" t="n"/>
      <c r="V452" s="3934" t="n"/>
      <c r="W452" s="3934" t="n"/>
      <c r="X452" s="3934" t="n"/>
      <c r="Y452" s="3934" t="n"/>
      <c r="Z452" s="3934" t="n"/>
      <c r="AA452" s="3934" t="n"/>
      <c r="AB452" s="3934" t="n"/>
      <c r="AC452" s="3934" t="n"/>
      <c r="AD452" s="3934" t="n"/>
      <c r="AE452" s="3934" t="n"/>
      <c r="AF452" s="3934" t="n"/>
      <c r="AG452" s="3934" t="n"/>
      <c r="AH452" s="3934" t="n"/>
      <c r="AI452" s="3934" t="n"/>
      <c r="AJ452" s="3934" t="n"/>
      <c r="AK452" s="3934" t="n"/>
      <c r="AL452" s="3934" t="n"/>
      <c r="AM452" s="3934" t="n"/>
      <c r="AN452" s="3934" t="n"/>
      <c r="AO452" s="3934" t="n"/>
      <c r="AP452" s="3934" t="n"/>
      <c r="AQ452" s="3934" t="n"/>
      <c r="AR452" s="3934" t="n"/>
    </row>
    <row r="453">
      <c r="A453" s="3944" t="n"/>
      <c r="B453" s="3944" t="n"/>
      <c r="C453" s="3944" t="n"/>
      <c r="D453" s="3944" t="n"/>
      <c r="E453" s="3944" t="n"/>
      <c r="F453" s="3944" t="n"/>
      <c r="G453" s="3944" t="n"/>
      <c r="H453" s="3944" t="n"/>
      <c r="I453" s="3944" t="n"/>
      <c r="J453" s="3934" t="n"/>
      <c r="K453" s="3934" t="n"/>
      <c r="L453" s="3934" t="n"/>
      <c r="M453" s="3934" t="n"/>
      <c r="N453" s="3934" t="n"/>
      <c r="O453" s="3934" t="n"/>
      <c r="P453" s="3934" t="n"/>
      <c r="Q453" s="3934" t="n"/>
      <c r="R453" s="3934" t="n"/>
      <c r="S453" s="3934" t="n"/>
      <c r="T453" s="3934" t="n"/>
      <c r="U453" s="3934" t="n"/>
      <c r="V453" s="3934" t="n"/>
      <c r="W453" s="3934" t="n"/>
      <c r="X453" s="3934" t="n"/>
      <c r="Y453" s="3934" t="n"/>
      <c r="Z453" s="3934" t="n"/>
      <c r="AA453" s="3934" t="n"/>
      <c r="AB453" s="3934" t="n"/>
      <c r="AC453" s="3934" t="n"/>
      <c r="AD453" s="3934" t="n"/>
      <c r="AE453" s="3934" t="n"/>
      <c r="AF453" s="3934" t="n"/>
      <c r="AG453" s="3934" t="n"/>
      <c r="AH453" s="3934" t="n"/>
      <c r="AI453" s="3934" t="n"/>
      <c r="AJ453" s="3934" t="n"/>
      <c r="AK453" s="3934" t="n"/>
      <c r="AL453" s="3934" t="n"/>
      <c r="AM453" s="3934" t="n"/>
      <c r="AN453" s="3934" t="n"/>
      <c r="AO453" s="3934" t="n"/>
      <c r="AP453" s="3934" t="n"/>
      <c r="AQ453" s="3934" t="n"/>
      <c r="AR453" s="3934" t="n"/>
    </row>
    <row r="454">
      <c r="A454" s="3944" t="n"/>
      <c r="B454" s="3944" t="n"/>
      <c r="C454" s="3944" t="n"/>
      <c r="D454" s="3944" t="n"/>
      <c r="E454" s="3944" t="n"/>
      <c r="F454" s="3944" t="n"/>
      <c r="G454" s="3944" t="n"/>
      <c r="H454" s="3944" t="n"/>
      <c r="I454" s="3944" t="n"/>
      <c r="J454" s="3934" t="n"/>
      <c r="K454" s="3934" t="n"/>
      <c r="L454" s="3934" t="n"/>
      <c r="M454" s="3934" t="n"/>
      <c r="N454" s="3934" t="n"/>
      <c r="O454" s="3934" t="n"/>
      <c r="P454" s="3934" t="n"/>
      <c r="Q454" s="3934" t="n"/>
      <c r="R454" s="3934" t="n"/>
      <c r="S454" s="3934" t="n"/>
      <c r="T454" s="3934" t="n"/>
      <c r="U454" s="3934" t="n"/>
      <c r="V454" s="3934" t="n"/>
      <c r="W454" s="3934" t="n"/>
      <c r="X454" s="3934" t="n"/>
      <c r="Y454" s="3934" t="n"/>
      <c r="Z454" s="3934" t="n"/>
      <c r="AA454" s="3934" t="n"/>
      <c r="AB454" s="3934" t="n"/>
      <c r="AC454" s="3934" t="n"/>
      <c r="AD454" s="3934" t="n"/>
      <c r="AE454" s="3934" t="n"/>
      <c r="AF454" s="3934" t="n"/>
      <c r="AG454" s="3934" t="n"/>
      <c r="AH454" s="3934" t="n"/>
      <c r="AI454" s="3934" t="n"/>
      <c r="AJ454" s="3934" t="n"/>
      <c r="AK454" s="3934" t="n"/>
      <c r="AL454" s="3934" t="n"/>
      <c r="AM454" s="3934" t="n"/>
      <c r="AN454" s="3934" t="n"/>
      <c r="AO454" s="3934" t="n"/>
      <c r="AP454" s="3934" t="n"/>
      <c r="AQ454" s="3934" t="n"/>
      <c r="AR454" s="3934" t="n"/>
    </row>
    <row r="455">
      <c r="A455" s="3944" t="n"/>
      <c r="B455" s="3944" t="n"/>
      <c r="C455" s="3944" t="n"/>
      <c r="D455" s="3944" t="n"/>
      <c r="E455" s="3944" t="n"/>
      <c r="F455" s="3944" t="n"/>
      <c r="G455" s="3944" t="n"/>
      <c r="H455" s="3944" t="n"/>
      <c r="I455" s="3944" t="n"/>
      <c r="J455" s="3934" t="n"/>
      <c r="K455" s="3934" t="n"/>
      <c r="L455" s="3934" t="n"/>
      <c r="M455" s="3934" t="n"/>
      <c r="N455" s="3934" t="n"/>
      <c r="O455" s="3934" t="n"/>
      <c r="P455" s="3934" t="n"/>
      <c r="Q455" s="3934" t="n"/>
      <c r="R455" s="3934" t="n"/>
      <c r="S455" s="3934" t="n"/>
      <c r="T455" s="3934" t="n"/>
      <c r="U455" s="3934" t="n"/>
      <c r="V455" s="3934" t="n"/>
      <c r="W455" s="3934" t="n"/>
      <c r="X455" s="3934" t="n"/>
      <c r="Y455" s="3934" t="n"/>
      <c r="Z455" s="3934" t="n"/>
      <c r="AA455" s="3934" t="n"/>
      <c r="AB455" s="3934" t="n"/>
      <c r="AC455" s="3934" t="n"/>
      <c r="AD455" s="3934" t="n"/>
      <c r="AE455" s="3934" t="n"/>
      <c r="AF455" s="3934" t="n"/>
      <c r="AG455" s="3934" t="n"/>
      <c r="AH455" s="3934" t="n"/>
      <c r="AI455" s="3934" t="n"/>
      <c r="AJ455" s="3934" t="n"/>
      <c r="AK455" s="3934" t="n"/>
      <c r="AL455" s="3934" t="n"/>
      <c r="AM455" s="3934" t="n"/>
      <c r="AN455" s="3934" t="n"/>
      <c r="AO455" s="3934" t="n"/>
      <c r="AP455" s="3934" t="n"/>
      <c r="AQ455" s="3934" t="n"/>
      <c r="AR455" s="3934" t="n"/>
    </row>
    <row r="456">
      <c r="A456" s="3944" t="n"/>
      <c r="B456" s="3944" t="n"/>
      <c r="C456" s="3944" t="n"/>
      <c r="D456" s="3944" t="n"/>
      <c r="E456" s="3944" t="n"/>
      <c r="F456" s="3944" t="n"/>
      <c r="G456" s="3944" t="n"/>
      <c r="H456" s="3944" t="n"/>
      <c r="I456" s="3944" t="n"/>
      <c r="J456" s="3934" t="n"/>
      <c r="K456" s="3934" t="n"/>
      <c r="L456" s="3934" t="n"/>
      <c r="M456" s="3934" t="n"/>
      <c r="N456" s="3934" t="n"/>
      <c r="O456" s="3934" t="n"/>
      <c r="P456" s="3934" t="n"/>
      <c r="Q456" s="3934" t="n"/>
      <c r="R456" s="3934" t="n"/>
      <c r="S456" s="3934" t="n"/>
      <c r="T456" s="3934" t="n"/>
      <c r="U456" s="3934" t="n"/>
      <c r="V456" s="3934" t="n"/>
      <c r="W456" s="3934" t="n"/>
      <c r="X456" s="3934" t="n"/>
      <c r="Y456" s="3934" t="n"/>
      <c r="Z456" s="3934" t="n"/>
      <c r="AA456" s="3934" t="n"/>
      <c r="AB456" s="3934" t="n"/>
      <c r="AC456" s="3934" t="n"/>
      <c r="AD456" s="3934" t="n"/>
      <c r="AE456" s="3934" t="n"/>
      <c r="AF456" s="3934" t="n"/>
      <c r="AG456" s="3934" t="n"/>
      <c r="AH456" s="3934" t="n"/>
      <c r="AI456" s="3934" t="n"/>
      <c r="AJ456" s="3934" t="n"/>
      <c r="AK456" s="3934" t="n"/>
      <c r="AL456" s="3934" t="n"/>
      <c r="AM456" s="3934" t="n"/>
      <c r="AN456" s="3934" t="n"/>
      <c r="AO456" s="3934" t="n"/>
      <c r="AP456" s="3934" t="n"/>
      <c r="AQ456" s="3934" t="n"/>
      <c r="AR456" s="3934" t="n"/>
    </row>
    <row r="457">
      <c r="A457" s="3944" t="n"/>
      <c r="B457" s="3944" t="n"/>
      <c r="C457" s="3944" t="n"/>
      <c r="D457" s="3944" t="n"/>
      <c r="E457" s="3944" t="n"/>
      <c r="F457" s="3944" t="n"/>
      <c r="G457" s="3944" t="n"/>
      <c r="H457" s="3944" t="n"/>
      <c r="I457" s="3944" t="n"/>
      <c r="J457" s="3934" t="n"/>
      <c r="K457" s="3934" t="n"/>
      <c r="L457" s="3934" t="n"/>
      <c r="M457" s="3934" t="n"/>
      <c r="N457" s="3934" t="n"/>
      <c r="O457" s="3934" t="n"/>
      <c r="P457" s="3934" t="n"/>
      <c r="Q457" s="3934" t="n"/>
      <c r="R457" s="3934" t="n"/>
      <c r="S457" s="3934" t="n"/>
      <c r="T457" s="3934" t="n"/>
      <c r="U457" s="3934" t="n"/>
      <c r="V457" s="3934" t="n"/>
      <c r="W457" s="3934" t="n"/>
      <c r="X457" s="3934" t="n"/>
      <c r="Y457" s="3934" t="n"/>
      <c r="Z457" s="3934" t="n"/>
      <c r="AA457" s="3934" t="n"/>
      <c r="AB457" s="3934" t="n"/>
      <c r="AC457" s="3934" t="n"/>
      <c r="AD457" s="3934" t="n"/>
      <c r="AE457" s="3934" t="n"/>
      <c r="AF457" s="3934" t="n"/>
      <c r="AG457" s="3934" t="n"/>
      <c r="AH457" s="3934" t="n"/>
      <c r="AI457" s="3934" t="n"/>
      <c r="AJ457" s="3934" t="n"/>
      <c r="AK457" s="3934" t="n"/>
      <c r="AL457" s="3934" t="n"/>
      <c r="AM457" s="3934" t="n"/>
      <c r="AN457" s="3934" t="n"/>
      <c r="AO457" s="3934" t="n"/>
      <c r="AP457" s="3934" t="n"/>
      <c r="AQ457" s="3934" t="n"/>
      <c r="AR457" s="3934" t="n"/>
    </row>
    <row r="458">
      <c r="A458" s="3944" t="n"/>
      <c r="B458" s="3944" t="n"/>
      <c r="C458" s="3944" t="n"/>
      <c r="D458" s="3944" t="n"/>
      <c r="E458" s="3944" t="n"/>
      <c r="F458" s="3944" t="n"/>
      <c r="G458" s="3944" t="n"/>
      <c r="H458" s="3944" t="n"/>
      <c r="I458" s="3944" t="n"/>
      <c r="J458" s="3934" t="n"/>
      <c r="K458" s="3934" t="n"/>
      <c r="L458" s="3934" t="n"/>
      <c r="M458" s="3934" t="n"/>
      <c r="N458" s="3934" t="n"/>
      <c r="O458" s="3934" t="n"/>
      <c r="P458" s="3934" t="n"/>
      <c r="Q458" s="3934" t="n"/>
      <c r="R458" s="3934" t="n"/>
      <c r="S458" s="3934" t="n"/>
      <c r="T458" s="3934" t="n"/>
      <c r="U458" s="3934" t="n"/>
      <c r="V458" s="3934" t="n"/>
      <c r="W458" s="3934" t="n"/>
      <c r="X458" s="3934" t="n"/>
      <c r="Y458" s="3934" t="n"/>
      <c r="Z458" s="3934" t="n"/>
      <c r="AA458" s="3934" t="n"/>
      <c r="AB458" s="3934" t="n"/>
      <c r="AC458" s="3934" t="n"/>
      <c r="AD458" s="3934" t="n"/>
      <c r="AE458" s="3934" t="n"/>
      <c r="AF458" s="3934" t="n"/>
      <c r="AG458" s="3934" t="n"/>
      <c r="AH458" s="3934" t="n"/>
      <c r="AI458" s="3934" t="n"/>
      <c r="AJ458" s="3934" t="n"/>
      <c r="AK458" s="3934" t="n"/>
      <c r="AL458" s="3934" t="n"/>
      <c r="AM458" s="3934" t="n"/>
      <c r="AN458" s="3934" t="n"/>
      <c r="AO458" s="3934" t="n"/>
      <c r="AP458" s="3934" t="n"/>
      <c r="AQ458" s="3934" t="n"/>
      <c r="AR458" s="3934" t="n"/>
    </row>
    <row r="459">
      <c r="A459" s="3944" t="n"/>
      <c r="B459" s="3944" t="n"/>
      <c r="C459" s="3944" t="n"/>
      <c r="D459" s="3944" t="n"/>
      <c r="E459" s="3944" t="n"/>
      <c r="F459" s="3944" t="n"/>
      <c r="G459" s="3944" t="n"/>
      <c r="H459" s="3944" t="n"/>
      <c r="I459" s="3944" t="n"/>
      <c r="J459" s="3934" t="n"/>
      <c r="K459" s="3934" t="n"/>
      <c r="L459" s="3934" t="n"/>
      <c r="M459" s="3934" t="n"/>
      <c r="N459" s="3934" t="n"/>
      <c r="O459" s="3934" t="n"/>
      <c r="P459" s="3934" t="n"/>
      <c r="Q459" s="3934" t="n"/>
      <c r="R459" s="3934" t="n"/>
      <c r="S459" s="3934" t="n"/>
      <c r="T459" s="3934" t="n"/>
      <c r="U459" s="3934" t="n"/>
      <c r="V459" s="3934" t="n"/>
      <c r="W459" s="3934" t="n"/>
      <c r="X459" s="3934" t="n"/>
      <c r="Y459" s="3934" t="n"/>
      <c r="Z459" s="3934" t="n"/>
      <c r="AA459" s="3934" t="n"/>
      <c r="AB459" s="3934" t="n"/>
      <c r="AC459" s="3934" t="n"/>
      <c r="AD459" s="3934" t="n"/>
      <c r="AE459" s="3934" t="n"/>
      <c r="AF459" s="3934" t="n"/>
      <c r="AG459" s="3934" t="n"/>
      <c r="AH459" s="3934" t="n"/>
      <c r="AI459" s="3934" t="n"/>
      <c r="AJ459" s="3934" t="n"/>
      <c r="AK459" s="3934" t="n"/>
      <c r="AL459" s="3934" t="n"/>
      <c r="AM459" s="3934" t="n"/>
      <c r="AN459" s="3934" t="n"/>
      <c r="AO459" s="3934" t="n"/>
      <c r="AP459" s="3934" t="n"/>
      <c r="AQ459" s="3934" t="n"/>
      <c r="AR459" s="3934" t="n"/>
    </row>
    <row r="460">
      <c r="A460" s="3944" t="n"/>
      <c r="B460" s="3944" t="n"/>
      <c r="C460" s="3944" t="n"/>
      <c r="D460" s="3944" t="n"/>
      <c r="E460" s="3944" t="n"/>
      <c r="F460" s="3944" t="n"/>
      <c r="G460" s="3944" t="n"/>
      <c r="H460" s="3944" t="n"/>
      <c r="I460" s="3944" t="n"/>
      <c r="J460" s="3934" t="n"/>
      <c r="K460" s="3934" t="n"/>
      <c r="L460" s="3934" t="n"/>
      <c r="M460" s="3934" t="n"/>
      <c r="N460" s="3934" t="n"/>
      <c r="O460" s="3934" t="n"/>
      <c r="P460" s="3934" t="n"/>
      <c r="Q460" s="3934" t="n"/>
      <c r="R460" s="3934" t="n"/>
      <c r="S460" s="3934" t="n"/>
      <c r="T460" s="3934" t="n"/>
      <c r="U460" s="3934" t="n"/>
      <c r="V460" s="3934" t="n"/>
      <c r="W460" s="3934" t="n"/>
      <c r="X460" s="3934" t="n"/>
      <c r="Y460" s="3934" t="n"/>
      <c r="Z460" s="3934" t="n"/>
      <c r="AA460" s="3934" t="n"/>
      <c r="AB460" s="3934" t="n"/>
      <c r="AC460" s="3934" t="n"/>
      <c r="AD460" s="3934" t="n"/>
      <c r="AE460" s="3934" t="n"/>
      <c r="AF460" s="3934" t="n"/>
      <c r="AG460" s="3934" t="n"/>
      <c r="AH460" s="3934" t="n"/>
      <c r="AI460" s="3934" t="n"/>
      <c r="AJ460" s="3934" t="n"/>
      <c r="AK460" s="3934" t="n"/>
      <c r="AL460" s="3934" t="n"/>
      <c r="AM460" s="3934" t="n"/>
      <c r="AN460" s="3934" t="n"/>
      <c r="AO460" s="3934" t="n"/>
      <c r="AP460" s="3934" t="n"/>
      <c r="AQ460" s="3934" t="n"/>
      <c r="AR460" s="3934" t="n"/>
    </row>
    <row r="461">
      <c r="A461" s="3944" t="n"/>
      <c r="B461" s="3944" t="n"/>
      <c r="C461" s="3944" t="n"/>
      <c r="D461" s="3944" t="n"/>
      <c r="E461" s="3944" t="n"/>
      <c r="F461" s="3944" t="n"/>
      <c r="G461" s="3944" t="n"/>
      <c r="H461" s="3944" t="n"/>
      <c r="I461" s="3944" t="n"/>
      <c r="J461" s="3934" t="n"/>
      <c r="K461" s="3934" t="n"/>
      <c r="L461" s="3934" t="n"/>
      <c r="M461" s="3934" t="n"/>
      <c r="N461" s="3934" t="n"/>
      <c r="O461" s="3934" t="n"/>
      <c r="P461" s="3934" t="n"/>
      <c r="Q461" s="3934" t="n"/>
      <c r="R461" s="3934" t="n"/>
      <c r="S461" s="3934" t="n"/>
      <c r="T461" s="3934" t="n"/>
      <c r="U461" s="3934" t="n"/>
      <c r="V461" s="3934" t="n"/>
      <c r="W461" s="3934" t="n"/>
      <c r="X461" s="3934" t="n"/>
      <c r="Y461" s="3934" t="n"/>
      <c r="Z461" s="3934" t="n"/>
      <c r="AA461" s="3934" t="n"/>
      <c r="AB461" s="3934" t="n"/>
      <c r="AC461" s="3934" t="n"/>
      <c r="AD461" s="3934" t="n"/>
      <c r="AE461" s="3934" t="n"/>
      <c r="AF461" s="3934" t="n"/>
      <c r="AG461" s="3934" t="n"/>
      <c r="AH461" s="3934" t="n"/>
      <c r="AI461" s="3934" t="n"/>
      <c r="AJ461" s="3934" t="n"/>
      <c r="AK461" s="3934" t="n"/>
      <c r="AL461" s="3934" t="n"/>
      <c r="AM461" s="3934" t="n"/>
      <c r="AN461" s="3934" t="n"/>
      <c r="AO461" s="3934" t="n"/>
      <c r="AP461" s="3934" t="n"/>
      <c r="AQ461" s="3934" t="n"/>
      <c r="AR461" s="3934" t="n"/>
    </row>
    <row r="462">
      <c r="A462" s="3944" t="n"/>
      <c r="B462" s="3944" t="n"/>
      <c r="C462" s="3944" t="n"/>
      <c r="D462" s="3944" t="n"/>
      <c r="E462" s="3944" t="n"/>
      <c r="F462" s="3944" t="n"/>
      <c r="G462" s="3944" t="n"/>
      <c r="H462" s="3944" t="n"/>
      <c r="I462" s="3944" t="n"/>
      <c r="J462" s="3934" t="n"/>
      <c r="K462" s="3934" t="n"/>
      <c r="L462" s="3934" t="n"/>
      <c r="M462" s="3934" t="n"/>
      <c r="N462" s="3934" t="n"/>
      <c r="O462" s="3934" t="n"/>
      <c r="P462" s="3934" t="n"/>
      <c r="Q462" s="3934" t="n"/>
      <c r="R462" s="3934" t="n"/>
      <c r="S462" s="3934" t="n"/>
      <c r="T462" s="3934" t="n"/>
      <c r="U462" s="3934" t="n"/>
      <c r="V462" s="3934" t="n"/>
      <c r="W462" s="3934" t="n"/>
      <c r="X462" s="3934" t="n"/>
      <c r="Y462" s="3934" t="n"/>
      <c r="Z462" s="3934" t="n"/>
      <c r="AA462" s="3934" t="n"/>
      <c r="AB462" s="3934" t="n"/>
      <c r="AC462" s="3934" t="n"/>
      <c r="AD462" s="3934" t="n"/>
      <c r="AE462" s="3934" t="n"/>
      <c r="AF462" s="3934" t="n"/>
      <c r="AG462" s="3934" t="n"/>
      <c r="AH462" s="3934" t="n"/>
      <c r="AI462" s="3934" t="n"/>
      <c r="AJ462" s="3934" t="n"/>
      <c r="AK462" s="3934" t="n"/>
      <c r="AL462" s="3934" t="n"/>
      <c r="AM462" s="3934" t="n"/>
      <c r="AN462" s="3934" t="n"/>
      <c r="AO462" s="3934" t="n"/>
      <c r="AP462" s="3934" t="n"/>
      <c r="AQ462" s="3934" t="n"/>
      <c r="AR462" s="3934" t="n"/>
    </row>
    <row r="463">
      <c r="A463" s="3944" t="n"/>
      <c r="B463" s="3944" t="n"/>
      <c r="C463" s="3944" t="n"/>
      <c r="D463" s="3944" t="n"/>
      <c r="E463" s="3944" t="n"/>
      <c r="F463" s="3944" t="n"/>
      <c r="G463" s="3944" t="n"/>
      <c r="H463" s="3944" t="n"/>
      <c r="I463" s="3944" t="n"/>
      <c r="J463" s="3934" t="n"/>
      <c r="K463" s="3934" t="n"/>
      <c r="L463" s="3934" t="n"/>
      <c r="M463" s="3934" t="n"/>
      <c r="N463" s="3934" t="n"/>
      <c r="O463" s="3934" t="n"/>
      <c r="P463" s="3934" t="n"/>
      <c r="Q463" s="3934" t="n"/>
      <c r="R463" s="3934" t="n"/>
      <c r="S463" s="3934" t="n"/>
      <c r="T463" s="3934" t="n"/>
      <c r="U463" s="3934" t="n"/>
      <c r="V463" s="3934" t="n"/>
      <c r="W463" s="3934" t="n"/>
      <c r="X463" s="3934" t="n"/>
      <c r="Y463" s="3934" t="n"/>
      <c r="Z463" s="3934" t="n"/>
      <c r="AA463" s="3934" t="n"/>
      <c r="AB463" s="3934" t="n"/>
      <c r="AC463" s="3934" t="n"/>
      <c r="AD463" s="3934" t="n"/>
      <c r="AE463" s="3934" t="n"/>
      <c r="AF463" s="3934" t="n"/>
      <c r="AG463" s="3934" t="n"/>
      <c r="AH463" s="3934" t="n"/>
      <c r="AI463" s="3934" t="n"/>
      <c r="AJ463" s="3934" t="n"/>
      <c r="AK463" s="3934" t="n"/>
      <c r="AL463" s="3934" t="n"/>
      <c r="AM463" s="3934" t="n"/>
      <c r="AN463" s="3934" t="n"/>
      <c r="AO463" s="3934" t="n"/>
      <c r="AP463" s="3934" t="n"/>
      <c r="AQ463" s="3934" t="n"/>
      <c r="AR463" s="3934" t="n"/>
    </row>
    <row r="464">
      <c r="A464" s="3944" t="n"/>
      <c r="B464" s="3944" t="n"/>
      <c r="C464" s="3944" t="n"/>
      <c r="D464" s="3944" t="n"/>
      <c r="E464" s="3944" t="n"/>
      <c r="F464" s="3944" t="n"/>
      <c r="G464" s="3944" t="n"/>
      <c r="H464" s="3944" t="n"/>
      <c r="I464" s="3944" t="n"/>
      <c r="J464" s="3934" t="n"/>
      <c r="K464" s="3934" t="n"/>
      <c r="L464" s="3934" t="n"/>
      <c r="M464" s="3934" t="n"/>
      <c r="N464" s="3934" t="n"/>
      <c r="O464" s="3934" t="n"/>
      <c r="P464" s="3934" t="n"/>
      <c r="Q464" s="3934" t="n"/>
      <c r="R464" s="3934" t="n"/>
      <c r="S464" s="3934" t="n"/>
      <c r="T464" s="3934" t="n"/>
      <c r="U464" s="3934" t="n"/>
      <c r="V464" s="3934" t="n"/>
      <c r="W464" s="3934" t="n"/>
      <c r="X464" s="3934" t="n"/>
      <c r="Y464" s="3934" t="n"/>
      <c r="Z464" s="3934" t="n"/>
      <c r="AA464" s="3934" t="n"/>
      <c r="AB464" s="3934" t="n"/>
      <c r="AC464" s="3934" t="n"/>
      <c r="AD464" s="3934" t="n"/>
      <c r="AE464" s="3934" t="n"/>
      <c r="AF464" s="3934" t="n"/>
      <c r="AG464" s="3934" t="n"/>
      <c r="AH464" s="3934" t="n"/>
      <c r="AI464" s="3934" t="n"/>
      <c r="AJ464" s="3934" t="n"/>
      <c r="AK464" s="3934" t="n"/>
      <c r="AL464" s="3934" t="n"/>
      <c r="AM464" s="3934" t="n"/>
      <c r="AN464" s="3934" t="n"/>
      <c r="AO464" s="3934" t="n"/>
      <c r="AP464" s="3934" t="n"/>
      <c r="AQ464" s="3934" t="n"/>
      <c r="AR464" s="3934" t="n"/>
    </row>
    <row r="465">
      <c r="A465" s="3944" t="n"/>
      <c r="B465" s="3944" t="n"/>
      <c r="C465" s="3944" t="n"/>
      <c r="D465" s="3944" t="n"/>
      <c r="E465" s="3944" t="n"/>
      <c r="F465" s="3944" t="n"/>
      <c r="G465" s="3944" t="n"/>
      <c r="H465" s="3944" t="n"/>
      <c r="I465" s="3944" t="n"/>
      <c r="J465" s="3934" t="n"/>
      <c r="K465" s="3934" t="n"/>
      <c r="L465" s="3934" t="n"/>
      <c r="M465" s="3934" t="n"/>
      <c r="N465" s="3934" t="n"/>
      <c r="O465" s="3934" t="n"/>
      <c r="P465" s="3934" t="n"/>
      <c r="Q465" s="3934" t="n"/>
      <c r="R465" s="3934" t="n"/>
      <c r="S465" s="3934" t="n"/>
      <c r="T465" s="3934" t="n"/>
      <c r="U465" s="3934" t="n"/>
      <c r="V465" s="3934" t="n"/>
      <c r="W465" s="3934" t="n"/>
      <c r="X465" s="3934" t="n"/>
      <c r="Y465" s="3934" t="n"/>
      <c r="Z465" s="3934" t="n"/>
      <c r="AA465" s="3934" t="n"/>
      <c r="AB465" s="3934" t="n"/>
      <c r="AC465" s="3934" t="n"/>
      <c r="AD465" s="3934" t="n"/>
      <c r="AE465" s="3934" t="n"/>
      <c r="AF465" s="3934" t="n"/>
      <c r="AG465" s="3934" t="n"/>
      <c r="AH465" s="3934" t="n"/>
      <c r="AI465" s="3934" t="n"/>
      <c r="AJ465" s="3934" t="n"/>
      <c r="AK465" s="3934" t="n"/>
      <c r="AL465" s="3934" t="n"/>
      <c r="AM465" s="3934" t="n"/>
      <c r="AN465" s="3934" t="n"/>
      <c r="AO465" s="3934" t="n"/>
      <c r="AP465" s="3934" t="n"/>
      <c r="AQ465" s="3934" t="n"/>
      <c r="AR465" s="3934" t="n"/>
    </row>
    <row r="466">
      <c r="A466" s="3944" t="n"/>
      <c r="B466" s="3944" t="n"/>
      <c r="C466" s="3944" t="n"/>
      <c r="D466" s="3944" t="n"/>
      <c r="E466" s="3944" t="n"/>
      <c r="F466" s="3944" t="n"/>
      <c r="G466" s="3944" t="n"/>
      <c r="H466" s="3944" t="n"/>
      <c r="I466" s="3944" t="n"/>
      <c r="J466" s="3934" t="n"/>
      <c r="K466" s="3934" t="n"/>
      <c r="L466" s="3934" t="n"/>
      <c r="M466" s="3934" t="n"/>
      <c r="N466" s="3934" t="n"/>
      <c r="O466" s="3934" t="n"/>
      <c r="P466" s="3934" t="n"/>
      <c r="Q466" s="3934" t="n"/>
      <c r="R466" s="3934" t="n"/>
      <c r="S466" s="3934" t="n"/>
      <c r="T466" s="3934" t="n"/>
      <c r="U466" s="3934" t="n"/>
      <c r="V466" s="3934" t="n"/>
      <c r="W466" s="3934" t="n"/>
      <c r="X466" s="3934" t="n"/>
      <c r="Y466" s="3934" t="n"/>
      <c r="Z466" s="3934" t="n"/>
      <c r="AA466" s="3934" t="n"/>
      <c r="AB466" s="3934" t="n"/>
      <c r="AC466" s="3934" t="n"/>
      <c r="AD466" s="3934" t="n"/>
      <c r="AE466" s="3934" t="n"/>
      <c r="AF466" s="3934" t="n"/>
      <c r="AG466" s="3934" t="n"/>
      <c r="AH466" s="3934" t="n"/>
      <c r="AI466" s="3934" t="n"/>
      <c r="AJ466" s="3934" t="n"/>
      <c r="AK466" s="3934" t="n"/>
      <c r="AL466" s="3934" t="n"/>
      <c r="AM466" s="3934" t="n"/>
      <c r="AN466" s="3934" t="n"/>
      <c r="AO466" s="3934" t="n"/>
      <c r="AP466" s="3934" t="n"/>
      <c r="AQ466" s="3934" t="n"/>
      <c r="AR466" s="3934" t="n"/>
    </row>
    <row r="467">
      <c r="A467" s="3944" t="n"/>
      <c r="B467" s="3944" t="n"/>
      <c r="C467" s="3944" t="n"/>
      <c r="D467" s="3944" t="n"/>
      <c r="E467" s="3944" t="n"/>
      <c r="F467" s="3944" t="n"/>
      <c r="G467" s="3944" t="n"/>
      <c r="H467" s="3944" t="n"/>
      <c r="I467" s="3944" t="n"/>
      <c r="J467" s="3934" t="n"/>
      <c r="K467" s="3934" t="n"/>
      <c r="L467" s="3934" t="n"/>
      <c r="M467" s="3934" t="n"/>
      <c r="N467" s="3934" t="n"/>
      <c r="O467" s="3934" t="n"/>
      <c r="P467" s="3934" t="n"/>
      <c r="Q467" s="3934" t="n"/>
      <c r="R467" s="3934" t="n"/>
      <c r="S467" s="3934" t="n"/>
      <c r="T467" s="3934" t="n"/>
      <c r="U467" s="3934" t="n"/>
      <c r="V467" s="3934" t="n"/>
      <c r="W467" s="3934" t="n"/>
      <c r="X467" s="3934" t="n"/>
      <c r="Y467" s="3934" t="n"/>
      <c r="Z467" s="3934" t="n"/>
      <c r="AA467" s="3934" t="n"/>
      <c r="AB467" s="3934" t="n"/>
      <c r="AC467" s="3934" t="n"/>
      <c r="AD467" s="3934" t="n"/>
      <c r="AE467" s="3934" t="n"/>
      <c r="AF467" s="3934" t="n"/>
      <c r="AG467" s="3934" t="n"/>
      <c r="AH467" s="3934" t="n"/>
      <c r="AI467" s="3934" t="n"/>
      <c r="AJ467" s="3934" t="n"/>
      <c r="AK467" s="3934" t="n"/>
      <c r="AL467" s="3934" t="n"/>
      <c r="AM467" s="3934" t="n"/>
      <c r="AN467" s="3934" t="n"/>
      <c r="AO467" s="3934" t="n"/>
      <c r="AP467" s="3934" t="n"/>
      <c r="AQ467" s="3934" t="n"/>
      <c r="AR467" s="3934" t="n"/>
    </row>
    <row r="468">
      <c r="A468" s="3944" t="n"/>
      <c r="B468" s="3944" t="n"/>
      <c r="C468" s="3944" t="n"/>
      <c r="D468" s="3944" t="n"/>
      <c r="E468" s="3944" t="n"/>
      <c r="F468" s="3944" t="n"/>
      <c r="G468" s="3944" t="n"/>
      <c r="H468" s="3944" t="n"/>
      <c r="I468" s="3944" t="n"/>
      <c r="J468" s="3934" t="n"/>
      <c r="K468" s="3934" t="n"/>
      <c r="L468" s="3934" t="n"/>
      <c r="M468" s="3934" t="n"/>
      <c r="N468" s="3934" t="n"/>
      <c r="O468" s="3934" t="n"/>
      <c r="P468" s="3934" t="n"/>
      <c r="Q468" s="3934" t="n"/>
      <c r="R468" s="3934" t="n"/>
      <c r="S468" s="3934" t="n"/>
      <c r="T468" s="3934" t="n"/>
      <c r="U468" s="3934" t="n"/>
      <c r="V468" s="3934" t="n"/>
      <c r="W468" s="3934" t="n"/>
      <c r="X468" s="3934" t="n"/>
      <c r="Y468" s="3934" t="n"/>
      <c r="Z468" s="3934" t="n"/>
      <c r="AA468" s="3934" t="n"/>
      <c r="AB468" s="3934" t="n"/>
      <c r="AC468" s="3934" t="n"/>
      <c r="AD468" s="3934" t="n"/>
      <c r="AE468" s="3934" t="n"/>
      <c r="AF468" s="3934" t="n"/>
      <c r="AG468" s="3934" t="n"/>
      <c r="AH468" s="3934" t="n"/>
      <c r="AI468" s="3934" t="n"/>
      <c r="AJ468" s="3934" t="n"/>
      <c r="AK468" s="3934" t="n"/>
      <c r="AL468" s="3934" t="n"/>
      <c r="AM468" s="3934" t="n"/>
      <c r="AN468" s="3934" t="n"/>
      <c r="AO468" s="3934" t="n"/>
      <c r="AP468" s="3934" t="n"/>
      <c r="AQ468" s="3934" t="n"/>
      <c r="AR468" s="3934" t="n"/>
    </row>
    <row r="469">
      <c r="A469" s="3944" t="n"/>
      <c r="B469" s="3944" t="n"/>
      <c r="C469" s="3944" t="n"/>
      <c r="D469" s="3944" t="n"/>
      <c r="E469" s="3944" t="n"/>
      <c r="F469" s="3944" t="n"/>
      <c r="G469" s="3944" t="n"/>
      <c r="H469" s="3944" t="n"/>
      <c r="I469" s="3944" t="n"/>
      <c r="J469" s="3934" t="n"/>
      <c r="K469" s="3934" t="n"/>
      <c r="L469" s="3934" t="n"/>
      <c r="M469" s="3934" t="n"/>
      <c r="N469" s="3934" t="n"/>
      <c r="O469" s="3934" t="n"/>
      <c r="P469" s="3934" t="n"/>
      <c r="Q469" s="3934" t="n"/>
      <c r="R469" s="3934" t="n"/>
      <c r="S469" s="3934" t="n"/>
      <c r="T469" s="3934" t="n"/>
      <c r="U469" s="3934" t="n"/>
      <c r="V469" s="3934" t="n"/>
      <c r="W469" s="3934" t="n"/>
      <c r="X469" s="3934" t="n"/>
      <c r="Y469" s="3934" t="n"/>
      <c r="Z469" s="3934" t="n"/>
      <c r="AA469" s="3934" t="n"/>
      <c r="AB469" s="3934" t="n"/>
      <c r="AC469" s="3934" t="n"/>
      <c r="AD469" s="3934" t="n"/>
      <c r="AE469" s="3934" t="n"/>
      <c r="AF469" s="3934" t="n"/>
      <c r="AG469" s="3934" t="n"/>
      <c r="AH469" s="3934" t="n"/>
      <c r="AI469" s="3934" t="n"/>
      <c r="AJ469" s="3934" t="n"/>
      <c r="AK469" s="3934" t="n"/>
      <c r="AL469" s="3934" t="n"/>
      <c r="AM469" s="3934" t="n"/>
      <c r="AN469" s="3934" t="n"/>
      <c r="AO469" s="3934" t="n"/>
      <c r="AP469" s="3934" t="n"/>
      <c r="AQ469" s="3934" t="n"/>
      <c r="AR469" s="3934" t="n"/>
    </row>
    <row r="470">
      <c r="A470" s="3944" t="n"/>
      <c r="B470" s="3944" t="n"/>
      <c r="C470" s="3944" t="n"/>
      <c r="D470" s="3944" t="n"/>
      <c r="E470" s="3944" t="n"/>
      <c r="F470" s="3944" t="n"/>
      <c r="G470" s="3944" t="n"/>
      <c r="H470" s="3944" t="n"/>
      <c r="I470" s="3944" t="n"/>
      <c r="J470" s="3934" t="n"/>
      <c r="K470" s="3934" t="n"/>
      <c r="L470" s="3934" t="n"/>
      <c r="M470" s="3934" t="n"/>
      <c r="N470" s="3934" t="n"/>
      <c r="O470" s="3934" t="n"/>
      <c r="P470" s="3934" t="n"/>
      <c r="Q470" s="3934" t="n"/>
      <c r="R470" s="3934" t="n"/>
      <c r="S470" s="3934" t="n"/>
      <c r="T470" s="3934" t="n"/>
      <c r="U470" s="3934" t="n"/>
      <c r="V470" s="3934" t="n"/>
      <c r="W470" s="3934" t="n"/>
      <c r="X470" s="3934" t="n"/>
      <c r="Y470" s="3934" t="n"/>
      <c r="Z470" s="3934" t="n"/>
      <c r="AA470" s="3934" t="n"/>
      <c r="AB470" s="3934" t="n"/>
      <c r="AC470" s="3934" t="n"/>
      <c r="AD470" s="3934" t="n"/>
      <c r="AE470" s="3934" t="n"/>
      <c r="AF470" s="3934" t="n"/>
      <c r="AG470" s="3934" t="n"/>
      <c r="AH470" s="3934" t="n"/>
      <c r="AI470" s="3934" t="n"/>
      <c r="AJ470" s="3934" t="n"/>
      <c r="AK470" s="3934" t="n"/>
      <c r="AL470" s="3934" t="n"/>
      <c r="AM470" s="3934" t="n"/>
      <c r="AN470" s="3934" t="n"/>
      <c r="AO470" s="3934" t="n"/>
      <c r="AP470" s="3934" t="n"/>
      <c r="AQ470" s="3934" t="n"/>
      <c r="AR470" s="3934" t="n"/>
    </row>
    <row r="471">
      <c r="A471" s="3944" t="n"/>
      <c r="B471" s="3944" t="n"/>
      <c r="C471" s="3944" t="n"/>
      <c r="D471" s="3944" t="n"/>
      <c r="E471" s="3944" t="n"/>
      <c r="F471" s="3944" t="n"/>
      <c r="G471" s="3944" t="n"/>
      <c r="H471" s="3944" t="n"/>
      <c r="I471" s="3944" t="n"/>
      <c r="J471" s="3934" t="n"/>
      <c r="K471" s="3934" t="n"/>
      <c r="L471" s="3934" t="n"/>
      <c r="M471" s="3934" t="n"/>
      <c r="N471" s="3934" t="n"/>
      <c r="O471" s="3934" t="n"/>
      <c r="P471" s="3934" t="n"/>
      <c r="Q471" s="3934" t="n"/>
      <c r="R471" s="3934" t="n"/>
      <c r="S471" s="3934" t="n"/>
      <c r="T471" s="3934" t="n"/>
      <c r="U471" s="3934" t="n"/>
      <c r="V471" s="3934" t="n"/>
      <c r="W471" s="3934" t="n"/>
      <c r="X471" s="3934" t="n"/>
      <c r="Y471" s="3934" t="n"/>
      <c r="Z471" s="3934" t="n"/>
      <c r="AA471" s="3934" t="n"/>
      <c r="AB471" s="3934" t="n"/>
      <c r="AC471" s="3934" t="n"/>
      <c r="AD471" s="3934" t="n"/>
      <c r="AE471" s="3934" t="n"/>
      <c r="AF471" s="3934" t="n"/>
      <c r="AG471" s="3934" t="n"/>
      <c r="AH471" s="3934" t="n"/>
      <c r="AI471" s="3934" t="n"/>
      <c r="AJ471" s="3934" t="n"/>
      <c r="AK471" s="3934" t="n"/>
      <c r="AL471" s="3934" t="n"/>
      <c r="AM471" s="3934" t="n"/>
      <c r="AN471" s="3934" t="n"/>
      <c r="AO471" s="3934" t="n"/>
      <c r="AP471" s="3934" t="n"/>
      <c r="AQ471" s="3934" t="n"/>
      <c r="AR471" s="3934" t="n"/>
    </row>
    <row r="472">
      <c r="A472" s="3944" t="n"/>
      <c r="B472" s="3944" t="n"/>
      <c r="C472" s="3944" t="n"/>
      <c r="D472" s="3944" t="n"/>
      <c r="E472" s="3944" t="n"/>
      <c r="F472" s="3944" t="n"/>
      <c r="G472" s="3944" t="n"/>
      <c r="H472" s="3944" t="n"/>
      <c r="I472" s="3944" t="n"/>
      <c r="J472" s="3934" t="n"/>
      <c r="K472" s="3934" t="n"/>
      <c r="L472" s="3934" t="n"/>
      <c r="M472" s="3934" t="n"/>
      <c r="N472" s="3934" t="n"/>
      <c r="O472" s="3934" t="n"/>
      <c r="P472" s="3934" t="n"/>
      <c r="Q472" s="3934" t="n"/>
      <c r="R472" s="3934" t="n"/>
      <c r="S472" s="3934" t="n"/>
      <c r="T472" s="3934" t="n"/>
      <c r="U472" s="3934" t="n"/>
      <c r="V472" s="3934" t="n"/>
      <c r="W472" s="3934" t="n"/>
      <c r="X472" s="3934" t="n"/>
      <c r="Y472" s="3934" t="n"/>
      <c r="Z472" s="3934" t="n"/>
      <c r="AA472" s="3934" t="n"/>
      <c r="AB472" s="3934" t="n"/>
      <c r="AC472" s="3934" t="n"/>
      <c r="AD472" s="3934" t="n"/>
      <c r="AE472" s="3934" t="n"/>
      <c r="AF472" s="3934" t="n"/>
      <c r="AG472" s="3934" t="n"/>
      <c r="AH472" s="3934" t="n"/>
      <c r="AI472" s="3934" t="n"/>
      <c r="AJ472" s="3934" t="n"/>
      <c r="AK472" s="3934" t="n"/>
      <c r="AL472" s="3934" t="n"/>
      <c r="AM472" s="3934" t="n"/>
      <c r="AN472" s="3934" t="n"/>
      <c r="AO472" s="3934" t="n"/>
      <c r="AP472" s="3934" t="n"/>
      <c r="AQ472" s="3934" t="n"/>
      <c r="AR472" s="3934" t="n"/>
    </row>
    <row r="473">
      <c r="A473" s="3944" t="n"/>
      <c r="B473" s="3944" t="n"/>
      <c r="C473" s="3944" t="n"/>
      <c r="D473" s="3944" t="n"/>
      <c r="E473" s="3944" t="n"/>
      <c r="F473" s="3944" t="n"/>
      <c r="G473" s="3944" t="n"/>
      <c r="H473" s="3944" t="n"/>
      <c r="I473" s="3944" t="n"/>
      <c r="J473" s="3934" t="n"/>
      <c r="K473" s="3934" t="n"/>
      <c r="L473" s="3934" t="n"/>
      <c r="M473" s="3934" t="n"/>
      <c r="N473" s="3934" t="n"/>
      <c r="O473" s="3934" t="n"/>
      <c r="P473" s="3934" t="n"/>
      <c r="Q473" s="3934" t="n"/>
      <c r="R473" s="3934" t="n"/>
      <c r="S473" s="3934" t="n"/>
      <c r="T473" s="3934" t="n"/>
      <c r="U473" s="3934" t="n"/>
      <c r="V473" s="3934" t="n"/>
      <c r="W473" s="3934" t="n"/>
      <c r="X473" s="3934" t="n"/>
      <c r="Y473" s="3934" t="n"/>
      <c r="Z473" s="3934" t="n"/>
      <c r="AA473" s="3934" t="n"/>
      <c r="AB473" s="3934" t="n"/>
      <c r="AC473" s="3934" t="n"/>
      <c r="AD473" s="3934" t="n"/>
      <c r="AE473" s="3934" t="n"/>
      <c r="AF473" s="3934" t="n"/>
      <c r="AG473" s="3934" t="n"/>
      <c r="AH473" s="3934" t="n"/>
      <c r="AI473" s="3934" t="n"/>
      <c r="AJ473" s="3934" t="n"/>
      <c r="AK473" s="3934" t="n"/>
      <c r="AL473" s="3934" t="n"/>
      <c r="AM473" s="3934" t="n"/>
      <c r="AN473" s="3934" t="n"/>
      <c r="AO473" s="3934" t="n"/>
      <c r="AP473" s="3934" t="n"/>
      <c r="AQ473" s="3934" t="n"/>
      <c r="AR473" s="3934" t="n"/>
    </row>
    <row r="474">
      <c r="A474" s="3944" t="n"/>
      <c r="B474" s="3944" t="n"/>
      <c r="C474" s="3944" t="n"/>
      <c r="D474" s="3944" t="n"/>
      <c r="E474" s="3944" t="n"/>
      <c r="F474" s="3944" t="n"/>
      <c r="G474" s="3944" t="n"/>
      <c r="H474" s="3944" t="n"/>
      <c r="I474" s="3944" t="n"/>
      <c r="J474" s="3934" t="n"/>
      <c r="K474" s="3934" t="n"/>
      <c r="L474" s="3934" t="n"/>
      <c r="M474" s="3934" t="n"/>
      <c r="N474" s="3934" t="n"/>
      <c r="O474" s="3934" t="n"/>
      <c r="P474" s="3934" t="n"/>
      <c r="Q474" s="3934" t="n"/>
      <c r="R474" s="3934" t="n"/>
      <c r="S474" s="3934" t="n"/>
      <c r="T474" s="3934" t="n"/>
      <c r="U474" s="3934" t="n"/>
      <c r="V474" s="3934" t="n"/>
      <c r="W474" s="3934" t="n"/>
      <c r="X474" s="3934" t="n"/>
      <c r="Y474" s="3934" t="n"/>
      <c r="Z474" s="3934" t="n"/>
      <c r="AA474" s="3934" t="n"/>
      <c r="AB474" s="3934" t="n"/>
      <c r="AC474" s="3934" t="n"/>
      <c r="AD474" s="3934" t="n"/>
      <c r="AE474" s="3934" t="n"/>
      <c r="AF474" s="3934" t="n"/>
      <c r="AG474" s="3934" t="n"/>
      <c r="AH474" s="3934" t="n"/>
      <c r="AI474" s="3934" t="n"/>
      <c r="AJ474" s="3934" t="n"/>
      <c r="AK474" s="3934" t="n"/>
      <c r="AL474" s="3934" t="n"/>
      <c r="AM474" s="3934" t="n"/>
      <c r="AN474" s="3934" t="n"/>
      <c r="AO474" s="3934" t="n"/>
      <c r="AP474" s="3934" t="n"/>
      <c r="AQ474" s="3934" t="n"/>
      <c r="AR474" s="3934" t="n"/>
    </row>
    <row r="475">
      <c r="A475" s="3944" t="n"/>
      <c r="B475" s="3944" t="n"/>
      <c r="C475" s="3944" t="n"/>
      <c r="D475" s="3944" t="n"/>
      <c r="E475" s="3944" t="n"/>
      <c r="F475" s="3944" t="n"/>
      <c r="G475" s="3944" t="n"/>
      <c r="H475" s="3944" t="n"/>
      <c r="I475" s="3944" t="n"/>
      <c r="J475" s="3934" t="n"/>
      <c r="K475" s="3934" t="n"/>
      <c r="L475" s="3934" t="n"/>
      <c r="M475" s="3934" t="n"/>
      <c r="N475" s="3934" t="n"/>
      <c r="O475" s="3934" t="n"/>
      <c r="P475" s="3934" t="n"/>
      <c r="Q475" s="3934" t="n"/>
      <c r="R475" s="3934" t="n"/>
      <c r="S475" s="3934" t="n"/>
      <c r="T475" s="3934" t="n"/>
      <c r="U475" s="3934" t="n"/>
      <c r="V475" s="3934" t="n"/>
      <c r="W475" s="3934" t="n"/>
      <c r="X475" s="3934" t="n"/>
      <c r="Y475" s="3934" t="n"/>
      <c r="Z475" s="3934" t="n"/>
      <c r="AA475" s="3934" t="n"/>
      <c r="AB475" s="3934" t="n"/>
      <c r="AC475" s="3934" t="n"/>
      <c r="AD475" s="3934" t="n"/>
      <c r="AE475" s="3934" t="n"/>
      <c r="AF475" s="3934" t="n"/>
      <c r="AG475" s="3934" t="n"/>
      <c r="AH475" s="3934" t="n"/>
      <c r="AI475" s="3934" t="n"/>
      <c r="AJ475" s="3934" t="n"/>
      <c r="AK475" s="3934" t="n"/>
      <c r="AL475" s="3934" t="n"/>
      <c r="AM475" s="3934" t="n"/>
      <c r="AN475" s="3934" t="n"/>
      <c r="AO475" s="3934" t="n"/>
      <c r="AP475" s="3934" t="n"/>
      <c r="AQ475" s="3934" t="n"/>
      <c r="AR475" s="3934" t="n"/>
    </row>
    <row r="476">
      <c r="A476" s="3944" t="n"/>
      <c r="B476" s="3944" t="n"/>
      <c r="C476" s="3944" t="n"/>
      <c r="D476" s="3944" t="n"/>
      <c r="E476" s="3944" t="n"/>
      <c r="F476" s="3944" t="n"/>
      <c r="G476" s="3944" t="n"/>
      <c r="H476" s="3944" t="n"/>
      <c r="I476" s="3944" t="n"/>
      <c r="J476" s="3934" t="n"/>
      <c r="K476" s="3934" t="n"/>
      <c r="L476" s="3934" t="n"/>
      <c r="M476" s="3934" t="n"/>
      <c r="N476" s="3934" t="n"/>
      <c r="O476" s="3934" t="n"/>
      <c r="P476" s="3934" t="n"/>
      <c r="Q476" s="3934" t="n"/>
      <c r="R476" s="3934" t="n"/>
      <c r="S476" s="3934" t="n"/>
      <c r="T476" s="3934" t="n"/>
      <c r="U476" s="3934" t="n"/>
      <c r="V476" s="3934" t="n"/>
      <c r="W476" s="3934" t="n"/>
      <c r="X476" s="3934" t="n"/>
      <c r="Y476" s="3934" t="n"/>
      <c r="Z476" s="3934" t="n"/>
      <c r="AA476" s="3934" t="n"/>
      <c r="AB476" s="3934" t="n"/>
      <c r="AC476" s="3934" t="n"/>
      <c r="AD476" s="3934" t="n"/>
      <c r="AE476" s="3934" t="n"/>
      <c r="AF476" s="3934" t="n"/>
      <c r="AG476" s="3934" t="n"/>
      <c r="AH476" s="3934" t="n"/>
      <c r="AI476" s="3934" t="n"/>
      <c r="AJ476" s="3934" t="n"/>
      <c r="AK476" s="3934" t="n"/>
      <c r="AL476" s="3934" t="n"/>
      <c r="AM476" s="3934" t="n"/>
      <c r="AN476" s="3934" t="n"/>
      <c r="AO476" s="3934" t="n"/>
      <c r="AP476" s="3934" t="n"/>
      <c r="AQ476" s="3934" t="n"/>
      <c r="AR476" s="3934" t="n"/>
    </row>
    <row r="477">
      <c r="A477" s="3944" t="n"/>
      <c r="B477" s="3944" t="n"/>
      <c r="C477" s="3944" t="n"/>
      <c r="D477" s="3944" t="n"/>
      <c r="E477" s="3944" t="n"/>
      <c r="F477" s="3944" t="n"/>
      <c r="G477" s="3944" t="n"/>
      <c r="H477" s="3944" t="n"/>
      <c r="I477" s="3944" t="n"/>
      <c r="J477" s="3934" t="n"/>
      <c r="K477" s="3934" t="n"/>
      <c r="L477" s="3934" t="n"/>
      <c r="M477" s="3934" t="n"/>
      <c r="N477" s="3934" t="n"/>
      <c r="O477" s="3934" t="n"/>
      <c r="P477" s="3934" t="n"/>
      <c r="Q477" s="3934" t="n"/>
      <c r="R477" s="3934" t="n"/>
      <c r="S477" s="3934" t="n"/>
      <c r="T477" s="3934" t="n"/>
      <c r="U477" s="3934" t="n"/>
      <c r="V477" s="3934" t="n"/>
      <c r="W477" s="3934" t="n"/>
      <c r="X477" s="3934" t="n"/>
      <c r="Y477" s="3934" t="n"/>
      <c r="Z477" s="3934" t="n"/>
      <c r="AA477" s="3934" t="n"/>
      <c r="AB477" s="3934" t="n"/>
      <c r="AC477" s="3934" t="n"/>
      <c r="AD477" s="3934" t="n"/>
      <c r="AE477" s="3934" t="n"/>
      <c r="AF477" s="3934" t="n"/>
      <c r="AG477" s="3934" t="n"/>
      <c r="AH477" s="3934" t="n"/>
      <c r="AI477" s="3934" t="n"/>
      <c r="AJ477" s="3934" t="n"/>
      <c r="AK477" s="3934" t="n"/>
      <c r="AL477" s="3934" t="n"/>
      <c r="AM477" s="3934" t="n"/>
      <c r="AN477" s="3934" t="n"/>
      <c r="AO477" s="3934" t="n"/>
      <c r="AP477" s="3934" t="n"/>
      <c r="AQ477" s="3934" t="n"/>
      <c r="AR477" s="3934" t="n"/>
    </row>
    <row r="478">
      <c r="A478" s="3944" t="n"/>
      <c r="B478" s="3944" t="n"/>
      <c r="C478" s="3944" t="n"/>
      <c r="D478" s="3944" t="n"/>
      <c r="E478" s="3944" t="n"/>
      <c r="F478" s="3944" t="n"/>
      <c r="G478" s="3944" t="n"/>
      <c r="H478" s="3944" t="n"/>
      <c r="I478" s="3944" t="n"/>
      <c r="J478" s="3934" t="n"/>
      <c r="K478" s="3934" t="n"/>
      <c r="L478" s="3934" t="n"/>
      <c r="M478" s="3934" t="n"/>
      <c r="N478" s="3934" t="n"/>
      <c r="O478" s="3934" t="n"/>
      <c r="P478" s="3934" t="n"/>
      <c r="Q478" s="3934" t="n"/>
      <c r="R478" s="3934" t="n"/>
      <c r="S478" s="3934" t="n"/>
      <c r="T478" s="3934" t="n"/>
      <c r="U478" s="3934" t="n"/>
      <c r="V478" s="3934" t="n"/>
      <c r="W478" s="3934" t="n"/>
      <c r="X478" s="3934" t="n"/>
      <c r="Y478" s="3934" t="n"/>
      <c r="Z478" s="3934" t="n"/>
      <c r="AA478" s="3934" t="n"/>
      <c r="AB478" s="3934" t="n"/>
      <c r="AC478" s="3934" t="n"/>
      <c r="AD478" s="3934" t="n"/>
      <c r="AE478" s="3934" t="n"/>
      <c r="AF478" s="3934" t="n"/>
      <c r="AG478" s="3934" t="n"/>
      <c r="AH478" s="3934" t="n"/>
      <c r="AI478" s="3934" t="n"/>
      <c r="AJ478" s="3934" t="n"/>
      <c r="AK478" s="3934" t="n"/>
      <c r="AL478" s="3934" t="n"/>
      <c r="AM478" s="3934" t="n"/>
      <c r="AN478" s="3934" t="n"/>
      <c r="AO478" s="3934" t="n"/>
      <c r="AP478" s="3934" t="n"/>
      <c r="AQ478" s="3934" t="n"/>
      <c r="AR478" s="3934" t="n"/>
    </row>
    <row r="479">
      <c r="A479" s="3944" t="n"/>
      <c r="B479" s="3944" t="n"/>
      <c r="C479" s="3944" t="n"/>
      <c r="D479" s="3944" t="n"/>
      <c r="E479" s="3944" t="n"/>
      <c r="F479" s="3944" t="n"/>
      <c r="G479" s="3944" t="n"/>
      <c r="H479" s="3944" t="n"/>
      <c r="I479" s="3944" t="n"/>
      <c r="J479" s="3934" t="n"/>
      <c r="K479" s="3934" t="n"/>
      <c r="L479" s="3934" t="n"/>
      <c r="M479" s="3934" t="n"/>
      <c r="N479" s="3934" t="n"/>
      <c r="O479" s="3934" t="n"/>
      <c r="P479" s="3934" t="n"/>
      <c r="Q479" s="3934" t="n"/>
      <c r="R479" s="3934" t="n"/>
      <c r="S479" s="3934" t="n"/>
      <c r="T479" s="3934" t="n"/>
      <c r="U479" s="3934" t="n"/>
      <c r="V479" s="3934" t="n"/>
      <c r="W479" s="3934" t="n"/>
      <c r="X479" s="3934" t="n"/>
      <c r="Y479" s="3934" t="n"/>
      <c r="Z479" s="3934" t="n"/>
      <c r="AA479" s="3934" t="n"/>
      <c r="AB479" s="3934" t="n"/>
      <c r="AC479" s="3934" t="n"/>
      <c r="AD479" s="3934" t="n"/>
      <c r="AE479" s="3934" t="n"/>
      <c r="AF479" s="3934" t="n"/>
      <c r="AG479" s="3934" t="n"/>
      <c r="AH479" s="3934" t="n"/>
      <c r="AI479" s="3934" t="n"/>
      <c r="AJ479" s="3934" t="n"/>
      <c r="AK479" s="3934" t="n"/>
      <c r="AL479" s="3934" t="n"/>
      <c r="AM479" s="3934" t="n"/>
      <c r="AN479" s="3934" t="n"/>
      <c r="AO479" s="3934" t="n"/>
      <c r="AP479" s="3934" t="n"/>
      <c r="AQ479" s="3934" t="n"/>
      <c r="AR479" s="3934" t="n"/>
    </row>
    <row r="480">
      <c r="A480" s="3944" t="n"/>
      <c r="B480" s="3944" t="n"/>
      <c r="C480" s="3944" t="n"/>
      <c r="D480" s="3944" t="n"/>
      <c r="E480" s="3944" t="n"/>
      <c r="F480" s="3944" t="n"/>
      <c r="G480" s="3944" t="n"/>
      <c r="H480" s="3944" t="n"/>
      <c r="I480" s="3944" t="n"/>
      <c r="J480" s="3934" t="n"/>
      <c r="K480" s="3934" t="n"/>
      <c r="L480" s="3934" t="n"/>
      <c r="M480" s="3934" t="n"/>
      <c r="N480" s="3934" t="n"/>
      <c r="O480" s="3934" t="n"/>
      <c r="P480" s="3934" t="n"/>
      <c r="Q480" s="3934" t="n"/>
      <c r="R480" s="3934" t="n"/>
      <c r="S480" s="3934" t="n"/>
      <c r="T480" s="3934" t="n"/>
      <c r="U480" s="3934" t="n"/>
      <c r="V480" s="3934" t="n"/>
      <c r="W480" s="3934" t="n"/>
      <c r="X480" s="3934" t="n"/>
      <c r="Y480" s="3934" t="n"/>
      <c r="Z480" s="3934" t="n"/>
      <c r="AA480" s="3934" t="n"/>
      <c r="AB480" s="3934" t="n"/>
      <c r="AC480" s="3934" t="n"/>
      <c r="AD480" s="3934" t="n"/>
      <c r="AE480" s="3934" t="n"/>
      <c r="AF480" s="3934" t="n"/>
      <c r="AG480" s="3934" t="n"/>
      <c r="AH480" s="3934" t="n"/>
      <c r="AI480" s="3934" t="n"/>
      <c r="AJ480" s="3934" t="n"/>
      <c r="AK480" s="3934" t="n"/>
      <c r="AL480" s="3934" t="n"/>
      <c r="AM480" s="3934" t="n"/>
      <c r="AN480" s="3934" t="n"/>
      <c r="AO480" s="3934" t="n"/>
      <c r="AP480" s="3934" t="n"/>
      <c r="AQ480" s="3934" t="n"/>
      <c r="AR480" s="3934" t="n"/>
    </row>
    <row r="481">
      <c r="A481" s="3944" t="n"/>
      <c r="B481" s="3944" t="n"/>
      <c r="C481" s="3944" t="n"/>
      <c r="D481" s="3944" t="n"/>
      <c r="E481" s="3944" t="n"/>
      <c r="F481" s="3944" t="n"/>
      <c r="G481" s="3944" t="n"/>
      <c r="H481" s="3944" t="n"/>
      <c r="I481" s="3944" t="n"/>
      <c r="J481" s="3934" t="n"/>
      <c r="K481" s="3934" t="n"/>
      <c r="L481" s="3934" t="n"/>
      <c r="M481" s="3934" t="n"/>
      <c r="N481" s="3934" t="n"/>
      <c r="O481" s="3934" t="n"/>
      <c r="P481" s="3934" t="n"/>
      <c r="Q481" s="3934" t="n"/>
      <c r="R481" s="3934" t="n"/>
      <c r="S481" s="3934" t="n"/>
      <c r="T481" s="3934" t="n"/>
      <c r="U481" s="3934" t="n"/>
      <c r="V481" s="3934" t="n"/>
      <c r="W481" s="3934" t="n"/>
      <c r="X481" s="3934" t="n"/>
      <c r="Y481" s="3934" t="n"/>
      <c r="Z481" s="3934" t="n"/>
      <c r="AA481" s="3934" t="n"/>
      <c r="AB481" s="3934" t="n"/>
      <c r="AC481" s="3934" t="n"/>
      <c r="AD481" s="3934" t="n"/>
      <c r="AE481" s="3934" t="n"/>
      <c r="AF481" s="3934" t="n"/>
      <c r="AG481" s="3934" t="n"/>
      <c r="AH481" s="3934" t="n"/>
      <c r="AI481" s="3934" t="n"/>
      <c r="AJ481" s="3934" t="n"/>
      <c r="AK481" s="3934" t="n"/>
      <c r="AL481" s="3934" t="n"/>
      <c r="AM481" s="3934" t="n"/>
      <c r="AN481" s="3934" t="n"/>
      <c r="AO481" s="3934" t="n"/>
      <c r="AP481" s="3934" t="n"/>
      <c r="AQ481" s="3934" t="n"/>
      <c r="AR481" s="3934" t="n"/>
    </row>
    <row r="482">
      <c r="A482" s="3944" t="n"/>
      <c r="B482" s="3944" t="n"/>
      <c r="C482" s="3944" t="n"/>
      <c r="D482" s="3944" t="n"/>
      <c r="E482" s="3944" t="n"/>
      <c r="F482" s="3944" t="n"/>
      <c r="G482" s="3944" t="n"/>
      <c r="H482" s="3944" t="n"/>
      <c r="I482" s="3944" t="n"/>
      <c r="J482" s="3934" t="n"/>
      <c r="K482" s="3934" t="n"/>
      <c r="L482" s="3934" t="n"/>
      <c r="M482" s="3934" t="n"/>
      <c r="N482" s="3934" t="n"/>
      <c r="O482" s="3934" t="n"/>
      <c r="P482" s="3934" t="n"/>
      <c r="Q482" s="3934" t="n"/>
      <c r="R482" s="3934" t="n"/>
      <c r="S482" s="3934" t="n"/>
      <c r="T482" s="3934" t="n"/>
      <c r="U482" s="3934" t="n"/>
      <c r="V482" s="3934" t="n"/>
      <c r="W482" s="3934" t="n"/>
      <c r="X482" s="3934" t="n"/>
      <c r="Y482" s="3934" t="n"/>
      <c r="Z482" s="3934" t="n"/>
      <c r="AA482" s="3934" t="n"/>
      <c r="AB482" s="3934" t="n"/>
      <c r="AC482" s="3934" t="n"/>
      <c r="AD482" s="3934" t="n"/>
      <c r="AE482" s="3934" t="n"/>
      <c r="AF482" s="3934" t="n"/>
      <c r="AG482" s="3934" t="n"/>
      <c r="AH482" s="3934" t="n"/>
      <c r="AI482" s="3934" t="n"/>
      <c r="AJ482" s="3934" t="n"/>
      <c r="AK482" s="3934" t="n"/>
      <c r="AL482" s="3934" t="n"/>
      <c r="AM482" s="3934" t="n"/>
      <c r="AN482" s="3934" t="n"/>
      <c r="AO482" s="3934" t="n"/>
      <c r="AP482" s="3934" t="n"/>
      <c r="AQ482" s="3934" t="n"/>
      <c r="AR482" s="3934" t="n"/>
    </row>
    <row r="483">
      <c r="A483" s="3944" t="n"/>
      <c r="B483" s="3944" t="n"/>
      <c r="C483" s="3944" t="n"/>
      <c r="D483" s="3944" t="n"/>
      <c r="E483" s="3944" t="n"/>
      <c r="F483" s="3944" t="n"/>
      <c r="G483" s="3944" t="n"/>
      <c r="H483" s="3944" t="n"/>
      <c r="I483" s="3944" t="n"/>
      <c r="J483" s="3934" t="n"/>
      <c r="K483" s="3934" t="n"/>
      <c r="L483" s="3934" t="n"/>
      <c r="M483" s="3934" t="n"/>
      <c r="N483" s="3934" t="n"/>
      <c r="O483" s="3934" t="n"/>
      <c r="P483" s="3934" t="n"/>
      <c r="Q483" s="3934" t="n"/>
      <c r="R483" s="3934" t="n"/>
      <c r="S483" s="3934" t="n"/>
      <c r="T483" s="3934" t="n"/>
      <c r="U483" s="3934" t="n"/>
      <c r="V483" s="3934" t="n"/>
      <c r="W483" s="3934" t="n"/>
      <c r="X483" s="3934" t="n"/>
      <c r="Y483" s="3934" t="n"/>
      <c r="Z483" s="3934" t="n"/>
      <c r="AA483" s="3934" t="n"/>
      <c r="AB483" s="3934" t="n"/>
      <c r="AC483" s="3934" t="n"/>
      <c r="AD483" s="3934" t="n"/>
      <c r="AE483" s="3934" t="n"/>
      <c r="AF483" s="3934" t="n"/>
      <c r="AG483" s="3934" t="n"/>
      <c r="AH483" s="3934" t="n"/>
      <c r="AI483" s="3934" t="n"/>
      <c r="AJ483" s="3934" t="n"/>
      <c r="AK483" s="3934" t="n"/>
      <c r="AL483" s="3934" t="n"/>
      <c r="AM483" s="3934" t="n"/>
      <c r="AN483" s="3934" t="n"/>
      <c r="AO483" s="3934" t="n"/>
      <c r="AP483" s="3934" t="n"/>
      <c r="AQ483" s="3934" t="n"/>
      <c r="AR483" s="3934" t="n"/>
    </row>
    <row r="484">
      <c r="A484" s="3944" t="n"/>
      <c r="B484" s="3944" t="n"/>
      <c r="C484" s="3944" t="n"/>
      <c r="D484" s="3944" t="n"/>
      <c r="E484" s="3944" t="n"/>
      <c r="F484" s="3944" t="n"/>
      <c r="G484" s="3944" t="n"/>
      <c r="H484" s="3944" t="n"/>
      <c r="I484" s="3944" t="n"/>
      <c r="J484" s="3934" t="n"/>
      <c r="K484" s="3934" t="n"/>
      <c r="L484" s="3934" t="n"/>
      <c r="M484" s="3934" t="n"/>
      <c r="N484" s="3934" t="n"/>
      <c r="O484" s="3934" t="n"/>
      <c r="P484" s="3934" t="n"/>
      <c r="Q484" s="3934" t="n"/>
      <c r="R484" s="3934" t="n"/>
      <c r="S484" s="3934" t="n"/>
      <c r="T484" s="3934" t="n"/>
      <c r="U484" s="3934" t="n"/>
      <c r="V484" s="3934" t="n"/>
      <c r="W484" s="3934" t="n"/>
      <c r="X484" s="3934" t="n"/>
      <c r="Y484" s="3934" t="n"/>
      <c r="Z484" s="3934" t="n"/>
      <c r="AA484" s="3934" t="n"/>
      <c r="AB484" s="3934" t="n"/>
      <c r="AC484" s="3934" t="n"/>
      <c r="AD484" s="3934" t="n"/>
      <c r="AE484" s="3934" t="n"/>
      <c r="AF484" s="3934" t="n"/>
      <c r="AG484" s="3934" t="n"/>
      <c r="AH484" s="3934" t="n"/>
      <c r="AI484" s="3934" t="n"/>
      <c r="AJ484" s="3934" t="n"/>
      <c r="AK484" s="3934" t="n"/>
      <c r="AL484" s="3934" t="n"/>
      <c r="AM484" s="3934" t="n"/>
      <c r="AN484" s="3934" t="n"/>
      <c r="AO484" s="3934" t="n"/>
      <c r="AP484" s="3934" t="n"/>
      <c r="AQ484" s="3934" t="n"/>
      <c r="AR484" s="3934" t="n"/>
    </row>
    <row r="485">
      <c r="A485" s="3944" t="n"/>
      <c r="B485" s="3944" t="n"/>
      <c r="C485" s="3944" t="n"/>
      <c r="D485" s="3944" t="n"/>
      <c r="E485" s="3944" t="n"/>
      <c r="F485" s="3944" t="n"/>
      <c r="G485" s="3944" t="n"/>
      <c r="H485" s="3944" t="n"/>
      <c r="I485" s="3944" t="n"/>
      <c r="J485" s="3934" t="n"/>
      <c r="K485" s="3934" t="n"/>
      <c r="L485" s="3934" t="n"/>
      <c r="M485" s="3934" t="n"/>
      <c r="N485" s="3934" t="n"/>
      <c r="O485" s="3934" t="n"/>
      <c r="P485" s="3934" t="n"/>
      <c r="Q485" s="3934" t="n"/>
      <c r="R485" s="3934" t="n"/>
      <c r="S485" s="3934" t="n"/>
      <c r="T485" s="3934" t="n"/>
      <c r="U485" s="3934" t="n"/>
      <c r="V485" s="3934" t="n"/>
      <c r="W485" s="3934" t="n"/>
      <c r="X485" s="3934" t="n"/>
      <c r="Y485" s="3934" t="n"/>
      <c r="Z485" s="3934" t="n"/>
      <c r="AA485" s="3934" t="n"/>
      <c r="AB485" s="3934" t="n"/>
      <c r="AC485" s="3934" t="n"/>
      <c r="AD485" s="3934" t="n"/>
      <c r="AE485" s="3934" t="n"/>
      <c r="AF485" s="3934" t="n"/>
      <c r="AG485" s="3934" t="n"/>
      <c r="AH485" s="3934" t="n"/>
      <c r="AI485" s="3934" t="n"/>
      <c r="AJ485" s="3934" t="n"/>
      <c r="AK485" s="3934" t="n"/>
      <c r="AL485" s="3934" t="n"/>
      <c r="AM485" s="3934" t="n"/>
      <c r="AN485" s="3934" t="n"/>
      <c r="AO485" s="3934" t="n"/>
      <c r="AP485" s="3934" t="n"/>
      <c r="AQ485" s="3934" t="n"/>
      <c r="AR485" s="3934" t="n"/>
    </row>
    <row r="486">
      <c r="A486" s="3944" t="n"/>
      <c r="B486" s="3944" t="n"/>
      <c r="C486" s="3944" t="n"/>
      <c r="D486" s="3944" t="n"/>
      <c r="E486" s="3944" t="n"/>
      <c r="F486" s="3944" t="n"/>
      <c r="G486" s="3944" t="n"/>
      <c r="H486" s="3944" t="n"/>
      <c r="I486" s="3944" t="n"/>
      <c r="J486" s="3934" t="n"/>
      <c r="K486" s="3934" t="n"/>
      <c r="L486" s="3934" t="n"/>
      <c r="M486" s="3934" t="n"/>
      <c r="N486" s="3934" t="n"/>
      <c r="O486" s="3934" t="n"/>
      <c r="P486" s="3934" t="n"/>
      <c r="Q486" s="3934" t="n"/>
      <c r="R486" s="3934" t="n"/>
      <c r="S486" s="3934" t="n"/>
      <c r="T486" s="3934" t="n"/>
      <c r="U486" s="3934" t="n"/>
      <c r="V486" s="3934" t="n"/>
      <c r="W486" s="3934" t="n"/>
      <c r="X486" s="3934" t="n"/>
      <c r="Y486" s="3934" t="n"/>
      <c r="Z486" s="3934" t="n"/>
      <c r="AA486" s="3934" t="n"/>
      <c r="AB486" s="3934" t="n"/>
      <c r="AC486" s="3934" t="n"/>
      <c r="AD486" s="3934" t="n"/>
      <c r="AE486" s="3934" t="n"/>
      <c r="AF486" s="3934" t="n"/>
      <c r="AG486" s="3934" t="n"/>
      <c r="AH486" s="3934" t="n"/>
      <c r="AI486" s="3934" t="n"/>
      <c r="AJ486" s="3934" t="n"/>
      <c r="AK486" s="3934" t="n"/>
      <c r="AL486" s="3934" t="n"/>
      <c r="AM486" s="3934" t="n"/>
      <c r="AN486" s="3934" t="n"/>
      <c r="AO486" s="3934" t="n"/>
      <c r="AP486" s="3934" t="n"/>
      <c r="AQ486" s="3934" t="n"/>
      <c r="AR486" s="3934" t="n"/>
    </row>
    <row r="487">
      <c r="A487" s="3944" t="n"/>
      <c r="B487" s="3944" t="n"/>
      <c r="C487" s="3944" t="n"/>
      <c r="D487" s="3944" t="n"/>
      <c r="E487" s="3944" t="n"/>
      <c r="F487" s="3944" t="n"/>
      <c r="G487" s="3944" t="n"/>
      <c r="H487" s="3944" t="n"/>
      <c r="I487" s="3944" t="n"/>
      <c r="J487" s="3934" t="n"/>
      <c r="K487" s="3934" t="n"/>
      <c r="L487" s="3934" t="n"/>
      <c r="M487" s="3934" t="n"/>
      <c r="N487" s="3934" t="n"/>
      <c r="O487" s="3934" t="n"/>
      <c r="P487" s="3934" t="n"/>
      <c r="Q487" s="3934" t="n"/>
      <c r="R487" s="3934" t="n"/>
      <c r="S487" s="3934" t="n"/>
      <c r="T487" s="3934" t="n"/>
      <c r="U487" s="3934" t="n"/>
      <c r="V487" s="3934" t="n"/>
      <c r="W487" s="3934" t="n"/>
      <c r="X487" s="3934" t="n"/>
      <c r="Y487" s="3934" t="n"/>
      <c r="Z487" s="3934" t="n"/>
      <c r="AA487" s="3934" t="n"/>
      <c r="AB487" s="3934" t="n"/>
      <c r="AC487" s="3934" t="n"/>
      <c r="AD487" s="3934" t="n"/>
      <c r="AE487" s="3934" t="n"/>
      <c r="AF487" s="3934" t="n"/>
      <c r="AG487" s="3934" t="n"/>
      <c r="AH487" s="3934" t="n"/>
      <c r="AI487" s="3934" t="n"/>
      <c r="AJ487" s="3934" t="n"/>
      <c r="AK487" s="3934" t="n"/>
      <c r="AL487" s="3934" t="n"/>
      <c r="AM487" s="3934" t="n"/>
      <c r="AN487" s="3934" t="n"/>
      <c r="AO487" s="3934" t="n"/>
      <c r="AP487" s="3934" t="n"/>
      <c r="AQ487" s="3934" t="n"/>
      <c r="AR487" s="3934" t="n"/>
    </row>
    <row r="488">
      <c r="A488" s="3944" t="n"/>
      <c r="B488" s="3944" t="n"/>
      <c r="C488" s="3944" t="n"/>
      <c r="D488" s="3944" t="n"/>
      <c r="E488" s="3944" t="n"/>
      <c r="F488" s="3944" t="n"/>
      <c r="G488" s="3944" t="n"/>
      <c r="H488" s="3944" t="n"/>
      <c r="I488" s="3944" t="n"/>
      <c r="J488" s="3934" t="n"/>
      <c r="K488" s="3934" t="n"/>
      <c r="L488" s="3934" t="n"/>
      <c r="M488" s="3934" t="n"/>
      <c r="N488" s="3934" t="n"/>
      <c r="O488" s="3934" t="n"/>
      <c r="P488" s="3934" t="n"/>
      <c r="Q488" s="3934" t="n"/>
      <c r="R488" s="3934" t="n"/>
      <c r="S488" s="3934" t="n"/>
      <c r="T488" s="3934" t="n"/>
      <c r="U488" s="3934" t="n"/>
      <c r="V488" s="3934" t="n"/>
      <c r="W488" s="3934" t="n"/>
      <c r="X488" s="3934" t="n"/>
      <c r="Y488" s="3934" t="n"/>
      <c r="Z488" s="3934" t="n"/>
      <c r="AA488" s="3934" t="n"/>
      <c r="AB488" s="3934" t="n"/>
      <c r="AC488" s="3934" t="n"/>
      <c r="AD488" s="3934" t="n"/>
      <c r="AE488" s="3934" t="n"/>
      <c r="AF488" s="3934" t="n"/>
      <c r="AG488" s="3934" t="n"/>
      <c r="AH488" s="3934" t="n"/>
      <c r="AI488" s="3934" t="n"/>
      <c r="AJ488" s="3934" t="n"/>
      <c r="AK488" s="3934" t="n"/>
      <c r="AL488" s="3934" t="n"/>
      <c r="AM488" s="3934" t="n"/>
      <c r="AN488" s="3934" t="n"/>
      <c r="AO488" s="3934" t="n"/>
      <c r="AP488" s="3934" t="n"/>
      <c r="AQ488" s="3934" t="n"/>
      <c r="AR488" s="3934" t="n"/>
    </row>
    <row r="489">
      <c r="A489" s="3944" t="n"/>
      <c r="B489" s="3944" t="n"/>
      <c r="C489" s="3944" t="n"/>
      <c r="D489" s="3944" t="n"/>
      <c r="E489" s="3944" t="n"/>
      <c r="F489" s="3944" t="n"/>
      <c r="G489" s="3944" t="n"/>
      <c r="H489" s="3944" t="n"/>
      <c r="I489" s="3944" t="n"/>
      <c r="J489" s="3934" t="n"/>
      <c r="K489" s="3934" t="n"/>
      <c r="L489" s="3934" t="n"/>
      <c r="M489" s="3934" t="n"/>
      <c r="N489" s="3934" t="n"/>
      <c r="O489" s="3934" t="n"/>
      <c r="P489" s="3934" t="n"/>
      <c r="Q489" s="3934" t="n"/>
      <c r="R489" s="3934" t="n"/>
      <c r="S489" s="3934" t="n"/>
      <c r="T489" s="3934" t="n"/>
      <c r="U489" s="3934" t="n"/>
      <c r="V489" s="3934" t="n"/>
      <c r="W489" s="3934" t="n"/>
      <c r="X489" s="3934" t="n"/>
      <c r="Y489" s="3934" t="n"/>
      <c r="Z489" s="3934" t="n"/>
      <c r="AA489" s="3934" t="n"/>
      <c r="AB489" s="3934" t="n"/>
      <c r="AC489" s="3934" t="n"/>
      <c r="AD489" s="3934" t="n"/>
      <c r="AE489" s="3934" t="n"/>
      <c r="AF489" s="3934" t="n"/>
      <c r="AG489" s="3934" t="n"/>
      <c r="AH489" s="3934" t="n"/>
      <c r="AI489" s="3934" t="n"/>
      <c r="AJ489" s="3934" t="n"/>
      <c r="AK489" s="3934" t="n"/>
      <c r="AL489" s="3934" t="n"/>
      <c r="AM489" s="3934" t="n"/>
      <c r="AN489" s="3934" t="n"/>
      <c r="AO489" s="3934" t="n"/>
      <c r="AP489" s="3934" t="n"/>
      <c r="AQ489" s="3934" t="n"/>
      <c r="AR489" s="3934" t="n"/>
    </row>
    <row r="490">
      <c r="A490" s="3944" t="n"/>
      <c r="B490" s="3944" t="n"/>
      <c r="C490" s="3944" t="n"/>
      <c r="D490" s="3944" t="n"/>
      <c r="E490" s="3944" t="n"/>
      <c r="F490" s="3944" t="n"/>
      <c r="G490" s="3944" t="n"/>
      <c r="H490" s="3944" t="n"/>
      <c r="I490" s="3944" t="n"/>
      <c r="J490" s="3934" t="n"/>
      <c r="K490" s="3934" t="n"/>
      <c r="L490" s="3934" t="n"/>
      <c r="M490" s="3934" t="n"/>
      <c r="N490" s="3934" t="n"/>
      <c r="O490" s="3934" t="n"/>
      <c r="P490" s="3934" t="n"/>
      <c r="Q490" s="3934" t="n"/>
      <c r="R490" s="3934" t="n"/>
      <c r="S490" s="3934" t="n"/>
      <c r="T490" s="3934" t="n"/>
      <c r="U490" s="3934" t="n"/>
      <c r="V490" s="3934" t="n"/>
      <c r="W490" s="3934" t="n"/>
      <c r="X490" s="3934" t="n"/>
      <c r="Y490" s="3934" t="n"/>
      <c r="Z490" s="3934" t="n"/>
      <c r="AA490" s="3934" t="n"/>
      <c r="AB490" s="3934" t="n"/>
      <c r="AC490" s="3934" t="n"/>
      <c r="AD490" s="3934" t="n"/>
      <c r="AE490" s="3934" t="n"/>
      <c r="AF490" s="3934" t="n"/>
      <c r="AG490" s="3934" t="n"/>
      <c r="AH490" s="3934" t="n"/>
      <c r="AI490" s="3934" t="n"/>
      <c r="AJ490" s="3934" t="n"/>
      <c r="AK490" s="3934" t="n"/>
      <c r="AL490" s="3934" t="n"/>
      <c r="AM490" s="3934" t="n"/>
      <c r="AN490" s="3934" t="n"/>
      <c r="AO490" s="3934" t="n"/>
      <c r="AP490" s="3934" t="n"/>
      <c r="AQ490" s="3934" t="n"/>
      <c r="AR490" s="3934" t="n"/>
    </row>
    <row r="491">
      <c r="A491" s="3944" t="n"/>
      <c r="B491" s="3944" t="n"/>
      <c r="C491" s="3944" t="n"/>
      <c r="D491" s="3944" t="n"/>
      <c r="E491" s="3944" t="n"/>
      <c r="F491" s="3944" t="n"/>
      <c r="G491" s="3944" t="n"/>
      <c r="H491" s="3944" t="n"/>
      <c r="I491" s="3944" t="n"/>
      <c r="J491" s="3934" t="n"/>
      <c r="K491" s="3934" t="n"/>
      <c r="L491" s="3934" t="n"/>
      <c r="M491" s="3934" t="n"/>
      <c r="N491" s="3934" t="n"/>
      <c r="O491" s="3934" t="n"/>
      <c r="P491" s="3934" t="n"/>
      <c r="Q491" s="3934" t="n"/>
      <c r="R491" s="3934" t="n"/>
      <c r="S491" s="3934" t="n"/>
      <c r="T491" s="3934" t="n"/>
      <c r="U491" s="3934" t="n"/>
      <c r="V491" s="3934" t="n"/>
      <c r="W491" s="3934" t="n"/>
      <c r="X491" s="3934" t="n"/>
      <c r="Y491" s="3934" t="n"/>
      <c r="Z491" s="3934" t="n"/>
      <c r="AA491" s="3934" t="n"/>
      <c r="AB491" s="3934" t="n"/>
      <c r="AC491" s="3934" t="n"/>
      <c r="AD491" s="3934" t="n"/>
      <c r="AE491" s="3934" t="n"/>
      <c r="AF491" s="3934" t="n"/>
      <c r="AG491" s="3934" t="n"/>
      <c r="AH491" s="3934" t="n"/>
      <c r="AI491" s="3934" t="n"/>
      <c r="AJ491" s="3934" t="n"/>
      <c r="AK491" s="3934" t="n"/>
      <c r="AL491" s="3934" t="n"/>
      <c r="AM491" s="3934" t="n"/>
      <c r="AN491" s="3934" t="n"/>
      <c r="AO491" s="3934" t="n"/>
      <c r="AP491" s="3934" t="n"/>
      <c r="AQ491" s="3934" t="n"/>
      <c r="AR491" s="3934" t="n"/>
    </row>
    <row r="492">
      <c r="A492" s="3944" t="n"/>
      <c r="B492" s="3944" t="n"/>
      <c r="C492" s="3944" t="n"/>
      <c r="D492" s="3944" t="n"/>
      <c r="E492" s="3944" t="n"/>
      <c r="F492" s="3944" t="n"/>
      <c r="G492" s="3944" t="n"/>
      <c r="H492" s="3944" t="n"/>
      <c r="I492" s="3944" t="n"/>
      <c r="J492" s="3934" t="n"/>
      <c r="K492" s="3934" t="n"/>
      <c r="L492" s="3934" t="n"/>
      <c r="M492" s="3934" t="n"/>
      <c r="N492" s="3934" t="n"/>
      <c r="O492" s="3934" t="n"/>
      <c r="P492" s="3934" t="n"/>
      <c r="Q492" s="3934" t="n"/>
      <c r="R492" s="3934" t="n"/>
      <c r="S492" s="3934" t="n"/>
      <c r="T492" s="3934" t="n"/>
      <c r="U492" s="3934" t="n"/>
      <c r="V492" s="3934" t="n"/>
      <c r="W492" s="3934" t="n"/>
      <c r="X492" s="3934" t="n"/>
      <c r="Y492" s="3934" t="n"/>
      <c r="Z492" s="3934" t="n"/>
      <c r="AA492" s="3934" t="n"/>
      <c r="AB492" s="3934" t="n"/>
      <c r="AC492" s="3934" t="n"/>
      <c r="AD492" s="3934" t="n"/>
      <c r="AE492" s="3934" t="n"/>
      <c r="AF492" s="3934" t="n"/>
      <c r="AG492" s="3934" t="n"/>
      <c r="AH492" s="3934" t="n"/>
      <c r="AI492" s="3934" t="n"/>
      <c r="AJ492" s="3934" t="n"/>
      <c r="AK492" s="3934" t="n"/>
      <c r="AL492" s="3934" t="n"/>
      <c r="AM492" s="3934" t="n"/>
      <c r="AN492" s="3934" t="n"/>
      <c r="AO492" s="3934" t="n"/>
      <c r="AP492" s="3934" t="n"/>
      <c r="AQ492" s="3934" t="n"/>
      <c r="AR492" s="3934" t="n"/>
    </row>
    <row r="493">
      <c r="A493" s="3944" t="n"/>
      <c r="B493" s="3944" t="n"/>
      <c r="C493" s="3944" t="n"/>
      <c r="D493" s="3944" t="n"/>
      <c r="E493" s="3944" t="n"/>
      <c r="F493" s="3944" t="n"/>
      <c r="G493" s="3944" t="n"/>
      <c r="H493" s="3944" t="n"/>
      <c r="I493" s="3944" t="n"/>
      <c r="J493" s="3934" t="n"/>
      <c r="K493" s="3934" t="n"/>
      <c r="L493" s="3934" t="n"/>
      <c r="M493" s="3934" t="n"/>
      <c r="N493" s="3934" t="n"/>
      <c r="O493" s="3934" t="n"/>
      <c r="P493" s="3934" t="n"/>
      <c r="Q493" s="3934" t="n"/>
      <c r="R493" s="3934" t="n"/>
      <c r="S493" s="3934" t="n"/>
      <c r="T493" s="3934" t="n"/>
      <c r="U493" s="3934" t="n"/>
      <c r="V493" s="3934" t="n"/>
      <c r="W493" s="3934" t="n"/>
      <c r="X493" s="3934" t="n"/>
      <c r="Y493" s="3934" t="n"/>
      <c r="Z493" s="3934" t="n"/>
      <c r="AA493" s="3934" t="n"/>
      <c r="AB493" s="3934" t="n"/>
      <c r="AC493" s="3934" t="n"/>
      <c r="AD493" s="3934" t="n"/>
      <c r="AE493" s="3934" t="n"/>
      <c r="AF493" s="3934" t="n"/>
      <c r="AG493" s="3934" t="n"/>
      <c r="AH493" s="3934" t="n"/>
      <c r="AI493" s="3934" t="n"/>
      <c r="AJ493" s="3934" t="n"/>
      <c r="AK493" s="3934" t="n"/>
      <c r="AL493" s="3934" t="n"/>
      <c r="AM493" s="3934" t="n"/>
      <c r="AN493" s="3934" t="n"/>
      <c r="AO493" s="3934" t="n"/>
      <c r="AP493" s="3934" t="n"/>
      <c r="AQ493" s="3934" t="n"/>
      <c r="AR493" s="3934" t="n"/>
    </row>
    <row r="494">
      <c r="A494" s="3944" t="n"/>
      <c r="B494" s="3944" t="n"/>
      <c r="C494" s="3944" t="n"/>
      <c r="D494" s="3944" t="n"/>
      <c r="E494" s="3944" t="n"/>
      <c r="F494" s="3944" t="n"/>
      <c r="G494" s="3944" t="n"/>
      <c r="H494" s="3944" t="n"/>
      <c r="I494" s="3944" t="n"/>
      <c r="J494" s="3934" t="n"/>
      <c r="K494" s="3934" t="n"/>
      <c r="L494" s="3934" t="n"/>
      <c r="M494" s="3934" t="n"/>
      <c r="N494" s="3934" t="n"/>
      <c r="O494" s="3934" t="n"/>
      <c r="P494" s="3934" t="n"/>
      <c r="Q494" s="3934" t="n"/>
      <c r="R494" s="3934" t="n"/>
      <c r="S494" s="3934" t="n"/>
      <c r="T494" s="3934" t="n"/>
      <c r="U494" s="3934" t="n"/>
      <c r="V494" s="3934" t="n"/>
      <c r="W494" s="3934" t="n"/>
      <c r="X494" s="3934" t="n"/>
      <c r="Y494" s="3934" t="n"/>
      <c r="Z494" s="3934" t="n"/>
      <c r="AA494" s="3934" t="n"/>
      <c r="AB494" s="3934" t="n"/>
      <c r="AC494" s="3934" t="n"/>
      <c r="AD494" s="3934" t="n"/>
      <c r="AE494" s="3934" t="n"/>
      <c r="AF494" s="3934" t="n"/>
      <c r="AG494" s="3934" t="n"/>
      <c r="AH494" s="3934" t="n"/>
      <c r="AI494" s="3934" t="n"/>
      <c r="AJ494" s="3934" t="n"/>
      <c r="AK494" s="3934" t="n"/>
      <c r="AL494" s="3934" t="n"/>
      <c r="AM494" s="3934" t="n"/>
      <c r="AN494" s="3934" t="n"/>
      <c r="AO494" s="3934" t="n"/>
      <c r="AP494" s="3934" t="n"/>
      <c r="AQ494" s="3934" t="n"/>
      <c r="AR494" s="3934" t="n"/>
    </row>
    <row r="495">
      <c r="A495" s="3944" t="n"/>
      <c r="B495" s="3944" t="n"/>
      <c r="C495" s="3944" t="n"/>
      <c r="D495" s="3944" t="n"/>
      <c r="E495" s="3944" t="n"/>
      <c r="F495" s="3944" t="n"/>
      <c r="G495" s="3944" t="n"/>
      <c r="H495" s="3944" t="n"/>
      <c r="I495" s="3944" t="n"/>
      <c r="J495" s="3934" t="n"/>
      <c r="K495" s="3934" t="n"/>
      <c r="L495" s="3934" t="n"/>
      <c r="M495" s="3934" t="n"/>
      <c r="N495" s="3934" t="n"/>
      <c r="O495" s="3934" t="n"/>
      <c r="P495" s="3934" t="n"/>
      <c r="Q495" s="3934" t="n"/>
      <c r="R495" s="3934" t="n"/>
      <c r="S495" s="3934" t="n"/>
      <c r="T495" s="3934" t="n"/>
      <c r="U495" s="3934" t="n"/>
      <c r="V495" s="3934" t="n"/>
      <c r="W495" s="3934" t="n"/>
      <c r="X495" s="3934" t="n"/>
      <c r="Y495" s="3934" t="n"/>
      <c r="Z495" s="3934" t="n"/>
      <c r="AA495" s="3934" t="n"/>
      <c r="AB495" s="3934" t="n"/>
      <c r="AC495" s="3934" t="n"/>
      <c r="AD495" s="3934" t="n"/>
      <c r="AE495" s="3934" t="n"/>
      <c r="AF495" s="3934" t="n"/>
      <c r="AG495" s="3934" t="n"/>
      <c r="AH495" s="3934" t="n"/>
      <c r="AI495" s="3934" t="n"/>
      <c r="AJ495" s="3934" t="n"/>
      <c r="AK495" s="3934" t="n"/>
      <c r="AL495" s="3934" t="n"/>
      <c r="AM495" s="3934" t="n"/>
      <c r="AN495" s="3934" t="n"/>
      <c r="AO495" s="3934" t="n"/>
      <c r="AP495" s="3934" t="n"/>
      <c r="AQ495" s="3934" t="n"/>
      <c r="AR495" s="3934" t="n"/>
    </row>
    <row r="496">
      <c r="A496" s="3944" t="n"/>
      <c r="B496" s="3944" t="n"/>
      <c r="C496" s="3944" t="n"/>
      <c r="D496" s="3944" t="n"/>
      <c r="E496" s="3944" t="n"/>
      <c r="F496" s="3944" t="n"/>
      <c r="G496" s="3944" t="n"/>
      <c r="H496" s="3944" t="n"/>
      <c r="I496" s="3944" t="n"/>
      <c r="J496" s="3934" t="n"/>
      <c r="K496" s="3934" t="n"/>
      <c r="L496" s="3934" t="n"/>
      <c r="M496" s="3934" t="n"/>
      <c r="N496" s="3934" t="n"/>
      <c r="O496" s="3934" t="n"/>
      <c r="P496" s="3934" t="n"/>
      <c r="Q496" s="3934" t="n"/>
      <c r="R496" s="3934" t="n"/>
      <c r="S496" s="3934" t="n"/>
      <c r="T496" s="3934" t="n"/>
      <c r="U496" s="3934" t="n"/>
      <c r="V496" s="3934" t="n"/>
      <c r="W496" s="3934" t="n"/>
      <c r="X496" s="3934" t="n"/>
      <c r="Y496" s="3934" t="n"/>
      <c r="Z496" s="3934" t="n"/>
      <c r="AA496" s="3934" t="n"/>
      <c r="AB496" s="3934" t="n"/>
      <c r="AC496" s="3934" t="n"/>
      <c r="AD496" s="3934" t="n"/>
      <c r="AE496" s="3934" t="n"/>
      <c r="AF496" s="3934" t="n"/>
      <c r="AG496" s="3934" t="n"/>
      <c r="AH496" s="3934" t="n"/>
      <c r="AI496" s="3934" t="n"/>
      <c r="AJ496" s="3934" t="n"/>
      <c r="AK496" s="3934" t="n"/>
      <c r="AL496" s="3934" t="n"/>
      <c r="AM496" s="3934" t="n"/>
      <c r="AN496" s="3934" t="n"/>
      <c r="AO496" s="3934" t="n"/>
      <c r="AP496" s="3934" t="n"/>
      <c r="AQ496" s="3934" t="n"/>
      <c r="AR496" s="3934" t="n"/>
    </row>
    <row r="497">
      <c r="A497" s="3944" t="n"/>
      <c r="B497" s="3944" t="n"/>
      <c r="C497" s="3944" t="n"/>
      <c r="D497" s="3944" t="n"/>
      <c r="E497" s="3944" t="n"/>
      <c r="F497" s="3944" t="n"/>
      <c r="G497" s="3944" t="n"/>
      <c r="H497" s="3944" t="n"/>
      <c r="I497" s="3944" t="n"/>
      <c r="J497" s="3934" t="n"/>
      <c r="K497" s="3934" t="n"/>
      <c r="L497" s="3934" t="n"/>
      <c r="M497" s="3934" t="n"/>
      <c r="N497" s="3934" t="n"/>
      <c r="O497" s="3934" t="n"/>
      <c r="P497" s="3934" t="n"/>
      <c r="Q497" s="3934" t="n"/>
      <c r="R497" s="3934" t="n"/>
      <c r="S497" s="3934" t="n"/>
      <c r="T497" s="3934" t="n"/>
      <c r="U497" s="3934" t="n"/>
      <c r="V497" s="3934" t="n"/>
      <c r="W497" s="3934" t="n"/>
      <c r="X497" s="3934" t="n"/>
      <c r="Y497" s="3934" t="n"/>
      <c r="Z497" s="3934" t="n"/>
      <c r="AA497" s="3934" t="n"/>
      <c r="AB497" s="3934" t="n"/>
      <c r="AC497" s="3934" t="n"/>
      <c r="AD497" s="3934" t="n"/>
      <c r="AE497" s="3934" t="n"/>
      <c r="AF497" s="3934" t="n"/>
      <c r="AG497" s="3934" t="n"/>
      <c r="AH497" s="3934" t="n"/>
      <c r="AI497" s="3934" t="n"/>
      <c r="AJ497" s="3934" t="n"/>
      <c r="AK497" s="3934" t="n"/>
      <c r="AL497" s="3934" t="n"/>
      <c r="AM497" s="3934" t="n"/>
      <c r="AN497" s="3934" t="n"/>
      <c r="AO497" s="3934" t="n"/>
      <c r="AP497" s="3934" t="n"/>
      <c r="AQ497" s="3934" t="n"/>
      <c r="AR497" s="3934" t="n"/>
    </row>
    <row r="498">
      <c r="A498" s="3944" t="n"/>
      <c r="B498" s="3944" t="n"/>
      <c r="C498" s="3944" t="n"/>
      <c r="D498" s="3944" t="n"/>
      <c r="E498" s="3944" t="n"/>
      <c r="F498" s="3944" t="n"/>
      <c r="G498" s="3944" t="n"/>
      <c r="H498" s="3944" t="n"/>
      <c r="I498" s="3944" t="n"/>
      <c r="J498" s="3934" t="n"/>
      <c r="K498" s="3934" t="n"/>
      <c r="L498" s="3934" t="n"/>
      <c r="M498" s="3934" t="n"/>
      <c r="N498" s="3934" t="n"/>
      <c r="O498" s="3934" t="n"/>
      <c r="P498" s="3934" t="n"/>
      <c r="Q498" s="3934" t="n"/>
      <c r="R498" s="3934" t="n"/>
      <c r="S498" s="3934" t="n"/>
      <c r="T498" s="3934" t="n"/>
      <c r="U498" s="3934" t="n"/>
      <c r="V498" s="3934" t="n"/>
      <c r="W498" s="3934" t="n"/>
      <c r="X498" s="3934" t="n"/>
      <c r="Y498" s="3934" t="n"/>
      <c r="Z498" s="3934" t="n"/>
      <c r="AA498" s="3934" t="n"/>
      <c r="AB498" s="3934" t="n"/>
      <c r="AC498" s="3934" t="n"/>
      <c r="AD498" s="3934" t="n"/>
      <c r="AE498" s="3934" t="n"/>
      <c r="AF498" s="3934" t="n"/>
      <c r="AG498" s="3934" t="n"/>
      <c r="AH498" s="3934" t="n"/>
      <c r="AI498" s="3934" t="n"/>
      <c r="AJ498" s="3934" t="n"/>
      <c r="AK498" s="3934" t="n"/>
      <c r="AL498" s="3934" t="n"/>
      <c r="AM498" s="3934" t="n"/>
      <c r="AN498" s="3934" t="n"/>
      <c r="AO498" s="3934" t="n"/>
      <c r="AP498" s="3934" t="n"/>
      <c r="AQ498" s="3934" t="n"/>
      <c r="AR498" s="3934" t="n"/>
    </row>
    <row r="499">
      <c r="A499" s="3944" t="n"/>
      <c r="B499" s="3944" t="n"/>
      <c r="C499" s="3944" t="n"/>
      <c r="D499" s="3944" t="n"/>
      <c r="E499" s="3944" t="n"/>
      <c r="F499" s="3944" t="n"/>
      <c r="G499" s="3944" t="n"/>
      <c r="H499" s="3944" t="n"/>
      <c r="I499" s="3944" t="n"/>
      <c r="J499" s="3934" t="n"/>
      <c r="K499" s="3934" t="n"/>
      <c r="L499" s="3934" t="n"/>
      <c r="M499" s="3934" t="n"/>
      <c r="N499" s="3934" t="n"/>
      <c r="O499" s="3934" t="n"/>
      <c r="P499" s="3934" t="n"/>
      <c r="Q499" s="3934" t="n"/>
      <c r="R499" s="3934" t="n"/>
      <c r="S499" s="3934" t="n"/>
      <c r="T499" s="3934" t="n"/>
      <c r="U499" s="3934" t="n"/>
      <c r="V499" s="3934" t="n"/>
      <c r="W499" s="3934" t="n"/>
      <c r="X499" s="3934" t="n"/>
      <c r="Y499" s="3934" t="n"/>
      <c r="Z499" s="3934" t="n"/>
      <c r="AA499" s="3934" t="n"/>
      <c r="AB499" s="3934" t="n"/>
      <c r="AC499" s="3934" t="n"/>
      <c r="AD499" s="3934" t="n"/>
      <c r="AE499" s="3934" t="n"/>
      <c r="AF499" s="3934" t="n"/>
      <c r="AG499" s="3934" t="n"/>
      <c r="AH499" s="3934" t="n"/>
      <c r="AI499" s="3934" t="n"/>
      <c r="AJ499" s="3934" t="n"/>
      <c r="AK499" s="3934" t="n"/>
      <c r="AL499" s="3934" t="n"/>
      <c r="AM499" s="3934" t="n"/>
      <c r="AN499" s="3934" t="n"/>
      <c r="AO499" s="3934" t="n"/>
      <c r="AP499" s="3934" t="n"/>
      <c r="AQ499" s="3934" t="n"/>
      <c r="AR499" s="3934" t="n"/>
    </row>
    <row r="500">
      <c r="A500" s="3944" t="n"/>
      <c r="B500" s="3944" t="n"/>
      <c r="C500" s="3944" t="n"/>
      <c r="D500" s="3944" t="n"/>
      <c r="E500" s="3944" t="n"/>
      <c r="F500" s="3944" t="n"/>
      <c r="G500" s="3944" t="n"/>
      <c r="H500" s="3944" t="n"/>
      <c r="I500" s="3944" t="n"/>
      <c r="J500" s="3934" t="n"/>
      <c r="K500" s="3934" t="n"/>
      <c r="L500" s="3934" t="n"/>
      <c r="M500" s="3934" t="n"/>
      <c r="N500" s="3934" t="n"/>
      <c r="O500" s="3934" t="n"/>
      <c r="P500" s="3934" t="n"/>
      <c r="Q500" s="3934" t="n"/>
      <c r="R500" s="3934" t="n"/>
      <c r="S500" s="3934" t="n"/>
      <c r="T500" s="3934" t="n"/>
      <c r="U500" s="3934" t="n"/>
      <c r="V500" s="3934" t="n"/>
      <c r="W500" s="3934" t="n"/>
      <c r="X500" s="3934" t="n"/>
      <c r="Y500" s="3934" t="n"/>
      <c r="Z500" s="3934" t="n"/>
      <c r="AA500" s="3934" t="n"/>
      <c r="AB500" s="3934" t="n"/>
      <c r="AC500" s="3934" t="n"/>
      <c r="AD500" s="3934" t="n"/>
      <c r="AE500" s="3934" t="n"/>
      <c r="AF500" s="3934" t="n"/>
      <c r="AG500" s="3934" t="n"/>
      <c r="AH500" s="3934" t="n"/>
      <c r="AI500" s="3934" t="n"/>
      <c r="AJ500" s="3934" t="n"/>
      <c r="AK500" s="3934" t="n"/>
      <c r="AL500" s="3934" t="n"/>
      <c r="AM500" s="3934" t="n"/>
      <c r="AN500" s="3934" t="n"/>
      <c r="AO500" s="3934" t="n"/>
      <c r="AP500" s="3934" t="n"/>
      <c r="AQ500" s="3934" t="n"/>
      <c r="AR500" s="3934" t="n"/>
    </row>
    <row r="501">
      <c r="A501" s="3944" t="n"/>
      <c r="B501" s="3944" t="n"/>
      <c r="C501" s="3944" t="n"/>
      <c r="D501" s="3944" t="n"/>
      <c r="E501" s="3944" t="n"/>
      <c r="F501" s="3944" t="n"/>
      <c r="G501" s="3944" t="n"/>
      <c r="H501" s="3944" t="n"/>
      <c r="I501" s="3944" t="n"/>
      <c r="J501" s="3934" t="n"/>
      <c r="K501" s="3934" t="n"/>
      <c r="L501" s="3934" t="n"/>
      <c r="M501" s="3934" t="n"/>
      <c r="N501" s="3934" t="n"/>
      <c r="O501" s="3934" t="n"/>
      <c r="P501" s="3934" t="n"/>
      <c r="Q501" s="3934" t="n"/>
      <c r="R501" s="3934" t="n"/>
      <c r="S501" s="3934" t="n"/>
      <c r="T501" s="3934" t="n"/>
      <c r="U501" s="3934" t="n"/>
      <c r="V501" s="3934" t="n"/>
      <c r="W501" s="3934" t="n"/>
      <c r="X501" s="3934" t="n"/>
      <c r="Y501" s="3934" t="n"/>
      <c r="Z501" s="3934" t="n"/>
      <c r="AA501" s="3934" t="n"/>
      <c r="AB501" s="3934" t="n"/>
      <c r="AC501" s="3934" t="n"/>
      <c r="AD501" s="3934" t="n"/>
      <c r="AE501" s="3934" t="n"/>
      <c r="AF501" s="3934" t="n"/>
      <c r="AG501" s="3934" t="n"/>
      <c r="AH501" s="3934" t="n"/>
      <c r="AI501" s="3934" t="n"/>
      <c r="AJ501" s="3934" t="n"/>
      <c r="AK501" s="3934" t="n"/>
      <c r="AL501" s="3934" t="n"/>
      <c r="AM501" s="3934" t="n"/>
      <c r="AN501" s="3934" t="n"/>
      <c r="AO501" s="3934" t="n"/>
      <c r="AP501" s="3934" t="n"/>
      <c r="AQ501" s="3934" t="n"/>
      <c r="AR501" s="3934" t="n"/>
    </row>
    <row r="502">
      <c r="A502" s="3944" t="n"/>
      <c r="B502" s="3944" t="n"/>
      <c r="C502" s="3944" t="n"/>
      <c r="D502" s="3944" t="n"/>
      <c r="E502" s="3944" t="n"/>
      <c r="F502" s="3944" t="n"/>
      <c r="G502" s="3944" t="n"/>
      <c r="H502" s="3944" t="n"/>
      <c r="I502" s="3944" t="n"/>
      <c r="J502" s="3934" t="n"/>
      <c r="K502" s="3934" t="n"/>
      <c r="L502" s="3934" t="n"/>
      <c r="M502" s="3934" t="n"/>
      <c r="N502" s="3934" t="n"/>
      <c r="O502" s="3934" t="n"/>
      <c r="P502" s="3934" t="n"/>
      <c r="Q502" s="3934" t="n"/>
      <c r="R502" s="3934" t="n"/>
      <c r="S502" s="3934" t="n"/>
      <c r="T502" s="3934" t="n"/>
      <c r="U502" s="3934" t="n"/>
      <c r="V502" s="3934" t="n"/>
      <c r="W502" s="3934" t="n"/>
      <c r="X502" s="3934" t="n"/>
      <c r="Y502" s="3934" t="n"/>
      <c r="Z502" s="3934" t="n"/>
      <c r="AA502" s="3934" t="n"/>
      <c r="AB502" s="3934" t="n"/>
      <c r="AC502" s="3934" t="n"/>
      <c r="AD502" s="3934" t="n"/>
      <c r="AE502" s="3934" t="n"/>
      <c r="AF502" s="3934" t="n"/>
      <c r="AG502" s="3934" t="n"/>
      <c r="AH502" s="3934" t="n"/>
      <c r="AI502" s="3934" t="n"/>
      <c r="AJ502" s="3934" t="n"/>
      <c r="AK502" s="3934" t="n"/>
      <c r="AL502" s="3934" t="n"/>
      <c r="AM502" s="3934" t="n"/>
      <c r="AN502" s="3934" t="n"/>
      <c r="AO502" s="3934" t="n"/>
      <c r="AP502" s="3934" t="n"/>
      <c r="AQ502" s="3934" t="n"/>
      <c r="AR502" s="3934" t="n"/>
    </row>
    <row r="503">
      <c r="A503" s="3944" t="n"/>
      <c r="B503" s="3944" t="n"/>
      <c r="C503" s="3944" t="n"/>
      <c r="D503" s="3944" t="n"/>
      <c r="E503" s="3944" t="n"/>
      <c r="F503" s="3944" t="n"/>
      <c r="G503" s="3944" t="n"/>
      <c r="H503" s="3944" t="n"/>
      <c r="I503" s="3944" t="n"/>
      <c r="J503" s="3934" t="n"/>
      <c r="K503" s="3934" t="n"/>
      <c r="L503" s="3934" t="n"/>
      <c r="M503" s="3934" t="n"/>
      <c r="N503" s="3934" t="n"/>
      <c r="O503" s="3934" t="n"/>
      <c r="P503" s="3934" t="n"/>
      <c r="Q503" s="3934" t="n"/>
      <c r="R503" s="3934" t="n"/>
      <c r="S503" s="3934" t="n"/>
      <c r="T503" s="3934" t="n"/>
      <c r="U503" s="3934" t="n"/>
      <c r="V503" s="3934" t="n"/>
      <c r="W503" s="3934" t="n"/>
      <c r="X503" s="3934" t="n"/>
      <c r="Y503" s="3934" t="n"/>
      <c r="Z503" s="3934" t="n"/>
      <c r="AA503" s="3934" t="n"/>
      <c r="AB503" s="3934" t="n"/>
      <c r="AC503" s="3934" t="n"/>
      <c r="AD503" s="3934" t="n"/>
      <c r="AE503" s="3934" t="n"/>
      <c r="AF503" s="3934" t="n"/>
      <c r="AG503" s="3934" t="n"/>
      <c r="AH503" s="3934" t="n"/>
      <c r="AI503" s="3934" t="n"/>
      <c r="AJ503" s="3934" t="n"/>
      <c r="AK503" s="3934" t="n"/>
      <c r="AL503" s="3934" t="n"/>
      <c r="AM503" s="3934" t="n"/>
      <c r="AN503" s="3934" t="n"/>
      <c r="AO503" s="3934" t="n"/>
      <c r="AP503" s="3934" t="n"/>
      <c r="AQ503" s="3934" t="n"/>
      <c r="AR503" s="3934" t="n"/>
    </row>
    <row r="504">
      <c r="A504" s="3944" t="n"/>
      <c r="B504" s="3944" t="n"/>
      <c r="C504" s="3944" t="n"/>
      <c r="D504" s="3944" t="n"/>
      <c r="E504" s="3944" t="n"/>
      <c r="F504" s="3944" t="n"/>
      <c r="G504" s="3944" t="n"/>
      <c r="H504" s="3944" t="n"/>
      <c r="I504" s="3944" t="n"/>
      <c r="J504" s="3934" t="n"/>
      <c r="K504" s="3934" t="n"/>
      <c r="L504" s="3934" t="n"/>
      <c r="M504" s="3934" t="n"/>
      <c r="N504" s="3934" t="n"/>
      <c r="O504" s="3934" t="n"/>
      <c r="P504" s="3934" t="n"/>
      <c r="Q504" s="3934" t="n"/>
      <c r="R504" s="3934" t="n"/>
      <c r="S504" s="3934" t="n"/>
      <c r="T504" s="3934" t="n"/>
      <c r="U504" s="3934" t="n"/>
      <c r="V504" s="3934" t="n"/>
      <c r="W504" s="3934" t="n"/>
      <c r="X504" s="3934" t="n"/>
      <c r="Y504" s="3934" t="n"/>
      <c r="Z504" s="3934" t="n"/>
      <c r="AA504" s="3934" t="n"/>
      <c r="AB504" s="3934" t="n"/>
      <c r="AC504" s="3934" t="n"/>
      <c r="AD504" s="3934" t="n"/>
      <c r="AE504" s="3934" t="n"/>
      <c r="AF504" s="3934" t="n"/>
      <c r="AG504" s="3934" t="n"/>
      <c r="AH504" s="3934" t="n"/>
      <c r="AI504" s="3934" t="n"/>
      <c r="AJ504" s="3934" t="n"/>
      <c r="AK504" s="3934" t="n"/>
      <c r="AL504" s="3934" t="n"/>
      <c r="AM504" s="3934" t="n"/>
      <c r="AN504" s="3934" t="n"/>
      <c r="AO504" s="3934" t="n"/>
      <c r="AP504" s="3934" t="n"/>
      <c r="AQ504" s="3934" t="n"/>
      <c r="AR504" s="3934" t="n"/>
    </row>
    <row r="505">
      <c r="A505" s="3944" t="n"/>
      <c r="B505" s="3944" t="n"/>
      <c r="C505" s="3944" t="n"/>
      <c r="D505" s="3944" t="n"/>
      <c r="E505" s="3944" t="n"/>
      <c r="F505" s="3944" t="n"/>
      <c r="G505" s="3944" t="n"/>
      <c r="H505" s="3944" t="n"/>
      <c r="I505" s="3944" t="n"/>
      <c r="J505" s="3934" t="n"/>
      <c r="K505" s="3934" t="n"/>
      <c r="L505" s="3934" t="n"/>
      <c r="M505" s="3934" t="n"/>
      <c r="N505" s="3934" t="n"/>
      <c r="O505" s="3934" t="n"/>
      <c r="P505" s="3934" t="n"/>
      <c r="Q505" s="3934" t="n"/>
      <c r="R505" s="3934" t="n"/>
      <c r="S505" s="3934" t="n"/>
      <c r="T505" s="3934" t="n"/>
      <c r="U505" s="3934" t="n"/>
      <c r="V505" s="3934" t="n"/>
      <c r="W505" s="3934" t="n"/>
      <c r="X505" s="3934" t="n"/>
      <c r="Y505" s="3934" t="n"/>
      <c r="Z505" s="3934" t="n"/>
      <c r="AA505" s="3934" t="n"/>
      <c r="AB505" s="3934" t="n"/>
      <c r="AC505" s="3934" t="n"/>
      <c r="AD505" s="3934" t="n"/>
      <c r="AE505" s="3934" t="n"/>
      <c r="AF505" s="3934" t="n"/>
      <c r="AG505" s="3934" t="n"/>
      <c r="AH505" s="3934" t="n"/>
      <c r="AI505" s="3934" t="n"/>
      <c r="AJ505" s="3934" t="n"/>
      <c r="AK505" s="3934" t="n"/>
      <c r="AL505" s="3934" t="n"/>
      <c r="AM505" s="3934" t="n"/>
      <c r="AN505" s="3934" t="n"/>
      <c r="AO505" s="3934" t="n"/>
      <c r="AP505" s="3934" t="n"/>
      <c r="AQ505" s="3934" t="n"/>
      <c r="AR505" s="3934" t="n"/>
    </row>
    <row r="506">
      <c r="A506" s="3944" t="n"/>
      <c r="B506" s="3944" t="n"/>
      <c r="C506" s="3944" t="n"/>
      <c r="D506" s="3944" t="n"/>
      <c r="E506" s="3944" t="n"/>
      <c r="F506" s="3944" t="n"/>
      <c r="G506" s="3944" t="n"/>
      <c r="H506" s="3944" t="n"/>
      <c r="I506" s="3944" t="n"/>
      <c r="J506" s="3934" t="n"/>
      <c r="K506" s="3934" t="n"/>
      <c r="L506" s="3934" t="n"/>
      <c r="M506" s="3934" t="n"/>
      <c r="N506" s="3934" t="n"/>
      <c r="O506" s="3934" t="n"/>
      <c r="P506" s="3934" t="n"/>
      <c r="Q506" s="3934" t="n"/>
      <c r="R506" s="3934" t="n"/>
      <c r="S506" s="3934" t="n"/>
      <c r="T506" s="3934" t="n"/>
      <c r="U506" s="3934" t="n"/>
      <c r="V506" s="3934" t="n"/>
      <c r="W506" s="3934" t="n"/>
      <c r="X506" s="3934" t="n"/>
      <c r="Y506" s="3934" t="n"/>
      <c r="Z506" s="3934" t="n"/>
      <c r="AA506" s="3934" t="n"/>
      <c r="AB506" s="3934" t="n"/>
      <c r="AC506" s="3934" t="n"/>
      <c r="AD506" s="3934" t="n"/>
      <c r="AE506" s="3934" t="n"/>
      <c r="AF506" s="3934" t="n"/>
      <c r="AG506" s="3934" t="n"/>
      <c r="AH506" s="3934" t="n"/>
      <c r="AI506" s="3934" t="n"/>
      <c r="AJ506" s="3934" t="n"/>
      <c r="AK506" s="3934" t="n"/>
      <c r="AL506" s="3934" t="n"/>
      <c r="AM506" s="3934" t="n"/>
      <c r="AN506" s="3934" t="n"/>
      <c r="AO506" s="3934" t="n"/>
      <c r="AP506" s="3934" t="n"/>
      <c r="AQ506" s="3934" t="n"/>
      <c r="AR506" s="3934" t="n"/>
    </row>
    <row r="507">
      <c r="A507" s="3944" t="n"/>
      <c r="B507" s="3944" t="n"/>
      <c r="C507" s="3944" t="n"/>
      <c r="D507" s="3944" t="n"/>
      <c r="E507" s="3944" t="n"/>
      <c r="F507" s="3944" t="n"/>
      <c r="G507" s="3944" t="n"/>
      <c r="H507" s="3944" t="n"/>
      <c r="I507" s="3944" t="n"/>
      <c r="J507" s="3934" t="n"/>
      <c r="K507" s="3934" t="n"/>
      <c r="L507" s="3934" t="n"/>
      <c r="M507" s="3934" t="n"/>
      <c r="N507" s="3934" t="n"/>
      <c r="O507" s="3934" t="n"/>
      <c r="P507" s="3934" t="n"/>
      <c r="Q507" s="3934" t="n"/>
      <c r="R507" s="3934" t="n"/>
      <c r="S507" s="3934" t="n"/>
      <c r="T507" s="3934" t="n"/>
      <c r="U507" s="3934" t="n"/>
      <c r="V507" s="3934" t="n"/>
      <c r="W507" s="3934" t="n"/>
      <c r="X507" s="3934" t="n"/>
      <c r="Y507" s="3934" t="n"/>
      <c r="Z507" s="3934" t="n"/>
      <c r="AA507" s="3934" t="n"/>
      <c r="AB507" s="3934" t="n"/>
      <c r="AC507" s="3934" t="n"/>
      <c r="AD507" s="3934" t="n"/>
      <c r="AE507" s="3934" t="n"/>
      <c r="AF507" s="3934" t="n"/>
      <c r="AG507" s="3934" t="n"/>
      <c r="AH507" s="3934" t="n"/>
      <c r="AI507" s="3934" t="n"/>
      <c r="AJ507" s="3934" t="n"/>
      <c r="AK507" s="3934" t="n"/>
      <c r="AL507" s="3934" t="n"/>
      <c r="AM507" s="3934" t="n"/>
      <c r="AN507" s="3934" t="n"/>
      <c r="AO507" s="3934" t="n"/>
      <c r="AP507" s="3934" t="n"/>
      <c r="AQ507" s="3934" t="n"/>
      <c r="AR507" s="3934" t="n"/>
    </row>
    <row r="508">
      <c r="A508" s="3944" t="n"/>
      <c r="B508" s="3944" t="n"/>
      <c r="C508" s="3944" t="n"/>
      <c r="D508" s="3944" t="n"/>
      <c r="E508" s="3944" t="n"/>
      <c r="F508" s="3944" t="n"/>
      <c r="G508" s="3944" t="n"/>
      <c r="H508" s="3944" t="n"/>
      <c r="I508" s="3944" t="n"/>
      <c r="J508" s="3934" t="n"/>
      <c r="K508" s="3934" t="n"/>
      <c r="L508" s="3934" t="n"/>
      <c r="M508" s="3934" t="n"/>
      <c r="N508" s="3934" t="n"/>
      <c r="O508" s="3934" t="n"/>
      <c r="P508" s="3934" t="n"/>
      <c r="Q508" s="3934" t="n"/>
      <c r="R508" s="3934" t="n"/>
      <c r="S508" s="3934" t="n"/>
      <c r="T508" s="3934" t="n"/>
      <c r="U508" s="3934" t="n"/>
      <c r="V508" s="3934" t="n"/>
      <c r="W508" s="3934" t="n"/>
      <c r="X508" s="3934" t="n"/>
      <c r="Y508" s="3934" t="n"/>
      <c r="Z508" s="3934" t="n"/>
      <c r="AA508" s="3934" t="n"/>
      <c r="AB508" s="3934" t="n"/>
      <c r="AC508" s="3934" t="n"/>
      <c r="AD508" s="3934" t="n"/>
      <c r="AE508" s="3934" t="n"/>
      <c r="AF508" s="3934" t="n"/>
      <c r="AG508" s="3934" t="n"/>
      <c r="AH508" s="3934" t="n"/>
      <c r="AI508" s="3934" t="n"/>
      <c r="AJ508" s="3934" t="n"/>
      <c r="AK508" s="3934" t="n"/>
      <c r="AL508" s="3934" t="n"/>
      <c r="AM508" s="3934" t="n"/>
      <c r="AN508" s="3934" t="n"/>
      <c r="AO508" s="3934" t="n"/>
      <c r="AP508" s="3934" t="n"/>
      <c r="AQ508" s="3934" t="n"/>
      <c r="AR508" s="3934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R508"/>
  <sheetViews>
    <sheetView showGridLines="0" zoomScale="100" zoomScaleNormal="10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24" customWidth="1" min="4" max="4"/>
    <col width="16" customWidth="1" min="5" max="5"/>
    <col width="18" customWidth="1" min="6" max="6"/>
    <col width="14" customWidth="1" min="7" max="7"/>
    <col width="10" customWidth="1" min="8" max="8"/>
  </cols>
  <sheetData>
    <row r="1" ht="24" customHeight="1">
      <c r="A1" s="3921" t="inlineStr">
        <is>
          <t>Map | NWC &amp; NetDebt Class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</row>
    <row r="2">
      <c r="A2" s="3978" t="inlineStr">
        <is>
          <t>Source: &lt;document_source&gt;</t>
        </is>
      </c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</row>
    <row r="4">
      <c r="A4" s="3936" t="inlineStr">
        <is>
          <t>Template Note</t>
        </is>
      </c>
      <c r="B4" s="3937" t="inlineStr">
        <is>
          <t>Pack A scaffold only: direct formulas/values, no Excel Tables, no required named ranges.</t>
        </is>
      </c>
      <c r="C4" s="3934" t="n"/>
      <c r="D4" s="3934" t="n"/>
      <c r="E4" s="3934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</row>
    <row r="5">
      <c r="A5" s="3934" t="n"/>
      <c r="B5" s="3934" t="n"/>
      <c r="C5" s="3934" t="n"/>
      <c r="D5" s="3934" t="n"/>
      <c r="E5" s="3934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</row>
    <row r="7">
      <c r="A7" s="3979" t="inlineStr">
        <is>
          <t>Map | NWC &amp; NetDebt Class</t>
        </is>
      </c>
      <c r="B7" s="3980" t="n"/>
      <c r="C7" s="3980" t="n"/>
      <c r="D7" s="3980" t="n"/>
      <c r="E7" s="3980" t="n"/>
      <c r="F7" s="3980" t="n"/>
      <c r="G7" s="3980" t="n"/>
      <c r="H7" s="3980" t="n"/>
      <c r="I7" s="3934" t="n"/>
      <c r="J7" s="3934" t="n"/>
      <c r="K7" s="3934" t="n"/>
      <c r="L7" s="3934" t="n"/>
      <c r="M7" s="3934" t="n"/>
      <c r="N7" s="3934" t="n"/>
      <c r="O7" s="3934" t="n"/>
      <c r="P7" s="3934" t="n"/>
      <c r="Q7" s="3934" t="n"/>
      <c r="R7" s="3934" t="n"/>
      <c r="S7" s="3934" t="n"/>
      <c r="T7" s="3934" t="n"/>
      <c r="U7" s="3934" t="n"/>
      <c r="V7" s="3934" t="n"/>
      <c r="W7" s="3934" t="n"/>
      <c r="X7" s="3934" t="n"/>
      <c r="Y7" s="3934" t="n"/>
      <c r="Z7" s="3934" t="n"/>
      <c r="AA7" s="3934" t="n"/>
      <c r="AB7" s="3934" t="n"/>
      <c r="AC7" s="3934" t="n"/>
      <c r="AD7" s="3934" t="n"/>
      <c r="AE7" s="3934" t="n"/>
      <c r="AF7" s="3934" t="n"/>
      <c r="AG7" s="3934" t="n"/>
      <c r="AH7" s="3934" t="n"/>
      <c r="AI7" s="3934" t="n"/>
      <c r="AJ7" s="3934" t="n"/>
      <c r="AK7" s="3934" t="n"/>
      <c r="AL7" s="3934" t="n"/>
      <c r="AM7" s="3934" t="n"/>
      <c r="AN7" s="3934" t="n"/>
      <c r="AO7" s="3934" t="n"/>
      <c r="AP7" s="3934" t="n"/>
      <c r="AQ7" s="3934" t="n"/>
      <c r="AR7" s="3934" t="n"/>
    </row>
    <row r="8">
      <c r="A8" s="3923" t="inlineStr">
        <is>
          <t>AccountNumber</t>
        </is>
      </c>
      <c r="B8" s="3923" t="inlineStr">
        <is>
          <t>ClassType</t>
        </is>
      </c>
      <c r="C8" s="3923" t="inlineStr">
        <is>
          <t>ClassKey</t>
        </is>
      </c>
      <c r="D8" s="3923" t="inlineStr">
        <is>
          <t>ClassName</t>
        </is>
      </c>
      <c r="E8" s="3923" t="inlineStr">
        <is>
          <t>Bucket</t>
        </is>
      </c>
      <c r="F8" s="3923" t="inlineStr">
        <is>
          <t>WorkingCapitalFlag</t>
        </is>
      </c>
      <c r="G8" s="3923" t="inlineStr">
        <is>
          <t>NetDebtFlag</t>
        </is>
      </c>
      <c r="H8" s="3923" t="inlineStr">
        <is>
          <t>SortOrder</t>
        </is>
      </c>
      <c r="I8" s="3934" t="n"/>
      <c r="J8" s="3934" t="n"/>
      <c r="K8" s="3934" t="n"/>
      <c r="L8" s="3934" t="n"/>
      <c r="M8" s="3934" t="n"/>
      <c r="N8" s="3934" t="n"/>
      <c r="O8" s="3934" t="n"/>
      <c r="P8" s="3934" t="n"/>
      <c r="Q8" s="3934" t="n"/>
      <c r="R8" s="3934" t="n"/>
      <c r="S8" s="3934" t="n"/>
      <c r="T8" s="3934" t="n"/>
      <c r="U8" s="3934" t="n"/>
      <c r="V8" s="3934" t="n"/>
      <c r="W8" s="3934" t="n"/>
      <c r="X8" s="3934" t="n"/>
      <c r="Y8" s="3934" t="n"/>
      <c r="Z8" s="3934" t="n"/>
      <c r="AA8" s="3934" t="n"/>
      <c r="AB8" s="3934" t="n"/>
      <c r="AC8" s="3934" t="n"/>
      <c r="AD8" s="3934" t="n"/>
      <c r="AE8" s="3934" t="n"/>
      <c r="AF8" s="3934" t="n"/>
      <c r="AG8" s="3934" t="n"/>
      <c r="AH8" s="3934" t="n"/>
      <c r="AI8" s="3934" t="n"/>
      <c r="AJ8" s="3934" t="n"/>
      <c r="AK8" s="3934" t="n"/>
      <c r="AL8" s="3934" t="n"/>
      <c r="AM8" s="3934" t="n"/>
      <c r="AN8" s="3934" t="n"/>
      <c r="AO8" s="3934" t="n"/>
      <c r="AP8" s="3934" t="n"/>
      <c r="AQ8" s="3934" t="n"/>
      <c r="AR8" s="3934" t="n"/>
    </row>
    <row r="9">
      <c r="A9" s="3944" t="n"/>
      <c r="B9" s="3944" t="n"/>
      <c r="C9" s="3944" t="n"/>
      <c r="D9" s="3944" t="n"/>
      <c r="E9" s="3944" t="n"/>
      <c r="F9" s="3944" t="n"/>
      <c r="G9" s="3944" t="n"/>
      <c r="H9" s="3944" t="n"/>
      <c r="I9" s="3934" t="n"/>
      <c r="J9" s="3934" t="n"/>
      <c r="K9" s="3934" t="n"/>
      <c r="L9" s="3934" t="n"/>
      <c r="M9" s="3934" t="n"/>
      <c r="N9" s="3934" t="n"/>
      <c r="O9" s="3934" t="n"/>
      <c r="P9" s="3934" t="n"/>
      <c r="Q9" s="3934" t="n"/>
      <c r="R9" s="3934" t="n"/>
      <c r="S9" s="3934" t="n"/>
      <c r="T9" s="3934" t="n"/>
      <c r="U9" s="3934" t="n"/>
      <c r="V9" s="3934" t="n"/>
      <c r="W9" s="3934" t="n"/>
      <c r="X9" s="3934" t="n"/>
      <c r="Y9" s="3934" t="n"/>
      <c r="Z9" s="3934" t="n"/>
      <c r="AA9" s="3934" t="n"/>
      <c r="AB9" s="3934" t="n"/>
      <c r="AC9" s="3934" t="n"/>
      <c r="AD9" s="3934" t="n"/>
      <c r="AE9" s="3934" t="n"/>
      <c r="AF9" s="3934" t="n"/>
      <c r="AG9" s="3934" t="n"/>
      <c r="AH9" s="3934" t="n"/>
      <c r="AI9" s="3934" t="n"/>
      <c r="AJ9" s="3934" t="n"/>
      <c r="AK9" s="3934" t="n"/>
      <c r="AL9" s="3934" t="n"/>
      <c r="AM9" s="3934" t="n"/>
      <c r="AN9" s="3934" t="n"/>
      <c r="AO9" s="3934" t="n"/>
      <c r="AP9" s="3934" t="n"/>
      <c r="AQ9" s="3934" t="n"/>
      <c r="AR9" s="3934" t="n"/>
    </row>
    <row r="10">
      <c r="A10" s="3944" t="n"/>
      <c r="B10" s="3944" t="n"/>
      <c r="C10" s="3944" t="n"/>
      <c r="D10" s="3944" t="n"/>
      <c r="E10" s="3944" t="n"/>
      <c r="F10" s="3944" t="n"/>
      <c r="G10" s="3944" t="n"/>
      <c r="H10" s="3944" t="n"/>
      <c r="I10" s="3934" t="n"/>
      <c r="J10" s="3934" t="n"/>
      <c r="K10" s="3934" t="n"/>
      <c r="L10" s="3934" t="n"/>
      <c r="M10" s="3934" t="n"/>
      <c r="N10" s="3934" t="n"/>
      <c r="O10" s="3934" t="n"/>
      <c r="P10" s="3934" t="n"/>
      <c r="Q10" s="3934" t="n"/>
      <c r="R10" s="3934" t="n"/>
      <c r="S10" s="3934" t="n"/>
      <c r="T10" s="3934" t="n"/>
      <c r="U10" s="3934" t="n"/>
      <c r="V10" s="3934" t="n"/>
      <c r="W10" s="3934" t="n"/>
      <c r="X10" s="3934" t="n"/>
      <c r="Y10" s="3934" t="n"/>
      <c r="Z10" s="3934" t="n"/>
      <c r="AA10" s="3934" t="n"/>
      <c r="AB10" s="3934" t="n"/>
      <c r="AC10" s="3934" t="n"/>
      <c r="AD10" s="3934" t="n"/>
      <c r="AE10" s="3934" t="n"/>
      <c r="AF10" s="3934" t="n"/>
      <c r="AG10" s="3934" t="n"/>
      <c r="AH10" s="3934" t="n"/>
      <c r="AI10" s="3934" t="n"/>
      <c r="AJ10" s="3934" t="n"/>
      <c r="AK10" s="3934" t="n"/>
      <c r="AL10" s="3934" t="n"/>
      <c r="AM10" s="3934" t="n"/>
      <c r="AN10" s="3934" t="n"/>
      <c r="AO10" s="3934" t="n"/>
      <c r="AP10" s="3934" t="n"/>
      <c r="AQ10" s="3934" t="n"/>
      <c r="AR10" s="3934" t="n"/>
    </row>
    <row r="11">
      <c r="A11" s="3944" t="n"/>
      <c r="B11" s="3944" t="n"/>
      <c r="C11" s="3944" t="n"/>
      <c r="D11" s="3944" t="n"/>
      <c r="E11" s="3944" t="n"/>
      <c r="F11" s="3944" t="n"/>
      <c r="G11" s="3944" t="n"/>
      <c r="H11" s="3944" t="n"/>
      <c r="I11" s="3934" t="n"/>
      <c r="J11" s="3934" t="n"/>
      <c r="K11" s="3934" t="n"/>
      <c r="L11" s="3934" t="n"/>
      <c r="M11" s="3934" t="n"/>
      <c r="N11" s="3934" t="n"/>
      <c r="O11" s="3934" t="n"/>
      <c r="P11" s="3934" t="n"/>
      <c r="Q11" s="3934" t="n"/>
      <c r="R11" s="3934" t="n"/>
      <c r="S11" s="3934" t="n"/>
      <c r="T11" s="3934" t="n"/>
      <c r="U11" s="3934" t="n"/>
      <c r="V11" s="3934" t="n"/>
      <c r="W11" s="3934" t="n"/>
      <c r="X11" s="3934" t="n"/>
      <c r="Y11" s="3934" t="n"/>
      <c r="Z11" s="3934" t="n"/>
      <c r="AA11" s="3934" t="n"/>
      <c r="AB11" s="3934" t="n"/>
      <c r="AC11" s="3934" t="n"/>
      <c r="AD11" s="3934" t="n"/>
      <c r="AE11" s="3934" t="n"/>
      <c r="AF11" s="3934" t="n"/>
      <c r="AG11" s="3934" t="n"/>
      <c r="AH11" s="3934" t="n"/>
      <c r="AI11" s="3934" t="n"/>
      <c r="AJ11" s="3934" t="n"/>
      <c r="AK11" s="3934" t="n"/>
      <c r="AL11" s="3934" t="n"/>
      <c r="AM11" s="3934" t="n"/>
      <c r="AN11" s="3934" t="n"/>
      <c r="AO11" s="3934" t="n"/>
      <c r="AP11" s="3934" t="n"/>
      <c r="AQ11" s="3934" t="n"/>
      <c r="AR11" s="3934" t="n"/>
    </row>
    <row r="12">
      <c r="A12" s="3944" t="n"/>
      <c r="B12" s="3944" t="n"/>
      <c r="C12" s="3944" t="n"/>
      <c r="D12" s="3944" t="n"/>
      <c r="E12" s="3944" t="n"/>
      <c r="F12" s="3944" t="n"/>
      <c r="G12" s="3944" t="n"/>
      <c r="H12" s="3944" t="n"/>
      <c r="I12" s="3934" t="n"/>
      <c r="J12" s="3934" t="n"/>
      <c r="K12" s="3934" t="n"/>
      <c r="L12" s="3934" t="n"/>
      <c r="M12" s="3934" t="n"/>
      <c r="N12" s="3934" t="n"/>
      <c r="O12" s="3934" t="n"/>
      <c r="P12" s="3934" t="n"/>
      <c r="Q12" s="3934" t="n"/>
      <c r="R12" s="3934" t="n"/>
      <c r="S12" s="3934" t="n"/>
      <c r="T12" s="3934" t="n"/>
      <c r="U12" s="3934" t="n"/>
      <c r="V12" s="3934" t="n"/>
      <c r="W12" s="3934" t="n"/>
      <c r="X12" s="3934" t="n"/>
      <c r="Y12" s="3934" t="n"/>
      <c r="Z12" s="3934" t="n"/>
      <c r="AA12" s="3934" t="n"/>
      <c r="AB12" s="3934" t="n"/>
      <c r="AC12" s="3934" t="n"/>
      <c r="AD12" s="3934" t="n"/>
      <c r="AE12" s="3934" t="n"/>
      <c r="AF12" s="3934" t="n"/>
      <c r="AG12" s="3934" t="n"/>
      <c r="AH12" s="3934" t="n"/>
      <c r="AI12" s="3934" t="n"/>
      <c r="AJ12" s="3934" t="n"/>
      <c r="AK12" s="3934" t="n"/>
      <c r="AL12" s="3934" t="n"/>
      <c r="AM12" s="3934" t="n"/>
      <c r="AN12" s="3934" t="n"/>
      <c r="AO12" s="3934" t="n"/>
      <c r="AP12" s="3934" t="n"/>
      <c r="AQ12" s="3934" t="n"/>
      <c r="AR12" s="3934" t="n"/>
    </row>
    <row r="13">
      <c r="A13" s="3944" t="n"/>
      <c r="B13" s="3944" t="n"/>
      <c r="C13" s="3944" t="n"/>
      <c r="D13" s="3944" t="n"/>
      <c r="E13" s="3944" t="n"/>
      <c r="F13" s="3944" t="n"/>
      <c r="G13" s="3944" t="n"/>
      <c r="H13" s="3944" t="n"/>
      <c r="I13" s="3934" t="n"/>
      <c r="J13" s="3934" t="n"/>
      <c r="K13" s="3934" t="n"/>
      <c r="L13" s="3934" t="n"/>
      <c r="M13" s="3934" t="n"/>
      <c r="N13" s="3934" t="n"/>
      <c r="O13" s="3934" t="n"/>
      <c r="P13" s="3934" t="n"/>
      <c r="Q13" s="3934" t="n"/>
      <c r="R13" s="3934" t="n"/>
      <c r="S13" s="3934" t="n"/>
      <c r="T13" s="3934" t="n"/>
      <c r="U13" s="3934" t="n"/>
      <c r="V13" s="3934" t="n"/>
      <c r="W13" s="3934" t="n"/>
      <c r="X13" s="3934" t="n"/>
      <c r="Y13" s="3934" t="n"/>
      <c r="Z13" s="3934" t="n"/>
      <c r="AA13" s="3934" t="n"/>
      <c r="AB13" s="3934" t="n"/>
      <c r="AC13" s="3934" t="n"/>
      <c r="AD13" s="3934" t="n"/>
      <c r="AE13" s="3934" t="n"/>
      <c r="AF13" s="3934" t="n"/>
      <c r="AG13" s="3934" t="n"/>
      <c r="AH13" s="3934" t="n"/>
      <c r="AI13" s="3934" t="n"/>
      <c r="AJ13" s="3934" t="n"/>
      <c r="AK13" s="3934" t="n"/>
      <c r="AL13" s="3934" t="n"/>
      <c r="AM13" s="3934" t="n"/>
      <c r="AN13" s="3934" t="n"/>
      <c r="AO13" s="3934" t="n"/>
      <c r="AP13" s="3934" t="n"/>
      <c r="AQ13" s="3934" t="n"/>
      <c r="AR13" s="3934" t="n"/>
    </row>
    <row r="14">
      <c r="A14" s="3944" t="n"/>
      <c r="B14" s="3944" t="n"/>
      <c r="C14" s="3944" t="n"/>
      <c r="D14" s="3944" t="n"/>
      <c r="E14" s="3944" t="n"/>
      <c r="F14" s="3944" t="n"/>
      <c r="G14" s="3944" t="n"/>
      <c r="H14" s="3944" t="n"/>
      <c r="I14" s="3934" t="n"/>
      <c r="J14" s="3934" t="n"/>
      <c r="K14" s="3934" t="n"/>
      <c r="L14" s="3934" t="n"/>
      <c r="M14" s="3934" t="n"/>
      <c r="N14" s="3934" t="n"/>
      <c r="O14" s="3934" t="n"/>
      <c r="P14" s="3934" t="n"/>
      <c r="Q14" s="3934" t="n"/>
      <c r="R14" s="3934" t="n"/>
      <c r="S14" s="3934" t="n"/>
      <c r="T14" s="3934" t="n"/>
      <c r="U14" s="3934" t="n"/>
      <c r="V14" s="3934" t="n"/>
      <c r="W14" s="3934" t="n"/>
      <c r="X14" s="3934" t="n"/>
      <c r="Y14" s="3934" t="n"/>
      <c r="Z14" s="3934" t="n"/>
      <c r="AA14" s="3934" t="n"/>
      <c r="AB14" s="3934" t="n"/>
      <c r="AC14" s="3934" t="n"/>
      <c r="AD14" s="3934" t="n"/>
      <c r="AE14" s="3934" t="n"/>
      <c r="AF14" s="3934" t="n"/>
      <c r="AG14" s="3934" t="n"/>
      <c r="AH14" s="3934" t="n"/>
      <c r="AI14" s="3934" t="n"/>
      <c r="AJ14" s="3934" t="n"/>
      <c r="AK14" s="3934" t="n"/>
      <c r="AL14" s="3934" t="n"/>
      <c r="AM14" s="3934" t="n"/>
      <c r="AN14" s="3934" t="n"/>
      <c r="AO14" s="3934" t="n"/>
      <c r="AP14" s="3934" t="n"/>
      <c r="AQ14" s="3934" t="n"/>
      <c r="AR14" s="3934" t="n"/>
    </row>
    <row r="15">
      <c r="A15" s="3944" t="n"/>
      <c r="B15" s="3944" t="n"/>
      <c r="C15" s="3944" t="n"/>
      <c r="D15" s="3944" t="n"/>
      <c r="E15" s="3944" t="n"/>
      <c r="F15" s="3944" t="n"/>
      <c r="G15" s="3944" t="n"/>
      <c r="H15" s="3944" t="n"/>
      <c r="I15" s="3934" t="n"/>
      <c r="J15" s="3934" t="n"/>
      <c r="K15" s="3934" t="n"/>
      <c r="L15" s="3934" t="n"/>
      <c r="M15" s="3934" t="n"/>
      <c r="N15" s="3934" t="n"/>
      <c r="O15" s="3934" t="n"/>
      <c r="P15" s="3934" t="n"/>
      <c r="Q15" s="3934" t="n"/>
      <c r="R15" s="3934" t="n"/>
      <c r="S15" s="3934" t="n"/>
      <c r="T15" s="3934" t="n"/>
      <c r="U15" s="3934" t="n"/>
      <c r="V15" s="3934" t="n"/>
      <c r="W15" s="3934" t="n"/>
      <c r="X15" s="3934" t="n"/>
      <c r="Y15" s="3934" t="n"/>
      <c r="Z15" s="3934" t="n"/>
      <c r="AA15" s="3934" t="n"/>
      <c r="AB15" s="3934" t="n"/>
      <c r="AC15" s="3934" t="n"/>
      <c r="AD15" s="3934" t="n"/>
      <c r="AE15" s="3934" t="n"/>
      <c r="AF15" s="3934" t="n"/>
      <c r="AG15" s="3934" t="n"/>
      <c r="AH15" s="3934" t="n"/>
      <c r="AI15" s="3934" t="n"/>
      <c r="AJ15" s="3934" t="n"/>
      <c r="AK15" s="3934" t="n"/>
      <c r="AL15" s="3934" t="n"/>
      <c r="AM15" s="3934" t="n"/>
      <c r="AN15" s="3934" t="n"/>
      <c r="AO15" s="3934" t="n"/>
      <c r="AP15" s="3934" t="n"/>
      <c r="AQ15" s="3934" t="n"/>
      <c r="AR15" s="3934" t="n"/>
    </row>
    <row r="16">
      <c r="A16" s="3944" t="n"/>
      <c r="B16" s="3944" t="n"/>
      <c r="C16" s="3944" t="n"/>
      <c r="D16" s="3944" t="n"/>
      <c r="E16" s="3944" t="n"/>
      <c r="F16" s="3944" t="n"/>
      <c r="G16" s="3944" t="n"/>
      <c r="H16" s="3944" t="n"/>
      <c r="I16" s="3934" t="n"/>
      <c r="J16" s="3934" t="n"/>
      <c r="K16" s="3934" t="n"/>
      <c r="L16" s="3934" t="n"/>
      <c r="M16" s="3934" t="n"/>
      <c r="N16" s="3934" t="n"/>
      <c r="O16" s="3934" t="n"/>
      <c r="P16" s="3934" t="n"/>
      <c r="Q16" s="3934" t="n"/>
      <c r="R16" s="3934" t="n"/>
      <c r="S16" s="3934" t="n"/>
      <c r="T16" s="3934" t="n"/>
      <c r="U16" s="3934" t="n"/>
      <c r="V16" s="3934" t="n"/>
      <c r="W16" s="3934" t="n"/>
      <c r="X16" s="3934" t="n"/>
      <c r="Y16" s="3934" t="n"/>
      <c r="Z16" s="3934" t="n"/>
      <c r="AA16" s="3934" t="n"/>
      <c r="AB16" s="3934" t="n"/>
      <c r="AC16" s="3934" t="n"/>
      <c r="AD16" s="3934" t="n"/>
      <c r="AE16" s="3934" t="n"/>
      <c r="AF16" s="3934" t="n"/>
      <c r="AG16" s="3934" t="n"/>
      <c r="AH16" s="3934" t="n"/>
      <c r="AI16" s="3934" t="n"/>
      <c r="AJ16" s="3934" t="n"/>
      <c r="AK16" s="3934" t="n"/>
      <c r="AL16" s="3934" t="n"/>
      <c r="AM16" s="3934" t="n"/>
      <c r="AN16" s="3934" t="n"/>
      <c r="AO16" s="3934" t="n"/>
      <c r="AP16" s="3934" t="n"/>
      <c r="AQ16" s="3934" t="n"/>
      <c r="AR16" s="3934" t="n"/>
    </row>
    <row r="17">
      <c r="A17" s="3944" t="n"/>
      <c r="B17" s="3944" t="n"/>
      <c r="C17" s="3944" t="n"/>
      <c r="D17" s="3944" t="n"/>
      <c r="E17" s="3944" t="n"/>
      <c r="F17" s="3944" t="n"/>
      <c r="G17" s="3944" t="n"/>
      <c r="H17" s="3944" t="n"/>
      <c r="I17" s="3934" t="n"/>
      <c r="J17" s="3934" t="n"/>
      <c r="K17" s="3934" t="n"/>
      <c r="L17" s="3934" t="n"/>
      <c r="M17" s="3934" t="n"/>
      <c r="N17" s="3934" t="n"/>
      <c r="O17" s="3934" t="n"/>
      <c r="P17" s="3934" t="n"/>
      <c r="Q17" s="3934" t="n"/>
      <c r="R17" s="3934" t="n"/>
      <c r="S17" s="3934" t="n"/>
      <c r="T17" s="3934" t="n"/>
      <c r="U17" s="3934" t="n"/>
      <c r="V17" s="3934" t="n"/>
      <c r="W17" s="3934" t="n"/>
      <c r="X17" s="3934" t="n"/>
      <c r="Y17" s="3934" t="n"/>
      <c r="Z17" s="3934" t="n"/>
      <c r="AA17" s="3934" t="n"/>
      <c r="AB17" s="3934" t="n"/>
      <c r="AC17" s="3934" t="n"/>
      <c r="AD17" s="3934" t="n"/>
      <c r="AE17" s="3934" t="n"/>
      <c r="AF17" s="3934" t="n"/>
      <c r="AG17" s="3934" t="n"/>
      <c r="AH17" s="3934" t="n"/>
      <c r="AI17" s="3934" t="n"/>
      <c r="AJ17" s="3934" t="n"/>
      <c r="AK17" s="3934" t="n"/>
      <c r="AL17" s="3934" t="n"/>
      <c r="AM17" s="3934" t="n"/>
      <c r="AN17" s="3934" t="n"/>
      <c r="AO17" s="3934" t="n"/>
      <c r="AP17" s="3934" t="n"/>
      <c r="AQ17" s="3934" t="n"/>
      <c r="AR17" s="3934" t="n"/>
    </row>
    <row r="18">
      <c r="A18" s="3944" t="n"/>
      <c r="B18" s="3944" t="n"/>
      <c r="C18" s="3944" t="n"/>
      <c r="D18" s="3944" t="n"/>
      <c r="E18" s="3944" t="n"/>
      <c r="F18" s="3944" t="n"/>
      <c r="G18" s="3944" t="n"/>
      <c r="H18" s="3944" t="n"/>
      <c r="I18" s="3934" t="n"/>
      <c r="J18" s="3934" t="n"/>
      <c r="K18" s="3934" t="n"/>
      <c r="L18" s="3934" t="n"/>
      <c r="M18" s="3934" t="n"/>
      <c r="N18" s="3934" t="n"/>
      <c r="O18" s="3934" t="n"/>
      <c r="P18" s="3934" t="n"/>
      <c r="Q18" s="3934" t="n"/>
      <c r="R18" s="3934" t="n"/>
      <c r="S18" s="3934" t="n"/>
      <c r="T18" s="3934" t="n"/>
      <c r="U18" s="3934" t="n"/>
      <c r="V18" s="3934" t="n"/>
      <c r="W18" s="3934" t="n"/>
      <c r="X18" s="3934" t="n"/>
      <c r="Y18" s="3934" t="n"/>
      <c r="Z18" s="3934" t="n"/>
      <c r="AA18" s="3934" t="n"/>
      <c r="AB18" s="3934" t="n"/>
      <c r="AC18" s="3934" t="n"/>
      <c r="AD18" s="3934" t="n"/>
      <c r="AE18" s="3934" t="n"/>
      <c r="AF18" s="3934" t="n"/>
      <c r="AG18" s="3934" t="n"/>
      <c r="AH18" s="3934" t="n"/>
      <c r="AI18" s="3934" t="n"/>
      <c r="AJ18" s="3934" t="n"/>
      <c r="AK18" s="3934" t="n"/>
      <c r="AL18" s="3934" t="n"/>
      <c r="AM18" s="3934" t="n"/>
      <c r="AN18" s="3934" t="n"/>
      <c r="AO18" s="3934" t="n"/>
      <c r="AP18" s="3934" t="n"/>
      <c r="AQ18" s="3934" t="n"/>
      <c r="AR18" s="3934" t="n"/>
    </row>
    <row r="19">
      <c r="A19" s="3944" t="n"/>
      <c r="B19" s="3944" t="n"/>
      <c r="C19" s="3944" t="n"/>
      <c r="D19" s="3944" t="n"/>
      <c r="E19" s="3944" t="n"/>
      <c r="F19" s="3944" t="n"/>
      <c r="G19" s="3944" t="n"/>
      <c r="H19" s="3944" t="n"/>
      <c r="I19" s="3934" t="n"/>
      <c r="J19" s="3934" t="n"/>
      <c r="K19" s="3934" t="n"/>
      <c r="L19" s="3934" t="n"/>
      <c r="M19" s="3934" t="n"/>
      <c r="N19" s="3934" t="n"/>
      <c r="O19" s="3934" t="n"/>
      <c r="P19" s="3934" t="n"/>
      <c r="Q19" s="3934" t="n"/>
      <c r="R19" s="3934" t="n"/>
      <c r="S19" s="3934" t="n"/>
      <c r="T19" s="3934" t="n"/>
      <c r="U19" s="3934" t="n"/>
      <c r="V19" s="3934" t="n"/>
      <c r="W19" s="3934" t="n"/>
      <c r="X19" s="3934" t="n"/>
      <c r="Y19" s="3934" t="n"/>
      <c r="Z19" s="3934" t="n"/>
      <c r="AA19" s="3934" t="n"/>
      <c r="AB19" s="3934" t="n"/>
      <c r="AC19" s="3934" t="n"/>
      <c r="AD19" s="3934" t="n"/>
      <c r="AE19" s="3934" t="n"/>
      <c r="AF19" s="3934" t="n"/>
      <c r="AG19" s="3934" t="n"/>
      <c r="AH19" s="3934" t="n"/>
      <c r="AI19" s="3934" t="n"/>
      <c r="AJ19" s="3934" t="n"/>
      <c r="AK19" s="3934" t="n"/>
      <c r="AL19" s="3934" t="n"/>
      <c r="AM19" s="3934" t="n"/>
      <c r="AN19" s="3934" t="n"/>
      <c r="AO19" s="3934" t="n"/>
      <c r="AP19" s="3934" t="n"/>
      <c r="AQ19" s="3934" t="n"/>
      <c r="AR19" s="3934" t="n"/>
    </row>
    <row r="20">
      <c r="A20" s="3944" t="n"/>
      <c r="B20" s="3944" t="n"/>
      <c r="C20" s="3944" t="n"/>
      <c r="D20" s="3944" t="n"/>
      <c r="E20" s="3944" t="n"/>
      <c r="F20" s="3944" t="n"/>
      <c r="G20" s="3944" t="n"/>
      <c r="H20" s="3944" t="n"/>
      <c r="I20" s="3934" t="n"/>
      <c r="J20" s="3934" t="n"/>
      <c r="K20" s="3934" t="n"/>
      <c r="L20" s="3934" t="n"/>
      <c r="M20" s="3934" t="n"/>
      <c r="N20" s="3934" t="n"/>
      <c r="O20" s="3934" t="n"/>
      <c r="P20" s="3934" t="n"/>
      <c r="Q20" s="3934" t="n"/>
      <c r="R20" s="3934" t="n"/>
      <c r="S20" s="3934" t="n"/>
      <c r="T20" s="3934" t="n"/>
      <c r="U20" s="3934" t="n"/>
      <c r="V20" s="3934" t="n"/>
      <c r="W20" s="3934" t="n"/>
      <c r="X20" s="3934" t="n"/>
      <c r="Y20" s="3934" t="n"/>
      <c r="Z20" s="3934" t="n"/>
      <c r="AA20" s="3934" t="n"/>
      <c r="AB20" s="3934" t="n"/>
      <c r="AC20" s="3934" t="n"/>
      <c r="AD20" s="3934" t="n"/>
      <c r="AE20" s="3934" t="n"/>
      <c r="AF20" s="3934" t="n"/>
      <c r="AG20" s="3934" t="n"/>
      <c r="AH20" s="3934" t="n"/>
      <c r="AI20" s="3934" t="n"/>
      <c r="AJ20" s="3934" t="n"/>
      <c r="AK20" s="3934" t="n"/>
      <c r="AL20" s="3934" t="n"/>
      <c r="AM20" s="3934" t="n"/>
      <c r="AN20" s="3934" t="n"/>
      <c r="AO20" s="3934" t="n"/>
      <c r="AP20" s="3934" t="n"/>
      <c r="AQ20" s="3934" t="n"/>
      <c r="AR20" s="3934" t="n"/>
    </row>
    <row r="21">
      <c r="A21" s="3944" t="n"/>
      <c r="B21" s="3944" t="n"/>
      <c r="C21" s="3944" t="n"/>
      <c r="D21" s="3944" t="n"/>
      <c r="E21" s="3944" t="n"/>
      <c r="F21" s="3944" t="n"/>
      <c r="G21" s="3944" t="n"/>
      <c r="H21" s="3944" t="n"/>
      <c r="I21" s="3934" t="n"/>
      <c r="J21" s="3934" t="n"/>
      <c r="K21" s="3934" t="n"/>
      <c r="L21" s="3934" t="n"/>
      <c r="M21" s="3934" t="n"/>
      <c r="N21" s="3934" t="n"/>
      <c r="O21" s="3934" t="n"/>
      <c r="P21" s="3934" t="n"/>
      <c r="Q21" s="3934" t="n"/>
      <c r="R21" s="3934" t="n"/>
      <c r="S21" s="3934" t="n"/>
      <c r="T21" s="3934" t="n"/>
      <c r="U21" s="3934" t="n"/>
      <c r="V21" s="3934" t="n"/>
      <c r="W21" s="3934" t="n"/>
      <c r="X21" s="3934" t="n"/>
      <c r="Y21" s="3934" t="n"/>
      <c r="Z21" s="3934" t="n"/>
      <c r="AA21" s="3934" t="n"/>
      <c r="AB21" s="3934" t="n"/>
      <c r="AC21" s="3934" t="n"/>
      <c r="AD21" s="3934" t="n"/>
      <c r="AE21" s="3934" t="n"/>
      <c r="AF21" s="3934" t="n"/>
      <c r="AG21" s="3934" t="n"/>
      <c r="AH21" s="3934" t="n"/>
      <c r="AI21" s="3934" t="n"/>
      <c r="AJ21" s="3934" t="n"/>
      <c r="AK21" s="3934" t="n"/>
      <c r="AL21" s="3934" t="n"/>
      <c r="AM21" s="3934" t="n"/>
      <c r="AN21" s="3934" t="n"/>
      <c r="AO21" s="3934" t="n"/>
      <c r="AP21" s="3934" t="n"/>
      <c r="AQ21" s="3934" t="n"/>
      <c r="AR21" s="3934" t="n"/>
    </row>
    <row r="22">
      <c r="A22" s="3944" t="n"/>
      <c r="B22" s="3944" t="n"/>
      <c r="C22" s="3944" t="n"/>
      <c r="D22" s="3944" t="n"/>
      <c r="E22" s="3944" t="n"/>
      <c r="F22" s="3944" t="n"/>
      <c r="G22" s="3944" t="n"/>
      <c r="H22" s="3944" t="n"/>
      <c r="I22" s="3934" t="n"/>
      <c r="J22" s="3934" t="n"/>
      <c r="K22" s="3934" t="n"/>
      <c r="L22" s="3934" t="n"/>
      <c r="M22" s="3934" t="n"/>
      <c r="N22" s="3934" t="n"/>
      <c r="O22" s="3934" t="n"/>
      <c r="P22" s="3934" t="n"/>
      <c r="Q22" s="3934" t="n"/>
      <c r="R22" s="3934" t="n"/>
      <c r="S22" s="3934" t="n"/>
      <c r="T22" s="3934" t="n"/>
      <c r="U22" s="3934" t="n"/>
      <c r="V22" s="3934" t="n"/>
      <c r="W22" s="3934" t="n"/>
      <c r="X22" s="3934" t="n"/>
      <c r="Y22" s="3934" t="n"/>
      <c r="Z22" s="3934" t="n"/>
      <c r="AA22" s="3934" t="n"/>
      <c r="AB22" s="3934" t="n"/>
      <c r="AC22" s="3934" t="n"/>
      <c r="AD22" s="3934" t="n"/>
      <c r="AE22" s="3934" t="n"/>
      <c r="AF22" s="3934" t="n"/>
      <c r="AG22" s="3934" t="n"/>
      <c r="AH22" s="3934" t="n"/>
      <c r="AI22" s="3934" t="n"/>
      <c r="AJ22" s="3934" t="n"/>
      <c r="AK22" s="3934" t="n"/>
      <c r="AL22" s="3934" t="n"/>
      <c r="AM22" s="3934" t="n"/>
      <c r="AN22" s="3934" t="n"/>
      <c r="AO22" s="3934" t="n"/>
      <c r="AP22" s="3934" t="n"/>
      <c r="AQ22" s="3934" t="n"/>
      <c r="AR22" s="3934" t="n"/>
    </row>
    <row r="23">
      <c r="A23" s="3944" t="n"/>
      <c r="B23" s="3944" t="n"/>
      <c r="C23" s="3944" t="n"/>
      <c r="D23" s="3944" t="n"/>
      <c r="E23" s="3944" t="n"/>
      <c r="F23" s="3944" t="n"/>
      <c r="G23" s="3944" t="n"/>
      <c r="H23" s="3944" t="n"/>
      <c r="I23" s="3934" t="n"/>
      <c r="J23" s="3934" t="n"/>
      <c r="K23" s="3934" t="n"/>
      <c r="L23" s="3934" t="n"/>
      <c r="M23" s="3934" t="n"/>
      <c r="N23" s="3934" t="n"/>
      <c r="O23" s="3934" t="n"/>
      <c r="P23" s="3934" t="n"/>
      <c r="Q23" s="3934" t="n"/>
      <c r="R23" s="3934" t="n"/>
      <c r="S23" s="3934" t="n"/>
      <c r="T23" s="3934" t="n"/>
      <c r="U23" s="3934" t="n"/>
      <c r="V23" s="3934" t="n"/>
      <c r="W23" s="3934" t="n"/>
      <c r="X23" s="3934" t="n"/>
      <c r="Y23" s="3934" t="n"/>
      <c r="Z23" s="3934" t="n"/>
      <c r="AA23" s="3934" t="n"/>
      <c r="AB23" s="3934" t="n"/>
      <c r="AC23" s="3934" t="n"/>
      <c r="AD23" s="3934" t="n"/>
      <c r="AE23" s="3934" t="n"/>
      <c r="AF23" s="3934" t="n"/>
      <c r="AG23" s="3934" t="n"/>
      <c r="AH23" s="3934" t="n"/>
      <c r="AI23" s="3934" t="n"/>
      <c r="AJ23" s="3934" t="n"/>
      <c r="AK23" s="3934" t="n"/>
      <c r="AL23" s="3934" t="n"/>
      <c r="AM23" s="3934" t="n"/>
      <c r="AN23" s="3934" t="n"/>
      <c r="AO23" s="3934" t="n"/>
      <c r="AP23" s="3934" t="n"/>
      <c r="AQ23" s="3934" t="n"/>
      <c r="AR23" s="3934" t="n"/>
    </row>
    <row r="24">
      <c r="A24" s="3944" t="n"/>
      <c r="B24" s="3944" t="n"/>
      <c r="C24" s="3944" t="n"/>
      <c r="D24" s="3944" t="n"/>
      <c r="E24" s="3944" t="n"/>
      <c r="F24" s="3944" t="n"/>
      <c r="G24" s="3944" t="n"/>
      <c r="H24" s="3944" t="n"/>
      <c r="I24" s="3934" t="n"/>
      <c r="J24" s="3934" t="n"/>
      <c r="K24" s="3934" t="n"/>
      <c r="L24" s="3934" t="n"/>
      <c r="M24" s="3934" t="n"/>
      <c r="N24" s="3934" t="n"/>
      <c r="O24" s="3934" t="n"/>
      <c r="P24" s="3934" t="n"/>
      <c r="Q24" s="3934" t="n"/>
      <c r="R24" s="3934" t="n"/>
      <c r="S24" s="3934" t="n"/>
      <c r="T24" s="3934" t="n"/>
      <c r="U24" s="3934" t="n"/>
      <c r="V24" s="3934" t="n"/>
      <c r="W24" s="3934" t="n"/>
      <c r="X24" s="3934" t="n"/>
      <c r="Y24" s="3934" t="n"/>
      <c r="Z24" s="3934" t="n"/>
      <c r="AA24" s="3934" t="n"/>
      <c r="AB24" s="3934" t="n"/>
      <c r="AC24" s="3934" t="n"/>
      <c r="AD24" s="3934" t="n"/>
      <c r="AE24" s="3934" t="n"/>
      <c r="AF24" s="3934" t="n"/>
      <c r="AG24" s="3934" t="n"/>
      <c r="AH24" s="3934" t="n"/>
      <c r="AI24" s="3934" t="n"/>
      <c r="AJ24" s="3934" t="n"/>
      <c r="AK24" s="3934" t="n"/>
      <c r="AL24" s="3934" t="n"/>
      <c r="AM24" s="3934" t="n"/>
      <c r="AN24" s="3934" t="n"/>
      <c r="AO24" s="3934" t="n"/>
      <c r="AP24" s="3934" t="n"/>
      <c r="AQ24" s="3934" t="n"/>
      <c r="AR24" s="3934" t="n"/>
    </row>
    <row r="25">
      <c r="A25" s="3944" t="n"/>
      <c r="B25" s="3944" t="n"/>
      <c r="C25" s="3944" t="n"/>
      <c r="D25" s="3944" t="n"/>
      <c r="E25" s="3944" t="n"/>
      <c r="F25" s="3944" t="n"/>
      <c r="G25" s="3944" t="n"/>
      <c r="H25" s="3944" t="n"/>
      <c r="I25" s="3934" t="n"/>
      <c r="J25" s="3934" t="n"/>
      <c r="K25" s="3934" t="n"/>
      <c r="L25" s="3934" t="n"/>
      <c r="M25" s="3934" t="n"/>
      <c r="N25" s="3934" t="n"/>
      <c r="O25" s="3934" t="n"/>
      <c r="P25" s="3934" t="n"/>
      <c r="Q25" s="3934" t="n"/>
      <c r="R25" s="3934" t="n"/>
      <c r="S25" s="3934" t="n"/>
      <c r="T25" s="3934" t="n"/>
      <c r="U25" s="3934" t="n"/>
      <c r="V25" s="3934" t="n"/>
      <c r="W25" s="3934" t="n"/>
      <c r="X25" s="3934" t="n"/>
      <c r="Y25" s="3934" t="n"/>
      <c r="Z25" s="3934" t="n"/>
      <c r="AA25" s="3934" t="n"/>
      <c r="AB25" s="3934" t="n"/>
      <c r="AC25" s="3934" t="n"/>
      <c r="AD25" s="3934" t="n"/>
      <c r="AE25" s="3934" t="n"/>
      <c r="AF25" s="3934" t="n"/>
      <c r="AG25" s="3934" t="n"/>
      <c r="AH25" s="3934" t="n"/>
      <c r="AI25" s="3934" t="n"/>
      <c r="AJ25" s="3934" t="n"/>
      <c r="AK25" s="3934" t="n"/>
      <c r="AL25" s="3934" t="n"/>
      <c r="AM25" s="3934" t="n"/>
      <c r="AN25" s="3934" t="n"/>
      <c r="AO25" s="3934" t="n"/>
      <c r="AP25" s="3934" t="n"/>
      <c r="AQ25" s="3934" t="n"/>
      <c r="AR25" s="3934" t="n"/>
    </row>
    <row r="26">
      <c r="A26" s="3944" t="n"/>
      <c r="B26" s="3944" t="n"/>
      <c r="C26" s="3944" t="n"/>
      <c r="D26" s="3944" t="n"/>
      <c r="E26" s="3944" t="n"/>
      <c r="F26" s="3944" t="n"/>
      <c r="G26" s="3944" t="n"/>
      <c r="H26" s="3944" t="n"/>
      <c r="I26" s="3934" t="n"/>
      <c r="J26" s="3934" t="n"/>
      <c r="K26" s="3934" t="n"/>
      <c r="L26" s="3934" t="n"/>
      <c r="M26" s="3934" t="n"/>
      <c r="N26" s="3934" t="n"/>
      <c r="O26" s="3934" t="n"/>
      <c r="P26" s="3934" t="n"/>
      <c r="Q26" s="3934" t="n"/>
      <c r="R26" s="3934" t="n"/>
      <c r="S26" s="3934" t="n"/>
      <c r="T26" s="3934" t="n"/>
      <c r="U26" s="3934" t="n"/>
      <c r="V26" s="3934" t="n"/>
      <c r="W26" s="3934" t="n"/>
      <c r="X26" s="3934" t="n"/>
      <c r="Y26" s="3934" t="n"/>
      <c r="Z26" s="3934" t="n"/>
      <c r="AA26" s="3934" t="n"/>
      <c r="AB26" s="3934" t="n"/>
      <c r="AC26" s="3934" t="n"/>
      <c r="AD26" s="3934" t="n"/>
      <c r="AE26" s="3934" t="n"/>
      <c r="AF26" s="3934" t="n"/>
      <c r="AG26" s="3934" t="n"/>
      <c r="AH26" s="3934" t="n"/>
      <c r="AI26" s="3934" t="n"/>
      <c r="AJ26" s="3934" t="n"/>
      <c r="AK26" s="3934" t="n"/>
      <c r="AL26" s="3934" t="n"/>
      <c r="AM26" s="3934" t="n"/>
      <c r="AN26" s="3934" t="n"/>
      <c r="AO26" s="3934" t="n"/>
      <c r="AP26" s="3934" t="n"/>
      <c r="AQ26" s="3934" t="n"/>
      <c r="AR26" s="3934" t="n"/>
    </row>
    <row r="27">
      <c r="A27" s="3944" t="n"/>
      <c r="B27" s="3944" t="n"/>
      <c r="C27" s="3944" t="n"/>
      <c r="D27" s="3944" t="n"/>
      <c r="E27" s="3944" t="n"/>
      <c r="F27" s="3944" t="n"/>
      <c r="G27" s="3944" t="n"/>
      <c r="H27" s="3944" t="n"/>
      <c r="I27" s="3934" t="n"/>
      <c r="J27" s="3934" t="n"/>
      <c r="K27" s="3934" t="n"/>
      <c r="L27" s="3934" t="n"/>
      <c r="M27" s="3934" t="n"/>
      <c r="N27" s="3934" t="n"/>
      <c r="O27" s="3934" t="n"/>
      <c r="P27" s="3934" t="n"/>
      <c r="Q27" s="3934" t="n"/>
      <c r="R27" s="3934" t="n"/>
      <c r="S27" s="3934" t="n"/>
      <c r="T27" s="3934" t="n"/>
      <c r="U27" s="3934" t="n"/>
      <c r="V27" s="3934" t="n"/>
      <c r="W27" s="3934" t="n"/>
      <c r="X27" s="3934" t="n"/>
      <c r="Y27" s="3934" t="n"/>
      <c r="Z27" s="3934" t="n"/>
      <c r="AA27" s="3934" t="n"/>
      <c r="AB27" s="3934" t="n"/>
      <c r="AC27" s="3934" t="n"/>
      <c r="AD27" s="3934" t="n"/>
      <c r="AE27" s="3934" t="n"/>
      <c r="AF27" s="3934" t="n"/>
      <c r="AG27" s="3934" t="n"/>
      <c r="AH27" s="3934" t="n"/>
      <c r="AI27" s="3934" t="n"/>
      <c r="AJ27" s="3934" t="n"/>
      <c r="AK27" s="3934" t="n"/>
      <c r="AL27" s="3934" t="n"/>
      <c r="AM27" s="3934" t="n"/>
      <c r="AN27" s="3934" t="n"/>
      <c r="AO27" s="3934" t="n"/>
      <c r="AP27" s="3934" t="n"/>
      <c r="AQ27" s="3934" t="n"/>
      <c r="AR27" s="3934" t="n"/>
    </row>
    <row r="28">
      <c r="A28" s="3944" t="n"/>
      <c r="B28" s="3944" t="n"/>
      <c r="C28" s="3944" t="n"/>
      <c r="D28" s="3944" t="n"/>
      <c r="E28" s="3944" t="n"/>
      <c r="F28" s="3944" t="n"/>
      <c r="G28" s="3944" t="n"/>
      <c r="H28" s="3944" t="n"/>
      <c r="I28" s="3934" t="n"/>
      <c r="J28" s="3934" t="n"/>
      <c r="K28" s="3934" t="n"/>
      <c r="L28" s="3934" t="n"/>
      <c r="M28" s="3934" t="n"/>
      <c r="N28" s="3934" t="n"/>
      <c r="O28" s="3934" t="n"/>
      <c r="P28" s="3934" t="n"/>
      <c r="Q28" s="3934" t="n"/>
      <c r="R28" s="3934" t="n"/>
      <c r="S28" s="3934" t="n"/>
      <c r="T28" s="3934" t="n"/>
      <c r="U28" s="3934" t="n"/>
      <c r="V28" s="3934" t="n"/>
      <c r="W28" s="3934" t="n"/>
      <c r="X28" s="3934" t="n"/>
      <c r="Y28" s="3934" t="n"/>
      <c r="Z28" s="3934" t="n"/>
      <c r="AA28" s="3934" t="n"/>
      <c r="AB28" s="3934" t="n"/>
      <c r="AC28" s="3934" t="n"/>
      <c r="AD28" s="3934" t="n"/>
      <c r="AE28" s="3934" t="n"/>
      <c r="AF28" s="3934" t="n"/>
      <c r="AG28" s="3934" t="n"/>
      <c r="AH28" s="3934" t="n"/>
      <c r="AI28" s="3934" t="n"/>
      <c r="AJ28" s="3934" t="n"/>
      <c r="AK28" s="3934" t="n"/>
      <c r="AL28" s="3934" t="n"/>
      <c r="AM28" s="3934" t="n"/>
      <c r="AN28" s="3934" t="n"/>
      <c r="AO28" s="3934" t="n"/>
      <c r="AP28" s="3934" t="n"/>
      <c r="AQ28" s="3934" t="n"/>
      <c r="AR28" s="3934" t="n"/>
    </row>
    <row r="29">
      <c r="A29" s="3944" t="n"/>
      <c r="B29" s="3944" t="n"/>
      <c r="C29" s="3944" t="n"/>
      <c r="D29" s="3944" t="n"/>
      <c r="E29" s="3944" t="n"/>
      <c r="F29" s="3944" t="n"/>
      <c r="G29" s="3944" t="n"/>
      <c r="H29" s="3944" t="n"/>
      <c r="I29" s="3934" t="n"/>
      <c r="J29" s="3934" t="n"/>
      <c r="K29" s="3934" t="n"/>
      <c r="L29" s="3934" t="n"/>
      <c r="M29" s="3934" t="n"/>
      <c r="N29" s="3934" t="n"/>
      <c r="O29" s="3934" t="n"/>
      <c r="P29" s="3934" t="n"/>
      <c r="Q29" s="3934" t="n"/>
      <c r="R29" s="3934" t="n"/>
      <c r="S29" s="3934" t="n"/>
      <c r="T29" s="3934" t="n"/>
      <c r="U29" s="3934" t="n"/>
      <c r="V29" s="3934" t="n"/>
      <c r="W29" s="3934" t="n"/>
      <c r="X29" s="3934" t="n"/>
      <c r="Y29" s="3934" t="n"/>
      <c r="Z29" s="3934" t="n"/>
      <c r="AA29" s="3934" t="n"/>
      <c r="AB29" s="3934" t="n"/>
      <c r="AC29" s="3934" t="n"/>
      <c r="AD29" s="3934" t="n"/>
      <c r="AE29" s="3934" t="n"/>
      <c r="AF29" s="3934" t="n"/>
      <c r="AG29" s="3934" t="n"/>
      <c r="AH29" s="3934" t="n"/>
      <c r="AI29" s="3934" t="n"/>
      <c r="AJ29" s="3934" t="n"/>
      <c r="AK29" s="3934" t="n"/>
      <c r="AL29" s="3934" t="n"/>
      <c r="AM29" s="3934" t="n"/>
      <c r="AN29" s="3934" t="n"/>
      <c r="AO29" s="3934" t="n"/>
      <c r="AP29" s="3934" t="n"/>
      <c r="AQ29" s="3934" t="n"/>
      <c r="AR29" s="3934" t="n"/>
    </row>
    <row r="30">
      <c r="A30" s="3944" t="n"/>
      <c r="B30" s="3944" t="n"/>
      <c r="C30" s="3944" t="n"/>
      <c r="D30" s="3944" t="n"/>
      <c r="E30" s="3944" t="n"/>
      <c r="F30" s="3944" t="n"/>
      <c r="G30" s="3944" t="n"/>
      <c r="H30" s="3944" t="n"/>
      <c r="I30" s="3934" t="n"/>
      <c r="J30" s="3934" t="n"/>
      <c r="K30" s="3934" t="n"/>
      <c r="L30" s="3934" t="n"/>
      <c r="M30" s="3934" t="n"/>
      <c r="N30" s="3934" t="n"/>
      <c r="O30" s="3934" t="n"/>
      <c r="P30" s="3934" t="n"/>
      <c r="Q30" s="3934" t="n"/>
      <c r="R30" s="3934" t="n"/>
      <c r="S30" s="3934" t="n"/>
      <c r="T30" s="3934" t="n"/>
      <c r="U30" s="3934" t="n"/>
      <c r="V30" s="3934" t="n"/>
      <c r="W30" s="3934" t="n"/>
      <c r="X30" s="3934" t="n"/>
      <c r="Y30" s="3934" t="n"/>
      <c r="Z30" s="3934" t="n"/>
      <c r="AA30" s="3934" t="n"/>
      <c r="AB30" s="3934" t="n"/>
      <c r="AC30" s="3934" t="n"/>
      <c r="AD30" s="3934" t="n"/>
      <c r="AE30" s="3934" t="n"/>
      <c r="AF30" s="3934" t="n"/>
      <c r="AG30" s="3934" t="n"/>
      <c r="AH30" s="3934" t="n"/>
      <c r="AI30" s="3934" t="n"/>
      <c r="AJ30" s="3934" t="n"/>
      <c r="AK30" s="3934" t="n"/>
      <c r="AL30" s="3934" t="n"/>
      <c r="AM30" s="3934" t="n"/>
      <c r="AN30" s="3934" t="n"/>
      <c r="AO30" s="3934" t="n"/>
      <c r="AP30" s="3934" t="n"/>
      <c r="AQ30" s="3934" t="n"/>
      <c r="AR30" s="3934" t="n"/>
    </row>
    <row r="31">
      <c r="A31" s="3944" t="n"/>
      <c r="B31" s="3944" t="n"/>
      <c r="C31" s="3944" t="n"/>
      <c r="D31" s="3944" t="n"/>
      <c r="E31" s="3944" t="n"/>
      <c r="F31" s="3944" t="n"/>
      <c r="G31" s="3944" t="n"/>
      <c r="H31" s="3944" t="n"/>
      <c r="I31" s="3934" t="n"/>
      <c r="J31" s="3934" t="n"/>
      <c r="K31" s="3934" t="n"/>
      <c r="L31" s="3934" t="n"/>
      <c r="M31" s="3934" t="n"/>
      <c r="N31" s="3934" t="n"/>
      <c r="O31" s="3934" t="n"/>
      <c r="P31" s="3934" t="n"/>
      <c r="Q31" s="3934" t="n"/>
      <c r="R31" s="3934" t="n"/>
      <c r="S31" s="3934" t="n"/>
      <c r="T31" s="3934" t="n"/>
      <c r="U31" s="3934" t="n"/>
      <c r="V31" s="3934" t="n"/>
      <c r="W31" s="3934" t="n"/>
      <c r="X31" s="3934" t="n"/>
      <c r="Y31" s="3934" t="n"/>
      <c r="Z31" s="3934" t="n"/>
      <c r="AA31" s="3934" t="n"/>
      <c r="AB31" s="3934" t="n"/>
      <c r="AC31" s="3934" t="n"/>
      <c r="AD31" s="3934" t="n"/>
      <c r="AE31" s="3934" t="n"/>
      <c r="AF31" s="3934" t="n"/>
      <c r="AG31" s="3934" t="n"/>
      <c r="AH31" s="3934" t="n"/>
      <c r="AI31" s="3934" t="n"/>
      <c r="AJ31" s="3934" t="n"/>
      <c r="AK31" s="3934" t="n"/>
      <c r="AL31" s="3934" t="n"/>
      <c r="AM31" s="3934" t="n"/>
      <c r="AN31" s="3934" t="n"/>
      <c r="AO31" s="3934" t="n"/>
      <c r="AP31" s="3934" t="n"/>
      <c r="AQ31" s="3934" t="n"/>
      <c r="AR31" s="3934" t="n"/>
    </row>
    <row r="32">
      <c r="A32" s="3944" t="n"/>
      <c r="B32" s="3944" t="n"/>
      <c r="C32" s="3944" t="n"/>
      <c r="D32" s="3944" t="n"/>
      <c r="E32" s="3944" t="n"/>
      <c r="F32" s="3944" t="n"/>
      <c r="G32" s="3944" t="n"/>
      <c r="H32" s="3944" t="n"/>
      <c r="I32" s="3934" t="n"/>
      <c r="J32" s="3934" t="n"/>
      <c r="K32" s="3934" t="n"/>
      <c r="L32" s="3934" t="n"/>
      <c r="M32" s="3934" t="n"/>
      <c r="N32" s="3934" t="n"/>
      <c r="O32" s="3934" t="n"/>
      <c r="P32" s="3934" t="n"/>
      <c r="Q32" s="3934" t="n"/>
      <c r="R32" s="3934" t="n"/>
      <c r="S32" s="3934" t="n"/>
      <c r="T32" s="3934" t="n"/>
      <c r="U32" s="3934" t="n"/>
      <c r="V32" s="3934" t="n"/>
      <c r="W32" s="3934" t="n"/>
      <c r="X32" s="3934" t="n"/>
      <c r="Y32" s="3934" t="n"/>
      <c r="Z32" s="3934" t="n"/>
      <c r="AA32" s="3934" t="n"/>
      <c r="AB32" s="3934" t="n"/>
      <c r="AC32" s="3934" t="n"/>
      <c r="AD32" s="3934" t="n"/>
      <c r="AE32" s="3934" t="n"/>
      <c r="AF32" s="3934" t="n"/>
      <c r="AG32" s="3934" t="n"/>
      <c r="AH32" s="3934" t="n"/>
      <c r="AI32" s="3934" t="n"/>
      <c r="AJ32" s="3934" t="n"/>
      <c r="AK32" s="3934" t="n"/>
      <c r="AL32" s="3934" t="n"/>
      <c r="AM32" s="3934" t="n"/>
      <c r="AN32" s="3934" t="n"/>
      <c r="AO32" s="3934" t="n"/>
      <c r="AP32" s="3934" t="n"/>
      <c r="AQ32" s="3934" t="n"/>
      <c r="AR32" s="3934" t="n"/>
    </row>
    <row r="33">
      <c r="A33" s="3944" t="n"/>
      <c r="B33" s="3944" t="n"/>
      <c r="C33" s="3944" t="n"/>
      <c r="D33" s="3944" t="n"/>
      <c r="E33" s="3944" t="n"/>
      <c r="F33" s="3944" t="n"/>
      <c r="G33" s="3944" t="n"/>
      <c r="H33" s="3944" t="n"/>
      <c r="I33" s="3934" t="n"/>
      <c r="J33" s="3934" t="n"/>
      <c r="K33" s="3934" t="n"/>
      <c r="L33" s="3934" t="n"/>
      <c r="M33" s="3934" t="n"/>
      <c r="N33" s="3934" t="n"/>
      <c r="O33" s="3934" t="n"/>
      <c r="P33" s="3934" t="n"/>
      <c r="Q33" s="3934" t="n"/>
      <c r="R33" s="3934" t="n"/>
      <c r="S33" s="3934" t="n"/>
      <c r="T33" s="3934" t="n"/>
      <c r="U33" s="3934" t="n"/>
      <c r="V33" s="3934" t="n"/>
      <c r="W33" s="3934" t="n"/>
      <c r="X33" s="3934" t="n"/>
      <c r="Y33" s="3934" t="n"/>
      <c r="Z33" s="3934" t="n"/>
      <c r="AA33" s="3934" t="n"/>
      <c r="AB33" s="3934" t="n"/>
      <c r="AC33" s="3934" t="n"/>
      <c r="AD33" s="3934" t="n"/>
      <c r="AE33" s="3934" t="n"/>
      <c r="AF33" s="3934" t="n"/>
      <c r="AG33" s="3934" t="n"/>
      <c r="AH33" s="3934" t="n"/>
      <c r="AI33" s="3934" t="n"/>
      <c r="AJ33" s="3934" t="n"/>
      <c r="AK33" s="3934" t="n"/>
      <c r="AL33" s="3934" t="n"/>
      <c r="AM33" s="3934" t="n"/>
      <c r="AN33" s="3934" t="n"/>
      <c r="AO33" s="3934" t="n"/>
      <c r="AP33" s="3934" t="n"/>
      <c r="AQ33" s="3934" t="n"/>
      <c r="AR33" s="3934" t="n"/>
    </row>
    <row r="34">
      <c r="A34" s="3944" t="n"/>
      <c r="B34" s="3944" t="n"/>
      <c r="C34" s="3944" t="n"/>
      <c r="D34" s="3944" t="n"/>
      <c r="E34" s="3944" t="n"/>
      <c r="F34" s="3944" t="n"/>
      <c r="G34" s="3944" t="n"/>
      <c r="H34" s="3944" t="n"/>
      <c r="I34" s="3934" t="n"/>
      <c r="J34" s="3934" t="n"/>
      <c r="K34" s="3934" t="n"/>
      <c r="L34" s="3934" t="n"/>
      <c r="M34" s="3934" t="n"/>
      <c r="N34" s="3934" t="n"/>
      <c r="O34" s="3934" t="n"/>
      <c r="P34" s="3934" t="n"/>
      <c r="Q34" s="3934" t="n"/>
      <c r="R34" s="3934" t="n"/>
      <c r="S34" s="3934" t="n"/>
      <c r="T34" s="3934" t="n"/>
      <c r="U34" s="3934" t="n"/>
      <c r="V34" s="3934" t="n"/>
      <c r="W34" s="3934" t="n"/>
      <c r="X34" s="3934" t="n"/>
      <c r="Y34" s="3934" t="n"/>
      <c r="Z34" s="3934" t="n"/>
      <c r="AA34" s="3934" t="n"/>
      <c r="AB34" s="3934" t="n"/>
      <c r="AC34" s="3934" t="n"/>
      <c r="AD34" s="3934" t="n"/>
      <c r="AE34" s="3934" t="n"/>
      <c r="AF34" s="3934" t="n"/>
      <c r="AG34" s="3934" t="n"/>
      <c r="AH34" s="3934" t="n"/>
      <c r="AI34" s="3934" t="n"/>
      <c r="AJ34" s="3934" t="n"/>
      <c r="AK34" s="3934" t="n"/>
      <c r="AL34" s="3934" t="n"/>
      <c r="AM34" s="3934" t="n"/>
      <c r="AN34" s="3934" t="n"/>
      <c r="AO34" s="3934" t="n"/>
      <c r="AP34" s="3934" t="n"/>
      <c r="AQ34" s="3934" t="n"/>
      <c r="AR34" s="3934" t="n"/>
    </row>
    <row r="35">
      <c r="A35" s="3944" t="n"/>
      <c r="B35" s="3944" t="n"/>
      <c r="C35" s="3944" t="n"/>
      <c r="D35" s="3944" t="n"/>
      <c r="E35" s="3944" t="n"/>
      <c r="F35" s="3944" t="n"/>
      <c r="G35" s="3944" t="n"/>
      <c r="H35" s="3944" t="n"/>
      <c r="I35" s="3934" t="n"/>
      <c r="J35" s="3934" t="n"/>
      <c r="K35" s="3934" t="n"/>
      <c r="L35" s="3934" t="n"/>
      <c r="M35" s="3934" t="n"/>
      <c r="N35" s="3934" t="n"/>
      <c r="O35" s="3934" t="n"/>
      <c r="P35" s="3934" t="n"/>
      <c r="Q35" s="3934" t="n"/>
      <c r="R35" s="3934" t="n"/>
      <c r="S35" s="3934" t="n"/>
      <c r="T35" s="3934" t="n"/>
      <c r="U35" s="3934" t="n"/>
      <c r="V35" s="3934" t="n"/>
      <c r="W35" s="3934" t="n"/>
      <c r="X35" s="3934" t="n"/>
      <c r="Y35" s="3934" t="n"/>
      <c r="Z35" s="3934" t="n"/>
      <c r="AA35" s="3934" t="n"/>
      <c r="AB35" s="3934" t="n"/>
      <c r="AC35" s="3934" t="n"/>
      <c r="AD35" s="3934" t="n"/>
      <c r="AE35" s="3934" t="n"/>
      <c r="AF35" s="3934" t="n"/>
      <c r="AG35" s="3934" t="n"/>
      <c r="AH35" s="3934" t="n"/>
      <c r="AI35" s="3934" t="n"/>
      <c r="AJ35" s="3934" t="n"/>
      <c r="AK35" s="3934" t="n"/>
      <c r="AL35" s="3934" t="n"/>
      <c r="AM35" s="3934" t="n"/>
      <c r="AN35" s="3934" t="n"/>
      <c r="AO35" s="3934" t="n"/>
      <c r="AP35" s="3934" t="n"/>
      <c r="AQ35" s="3934" t="n"/>
      <c r="AR35" s="3934" t="n"/>
    </row>
    <row r="36">
      <c r="A36" s="3944" t="n"/>
      <c r="B36" s="3944" t="n"/>
      <c r="C36" s="3944" t="n"/>
      <c r="D36" s="3944" t="n"/>
      <c r="E36" s="3944" t="n"/>
      <c r="F36" s="3944" t="n"/>
      <c r="G36" s="3944" t="n"/>
      <c r="H36" s="3944" t="n"/>
      <c r="I36" s="3934" t="n"/>
      <c r="J36" s="3934" t="n"/>
      <c r="K36" s="3934" t="n"/>
      <c r="L36" s="3934" t="n"/>
      <c r="M36" s="3934" t="n"/>
      <c r="N36" s="3934" t="n"/>
      <c r="O36" s="3934" t="n"/>
      <c r="P36" s="3934" t="n"/>
      <c r="Q36" s="3934" t="n"/>
      <c r="R36" s="3934" t="n"/>
      <c r="S36" s="3934" t="n"/>
      <c r="T36" s="3934" t="n"/>
      <c r="U36" s="3934" t="n"/>
      <c r="V36" s="3934" t="n"/>
      <c r="W36" s="3934" t="n"/>
      <c r="X36" s="3934" t="n"/>
      <c r="Y36" s="3934" t="n"/>
      <c r="Z36" s="3934" t="n"/>
      <c r="AA36" s="3934" t="n"/>
      <c r="AB36" s="3934" t="n"/>
      <c r="AC36" s="3934" t="n"/>
      <c r="AD36" s="3934" t="n"/>
      <c r="AE36" s="3934" t="n"/>
      <c r="AF36" s="3934" t="n"/>
      <c r="AG36" s="3934" t="n"/>
      <c r="AH36" s="3934" t="n"/>
      <c r="AI36" s="3934" t="n"/>
      <c r="AJ36" s="3934" t="n"/>
      <c r="AK36" s="3934" t="n"/>
      <c r="AL36" s="3934" t="n"/>
      <c r="AM36" s="3934" t="n"/>
      <c r="AN36" s="3934" t="n"/>
      <c r="AO36" s="3934" t="n"/>
      <c r="AP36" s="3934" t="n"/>
      <c r="AQ36" s="3934" t="n"/>
      <c r="AR36" s="3934" t="n"/>
    </row>
    <row r="37">
      <c r="A37" s="3944" t="n"/>
      <c r="B37" s="3944" t="n"/>
      <c r="C37" s="3944" t="n"/>
      <c r="D37" s="3944" t="n"/>
      <c r="E37" s="3944" t="n"/>
      <c r="F37" s="3944" t="n"/>
      <c r="G37" s="3944" t="n"/>
      <c r="H37" s="3944" t="n"/>
      <c r="I37" s="3934" t="n"/>
      <c r="J37" s="3934" t="n"/>
      <c r="K37" s="3934" t="n"/>
      <c r="L37" s="3934" t="n"/>
      <c r="M37" s="3934" t="n"/>
      <c r="N37" s="3934" t="n"/>
      <c r="O37" s="3934" t="n"/>
      <c r="P37" s="3934" t="n"/>
      <c r="Q37" s="3934" t="n"/>
      <c r="R37" s="3934" t="n"/>
      <c r="S37" s="3934" t="n"/>
      <c r="T37" s="3934" t="n"/>
      <c r="U37" s="3934" t="n"/>
      <c r="V37" s="3934" t="n"/>
      <c r="W37" s="3934" t="n"/>
      <c r="X37" s="3934" t="n"/>
      <c r="Y37" s="3934" t="n"/>
      <c r="Z37" s="3934" t="n"/>
      <c r="AA37" s="3934" t="n"/>
      <c r="AB37" s="3934" t="n"/>
      <c r="AC37" s="3934" t="n"/>
      <c r="AD37" s="3934" t="n"/>
      <c r="AE37" s="3934" t="n"/>
      <c r="AF37" s="3934" t="n"/>
      <c r="AG37" s="3934" t="n"/>
      <c r="AH37" s="3934" t="n"/>
      <c r="AI37" s="3934" t="n"/>
      <c r="AJ37" s="3934" t="n"/>
      <c r="AK37" s="3934" t="n"/>
      <c r="AL37" s="3934" t="n"/>
      <c r="AM37" s="3934" t="n"/>
      <c r="AN37" s="3934" t="n"/>
      <c r="AO37" s="3934" t="n"/>
      <c r="AP37" s="3934" t="n"/>
      <c r="AQ37" s="3934" t="n"/>
      <c r="AR37" s="3934" t="n"/>
    </row>
    <row r="38">
      <c r="A38" s="3944" t="n"/>
      <c r="B38" s="3944" t="n"/>
      <c r="C38" s="3944" t="n"/>
      <c r="D38" s="3944" t="n"/>
      <c r="E38" s="3944" t="n"/>
      <c r="F38" s="3944" t="n"/>
      <c r="G38" s="3944" t="n"/>
      <c r="H38" s="3944" t="n"/>
      <c r="I38" s="3934" t="n"/>
      <c r="J38" s="3934" t="n"/>
      <c r="K38" s="3934" t="n"/>
      <c r="L38" s="3934" t="n"/>
      <c r="M38" s="3934" t="n"/>
      <c r="N38" s="3934" t="n"/>
      <c r="O38" s="3934" t="n"/>
      <c r="P38" s="3934" t="n"/>
      <c r="Q38" s="3934" t="n"/>
      <c r="R38" s="3934" t="n"/>
      <c r="S38" s="3934" t="n"/>
      <c r="T38" s="3934" t="n"/>
      <c r="U38" s="3934" t="n"/>
      <c r="V38" s="3934" t="n"/>
      <c r="W38" s="3934" t="n"/>
      <c r="X38" s="3934" t="n"/>
      <c r="Y38" s="3934" t="n"/>
      <c r="Z38" s="3934" t="n"/>
      <c r="AA38" s="3934" t="n"/>
      <c r="AB38" s="3934" t="n"/>
      <c r="AC38" s="3934" t="n"/>
      <c r="AD38" s="3934" t="n"/>
      <c r="AE38" s="3934" t="n"/>
      <c r="AF38" s="3934" t="n"/>
      <c r="AG38" s="3934" t="n"/>
      <c r="AH38" s="3934" t="n"/>
      <c r="AI38" s="3934" t="n"/>
      <c r="AJ38" s="3934" t="n"/>
      <c r="AK38" s="3934" t="n"/>
      <c r="AL38" s="3934" t="n"/>
      <c r="AM38" s="3934" t="n"/>
      <c r="AN38" s="3934" t="n"/>
      <c r="AO38" s="3934" t="n"/>
      <c r="AP38" s="3934" t="n"/>
      <c r="AQ38" s="3934" t="n"/>
      <c r="AR38" s="3934" t="n"/>
    </row>
    <row r="39">
      <c r="A39" s="3944" t="n"/>
      <c r="B39" s="3944" t="n"/>
      <c r="C39" s="3944" t="n"/>
      <c r="D39" s="3944" t="n"/>
      <c r="E39" s="3944" t="n"/>
      <c r="F39" s="3944" t="n"/>
      <c r="G39" s="3944" t="n"/>
      <c r="H39" s="3944" t="n"/>
      <c r="I39" s="3934" t="n"/>
      <c r="J39" s="3934" t="n"/>
      <c r="K39" s="3934" t="n"/>
      <c r="L39" s="3934" t="n"/>
      <c r="M39" s="3934" t="n"/>
      <c r="N39" s="3934" t="n"/>
      <c r="O39" s="3934" t="n"/>
      <c r="P39" s="3934" t="n"/>
      <c r="Q39" s="3934" t="n"/>
      <c r="R39" s="3934" t="n"/>
      <c r="S39" s="3934" t="n"/>
      <c r="T39" s="3934" t="n"/>
      <c r="U39" s="3934" t="n"/>
      <c r="V39" s="3934" t="n"/>
      <c r="W39" s="3934" t="n"/>
      <c r="X39" s="3934" t="n"/>
      <c r="Y39" s="3934" t="n"/>
      <c r="Z39" s="3934" t="n"/>
      <c r="AA39" s="3934" t="n"/>
      <c r="AB39" s="3934" t="n"/>
      <c r="AC39" s="3934" t="n"/>
      <c r="AD39" s="3934" t="n"/>
      <c r="AE39" s="3934" t="n"/>
      <c r="AF39" s="3934" t="n"/>
      <c r="AG39" s="3934" t="n"/>
      <c r="AH39" s="3934" t="n"/>
      <c r="AI39" s="3934" t="n"/>
      <c r="AJ39" s="3934" t="n"/>
      <c r="AK39" s="3934" t="n"/>
      <c r="AL39" s="3934" t="n"/>
      <c r="AM39" s="3934" t="n"/>
      <c r="AN39" s="3934" t="n"/>
      <c r="AO39" s="3934" t="n"/>
      <c r="AP39" s="3934" t="n"/>
      <c r="AQ39" s="3934" t="n"/>
      <c r="AR39" s="3934" t="n"/>
    </row>
    <row r="40">
      <c r="A40" s="3944" t="n"/>
      <c r="B40" s="3944" t="n"/>
      <c r="C40" s="3944" t="n"/>
      <c r="D40" s="3944" t="n"/>
      <c r="E40" s="3944" t="n"/>
      <c r="F40" s="3944" t="n"/>
      <c r="G40" s="3944" t="n"/>
      <c r="H40" s="3944" t="n"/>
      <c r="I40" s="3934" t="n"/>
      <c r="J40" s="3934" t="n"/>
      <c r="K40" s="3934" t="n"/>
      <c r="L40" s="3934" t="n"/>
      <c r="M40" s="3934" t="n"/>
      <c r="N40" s="3934" t="n"/>
      <c r="O40" s="3934" t="n"/>
      <c r="P40" s="3934" t="n"/>
      <c r="Q40" s="3934" t="n"/>
      <c r="R40" s="3934" t="n"/>
      <c r="S40" s="3934" t="n"/>
      <c r="T40" s="3934" t="n"/>
      <c r="U40" s="3934" t="n"/>
      <c r="V40" s="3934" t="n"/>
      <c r="W40" s="3934" t="n"/>
      <c r="X40" s="3934" t="n"/>
      <c r="Y40" s="3934" t="n"/>
      <c r="Z40" s="3934" t="n"/>
      <c r="AA40" s="3934" t="n"/>
      <c r="AB40" s="3934" t="n"/>
      <c r="AC40" s="3934" t="n"/>
      <c r="AD40" s="3934" t="n"/>
      <c r="AE40" s="3934" t="n"/>
      <c r="AF40" s="3934" t="n"/>
      <c r="AG40" s="3934" t="n"/>
      <c r="AH40" s="3934" t="n"/>
      <c r="AI40" s="3934" t="n"/>
      <c r="AJ40" s="3934" t="n"/>
      <c r="AK40" s="3934" t="n"/>
      <c r="AL40" s="3934" t="n"/>
      <c r="AM40" s="3934" t="n"/>
      <c r="AN40" s="3934" t="n"/>
      <c r="AO40" s="3934" t="n"/>
      <c r="AP40" s="3934" t="n"/>
      <c r="AQ40" s="3934" t="n"/>
      <c r="AR40" s="3934" t="n"/>
    </row>
    <row r="41">
      <c r="A41" s="3944" t="n"/>
      <c r="B41" s="3944" t="n"/>
      <c r="C41" s="3944" t="n"/>
      <c r="D41" s="3944" t="n"/>
      <c r="E41" s="3944" t="n"/>
      <c r="F41" s="3944" t="n"/>
      <c r="G41" s="3944" t="n"/>
      <c r="H41" s="3944" t="n"/>
      <c r="I41" s="3934" t="n"/>
      <c r="J41" s="3934" t="n"/>
      <c r="K41" s="3934" t="n"/>
      <c r="L41" s="3934" t="n"/>
      <c r="M41" s="3934" t="n"/>
      <c r="N41" s="3934" t="n"/>
      <c r="O41" s="3934" t="n"/>
      <c r="P41" s="3934" t="n"/>
      <c r="Q41" s="3934" t="n"/>
      <c r="R41" s="3934" t="n"/>
      <c r="S41" s="3934" t="n"/>
      <c r="T41" s="3934" t="n"/>
      <c r="U41" s="3934" t="n"/>
      <c r="V41" s="3934" t="n"/>
      <c r="W41" s="3934" t="n"/>
      <c r="X41" s="3934" t="n"/>
      <c r="Y41" s="3934" t="n"/>
      <c r="Z41" s="3934" t="n"/>
      <c r="AA41" s="3934" t="n"/>
      <c r="AB41" s="3934" t="n"/>
      <c r="AC41" s="3934" t="n"/>
      <c r="AD41" s="3934" t="n"/>
      <c r="AE41" s="3934" t="n"/>
      <c r="AF41" s="3934" t="n"/>
      <c r="AG41" s="3934" t="n"/>
      <c r="AH41" s="3934" t="n"/>
      <c r="AI41" s="3934" t="n"/>
      <c r="AJ41" s="3934" t="n"/>
      <c r="AK41" s="3934" t="n"/>
      <c r="AL41" s="3934" t="n"/>
      <c r="AM41" s="3934" t="n"/>
      <c r="AN41" s="3934" t="n"/>
      <c r="AO41" s="3934" t="n"/>
      <c r="AP41" s="3934" t="n"/>
      <c r="AQ41" s="3934" t="n"/>
      <c r="AR41" s="3934" t="n"/>
    </row>
    <row r="42">
      <c r="A42" s="3944" t="n"/>
      <c r="B42" s="3944" t="n"/>
      <c r="C42" s="3944" t="n"/>
      <c r="D42" s="3944" t="n"/>
      <c r="E42" s="3944" t="n"/>
      <c r="F42" s="3944" t="n"/>
      <c r="G42" s="3944" t="n"/>
      <c r="H42" s="3944" t="n"/>
      <c r="I42" s="3934" t="n"/>
      <c r="J42" s="3934" t="n"/>
      <c r="K42" s="3934" t="n"/>
      <c r="L42" s="3934" t="n"/>
      <c r="M42" s="3934" t="n"/>
      <c r="N42" s="3934" t="n"/>
      <c r="O42" s="3934" t="n"/>
      <c r="P42" s="3934" t="n"/>
      <c r="Q42" s="3934" t="n"/>
      <c r="R42" s="3934" t="n"/>
      <c r="S42" s="3934" t="n"/>
      <c r="T42" s="3934" t="n"/>
      <c r="U42" s="3934" t="n"/>
      <c r="V42" s="3934" t="n"/>
      <c r="W42" s="3934" t="n"/>
      <c r="X42" s="3934" t="n"/>
      <c r="Y42" s="3934" t="n"/>
      <c r="Z42" s="3934" t="n"/>
      <c r="AA42" s="3934" t="n"/>
      <c r="AB42" s="3934" t="n"/>
      <c r="AC42" s="3934" t="n"/>
      <c r="AD42" s="3934" t="n"/>
      <c r="AE42" s="3934" t="n"/>
      <c r="AF42" s="3934" t="n"/>
      <c r="AG42" s="3934" t="n"/>
      <c r="AH42" s="3934" t="n"/>
      <c r="AI42" s="3934" t="n"/>
      <c r="AJ42" s="3934" t="n"/>
      <c r="AK42" s="3934" t="n"/>
      <c r="AL42" s="3934" t="n"/>
      <c r="AM42" s="3934" t="n"/>
      <c r="AN42" s="3934" t="n"/>
      <c r="AO42" s="3934" t="n"/>
      <c r="AP42" s="3934" t="n"/>
      <c r="AQ42" s="3934" t="n"/>
      <c r="AR42" s="3934" t="n"/>
    </row>
    <row r="43">
      <c r="A43" s="3944" t="n"/>
      <c r="B43" s="3944" t="n"/>
      <c r="C43" s="3944" t="n"/>
      <c r="D43" s="3944" t="n"/>
      <c r="E43" s="3944" t="n"/>
      <c r="F43" s="3944" t="n"/>
      <c r="G43" s="3944" t="n"/>
      <c r="H43" s="3944" t="n"/>
      <c r="I43" s="3934" t="n"/>
      <c r="J43" s="3934" t="n"/>
      <c r="K43" s="3934" t="n"/>
      <c r="L43" s="3934" t="n"/>
      <c r="M43" s="3934" t="n"/>
      <c r="N43" s="3934" t="n"/>
      <c r="O43" s="3934" t="n"/>
      <c r="P43" s="3934" t="n"/>
      <c r="Q43" s="3934" t="n"/>
      <c r="R43" s="3934" t="n"/>
      <c r="S43" s="3934" t="n"/>
      <c r="T43" s="3934" t="n"/>
      <c r="U43" s="3934" t="n"/>
      <c r="V43" s="3934" t="n"/>
      <c r="W43" s="3934" t="n"/>
      <c r="X43" s="3934" t="n"/>
      <c r="Y43" s="3934" t="n"/>
      <c r="Z43" s="3934" t="n"/>
      <c r="AA43" s="3934" t="n"/>
      <c r="AB43" s="3934" t="n"/>
      <c r="AC43" s="3934" t="n"/>
      <c r="AD43" s="3934" t="n"/>
      <c r="AE43" s="3934" t="n"/>
      <c r="AF43" s="3934" t="n"/>
      <c r="AG43" s="3934" t="n"/>
      <c r="AH43" s="3934" t="n"/>
      <c r="AI43" s="3934" t="n"/>
      <c r="AJ43" s="3934" t="n"/>
      <c r="AK43" s="3934" t="n"/>
      <c r="AL43" s="3934" t="n"/>
      <c r="AM43" s="3934" t="n"/>
      <c r="AN43" s="3934" t="n"/>
      <c r="AO43" s="3934" t="n"/>
      <c r="AP43" s="3934" t="n"/>
      <c r="AQ43" s="3934" t="n"/>
      <c r="AR43" s="3934" t="n"/>
    </row>
    <row r="44">
      <c r="A44" s="3944" t="n"/>
      <c r="B44" s="3944" t="n"/>
      <c r="C44" s="3944" t="n"/>
      <c r="D44" s="3944" t="n"/>
      <c r="E44" s="3944" t="n"/>
      <c r="F44" s="3944" t="n"/>
      <c r="G44" s="3944" t="n"/>
      <c r="H44" s="3944" t="n"/>
      <c r="I44" s="3934" t="n"/>
      <c r="J44" s="3934" t="n"/>
      <c r="K44" s="3934" t="n"/>
      <c r="L44" s="3934" t="n"/>
      <c r="M44" s="3934" t="n"/>
      <c r="N44" s="3934" t="n"/>
      <c r="O44" s="3934" t="n"/>
      <c r="P44" s="3934" t="n"/>
      <c r="Q44" s="3934" t="n"/>
      <c r="R44" s="3934" t="n"/>
      <c r="S44" s="3934" t="n"/>
      <c r="T44" s="3934" t="n"/>
      <c r="U44" s="3934" t="n"/>
      <c r="V44" s="3934" t="n"/>
      <c r="W44" s="3934" t="n"/>
      <c r="X44" s="3934" t="n"/>
      <c r="Y44" s="3934" t="n"/>
      <c r="Z44" s="3934" t="n"/>
      <c r="AA44" s="3934" t="n"/>
      <c r="AB44" s="3934" t="n"/>
      <c r="AC44" s="3934" t="n"/>
      <c r="AD44" s="3934" t="n"/>
      <c r="AE44" s="3934" t="n"/>
      <c r="AF44" s="3934" t="n"/>
      <c r="AG44" s="3934" t="n"/>
      <c r="AH44" s="3934" t="n"/>
      <c r="AI44" s="3934" t="n"/>
      <c r="AJ44" s="3934" t="n"/>
      <c r="AK44" s="3934" t="n"/>
      <c r="AL44" s="3934" t="n"/>
      <c r="AM44" s="3934" t="n"/>
      <c r="AN44" s="3934" t="n"/>
      <c r="AO44" s="3934" t="n"/>
      <c r="AP44" s="3934" t="n"/>
      <c r="AQ44" s="3934" t="n"/>
      <c r="AR44" s="3934" t="n"/>
    </row>
    <row r="45">
      <c r="A45" s="3944" t="n"/>
      <c r="B45" s="3944" t="n"/>
      <c r="C45" s="3944" t="n"/>
      <c r="D45" s="3944" t="n"/>
      <c r="E45" s="3944" t="n"/>
      <c r="F45" s="3944" t="n"/>
      <c r="G45" s="3944" t="n"/>
      <c r="H45" s="3944" t="n"/>
      <c r="I45" s="3934" t="n"/>
      <c r="J45" s="3934" t="n"/>
      <c r="K45" s="3934" t="n"/>
      <c r="L45" s="3934" t="n"/>
      <c r="M45" s="3934" t="n"/>
      <c r="N45" s="3934" t="n"/>
      <c r="O45" s="3934" t="n"/>
      <c r="P45" s="3934" t="n"/>
      <c r="Q45" s="3934" t="n"/>
      <c r="R45" s="3934" t="n"/>
      <c r="S45" s="3934" t="n"/>
      <c r="T45" s="3934" t="n"/>
      <c r="U45" s="3934" t="n"/>
      <c r="V45" s="3934" t="n"/>
      <c r="W45" s="3934" t="n"/>
      <c r="X45" s="3934" t="n"/>
      <c r="Y45" s="3934" t="n"/>
      <c r="Z45" s="3934" t="n"/>
      <c r="AA45" s="3934" t="n"/>
      <c r="AB45" s="3934" t="n"/>
      <c r="AC45" s="3934" t="n"/>
      <c r="AD45" s="3934" t="n"/>
      <c r="AE45" s="3934" t="n"/>
      <c r="AF45" s="3934" t="n"/>
      <c r="AG45" s="3934" t="n"/>
      <c r="AH45" s="3934" t="n"/>
      <c r="AI45" s="3934" t="n"/>
      <c r="AJ45" s="3934" t="n"/>
      <c r="AK45" s="3934" t="n"/>
      <c r="AL45" s="3934" t="n"/>
      <c r="AM45" s="3934" t="n"/>
      <c r="AN45" s="3934" t="n"/>
      <c r="AO45" s="3934" t="n"/>
      <c r="AP45" s="3934" t="n"/>
      <c r="AQ45" s="3934" t="n"/>
      <c r="AR45" s="3934" t="n"/>
    </row>
    <row r="46">
      <c r="A46" s="3944" t="n"/>
      <c r="B46" s="3944" t="n"/>
      <c r="C46" s="3944" t="n"/>
      <c r="D46" s="3944" t="n"/>
      <c r="E46" s="3944" t="n"/>
      <c r="F46" s="3944" t="n"/>
      <c r="G46" s="3944" t="n"/>
      <c r="H46" s="3944" t="n"/>
      <c r="I46" s="3934" t="n"/>
      <c r="J46" s="3934" t="n"/>
      <c r="K46" s="3934" t="n"/>
      <c r="L46" s="3934" t="n"/>
      <c r="M46" s="3934" t="n"/>
      <c r="N46" s="3934" t="n"/>
      <c r="O46" s="3934" t="n"/>
      <c r="P46" s="3934" t="n"/>
      <c r="Q46" s="3934" t="n"/>
      <c r="R46" s="3934" t="n"/>
      <c r="S46" s="3934" t="n"/>
      <c r="T46" s="3934" t="n"/>
      <c r="U46" s="3934" t="n"/>
      <c r="V46" s="3934" t="n"/>
      <c r="W46" s="3934" t="n"/>
      <c r="X46" s="3934" t="n"/>
      <c r="Y46" s="3934" t="n"/>
      <c r="Z46" s="3934" t="n"/>
      <c r="AA46" s="3934" t="n"/>
      <c r="AB46" s="3934" t="n"/>
      <c r="AC46" s="3934" t="n"/>
      <c r="AD46" s="3934" t="n"/>
      <c r="AE46" s="3934" t="n"/>
      <c r="AF46" s="3934" t="n"/>
      <c r="AG46" s="3934" t="n"/>
      <c r="AH46" s="3934" t="n"/>
      <c r="AI46" s="3934" t="n"/>
      <c r="AJ46" s="3934" t="n"/>
      <c r="AK46" s="3934" t="n"/>
      <c r="AL46" s="3934" t="n"/>
      <c r="AM46" s="3934" t="n"/>
      <c r="AN46" s="3934" t="n"/>
      <c r="AO46" s="3934" t="n"/>
      <c r="AP46" s="3934" t="n"/>
      <c r="AQ46" s="3934" t="n"/>
      <c r="AR46" s="3934" t="n"/>
    </row>
    <row r="47">
      <c r="A47" s="3944" t="n"/>
      <c r="B47" s="3944" t="n"/>
      <c r="C47" s="3944" t="n"/>
      <c r="D47" s="3944" t="n"/>
      <c r="E47" s="3944" t="n"/>
      <c r="F47" s="3944" t="n"/>
      <c r="G47" s="3944" t="n"/>
      <c r="H47" s="3944" t="n"/>
      <c r="I47" s="3934" t="n"/>
      <c r="J47" s="3934" t="n"/>
      <c r="K47" s="3934" t="n"/>
      <c r="L47" s="3934" t="n"/>
      <c r="M47" s="3934" t="n"/>
      <c r="N47" s="3934" t="n"/>
      <c r="O47" s="3934" t="n"/>
      <c r="P47" s="3934" t="n"/>
      <c r="Q47" s="3934" t="n"/>
      <c r="R47" s="3934" t="n"/>
      <c r="S47" s="3934" t="n"/>
      <c r="T47" s="3934" t="n"/>
      <c r="U47" s="3934" t="n"/>
      <c r="V47" s="3934" t="n"/>
      <c r="W47" s="3934" t="n"/>
      <c r="X47" s="3934" t="n"/>
      <c r="Y47" s="3934" t="n"/>
      <c r="Z47" s="3934" t="n"/>
      <c r="AA47" s="3934" t="n"/>
      <c r="AB47" s="3934" t="n"/>
      <c r="AC47" s="3934" t="n"/>
      <c r="AD47" s="3934" t="n"/>
      <c r="AE47" s="3934" t="n"/>
      <c r="AF47" s="3934" t="n"/>
      <c r="AG47" s="3934" t="n"/>
      <c r="AH47" s="3934" t="n"/>
      <c r="AI47" s="3934" t="n"/>
      <c r="AJ47" s="3934" t="n"/>
      <c r="AK47" s="3934" t="n"/>
      <c r="AL47" s="3934" t="n"/>
      <c r="AM47" s="3934" t="n"/>
      <c r="AN47" s="3934" t="n"/>
      <c r="AO47" s="3934" t="n"/>
      <c r="AP47" s="3934" t="n"/>
      <c r="AQ47" s="3934" t="n"/>
      <c r="AR47" s="3934" t="n"/>
    </row>
    <row r="48">
      <c r="A48" s="3944" t="n"/>
      <c r="B48" s="3944" t="n"/>
      <c r="C48" s="3944" t="n"/>
      <c r="D48" s="3944" t="n"/>
      <c r="E48" s="3944" t="n"/>
      <c r="F48" s="3944" t="n"/>
      <c r="G48" s="3944" t="n"/>
      <c r="H48" s="3944" t="n"/>
      <c r="I48" s="3934" t="n"/>
      <c r="J48" s="3934" t="n"/>
      <c r="K48" s="3934" t="n"/>
      <c r="L48" s="3934" t="n"/>
      <c r="M48" s="3934" t="n"/>
      <c r="N48" s="3934" t="n"/>
      <c r="O48" s="3934" t="n"/>
      <c r="P48" s="3934" t="n"/>
      <c r="Q48" s="3934" t="n"/>
      <c r="R48" s="3934" t="n"/>
      <c r="S48" s="3934" t="n"/>
      <c r="T48" s="3934" t="n"/>
      <c r="U48" s="3934" t="n"/>
      <c r="V48" s="3934" t="n"/>
      <c r="W48" s="3934" t="n"/>
      <c r="X48" s="3934" t="n"/>
      <c r="Y48" s="3934" t="n"/>
      <c r="Z48" s="3934" t="n"/>
      <c r="AA48" s="3934" t="n"/>
      <c r="AB48" s="3934" t="n"/>
      <c r="AC48" s="3934" t="n"/>
      <c r="AD48" s="3934" t="n"/>
      <c r="AE48" s="3934" t="n"/>
      <c r="AF48" s="3934" t="n"/>
      <c r="AG48" s="3934" t="n"/>
      <c r="AH48" s="3934" t="n"/>
      <c r="AI48" s="3934" t="n"/>
      <c r="AJ48" s="3934" t="n"/>
      <c r="AK48" s="3934" t="n"/>
      <c r="AL48" s="3934" t="n"/>
      <c r="AM48" s="3934" t="n"/>
      <c r="AN48" s="3934" t="n"/>
      <c r="AO48" s="3934" t="n"/>
      <c r="AP48" s="3934" t="n"/>
      <c r="AQ48" s="3934" t="n"/>
      <c r="AR48" s="3934" t="n"/>
    </row>
    <row r="49">
      <c r="A49" s="3944" t="n"/>
      <c r="B49" s="3944" t="n"/>
      <c r="C49" s="3944" t="n"/>
      <c r="D49" s="3944" t="n"/>
      <c r="E49" s="3944" t="n"/>
      <c r="F49" s="3944" t="n"/>
      <c r="G49" s="3944" t="n"/>
      <c r="H49" s="3944" t="n"/>
      <c r="I49" s="3934" t="n"/>
      <c r="J49" s="3934" t="n"/>
      <c r="K49" s="3934" t="n"/>
      <c r="L49" s="3934" t="n"/>
      <c r="M49" s="3934" t="n"/>
      <c r="N49" s="3934" t="n"/>
      <c r="O49" s="3934" t="n"/>
      <c r="P49" s="3934" t="n"/>
      <c r="Q49" s="3934" t="n"/>
      <c r="R49" s="3934" t="n"/>
      <c r="S49" s="3934" t="n"/>
      <c r="T49" s="3934" t="n"/>
      <c r="U49" s="3934" t="n"/>
      <c r="V49" s="3934" t="n"/>
      <c r="W49" s="3934" t="n"/>
      <c r="X49" s="3934" t="n"/>
      <c r="Y49" s="3934" t="n"/>
      <c r="Z49" s="3934" t="n"/>
      <c r="AA49" s="3934" t="n"/>
      <c r="AB49" s="3934" t="n"/>
      <c r="AC49" s="3934" t="n"/>
      <c r="AD49" s="3934" t="n"/>
      <c r="AE49" s="3934" t="n"/>
      <c r="AF49" s="3934" t="n"/>
      <c r="AG49" s="3934" t="n"/>
      <c r="AH49" s="3934" t="n"/>
      <c r="AI49" s="3934" t="n"/>
      <c r="AJ49" s="3934" t="n"/>
      <c r="AK49" s="3934" t="n"/>
      <c r="AL49" s="3934" t="n"/>
      <c r="AM49" s="3934" t="n"/>
      <c r="AN49" s="3934" t="n"/>
      <c r="AO49" s="3934" t="n"/>
      <c r="AP49" s="3934" t="n"/>
      <c r="AQ49" s="3934" t="n"/>
      <c r="AR49" s="3934" t="n"/>
    </row>
    <row r="50">
      <c r="A50" s="3944" t="n"/>
      <c r="B50" s="3944" t="n"/>
      <c r="C50" s="3944" t="n"/>
      <c r="D50" s="3944" t="n"/>
      <c r="E50" s="3944" t="n"/>
      <c r="F50" s="3944" t="n"/>
      <c r="G50" s="3944" t="n"/>
      <c r="H50" s="3944" t="n"/>
      <c r="I50" s="3934" t="n"/>
      <c r="J50" s="3934" t="n"/>
      <c r="K50" s="3934" t="n"/>
      <c r="L50" s="3934" t="n"/>
      <c r="M50" s="3934" t="n"/>
      <c r="N50" s="3934" t="n"/>
      <c r="O50" s="3934" t="n"/>
      <c r="P50" s="3934" t="n"/>
      <c r="Q50" s="3934" t="n"/>
      <c r="R50" s="3934" t="n"/>
      <c r="S50" s="3934" t="n"/>
      <c r="T50" s="3934" t="n"/>
      <c r="U50" s="3934" t="n"/>
      <c r="V50" s="3934" t="n"/>
      <c r="W50" s="3934" t="n"/>
      <c r="X50" s="3934" t="n"/>
      <c r="Y50" s="3934" t="n"/>
      <c r="Z50" s="3934" t="n"/>
      <c r="AA50" s="3934" t="n"/>
      <c r="AB50" s="3934" t="n"/>
      <c r="AC50" s="3934" t="n"/>
      <c r="AD50" s="3934" t="n"/>
      <c r="AE50" s="3934" t="n"/>
      <c r="AF50" s="3934" t="n"/>
      <c r="AG50" s="3934" t="n"/>
      <c r="AH50" s="3934" t="n"/>
      <c r="AI50" s="3934" t="n"/>
      <c r="AJ50" s="3934" t="n"/>
      <c r="AK50" s="3934" t="n"/>
      <c r="AL50" s="3934" t="n"/>
      <c r="AM50" s="3934" t="n"/>
      <c r="AN50" s="3934" t="n"/>
      <c r="AO50" s="3934" t="n"/>
      <c r="AP50" s="3934" t="n"/>
      <c r="AQ50" s="3934" t="n"/>
      <c r="AR50" s="3934" t="n"/>
    </row>
    <row r="51">
      <c r="A51" s="3944" t="n"/>
      <c r="B51" s="3944" t="n"/>
      <c r="C51" s="3944" t="n"/>
      <c r="D51" s="3944" t="n"/>
      <c r="E51" s="3944" t="n"/>
      <c r="F51" s="3944" t="n"/>
      <c r="G51" s="3944" t="n"/>
      <c r="H51" s="3944" t="n"/>
      <c r="I51" s="3934" t="n"/>
      <c r="J51" s="3934" t="n"/>
      <c r="K51" s="3934" t="n"/>
      <c r="L51" s="3934" t="n"/>
      <c r="M51" s="3934" t="n"/>
      <c r="N51" s="3934" t="n"/>
      <c r="O51" s="3934" t="n"/>
      <c r="P51" s="3934" t="n"/>
      <c r="Q51" s="3934" t="n"/>
      <c r="R51" s="3934" t="n"/>
      <c r="S51" s="3934" t="n"/>
      <c r="T51" s="3934" t="n"/>
      <c r="U51" s="3934" t="n"/>
      <c r="V51" s="3934" t="n"/>
      <c r="W51" s="3934" t="n"/>
      <c r="X51" s="3934" t="n"/>
      <c r="Y51" s="3934" t="n"/>
      <c r="Z51" s="3934" t="n"/>
      <c r="AA51" s="3934" t="n"/>
      <c r="AB51" s="3934" t="n"/>
      <c r="AC51" s="3934" t="n"/>
      <c r="AD51" s="3934" t="n"/>
      <c r="AE51" s="3934" t="n"/>
      <c r="AF51" s="3934" t="n"/>
      <c r="AG51" s="3934" t="n"/>
      <c r="AH51" s="3934" t="n"/>
      <c r="AI51" s="3934" t="n"/>
      <c r="AJ51" s="3934" t="n"/>
      <c r="AK51" s="3934" t="n"/>
      <c r="AL51" s="3934" t="n"/>
      <c r="AM51" s="3934" t="n"/>
      <c r="AN51" s="3934" t="n"/>
      <c r="AO51" s="3934" t="n"/>
      <c r="AP51" s="3934" t="n"/>
      <c r="AQ51" s="3934" t="n"/>
      <c r="AR51" s="3934" t="n"/>
    </row>
    <row r="52">
      <c r="A52" s="3944" t="n"/>
      <c r="B52" s="3944" t="n"/>
      <c r="C52" s="3944" t="n"/>
      <c r="D52" s="3944" t="n"/>
      <c r="E52" s="3944" t="n"/>
      <c r="F52" s="3944" t="n"/>
      <c r="G52" s="3944" t="n"/>
      <c r="H52" s="3944" t="n"/>
      <c r="I52" s="3934" t="n"/>
      <c r="J52" s="3934" t="n"/>
      <c r="K52" s="3934" t="n"/>
      <c r="L52" s="3934" t="n"/>
      <c r="M52" s="3934" t="n"/>
      <c r="N52" s="3934" t="n"/>
      <c r="O52" s="3934" t="n"/>
      <c r="P52" s="3934" t="n"/>
      <c r="Q52" s="3934" t="n"/>
      <c r="R52" s="3934" t="n"/>
      <c r="S52" s="3934" t="n"/>
      <c r="T52" s="3934" t="n"/>
      <c r="U52" s="3934" t="n"/>
      <c r="V52" s="3934" t="n"/>
      <c r="W52" s="3934" t="n"/>
      <c r="X52" s="3934" t="n"/>
      <c r="Y52" s="3934" t="n"/>
      <c r="Z52" s="3934" t="n"/>
      <c r="AA52" s="3934" t="n"/>
      <c r="AB52" s="3934" t="n"/>
      <c r="AC52" s="3934" t="n"/>
      <c r="AD52" s="3934" t="n"/>
      <c r="AE52" s="3934" t="n"/>
      <c r="AF52" s="3934" t="n"/>
      <c r="AG52" s="3934" t="n"/>
      <c r="AH52" s="3934" t="n"/>
      <c r="AI52" s="3934" t="n"/>
      <c r="AJ52" s="3934" t="n"/>
      <c r="AK52" s="3934" t="n"/>
      <c r="AL52" s="3934" t="n"/>
      <c r="AM52" s="3934" t="n"/>
      <c r="AN52" s="3934" t="n"/>
      <c r="AO52" s="3934" t="n"/>
      <c r="AP52" s="3934" t="n"/>
      <c r="AQ52" s="3934" t="n"/>
      <c r="AR52" s="3934" t="n"/>
    </row>
    <row r="53">
      <c r="A53" s="3944" t="n"/>
      <c r="B53" s="3944" t="n"/>
      <c r="C53" s="3944" t="n"/>
      <c r="D53" s="3944" t="n"/>
      <c r="E53" s="3944" t="n"/>
      <c r="F53" s="3944" t="n"/>
      <c r="G53" s="3944" t="n"/>
      <c r="H53" s="3944" t="n"/>
      <c r="I53" s="3934" t="n"/>
      <c r="J53" s="3934" t="n"/>
      <c r="K53" s="3934" t="n"/>
      <c r="L53" s="3934" t="n"/>
      <c r="M53" s="3934" t="n"/>
      <c r="N53" s="3934" t="n"/>
      <c r="O53" s="3934" t="n"/>
      <c r="P53" s="3934" t="n"/>
      <c r="Q53" s="3934" t="n"/>
      <c r="R53" s="3934" t="n"/>
      <c r="S53" s="3934" t="n"/>
      <c r="T53" s="3934" t="n"/>
      <c r="U53" s="3934" t="n"/>
      <c r="V53" s="3934" t="n"/>
      <c r="W53" s="3934" t="n"/>
      <c r="X53" s="3934" t="n"/>
      <c r="Y53" s="3934" t="n"/>
      <c r="Z53" s="3934" t="n"/>
      <c r="AA53" s="3934" t="n"/>
      <c r="AB53" s="3934" t="n"/>
      <c r="AC53" s="3934" t="n"/>
      <c r="AD53" s="3934" t="n"/>
      <c r="AE53" s="3934" t="n"/>
      <c r="AF53" s="3934" t="n"/>
      <c r="AG53" s="3934" t="n"/>
      <c r="AH53" s="3934" t="n"/>
      <c r="AI53" s="3934" t="n"/>
      <c r="AJ53" s="3934" t="n"/>
      <c r="AK53" s="3934" t="n"/>
      <c r="AL53" s="3934" t="n"/>
      <c r="AM53" s="3934" t="n"/>
      <c r="AN53" s="3934" t="n"/>
      <c r="AO53" s="3934" t="n"/>
      <c r="AP53" s="3934" t="n"/>
      <c r="AQ53" s="3934" t="n"/>
      <c r="AR53" s="3934" t="n"/>
    </row>
    <row r="54">
      <c r="A54" s="3944" t="n"/>
      <c r="B54" s="3944" t="n"/>
      <c r="C54" s="3944" t="n"/>
      <c r="D54" s="3944" t="n"/>
      <c r="E54" s="3944" t="n"/>
      <c r="F54" s="3944" t="n"/>
      <c r="G54" s="3944" t="n"/>
      <c r="H54" s="3944" t="n"/>
      <c r="I54" s="3934" t="n"/>
      <c r="J54" s="3934" t="n"/>
      <c r="K54" s="3934" t="n"/>
      <c r="L54" s="3934" t="n"/>
      <c r="M54" s="3934" t="n"/>
      <c r="N54" s="3934" t="n"/>
      <c r="O54" s="3934" t="n"/>
      <c r="P54" s="3934" t="n"/>
      <c r="Q54" s="3934" t="n"/>
      <c r="R54" s="3934" t="n"/>
      <c r="S54" s="3934" t="n"/>
      <c r="T54" s="3934" t="n"/>
      <c r="U54" s="3934" t="n"/>
      <c r="V54" s="3934" t="n"/>
      <c r="W54" s="3934" t="n"/>
      <c r="X54" s="3934" t="n"/>
      <c r="Y54" s="3934" t="n"/>
      <c r="Z54" s="3934" t="n"/>
      <c r="AA54" s="3934" t="n"/>
      <c r="AB54" s="3934" t="n"/>
      <c r="AC54" s="3934" t="n"/>
      <c r="AD54" s="3934" t="n"/>
      <c r="AE54" s="3934" t="n"/>
      <c r="AF54" s="3934" t="n"/>
      <c r="AG54" s="3934" t="n"/>
      <c r="AH54" s="3934" t="n"/>
      <c r="AI54" s="3934" t="n"/>
      <c r="AJ54" s="3934" t="n"/>
      <c r="AK54" s="3934" t="n"/>
      <c r="AL54" s="3934" t="n"/>
      <c r="AM54" s="3934" t="n"/>
      <c r="AN54" s="3934" t="n"/>
      <c r="AO54" s="3934" t="n"/>
      <c r="AP54" s="3934" t="n"/>
      <c r="AQ54" s="3934" t="n"/>
      <c r="AR54" s="3934" t="n"/>
    </row>
    <row r="55">
      <c r="A55" s="3944" t="n"/>
      <c r="B55" s="3944" t="n"/>
      <c r="C55" s="3944" t="n"/>
      <c r="D55" s="3944" t="n"/>
      <c r="E55" s="3944" t="n"/>
      <c r="F55" s="3944" t="n"/>
      <c r="G55" s="3944" t="n"/>
      <c r="H55" s="3944" t="n"/>
      <c r="I55" s="3934" t="n"/>
      <c r="J55" s="3934" t="n"/>
      <c r="K55" s="3934" t="n"/>
      <c r="L55" s="3934" t="n"/>
      <c r="M55" s="3934" t="n"/>
      <c r="N55" s="3934" t="n"/>
      <c r="O55" s="3934" t="n"/>
      <c r="P55" s="3934" t="n"/>
      <c r="Q55" s="3934" t="n"/>
      <c r="R55" s="3934" t="n"/>
      <c r="S55" s="3934" t="n"/>
      <c r="T55" s="3934" t="n"/>
      <c r="U55" s="3934" t="n"/>
      <c r="V55" s="3934" t="n"/>
      <c r="W55" s="3934" t="n"/>
      <c r="X55" s="3934" t="n"/>
      <c r="Y55" s="3934" t="n"/>
      <c r="Z55" s="3934" t="n"/>
      <c r="AA55" s="3934" t="n"/>
      <c r="AB55" s="3934" t="n"/>
      <c r="AC55" s="3934" t="n"/>
      <c r="AD55" s="3934" t="n"/>
      <c r="AE55" s="3934" t="n"/>
      <c r="AF55" s="3934" t="n"/>
      <c r="AG55" s="3934" t="n"/>
      <c r="AH55" s="3934" t="n"/>
      <c r="AI55" s="3934" t="n"/>
      <c r="AJ55" s="3934" t="n"/>
      <c r="AK55" s="3934" t="n"/>
      <c r="AL55" s="3934" t="n"/>
      <c r="AM55" s="3934" t="n"/>
      <c r="AN55" s="3934" t="n"/>
      <c r="AO55" s="3934" t="n"/>
      <c r="AP55" s="3934" t="n"/>
      <c r="AQ55" s="3934" t="n"/>
      <c r="AR55" s="3934" t="n"/>
    </row>
    <row r="56">
      <c r="A56" s="3944" t="n"/>
      <c r="B56" s="3944" t="n"/>
      <c r="C56" s="3944" t="n"/>
      <c r="D56" s="3944" t="n"/>
      <c r="E56" s="3944" t="n"/>
      <c r="F56" s="3944" t="n"/>
      <c r="G56" s="3944" t="n"/>
      <c r="H56" s="3944" t="n"/>
      <c r="I56" s="3934" t="n"/>
      <c r="J56" s="3934" t="n"/>
      <c r="K56" s="3934" t="n"/>
      <c r="L56" s="3934" t="n"/>
      <c r="M56" s="3934" t="n"/>
      <c r="N56" s="3934" t="n"/>
      <c r="O56" s="3934" t="n"/>
      <c r="P56" s="3934" t="n"/>
      <c r="Q56" s="3934" t="n"/>
      <c r="R56" s="3934" t="n"/>
      <c r="S56" s="3934" t="n"/>
      <c r="T56" s="3934" t="n"/>
      <c r="U56" s="3934" t="n"/>
      <c r="V56" s="3934" t="n"/>
      <c r="W56" s="3934" t="n"/>
      <c r="X56" s="3934" t="n"/>
      <c r="Y56" s="3934" t="n"/>
      <c r="Z56" s="3934" t="n"/>
      <c r="AA56" s="3934" t="n"/>
      <c r="AB56" s="3934" t="n"/>
      <c r="AC56" s="3934" t="n"/>
      <c r="AD56" s="3934" t="n"/>
      <c r="AE56" s="3934" t="n"/>
      <c r="AF56" s="3934" t="n"/>
      <c r="AG56" s="3934" t="n"/>
      <c r="AH56" s="3934" t="n"/>
      <c r="AI56" s="3934" t="n"/>
      <c r="AJ56" s="3934" t="n"/>
      <c r="AK56" s="3934" t="n"/>
      <c r="AL56" s="3934" t="n"/>
      <c r="AM56" s="3934" t="n"/>
      <c r="AN56" s="3934" t="n"/>
      <c r="AO56" s="3934" t="n"/>
      <c r="AP56" s="3934" t="n"/>
      <c r="AQ56" s="3934" t="n"/>
      <c r="AR56" s="3934" t="n"/>
    </row>
    <row r="57">
      <c r="A57" s="3944" t="n"/>
      <c r="B57" s="3944" t="n"/>
      <c r="C57" s="3944" t="n"/>
      <c r="D57" s="3944" t="n"/>
      <c r="E57" s="3944" t="n"/>
      <c r="F57" s="3944" t="n"/>
      <c r="G57" s="3944" t="n"/>
      <c r="H57" s="3944" t="n"/>
      <c r="I57" s="3934" t="n"/>
      <c r="J57" s="3934" t="n"/>
      <c r="K57" s="3934" t="n"/>
      <c r="L57" s="3934" t="n"/>
      <c r="M57" s="3934" t="n"/>
      <c r="N57" s="3934" t="n"/>
      <c r="O57" s="3934" t="n"/>
      <c r="P57" s="3934" t="n"/>
      <c r="Q57" s="3934" t="n"/>
      <c r="R57" s="3934" t="n"/>
      <c r="S57" s="3934" t="n"/>
      <c r="T57" s="3934" t="n"/>
      <c r="U57" s="3934" t="n"/>
      <c r="V57" s="3934" t="n"/>
      <c r="W57" s="3934" t="n"/>
      <c r="X57" s="3934" t="n"/>
      <c r="Y57" s="3934" t="n"/>
      <c r="Z57" s="3934" t="n"/>
      <c r="AA57" s="3934" t="n"/>
      <c r="AB57" s="3934" t="n"/>
      <c r="AC57" s="3934" t="n"/>
      <c r="AD57" s="3934" t="n"/>
      <c r="AE57" s="3934" t="n"/>
      <c r="AF57" s="3934" t="n"/>
      <c r="AG57" s="3934" t="n"/>
      <c r="AH57" s="3934" t="n"/>
      <c r="AI57" s="3934" t="n"/>
      <c r="AJ57" s="3934" t="n"/>
      <c r="AK57" s="3934" t="n"/>
      <c r="AL57" s="3934" t="n"/>
      <c r="AM57" s="3934" t="n"/>
      <c r="AN57" s="3934" t="n"/>
      <c r="AO57" s="3934" t="n"/>
      <c r="AP57" s="3934" t="n"/>
      <c r="AQ57" s="3934" t="n"/>
      <c r="AR57" s="3934" t="n"/>
    </row>
    <row r="58">
      <c r="A58" s="3944" t="n"/>
      <c r="B58" s="3944" t="n"/>
      <c r="C58" s="3944" t="n"/>
      <c r="D58" s="3944" t="n"/>
      <c r="E58" s="3944" t="n"/>
      <c r="F58" s="3944" t="n"/>
      <c r="G58" s="3944" t="n"/>
      <c r="H58" s="3944" t="n"/>
      <c r="I58" s="3934" t="n"/>
      <c r="J58" s="3934" t="n"/>
      <c r="K58" s="3934" t="n"/>
      <c r="L58" s="3934" t="n"/>
      <c r="M58" s="3934" t="n"/>
      <c r="N58" s="3934" t="n"/>
      <c r="O58" s="3934" t="n"/>
      <c r="P58" s="3934" t="n"/>
      <c r="Q58" s="3934" t="n"/>
      <c r="R58" s="3934" t="n"/>
      <c r="S58" s="3934" t="n"/>
      <c r="T58" s="3934" t="n"/>
      <c r="U58" s="3934" t="n"/>
      <c r="V58" s="3934" t="n"/>
      <c r="W58" s="3934" t="n"/>
      <c r="X58" s="3934" t="n"/>
      <c r="Y58" s="3934" t="n"/>
      <c r="Z58" s="3934" t="n"/>
      <c r="AA58" s="3934" t="n"/>
      <c r="AB58" s="3934" t="n"/>
      <c r="AC58" s="3934" t="n"/>
      <c r="AD58" s="3934" t="n"/>
      <c r="AE58" s="3934" t="n"/>
      <c r="AF58" s="3934" t="n"/>
      <c r="AG58" s="3934" t="n"/>
      <c r="AH58" s="3934" t="n"/>
      <c r="AI58" s="3934" t="n"/>
      <c r="AJ58" s="3934" t="n"/>
      <c r="AK58" s="3934" t="n"/>
      <c r="AL58" s="3934" t="n"/>
      <c r="AM58" s="3934" t="n"/>
      <c r="AN58" s="3934" t="n"/>
      <c r="AO58" s="3934" t="n"/>
      <c r="AP58" s="3934" t="n"/>
      <c r="AQ58" s="3934" t="n"/>
      <c r="AR58" s="3934" t="n"/>
    </row>
    <row r="59">
      <c r="A59" s="3944" t="n"/>
      <c r="B59" s="3944" t="n"/>
      <c r="C59" s="3944" t="n"/>
      <c r="D59" s="3944" t="n"/>
      <c r="E59" s="3944" t="n"/>
      <c r="F59" s="3944" t="n"/>
      <c r="G59" s="3944" t="n"/>
      <c r="H59" s="3944" t="n"/>
      <c r="I59" s="3934" t="n"/>
      <c r="J59" s="3934" t="n"/>
      <c r="K59" s="3934" t="n"/>
      <c r="L59" s="3934" t="n"/>
      <c r="M59" s="3934" t="n"/>
      <c r="N59" s="3934" t="n"/>
      <c r="O59" s="3934" t="n"/>
      <c r="P59" s="3934" t="n"/>
      <c r="Q59" s="3934" t="n"/>
      <c r="R59" s="3934" t="n"/>
      <c r="S59" s="3934" t="n"/>
      <c r="T59" s="3934" t="n"/>
      <c r="U59" s="3934" t="n"/>
      <c r="V59" s="3934" t="n"/>
      <c r="W59" s="3934" t="n"/>
      <c r="X59" s="3934" t="n"/>
      <c r="Y59" s="3934" t="n"/>
      <c r="Z59" s="3934" t="n"/>
      <c r="AA59" s="3934" t="n"/>
      <c r="AB59" s="3934" t="n"/>
      <c r="AC59" s="3934" t="n"/>
      <c r="AD59" s="3934" t="n"/>
      <c r="AE59" s="3934" t="n"/>
      <c r="AF59" s="3934" t="n"/>
      <c r="AG59" s="3934" t="n"/>
      <c r="AH59" s="3934" t="n"/>
      <c r="AI59" s="3934" t="n"/>
      <c r="AJ59" s="3934" t="n"/>
      <c r="AK59" s="3934" t="n"/>
      <c r="AL59" s="3934" t="n"/>
      <c r="AM59" s="3934" t="n"/>
      <c r="AN59" s="3934" t="n"/>
      <c r="AO59" s="3934" t="n"/>
      <c r="AP59" s="3934" t="n"/>
      <c r="AQ59" s="3934" t="n"/>
      <c r="AR59" s="3934" t="n"/>
    </row>
    <row r="60">
      <c r="A60" s="3944" t="n"/>
      <c r="B60" s="3944" t="n"/>
      <c r="C60" s="3944" t="n"/>
      <c r="D60" s="3944" t="n"/>
      <c r="E60" s="3944" t="n"/>
      <c r="F60" s="3944" t="n"/>
      <c r="G60" s="3944" t="n"/>
      <c r="H60" s="3944" t="n"/>
      <c r="I60" s="3934" t="n"/>
      <c r="J60" s="3934" t="n"/>
      <c r="K60" s="3934" t="n"/>
      <c r="L60" s="3934" t="n"/>
      <c r="M60" s="3934" t="n"/>
      <c r="N60" s="3934" t="n"/>
      <c r="O60" s="3934" t="n"/>
      <c r="P60" s="3934" t="n"/>
      <c r="Q60" s="3934" t="n"/>
      <c r="R60" s="3934" t="n"/>
      <c r="S60" s="3934" t="n"/>
      <c r="T60" s="3934" t="n"/>
      <c r="U60" s="3934" t="n"/>
      <c r="V60" s="3934" t="n"/>
      <c r="W60" s="3934" t="n"/>
      <c r="X60" s="3934" t="n"/>
      <c r="Y60" s="3934" t="n"/>
      <c r="Z60" s="3934" t="n"/>
      <c r="AA60" s="3934" t="n"/>
      <c r="AB60" s="3934" t="n"/>
      <c r="AC60" s="3934" t="n"/>
      <c r="AD60" s="3934" t="n"/>
      <c r="AE60" s="3934" t="n"/>
      <c r="AF60" s="3934" t="n"/>
      <c r="AG60" s="3934" t="n"/>
      <c r="AH60" s="3934" t="n"/>
      <c r="AI60" s="3934" t="n"/>
      <c r="AJ60" s="3934" t="n"/>
      <c r="AK60" s="3934" t="n"/>
      <c r="AL60" s="3934" t="n"/>
      <c r="AM60" s="3934" t="n"/>
      <c r="AN60" s="3934" t="n"/>
      <c r="AO60" s="3934" t="n"/>
      <c r="AP60" s="3934" t="n"/>
      <c r="AQ60" s="3934" t="n"/>
      <c r="AR60" s="3934" t="n"/>
    </row>
    <row r="61">
      <c r="A61" s="3944" t="n"/>
      <c r="B61" s="3944" t="n"/>
      <c r="C61" s="3944" t="n"/>
      <c r="D61" s="3944" t="n"/>
      <c r="E61" s="3944" t="n"/>
      <c r="F61" s="3944" t="n"/>
      <c r="G61" s="3944" t="n"/>
      <c r="H61" s="3944" t="n"/>
      <c r="I61" s="3934" t="n"/>
      <c r="J61" s="3934" t="n"/>
      <c r="K61" s="3934" t="n"/>
      <c r="L61" s="3934" t="n"/>
      <c r="M61" s="3934" t="n"/>
      <c r="N61" s="3934" t="n"/>
      <c r="O61" s="3934" t="n"/>
      <c r="P61" s="3934" t="n"/>
      <c r="Q61" s="3934" t="n"/>
      <c r="R61" s="3934" t="n"/>
      <c r="S61" s="3934" t="n"/>
      <c r="T61" s="3934" t="n"/>
      <c r="U61" s="3934" t="n"/>
      <c r="V61" s="3934" t="n"/>
      <c r="W61" s="3934" t="n"/>
      <c r="X61" s="3934" t="n"/>
      <c r="Y61" s="3934" t="n"/>
      <c r="Z61" s="3934" t="n"/>
      <c r="AA61" s="3934" t="n"/>
      <c r="AB61" s="3934" t="n"/>
      <c r="AC61" s="3934" t="n"/>
      <c r="AD61" s="3934" t="n"/>
      <c r="AE61" s="3934" t="n"/>
      <c r="AF61" s="3934" t="n"/>
      <c r="AG61" s="3934" t="n"/>
      <c r="AH61" s="3934" t="n"/>
      <c r="AI61" s="3934" t="n"/>
      <c r="AJ61" s="3934" t="n"/>
      <c r="AK61" s="3934" t="n"/>
      <c r="AL61" s="3934" t="n"/>
      <c r="AM61" s="3934" t="n"/>
      <c r="AN61" s="3934" t="n"/>
      <c r="AO61" s="3934" t="n"/>
      <c r="AP61" s="3934" t="n"/>
      <c r="AQ61" s="3934" t="n"/>
      <c r="AR61" s="3934" t="n"/>
    </row>
    <row r="62">
      <c r="A62" s="3944" t="n"/>
      <c r="B62" s="3944" t="n"/>
      <c r="C62" s="3944" t="n"/>
      <c r="D62" s="3944" t="n"/>
      <c r="E62" s="3944" t="n"/>
      <c r="F62" s="3944" t="n"/>
      <c r="G62" s="3944" t="n"/>
      <c r="H62" s="3944" t="n"/>
      <c r="I62" s="3934" t="n"/>
      <c r="J62" s="3934" t="n"/>
      <c r="K62" s="3934" t="n"/>
      <c r="L62" s="3934" t="n"/>
      <c r="M62" s="3934" t="n"/>
      <c r="N62" s="3934" t="n"/>
      <c r="O62" s="3934" t="n"/>
      <c r="P62" s="3934" t="n"/>
      <c r="Q62" s="3934" t="n"/>
      <c r="R62" s="3934" t="n"/>
      <c r="S62" s="3934" t="n"/>
      <c r="T62" s="3934" t="n"/>
      <c r="U62" s="3934" t="n"/>
      <c r="V62" s="3934" t="n"/>
      <c r="W62" s="3934" t="n"/>
      <c r="X62" s="3934" t="n"/>
      <c r="Y62" s="3934" t="n"/>
      <c r="Z62" s="3934" t="n"/>
      <c r="AA62" s="3934" t="n"/>
      <c r="AB62" s="3934" t="n"/>
      <c r="AC62" s="3934" t="n"/>
      <c r="AD62" s="3934" t="n"/>
      <c r="AE62" s="3934" t="n"/>
      <c r="AF62" s="3934" t="n"/>
      <c r="AG62" s="3934" t="n"/>
      <c r="AH62" s="3934" t="n"/>
      <c r="AI62" s="3934" t="n"/>
      <c r="AJ62" s="3934" t="n"/>
      <c r="AK62" s="3934" t="n"/>
      <c r="AL62" s="3934" t="n"/>
      <c r="AM62" s="3934" t="n"/>
      <c r="AN62" s="3934" t="n"/>
      <c r="AO62" s="3934" t="n"/>
      <c r="AP62" s="3934" t="n"/>
      <c r="AQ62" s="3934" t="n"/>
      <c r="AR62" s="3934" t="n"/>
    </row>
    <row r="63">
      <c r="A63" s="3944" t="n"/>
      <c r="B63" s="3944" t="n"/>
      <c r="C63" s="3944" t="n"/>
      <c r="D63" s="3944" t="n"/>
      <c r="E63" s="3944" t="n"/>
      <c r="F63" s="3944" t="n"/>
      <c r="G63" s="3944" t="n"/>
      <c r="H63" s="3944" t="n"/>
      <c r="I63" s="3934" t="n"/>
      <c r="J63" s="3934" t="n"/>
      <c r="K63" s="3934" t="n"/>
      <c r="L63" s="3934" t="n"/>
      <c r="M63" s="3934" t="n"/>
      <c r="N63" s="3934" t="n"/>
      <c r="O63" s="3934" t="n"/>
      <c r="P63" s="3934" t="n"/>
      <c r="Q63" s="3934" t="n"/>
      <c r="R63" s="3934" t="n"/>
      <c r="S63" s="3934" t="n"/>
      <c r="T63" s="3934" t="n"/>
      <c r="U63" s="3934" t="n"/>
      <c r="V63" s="3934" t="n"/>
      <c r="W63" s="3934" t="n"/>
      <c r="X63" s="3934" t="n"/>
      <c r="Y63" s="3934" t="n"/>
      <c r="Z63" s="3934" t="n"/>
      <c r="AA63" s="3934" t="n"/>
      <c r="AB63" s="3934" t="n"/>
      <c r="AC63" s="3934" t="n"/>
      <c r="AD63" s="3934" t="n"/>
      <c r="AE63" s="3934" t="n"/>
      <c r="AF63" s="3934" t="n"/>
      <c r="AG63" s="3934" t="n"/>
      <c r="AH63" s="3934" t="n"/>
      <c r="AI63" s="3934" t="n"/>
      <c r="AJ63" s="3934" t="n"/>
      <c r="AK63" s="3934" t="n"/>
      <c r="AL63" s="3934" t="n"/>
      <c r="AM63" s="3934" t="n"/>
      <c r="AN63" s="3934" t="n"/>
      <c r="AO63" s="3934" t="n"/>
      <c r="AP63" s="3934" t="n"/>
      <c r="AQ63" s="3934" t="n"/>
      <c r="AR63" s="3934" t="n"/>
    </row>
    <row r="64">
      <c r="A64" s="3944" t="n"/>
      <c r="B64" s="3944" t="n"/>
      <c r="C64" s="3944" t="n"/>
      <c r="D64" s="3944" t="n"/>
      <c r="E64" s="3944" t="n"/>
      <c r="F64" s="3944" t="n"/>
      <c r="G64" s="3944" t="n"/>
      <c r="H64" s="3944" t="n"/>
      <c r="I64" s="3934" t="n"/>
      <c r="J64" s="3934" t="n"/>
      <c r="K64" s="3934" t="n"/>
      <c r="L64" s="3934" t="n"/>
      <c r="M64" s="3934" t="n"/>
      <c r="N64" s="3934" t="n"/>
      <c r="O64" s="3934" t="n"/>
      <c r="P64" s="3934" t="n"/>
      <c r="Q64" s="3934" t="n"/>
      <c r="R64" s="3934" t="n"/>
      <c r="S64" s="3934" t="n"/>
      <c r="T64" s="3934" t="n"/>
      <c r="U64" s="3934" t="n"/>
      <c r="V64" s="3934" t="n"/>
      <c r="W64" s="3934" t="n"/>
      <c r="X64" s="3934" t="n"/>
      <c r="Y64" s="3934" t="n"/>
      <c r="Z64" s="3934" t="n"/>
      <c r="AA64" s="3934" t="n"/>
      <c r="AB64" s="3934" t="n"/>
      <c r="AC64" s="3934" t="n"/>
      <c r="AD64" s="3934" t="n"/>
      <c r="AE64" s="3934" t="n"/>
      <c r="AF64" s="3934" t="n"/>
      <c r="AG64" s="3934" t="n"/>
      <c r="AH64" s="3934" t="n"/>
      <c r="AI64" s="3934" t="n"/>
      <c r="AJ64" s="3934" t="n"/>
      <c r="AK64" s="3934" t="n"/>
      <c r="AL64" s="3934" t="n"/>
      <c r="AM64" s="3934" t="n"/>
      <c r="AN64" s="3934" t="n"/>
      <c r="AO64" s="3934" t="n"/>
      <c r="AP64" s="3934" t="n"/>
      <c r="AQ64" s="3934" t="n"/>
      <c r="AR64" s="3934" t="n"/>
    </row>
    <row r="65">
      <c r="A65" s="3944" t="n"/>
      <c r="B65" s="3944" t="n"/>
      <c r="C65" s="3944" t="n"/>
      <c r="D65" s="3944" t="n"/>
      <c r="E65" s="3944" t="n"/>
      <c r="F65" s="3944" t="n"/>
      <c r="G65" s="3944" t="n"/>
      <c r="H65" s="3944" t="n"/>
      <c r="I65" s="3934" t="n"/>
      <c r="J65" s="3934" t="n"/>
      <c r="K65" s="3934" t="n"/>
      <c r="L65" s="3934" t="n"/>
      <c r="M65" s="3934" t="n"/>
      <c r="N65" s="3934" t="n"/>
      <c r="O65" s="3934" t="n"/>
      <c r="P65" s="3934" t="n"/>
      <c r="Q65" s="3934" t="n"/>
      <c r="R65" s="3934" t="n"/>
      <c r="S65" s="3934" t="n"/>
      <c r="T65" s="3934" t="n"/>
      <c r="U65" s="3934" t="n"/>
      <c r="V65" s="3934" t="n"/>
      <c r="W65" s="3934" t="n"/>
      <c r="X65" s="3934" t="n"/>
      <c r="Y65" s="3934" t="n"/>
      <c r="Z65" s="3934" t="n"/>
      <c r="AA65" s="3934" t="n"/>
      <c r="AB65" s="3934" t="n"/>
      <c r="AC65" s="3934" t="n"/>
      <c r="AD65" s="3934" t="n"/>
      <c r="AE65" s="3934" t="n"/>
      <c r="AF65" s="3934" t="n"/>
      <c r="AG65" s="3934" t="n"/>
      <c r="AH65" s="3934" t="n"/>
      <c r="AI65" s="3934" t="n"/>
      <c r="AJ65" s="3934" t="n"/>
      <c r="AK65" s="3934" t="n"/>
      <c r="AL65" s="3934" t="n"/>
      <c r="AM65" s="3934" t="n"/>
      <c r="AN65" s="3934" t="n"/>
      <c r="AO65" s="3934" t="n"/>
      <c r="AP65" s="3934" t="n"/>
      <c r="AQ65" s="3934" t="n"/>
      <c r="AR65" s="3934" t="n"/>
    </row>
    <row r="66">
      <c r="A66" s="3944" t="n"/>
      <c r="B66" s="3944" t="n"/>
      <c r="C66" s="3944" t="n"/>
      <c r="D66" s="3944" t="n"/>
      <c r="E66" s="3944" t="n"/>
      <c r="F66" s="3944" t="n"/>
      <c r="G66" s="3944" t="n"/>
      <c r="H66" s="3944" t="n"/>
      <c r="I66" s="3934" t="n"/>
      <c r="J66" s="3934" t="n"/>
      <c r="K66" s="3934" t="n"/>
      <c r="L66" s="3934" t="n"/>
      <c r="M66" s="3934" t="n"/>
      <c r="N66" s="3934" t="n"/>
      <c r="O66" s="3934" t="n"/>
      <c r="P66" s="3934" t="n"/>
      <c r="Q66" s="3934" t="n"/>
      <c r="R66" s="3934" t="n"/>
      <c r="S66" s="3934" t="n"/>
      <c r="T66" s="3934" t="n"/>
      <c r="U66" s="3934" t="n"/>
      <c r="V66" s="3934" t="n"/>
      <c r="W66" s="3934" t="n"/>
      <c r="X66" s="3934" t="n"/>
      <c r="Y66" s="3934" t="n"/>
      <c r="Z66" s="3934" t="n"/>
      <c r="AA66" s="3934" t="n"/>
      <c r="AB66" s="3934" t="n"/>
      <c r="AC66" s="3934" t="n"/>
      <c r="AD66" s="3934" t="n"/>
      <c r="AE66" s="3934" t="n"/>
      <c r="AF66" s="3934" t="n"/>
      <c r="AG66" s="3934" t="n"/>
      <c r="AH66" s="3934" t="n"/>
      <c r="AI66" s="3934" t="n"/>
      <c r="AJ66" s="3934" t="n"/>
      <c r="AK66" s="3934" t="n"/>
      <c r="AL66" s="3934" t="n"/>
      <c r="AM66" s="3934" t="n"/>
      <c r="AN66" s="3934" t="n"/>
      <c r="AO66" s="3934" t="n"/>
      <c r="AP66" s="3934" t="n"/>
      <c r="AQ66" s="3934" t="n"/>
      <c r="AR66" s="3934" t="n"/>
    </row>
    <row r="67">
      <c r="A67" s="3944" t="n"/>
      <c r="B67" s="3944" t="n"/>
      <c r="C67" s="3944" t="n"/>
      <c r="D67" s="3944" t="n"/>
      <c r="E67" s="3944" t="n"/>
      <c r="F67" s="3944" t="n"/>
      <c r="G67" s="3944" t="n"/>
      <c r="H67" s="3944" t="n"/>
      <c r="I67" s="3934" t="n"/>
      <c r="J67" s="3934" t="n"/>
      <c r="K67" s="3934" t="n"/>
      <c r="L67" s="3934" t="n"/>
      <c r="M67" s="3934" t="n"/>
      <c r="N67" s="3934" t="n"/>
      <c r="O67" s="3934" t="n"/>
      <c r="P67" s="3934" t="n"/>
      <c r="Q67" s="3934" t="n"/>
      <c r="R67" s="3934" t="n"/>
      <c r="S67" s="3934" t="n"/>
      <c r="T67" s="3934" t="n"/>
      <c r="U67" s="3934" t="n"/>
      <c r="V67" s="3934" t="n"/>
      <c r="W67" s="3934" t="n"/>
      <c r="X67" s="3934" t="n"/>
      <c r="Y67" s="3934" t="n"/>
      <c r="Z67" s="3934" t="n"/>
      <c r="AA67" s="3934" t="n"/>
      <c r="AB67" s="3934" t="n"/>
      <c r="AC67" s="3934" t="n"/>
      <c r="AD67" s="3934" t="n"/>
      <c r="AE67" s="3934" t="n"/>
      <c r="AF67" s="3934" t="n"/>
      <c r="AG67" s="3934" t="n"/>
      <c r="AH67" s="3934" t="n"/>
      <c r="AI67" s="3934" t="n"/>
      <c r="AJ67" s="3934" t="n"/>
      <c r="AK67" s="3934" t="n"/>
      <c r="AL67" s="3934" t="n"/>
      <c r="AM67" s="3934" t="n"/>
      <c r="AN67" s="3934" t="n"/>
      <c r="AO67" s="3934" t="n"/>
      <c r="AP67" s="3934" t="n"/>
      <c r="AQ67" s="3934" t="n"/>
      <c r="AR67" s="3934" t="n"/>
    </row>
    <row r="68">
      <c r="A68" s="3944" t="n"/>
      <c r="B68" s="3944" t="n"/>
      <c r="C68" s="3944" t="n"/>
      <c r="D68" s="3944" t="n"/>
      <c r="E68" s="3944" t="n"/>
      <c r="F68" s="3944" t="n"/>
      <c r="G68" s="3944" t="n"/>
      <c r="H68" s="3944" t="n"/>
      <c r="I68" s="3934" t="n"/>
      <c r="J68" s="3934" t="n"/>
      <c r="K68" s="3934" t="n"/>
      <c r="L68" s="3934" t="n"/>
      <c r="M68" s="3934" t="n"/>
      <c r="N68" s="3934" t="n"/>
      <c r="O68" s="3934" t="n"/>
      <c r="P68" s="3934" t="n"/>
      <c r="Q68" s="3934" t="n"/>
      <c r="R68" s="3934" t="n"/>
      <c r="S68" s="3934" t="n"/>
      <c r="T68" s="3934" t="n"/>
      <c r="U68" s="3934" t="n"/>
      <c r="V68" s="3934" t="n"/>
      <c r="W68" s="3934" t="n"/>
      <c r="X68" s="3934" t="n"/>
      <c r="Y68" s="3934" t="n"/>
      <c r="Z68" s="3934" t="n"/>
      <c r="AA68" s="3934" t="n"/>
      <c r="AB68" s="3934" t="n"/>
      <c r="AC68" s="3934" t="n"/>
      <c r="AD68" s="3934" t="n"/>
      <c r="AE68" s="3934" t="n"/>
      <c r="AF68" s="3934" t="n"/>
      <c r="AG68" s="3934" t="n"/>
      <c r="AH68" s="3934" t="n"/>
      <c r="AI68" s="3934" t="n"/>
      <c r="AJ68" s="3934" t="n"/>
      <c r="AK68" s="3934" t="n"/>
      <c r="AL68" s="3934" t="n"/>
      <c r="AM68" s="3934" t="n"/>
      <c r="AN68" s="3934" t="n"/>
      <c r="AO68" s="3934" t="n"/>
      <c r="AP68" s="3934" t="n"/>
      <c r="AQ68" s="3934" t="n"/>
      <c r="AR68" s="3934" t="n"/>
    </row>
    <row r="69">
      <c r="A69" s="3944" t="n"/>
      <c r="B69" s="3944" t="n"/>
      <c r="C69" s="3944" t="n"/>
      <c r="D69" s="3944" t="n"/>
      <c r="E69" s="3944" t="n"/>
      <c r="F69" s="3944" t="n"/>
      <c r="G69" s="3944" t="n"/>
      <c r="H69" s="3944" t="n"/>
      <c r="I69" s="3934" t="n"/>
      <c r="J69" s="3934" t="n"/>
      <c r="K69" s="3934" t="n"/>
      <c r="L69" s="3934" t="n"/>
      <c r="M69" s="3934" t="n"/>
      <c r="N69" s="3934" t="n"/>
      <c r="O69" s="3934" t="n"/>
      <c r="P69" s="3934" t="n"/>
      <c r="Q69" s="3934" t="n"/>
      <c r="R69" s="3934" t="n"/>
      <c r="S69" s="3934" t="n"/>
      <c r="T69" s="3934" t="n"/>
      <c r="U69" s="3934" t="n"/>
      <c r="V69" s="3934" t="n"/>
      <c r="W69" s="3934" t="n"/>
      <c r="X69" s="3934" t="n"/>
      <c r="Y69" s="3934" t="n"/>
      <c r="Z69" s="3934" t="n"/>
      <c r="AA69" s="3934" t="n"/>
      <c r="AB69" s="3934" t="n"/>
      <c r="AC69" s="3934" t="n"/>
      <c r="AD69" s="3934" t="n"/>
      <c r="AE69" s="3934" t="n"/>
      <c r="AF69" s="3934" t="n"/>
      <c r="AG69" s="3934" t="n"/>
      <c r="AH69" s="3934" t="n"/>
      <c r="AI69" s="3934" t="n"/>
      <c r="AJ69" s="3934" t="n"/>
      <c r="AK69" s="3934" t="n"/>
      <c r="AL69" s="3934" t="n"/>
      <c r="AM69" s="3934" t="n"/>
      <c r="AN69" s="3934" t="n"/>
      <c r="AO69" s="3934" t="n"/>
      <c r="AP69" s="3934" t="n"/>
      <c r="AQ69" s="3934" t="n"/>
      <c r="AR69" s="3934" t="n"/>
    </row>
    <row r="70">
      <c r="A70" s="3944" t="n"/>
      <c r="B70" s="3944" t="n"/>
      <c r="C70" s="3944" t="n"/>
      <c r="D70" s="3944" t="n"/>
      <c r="E70" s="3944" t="n"/>
      <c r="F70" s="3944" t="n"/>
      <c r="G70" s="3944" t="n"/>
      <c r="H70" s="3944" t="n"/>
      <c r="I70" s="3934" t="n"/>
      <c r="J70" s="3934" t="n"/>
      <c r="K70" s="3934" t="n"/>
      <c r="L70" s="3934" t="n"/>
      <c r="M70" s="3934" t="n"/>
      <c r="N70" s="3934" t="n"/>
      <c r="O70" s="3934" t="n"/>
      <c r="P70" s="3934" t="n"/>
      <c r="Q70" s="3934" t="n"/>
      <c r="R70" s="3934" t="n"/>
      <c r="S70" s="3934" t="n"/>
      <c r="T70" s="3934" t="n"/>
      <c r="U70" s="3934" t="n"/>
      <c r="V70" s="3934" t="n"/>
      <c r="W70" s="3934" t="n"/>
      <c r="X70" s="3934" t="n"/>
      <c r="Y70" s="3934" t="n"/>
      <c r="Z70" s="3934" t="n"/>
      <c r="AA70" s="3934" t="n"/>
      <c r="AB70" s="3934" t="n"/>
      <c r="AC70" s="3934" t="n"/>
      <c r="AD70" s="3934" t="n"/>
      <c r="AE70" s="3934" t="n"/>
      <c r="AF70" s="3934" t="n"/>
      <c r="AG70" s="3934" t="n"/>
      <c r="AH70" s="3934" t="n"/>
      <c r="AI70" s="3934" t="n"/>
      <c r="AJ70" s="3934" t="n"/>
      <c r="AK70" s="3934" t="n"/>
      <c r="AL70" s="3934" t="n"/>
      <c r="AM70" s="3934" t="n"/>
      <c r="AN70" s="3934" t="n"/>
      <c r="AO70" s="3934" t="n"/>
      <c r="AP70" s="3934" t="n"/>
      <c r="AQ70" s="3934" t="n"/>
      <c r="AR70" s="3934" t="n"/>
    </row>
    <row r="71">
      <c r="A71" s="3944" t="n"/>
      <c r="B71" s="3944" t="n"/>
      <c r="C71" s="3944" t="n"/>
      <c r="D71" s="3944" t="n"/>
      <c r="E71" s="3944" t="n"/>
      <c r="F71" s="3944" t="n"/>
      <c r="G71" s="3944" t="n"/>
      <c r="H71" s="3944" t="n"/>
      <c r="I71" s="3934" t="n"/>
      <c r="J71" s="3934" t="n"/>
      <c r="K71" s="3934" t="n"/>
      <c r="L71" s="3934" t="n"/>
      <c r="M71" s="3934" t="n"/>
      <c r="N71" s="3934" t="n"/>
      <c r="O71" s="3934" t="n"/>
      <c r="P71" s="3934" t="n"/>
      <c r="Q71" s="3934" t="n"/>
      <c r="R71" s="3934" t="n"/>
      <c r="S71" s="3934" t="n"/>
      <c r="T71" s="3934" t="n"/>
      <c r="U71" s="3934" t="n"/>
      <c r="V71" s="3934" t="n"/>
      <c r="W71" s="3934" t="n"/>
      <c r="X71" s="3934" t="n"/>
      <c r="Y71" s="3934" t="n"/>
      <c r="Z71" s="3934" t="n"/>
      <c r="AA71" s="3934" t="n"/>
      <c r="AB71" s="3934" t="n"/>
      <c r="AC71" s="3934" t="n"/>
      <c r="AD71" s="3934" t="n"/>
      <c r="AE71" s="3934" t="n"/>
      <c r="AF71" s="3934" t="n"/>
      <c r="AG71" s="3934" t="n"/>
      <c r="AH71" s="3934" t="n"/>
      <c r="AI71" s="3934" t="n"/>
      <c r="AJ71" s="3934" t="n"/>
      <c r="AK71" s="3934" t="n"/>
      <c r="AL71" s="3934" t="n"/>
      <c r="AM71" s="3934" t="n"/>
      <c r="AN71" s="3934" t="n"/>
      <c r="AO71" s="3934" t="n"/>
      <c r="AP71" s="3934" t="n"/>
      <c r="AQ71" s="3934" t="n"/>
      <c r="AR71" s="3934" t="n"/>
    </row>
    <row r="72">
      <c r="A72" s="3944" t="n"/>
      <c r="B72" s="3944" t="n"/>
      <c r="C72" s="3944" t="n"/>
      <c r="D72" s="3944" t="n"/>
      <c r="E72" s="3944" t="n"/>
      <c r="F72" s="3944" t="n"/>
      <c r="G72" s="3944" t="n"/>
      <c r="H72" s="3944" t="n"/>
      <c r="I72" s="3934" t="n"/>
      <c r="J72" s="3934" t="n"/>
      <c r="K72" s="3934" t="n"/>
      <c r="L72" s="3934" t="n"/>
      <c r="M72" s="3934" t="n"/>
      <c r="N72" s="3934" t="n"/>
      <c r="O72" s="3934" t="n"/>
      <c r="P72" s="3934" t="n"/>
      <c r="Q72" s="3934" t="n"/>
      <c r="R72" s="3934" t="n"/>
      <c r="S72" s="3934" t="n"/>
      <c r="T72" s="3934" t="n"/>
      <c r="U72" s="3934" t="n"/>
      <c r="V72" s="3934" t="n"/>
      <c r="W72" s="3934" t="n"/>
      <c r="X72" s="3934" t="n"/>
      <c r="Y72" s="3934" t="n"/>
      <c r="Z72" s="3934" t="n"/>
      <c r="AA72" s="3934" t="n"/>
      <c r="AB72" s="3934" t="n"/>
      <c r="AC72" s="3934" t="n"/>
      <c r="AD72" s="3934" t="n"/>
      <c r="AE72" s="3934" t="n"/>
      <c r="AF72" s="3934" t="n"/>
      <c r="AG72" s="3934" t="n"/>
      <c r="AH72" s="3934" t="n"/>
      <c r="AI72" s="3934" t="n"/>
      <c r="AJ72" s="3934" t="n"/>
      <c r="AK72" s="3934" t="n"/>
      <c r="AL72" s="3934" t="n"/>
      <c r="AM72" s="3934" t="n"/>
      <c r="AN72" s="3934" t="n"/>
      <c r="AO72" s="3934" t="n"/>
      <c r="AP72" s="3934" t="n"/>
      <c r="AQ72" s="3934" t="n"/>
      <c r="AR72" s="3934" t="n"/>
    </row>
    <row r="73">
      <c r="A73" s="3944" t="n"/>
      <c r="B73" s="3944" t="n"/>
      <c r="C73" s="3944" t="n"/>
      <c r="D73" s="3944" t="n"/>
      <c r="E73" s="3944" t="n"/>
      <c r="F73" s="3944" t="n"/>
      <c r="G73" s="3944" t="n"/>
      <c r="H73" s="3944" t="n"/>
      <c r="I73" s="3934" t="n"/>
      <c r="J73" s="3934" t="n"/>
      <c r="K73" s="3934" t="n"/>
      <c r="L73" s="3934" t="n"/>
      <c r="M73" s="3934" t="n"/>
      <c r="N73" s="3934" t="n"/>
      <c r="O73" s="3934" t="n"/>
      <c r="P73" s="3934" t="n"/>
      <c r="Q73" s="3934" t="n"/>
      <c r="R73" s="3934" t="n"/>
      <c r="S73" s="3934" t="n"/>
      <c r="T73" s="3934" t="n"/>
      <c r="U73" s="3934" t="n"/>
      <c r="V73" s="3934" t="n"/>
      <c r="W73" s="3934" t="n"/>
      <c r="X73" s="3934" t="n"/>
      <c r="Y73" s="3934" t="n"/>
      <c r="Z73" s="3934" t="n"/>
      <c r="AA73" s="3934" t="n"/>
      <c r="AB73" s="3934" t="n"/>
      <c r="AC73" s="3934" t="n"/>
      <c r="AD73" s="3934" t="n"/>
      <c r="AE73" s="3934" t="n"/>
      <c r="AF73" s="3934" t="n"/>
      <c r="AG73" s="3934" t="n"/>
      <c r="AH73" s="3934" t="n"/>
      <c r="AI73" s="3934" t="n"/>
      <c r="AJ73" s="3934" t="n"/>
      <c r="AK73" s="3934" t="n"/>
      <c r="AL73" s="3934" t="n"/>
      <c r="AM73" s="3934" t="n"/>
      <c r="AN73" s="3934" t="n"/>
      <c r="AO73" s="3934" t="n"/>
      <c r="AP73" s="3934" t="n"/>
      <c r="AQ73" s="3934" t="n"/>
      <c r="AR73" s="3934" t="n"/>
    </row>
    <row r="74">
      <c r="A74" s="3944" t="n"/>
      <c r="B74" s="3944" t="n"/>
      <c r="C74" s="3944" t="n"/>
      <c r="D74" s="3944" t="n"/>
      <c r="E74" s="3944" t="n"/>
      <c r="F74" s="3944" t="n"/>
      <c r="G74" s="3944" t="n"/>
      <c r="H74" s="3944" t="n"/>
      <c r="I74" s="3934" t="n"/>
      <c r="J74" s="3934" t="n"/>
      <c r="K74" s="3934" t="n"/>
      <c r="L74" s="3934" t="n"/>
      <c r="M74" s="3934" t="n"/>
      <c r="N74" s="3934" t="n"/>
      <c r="O74" s="3934" t="n"/>
      <c r="P74" s="3934" t="n"/>
      <c r="Q74" s="3934" t="n"/>
      <c r="R74" s="3934" t="n"/>
      <c r="S74" s="3934" t="n"/>
      <c r="T74" s="3934" t="n"/>
      <c r="U74" s="3934" t="n"/>
      <c r="V74" s="3934" t="n"/>
      <c r="W74" s="3934" t="n"/>
      <c r="X74" s="3934" t="n"/>
      <c r="Y74" s="3934" t="n"/>
      <c r="Z74" s="3934" t="n"/>
      <c r="AA74" s="3934" t="n"/>
      <c r="AB74" s="3934" t="n"/>
      <c r="AC74" s="3934" t="n"/>
      <c r="AD74" s="3934" t="n"/>
      <c r="AE74" s="3934" t="n"/>
      <c r="AF74" s="3934" t="n"/>
      <c r="AG74" s="3934" t="n"/>
      <c r="AH74" s="3934" t="n"/>
      <c r="AI74" s="3934" t="n"/>
      <c r="AJ74" s="3934" t="n"/>
      <c r="AK74" s="3934" t="n"/>
      <c r="AL74" s="3934" t="n"/>
      <c r="AM74" s="3934" t="n"/>
      <c r="AN74" s="3934" t="n"/>
      <c r="AO74" s="3934" t="n"/>
      <c r="AP74" s="3934" t="n"/>
      <c r="AQ74" s="3934" t="n"/>
      <c r="AR74" s="3934" t="n"/>
    </row>
    <row r="75">
      <c r="A75" s="3944" t="n"/>
      <c r="B75" s="3944" t="n"/>
      <c r="C75" s="3944" t="n"/>
      <c r="D75" s="3944" t="n"/>
      <c r="E75" s="3944" t="n"/>
      <c r="F75" s="3944" t="n"/>
      <c r="G75" s="3944" t="n"/>
      <c r="H75" s="3944" t="n"/>
      <c r="I75" s="3934" t="n"/>
      <c r="J75" s="3934" t="n"/>
      <c r="K75" s="3934" t="n"/>
      <c r="L75" s="3934" t="n"/>
      <c r="M75" s="3934" t="n"/>
      <c r="N75" s="3934" t="n"/>
      <c r="O75" s="3934" t="n"/>
      <c r="P75" s="3934" t="n"/>
      <c r="Q75" s="3934" t="n"/>
      <c r="R75" s="3934" t="n"/>
      <c r="S75" s="3934" t="n"/>
      <c r="T75" s="3934" t="n"/>
      <c r="U75" s="3934" t="n"/>
      <c r="V75" s="3934" t="n"/>
      <c r="W75" s="3934" t="n"/>
      <c r="X75" s="3934" t="n"/>
      <c r="Y75" s="3934" t="n"/>
      <c r="Z75" s="3934" t="n"/>
      <c r="AA75" s="3934" t="n"/>
      <c r="AB75" s="3934" t="n"/>
      <c r="AC75" s="3934" t="n"/>
      <c r="AD75" s="3934" t="n"/>
      <c r="AE75" s="3934" t="n"/>
      <c r="AF75" s="3934" t="n"/>
      <c r="AG75" s="3934" t="n"/>
      <c r="AH75" s="3934" t="n"/>
      <c r="AI75" s="3934" t="n"/>
      <c r="AJ75" s="3934" t="n"/>
      <c r="AK75" s="3934" t="n"/>
      <c r="AL75" s="3934" t="n"/>
      <c r="AM75" s="3934" t="n"/>
      <c r="AN75" s="3934" t="n"/>
      <c r="AO75" s="3934" t="n"/>
      <c r="AP75" s="3934" t="n"/>
      <c r="AQ75" s="3934" t="n"/>
      <c r="AR75" s="3934" t="n"/>
    </row>
    <row r="76">
      <c r="A76" s="3944" t="n"/>
      <c r="B76" s="3944" t="n"/>
      <c r="C76" s="3944" t="n"/>
      <c r="D76" s="3944" t="n"/>
      <c r="E76" s="3944" t="n"/>
      <c r="F76" s="3944" t="n"/>
      <c r="G76" s="3944" t="n"/>
      <c r="H76" s="3944" t="n"/>
      <c r="I76" s="3934" t="n"/>
      <c r="J76" s="3934" t="n"/>
      <c r="K76" s="3934" t="n"/>
      <c r="L76" s="3934" t="n"/>
      <c r="M76" s="3934" t="n"/>
      <c r="N76" s="3934" t="n"/>
      <c r="O76" s="3934" t="n"/>
      <c r="P76" s="3934" t="n"/>
      <c r="Q76" s="3934" t="n"/>
      <c r="R76" s="3934" t="n"/>
      <c r="S76" s="3934" t="n"/>
      <c r="T76" s="3934" t="n"/>
      <c r="U76" s="3934" t="n"/>
      <c r="V76" s="3934" t="n"/>
      <c r="W76" s="3934" t="n"/>
      <c r="X76" s="3934" t="n"/>
      <c r="Y76" s="3934" t="n"/>
      <c r="Z76" s="3934" t="n"/>
      <c r="AA76" s="3934" t="n"/>
      <c r="AB76" s="3934" t="n"/>
      <c r="AC76" s="3934" t="n"/>
      <c r="AD76" s="3934" t="n"/>
      <c r="AE76" s="3934" t="n"/>
      <c r="AF76" s="3934" t="n"/>
      <c r="AG76" s="3934" t="n"/>
      <c r="AH76" s="3934" t="n"/>
      <c r="AI76" s="3934" t="n"/>
      <c r="AJ76" s="3934" t="n"/>
      <c r="AK76" s="3934" t="n"/>
      <c r="AL76" s="3934" t="n"/>
      <c r="AM76" s="3934" t="n"/>
      <c r="AN76" s="3934" t="n"/>
      <c r="AO76" s="3934" t="n"/>
      <c r="AP76" s="3934" t="n"/>
      <c r="AQ76" s="3934" t="n"/>
      <c r="AR76" s="3934" t="n"/>
    </row>
    <row r="77">
      <c r="A77" s="3944" t="n"/>
      <c r="B77" s="3944" t="n"/>
      <c r="C77" s="3944" t="n"/>
      <c r="D77" s="3944" t="n"/>
      <c r="E77" s="3944" t="n"/>
      <c r="F77" s="3944" t="n"/>
      <c r="G77" s="3944" t="n"/>
      <c r="H77" s="3944" t="n"/>
      <c r="I77" s="3934" t="n"/>
      <c r="J77" s="3934" t="n"/>
      <c r="K77" s="3934" t="n"/>
      <c r="L77" s="3934" t="n"/>
      <c r="M77" s="3934" t="n"/>
      <c r="N77" s="3934" t="n"/>
      <c r="O77" s="3934" t="n"/>
      <c r="P77" s="3934" t="n"/>
      <c r="Q77" s="3934" t="n"/>
      <c r="R77" s="3934" t="n"/>
      <c r="S77" s="3934" t="n"/>
      <c r="T77" s="3934" t="n"/>
      <c r="U77" s="3934" t="n"/>
      <c r="V77" s="3934" t="n"/>
      <c r="W77" s="3934" t="n"/>
      <c r="X77" s="3934" t="n"/>
      <c r="Y77" s="3934" t="n"/>
      <c r="Z77" s="3934" t="n"/>
      <c r="AA77" s="3934" t="n"/>
      <c r="AB77" s="3934" t="n"/>
      <c r="AC77" s="3934" t="n"/>
      <c r="AD77" s="3934" t="n"/>
      <c r="AE77" s="3934" t="n"/>
      <c r="AF77" s="3934" t="n"/>
      <c r="AG77" s="3934" t="n"/>
      <c r="AH77" s="3934" t="n"/>
      <c r="AI77" s="3934" t="n"/>
      <c r="AJ77" s="3934" t="n"/>
      <c r="AK77" s="3934" t="n"/>
      <c r="AL77" s="3934" t="n"/>
      <c r="AM77" s="3934" t="n"/>
      <c r="AN77" s="3934" t="n"/>
      <c r="AO77" s="3934" t="n"/>
      <c r="AP77" s="3934" t="n"/>
      <c r="AQ77" s="3934" t="n"/>
      <c r="AR77" s="3934" t="n"/>
    </row>
    <row r="78">
      <c r="A78" s="3944" t="n"/>
      <c r="B78" s="3944" t="n"/>
      <c r="C78" s="3944" t="n"/>
      <c r="D78" s="3944" t="n"/>
      <c r="E78" s="3944" t="n"/>
      <c r="F78" s="3944" t="n"/>
      <c r="G78" s="3944" t="n"/>
      <c r="H78" s="3944" t="n"/>
      <c r="I78" s="3934" t="n"/>
      <c r="J78" s="3934" t="n"/>
      <c r="K78" s="3934" t="n"/>
      <c r="L78" s="3934" t="n"/>
      <c r="M78" s="3934" t="n"/>
      <c r="N78" s="3934" t="n"/>
      <c r="O78" s="3934" t="n"/>
      <c r="P78" s="3934" t="n"/>
      <c r="Q78" s="3934" t="n"/>
      <c r="R78" s="3934" t="n"/>
      <c r="S78" s="3934" t="n"/>
      <c r="T78" s="3934" t="n"/>
      <c r="U78" s="3934" t="n"/>
      <c r="V78" s="3934" t="n"/>
      <c r="W78" s="3934" t="n"/>
      <c r="X78" s="3934" t="n"/>
      <c r="Y78" s="3934" t="n"/>
      <c r="Z78" s="3934" t="n"/>
      <c r="AA78" s="3934" t="n"/>
      <c r="AB78" s="3934" t="n"/>
      <c r="AC78" s="3934" t="n"/>
      <c r="AD78" s="3934" t="n"/>
      <c r="AE78" s="3934" t="n"/>
      <c r="AF78" s="3934" t="n"/>
      <c r="AG78" s="3934" t="n"/>
      <c r="AH78" s="3934" t="n"/>
      <c r="AI78" s="3934" t="n"/>
      <c r="AJ78" s="3934" t="n"/>
      <c r="AK78" s="3934" t="n"/>
      <c r="AL78" s="3934" t="n"/>
      <c r="AM78" s="3934" t="n"/>
      <c r="AN78" s="3934" t="n"/>
      <c r="AO78" s="3934" t="n"/>
      <c r="AP78" s="3934" t="n"/>
      <c r="AQ78" s="3934" t="n"/>
      <c r="AR78" s="3934" t="n"/>
    </row>
    <row r="79">
      <c r="A79" s="3944" t="n"/>
      <c r="B79" s="3944" t="n"/>
      <c r="C79" s="3944" t="n"/>
      <c r="D79" s="3944" t="n"/>
      <c r="E79" s="3944" t="n"/>
      <c r="F79" s="3944" t="n"/>
      <c r="G79" s="3944" t="n"/>
      <c r="H79" s="3944" t="n"/>
      <c r="I79" s="3934" t="n"/>
      <c r="J79" s="3934" t="n"/>
      <c r="K79" s="3934" t="n"/>
      <c r="L79" s="3934" t="n"/>
      <c r="M79" s="3934" t="n"/>
      <c r="N79" s="3934" t="n"/>
      <c r="O79" s="3934" t="n"/>
      <c r="P79" s="3934" t="n"/>
      <c r="Q79" s="3934" t="n"/>
      <c r="R79" s="3934" t="n"/>
      <c r="S79" s="3934" t="n"/>
      <c r="T79" s="3934" t="n"/>
      <c r="U79" s="3934" t="n"/>
      <c r="V79" s="3934" t="n"/>
      <c r="W79" s="3934" t="n"/>
      <c r="X79" s="3934" t="n"/>
      <c r="Y79" s="3934" t="n"/>
      <c r="Z79" s="3934" t="n"/>
      <c r="AA79" s="3934" t="n"/>
      <c r="AB79" s="3934" t="n"/>
      <c r="AC79" s="3934" t="n"/>
      <c r="AD79" s="3934" t="n"/>
      <c r="AE79" s="3934" t="n"/>
      <c r="AF79" s="3934" t="n"/>
      <c r="AG79" s="3934" t="n"/>
      <c r="AH79" s="3934" t="n"/>
      <c r="AI79" s="3934" t="n"/>
      <c r="AJ79" s="3934" t="n"/>
      <c r="AK79" s="3934" t="n"/>
      <c r="AL79" s="3934" t="n"/>
      <c r="AM79" s="3934" t="n"/>
      <c r="AN79" s="3934" t="n"/>
      <c r="AO79" s="3934" t="n"/>
      <c r="AP79" s="3934" t="n"/>
      <c r="AQ79" s="3934" t="n"/>
      <c r="AR79" s="3934" t="n"/>
    </row>
    <row r="80">
      <c r="A80" s="3944" t="n"/>
      <c r="B80" s="3944" t="n"/>
      <c r="C80" s="3944" t="n"/>
      <c r="D80" s="3944" t="n"/>
      <c r="E80" s="3944" t="n"/>
      <c r="F80" s="3944" t="n"/>
      <c r="G80" s="3944" t="n"/>
      <c r="H80" s="3944" t="n"/>
      <c r="I80" s="3934" t="n"/>
      <c r="J80" s="3934" t="n"/>
      <c r="K80" s="3934" t="n"/>
      <c r="L80" s="3934" t="n"/>
      <c r="M80" s="3934" t="n"/>
      <c r="N80" s="3934" t="n"/>
      <c r="O80" s="3934" t="n"/>
      <c r="P80" s="3934" t="n"/>
      <c r="Q80" s="3934" t="n"/>
      <c r="R80" s="3934" t="n"/>
      <c r="S80" s="3934" t="n"/>
      <c r="T80" s="3934" t="n"/>
      <c r="U80" s="3934" t="n"/>
      <c r="V80" s="3934" t="n"/>
      <c r="W80" s="3934" t="n"/>
      <c r="X80" s="3934" t="n"/>
      <c r="Y80" s="3934" t="n"/>
      <c r="Z80" s="3934" t="n"/>
      <c r="AA80" s="3934" t="n"/>
      <c r="AB80" s="3934" t="n"/>
      <c r="AC80" s="3934" t="n"/>
      <c r="AD80" s="3934" t="n"/>
      <c r="AE80" s="3934" t="n"/>
      <c r="AF80" s="3934" t="n"/>
      <c r="AG80" s="3934" t="n"/>
      <c r="AH80" s="3934" t="n"/>
      <c r="AI80" s="3934" t="n"/>
      <c r="AJ80" s="3934" t="n"/>
      <c r="AK80" s="3934" t="n"/>
      <c r="AL80" s="3934" t="n"/>
      <c r="AM80" s="3934" t="n"/>
      <c r="AN80" s="3934" t="n"/>
      <c r="AO80" s="3934" t="n"/>
      <c r="AP80" s="3934" t="n"/>
      <c r="AQ80" s="3934" t="n"/>
      <c r="AR80" s="3934" t="n"/>
    </row>
    <row r="81">
      <c r="A81" s="3944" t="n"/>
      <c r="B81" s="3944" t="n"/>
      <c r="C81" s="3944" t="n"/>
      <c r="D81" s="3944" t="n"/>
      <c r="E81" s="3944" t="n"/>
      <c r="F81" s="3944" t="n"/>
      <c r="G81" s="3944" t="n"/>
      <c r="H81" s="3944" t="n"/>
      <c r="I81" s="3934" t="n"/>
      <c r="J81" s="3934" t="n"/>
      <c r="K81" s="3934" t="n"/>
      <c r="L81" s="3934" t="n"/>
      <c r="M81" s="3934" t="n"/>
      <c r="N81" s="3934" t="n"/>
      <c r="O81" s="3934" t="n"/>
      <c r="P81" s="3934" t="n"/>
      <c r="Q81" s="3934" t="n"/>
      <c r="R81" s="3934" t="n"/>
      <c r="S81" s="3934" t="n"/>
      <c r="T81" s="3934" t="n"/>
      <c r="U81" s="3934" t="n"/>
      <c r="V81" s="3934" t="n"/>
      <c r="W81" s="3934" t="n"/>
      <c r="X81" s="3934" t="n"/>
      <c r="Y81" s="3934" t="n"/>
      <c r="Z81" s="3934" t="n"/>
      <c r="AA81" s="3934" t="n"/>
      <c r="AB81" s="3934" t="n"/>
      <c r="AC81" s="3934" t="n"/>
      <c r="AD81" s="3934" t="n"/>
      <c r="AE81" s="3934" t="n"/>
      <c r="AF81" s="3934" t="n"/>
      <c r="AG81" s="3934" t="n"/>
      <c r="AH81" s="3934" t="n"/>
      <c r="AI81" s="3934" t="n"/>
      <c r="AJ81" s="3934" t="n"/>
      <c r="AK81" s="3934" t="n"/>
      <c r="AL81" s="3934" t="n"/>
      <c r="AM81" s="3934" t="n"/>
      <c r="AN81" s="3934" t="n"/>
      <c r="AO81" s="3934" t="n"/>
      <c r="AP81" s="3934" t="n"/>
      <c r="AQ81" s="3934" t="n"/>
      <c r="AR81" s="3934" t="n"/>
    </row>
    <row r="82">
      <c r="A82" s="3944" t="n"/>
      <c r="B82" s="3944" t="n"/>
      <c r="C82" s="3944" t="n"/>
      <c r="D82" s="3944" t="n"/>
      <c r="E82" s="3944" t="n"/>
      <c r="F82" s="3944" t="n"/>
      <c r="G82" s="3944" t="n"/>
      <c r="H82" s="3944" t="n"/>
      <c r="I82" s="3934" t="n"/>
      <c r="J82" s="3934" t="n"/>
      <c r="K82" s="3934" t="n"/>
      <c r="L82" s="3934" t="n"/>
      <c r="M82" s="3934" t="n"/>
      <c r="N82" s="3934" t="n"/>
      <c r="O82" s="3934" t="n"/>
      <c r="P82" s="3934" t="n"/>
      <c r="Q82" s="3934" t="n"/>
      <c r="R82" s="3934" t="n"/>
      <c r="S82" s="3934" t="n"/>
      <c r="T82" s="3934" t="n"/>
      <c r="U82" s="3934" t="n"/>
      <c r="V82" s="3934" t="n"/>
      <c r="W82" s="3934" t="n"/>
      <c r="X82" s="3934" t="n"/>
      <c r="Y82" s="3934" t="n"/>
      <c r="Z82" s="3934" t="n"/>
      <c r="AA82" s="3934" t="n"/>
      <c r="AB82" s="3934" t="n"/>
      <c r="AC82" s="3934" t="n"/>
      <c r="AD82" s="3934" t="n"/>
      <c r="AE82" s="3934" t="n"/>
      <c r="AF82" s="3934" t="n"/>
      <c r="AG82" s="3934" t="n"/>
      <c r="AH82" s="3934" t="n"/>
      <c r="AI82" s="3934" t="n"/>
      <c r="AJ82" s="3934" t="n"/>
      <c r="AK82" s="3934" t="n"/>
      <c r="AL82" s="3934" t="n"/>
      <c r="AM82" s="3934" t="n"/>
      <c r="AN82" s="3934" t="n"/>
      <c r="AO82" s="3934" t="n"/>
      <c r="AP82" s="3934" t="n"/>
      <c r="AQ82" s="3934" t="n"/>
      <c r="AR82" s="3934" t="n"/>
    </row>
    <row r="83">
      <c r="A83" s="3944" t="n"/>
      <c r="B83" s="3944" t="n"/>
      <c r="C83" s="3944" t="n"/>
      <c r="D83" s="3944" t="n"/>
      <c r="E83" s="3944" t="n"/>
      <c r="F83" s="3944" t="n"/>
      <c r="G83" s="3944" t="n"/>
      <c r="H83" s="3944" t="n"/>
      <c r="I83" s="3934" t="n"/>
      <c r="J83" s="3934" t="n"/>
      <c r="K83" s="3934" t="n"/>
      <c r="L83" s="3934" t="n"/>
      <c r="M83" s="3934" t="n"/>
      <c r="N83" s="3934" t="n"/>
      <c r="O83" s="3934" t="n"/>
      <c r="P83" s="3934" t="n"/>
      <c r="Q83" s="3934" t="n"/>
      <c r="R83" s="3934" t="n"/>
      <c r="S83" s="3934" t="n"/>
      <c r="T83" s="3934" t="n"/>
      <c r="U83" s="3934" t="n"/>
      <c r="V83" s="3934" t="n"/>
      <c r="W83" s="3934" t="n"/>
      <c r="X83" s="3934" t="n"/>
      <c r="Y83" s="3934" t="n"/>
      <c r="Z83" s="3934" t="n"/>
      <c r="AA83" s="3934" t="n"/>
      <c r="AB83" s="3934" t="n"/>
      <c r="AC83" s="3934" t="n"/>
      <c r="AD83" s="3934" t="n"/>
      <c r="AE83" s="3934" t="n"/>
      <c r="AF83" s="3934" t="n"/>
      <c r="AG83" s="3934" t="n"/>
      <c r="AH83" s="3934" t="n"/>
      <c r="AI83" s="3934" t="n"/>
      <c r="AJ83" s="3934" t="n"/>
      <c r="AK83" s="3934" t="n"/>
      <c r="AL83" s="3934" t="n"/>
      <c r="AM83" s="3934" t="n"/>
      <c r="AN83" s="3934" t="n"/>
      <c r="AO83" s="3934" t="n"/>
      <c r="AP83" s="3934" t="n"/>
      <c r="AQ83" s="3934" t="n"/>
      <c r="AR83" s="3934" t="n"/>
    </row>
    <row r="84">
      <c r="A84" s="3944" t="n"/>
      <c r="B84" s="3944" t="n"/>
      <c r="C84" s="3944" t="n"/>
      <c r="D84" s="3944" t="n"/>
      <c r="E84" s="3944" t="n"/>
      <c r="F84" s="3944" t="n"/>
      <c r="G84" s="3944" t="n"/>
      <c r="H84" s="3944" t="n"/>
      <c r="I84" s="3934" t="n"/>
      <c r="J84" s="3934" t="n"/>
      <c r="K84" s="3934" t="n"/>
      <c r="L84" s="3934" t="n"/>
      <c r="M84" s="3934" t="n"/>
      <c r="N84" s="3934" t="n"/>
      <c r="O84" s="3934" t="n"/>
      <c r="P84" s="3934" t="n"/>
      <c r="Q84" s="3934" t="n"/>
      <c r="R84" s="3934" t="n"/>
      <c r="S84" s="3934" t="n"/>
      <c r="T84" s="3934" t="n"/>
      <c r="U84" s="3934" t="n"/>
      <c r="V84" s="3934" t="n"/>
      <c r="W84" s="3934" t="n"/>
      <c r="X84" s="3934" t="n"/>
      <c r="Y84" s="3934" t="n"/>
      <c r="Z84" s="3934" t="n"/>
      <c r="AA84" s="3934" t="n"/>
      <c r="AB84" s="3934" t="n"/>
      <c r="AC84" s="3934" t="n"/>
      <c r="AD84" s="3934" t="n"/>
      <c r="AE84" s="3934" t="n"/>
      <c r="AF84" s="3934" t="n"/>
      <c r="AG84" s="3934" t="n"/>
      <c r="AH84" s="3934" t="n"/>
      <c r="AI84" s="3934" t="n"/>
      <c r="AJ84" s="3934" t="n"/>
      <c r="AK84" s="3934" t="n"/>
      <c r="AL84" s="3934" t="n"/>
      <c r="AM84" s="3934" t="n"/>
      <c r="AN84" s="3934" t="n"/>
      <c r="AO84" s="3934" t="n"/>
      <c r="AP84" s="3934" t="n"/>
      <c r="AQ84" s="3934" t="n"/>
      <c r="AR84" s="3934" t="n"/>
    </row>
    <row r="85">
      <c r="A85" s="3944" t="n"/>
      <c r="B85" s="3944" t="n"/>
      <c r="C85" s="3944" t="n"/>
      <c r="D85" s="3944" t="n"/>
      <c r="E85" s="3944" t="n"/>
      <c r="F85" s="3944" t="n"/>
      <c r="G85" s="3944" t="n"/>
      <c r="H85" s="3944" t="n"/>
      <c r="I85" s="3934" t="n"/>
      <c r="J85" s="3934" t="n"/>
      <c r="K85" s="3934" t="n"/>
      <c r="L85" s="3934" t="n"/>
      <c r="M85" s="3934" t="n"/>
      <c r="N85" s="3934" t="n"/>
      <c r="O85" s="3934" t="n"/>
      <c r="P85" s="3934" t="n"/>
      <c r="Q85" s="3934" t="n"/>
      <c r="R85" s="3934" t="n"/>
      <c r="S85" s="3934" t="n"/>
      <c r="T85" s="3934" t="n"/>
      <c r="U85" s="3934" t="n"/>
      <c r="V85" s="3934" t="n"/>
      <c r="W85" s="3934" t="n"/>
      <c r="X85" s="3934" t="n"/>
      <c r="Y85" s="3934" t="n"/>
      <c r="Z85" s="3934" t="n"/>
      <c r="AA85" s="3934" t="n"/>
      <c r="AB85" s="3934" t="n"/>
      <c r="AC85" s="3934" t="n"/>
      <c r="AD85" s="3934" t="n"/>
      <c r="AE85" s="3934" t="n"/>
      <c r="AF85" s="3934" t="n"/>
      <c r="AG85" s="3934" t="n"/>
      <c r="AH85" s="3934" t="n"/>
      <c r="AI85" s="3934" t="n"/>
      <c r="AJ85" s="3934" t="n"/>
      <c r="AK85" s="3934" t="n"/>
      <c r="AL85" s="3934" t="n"/>
      <c r="AM85" s="3934" t="n"/>
      <c r="AN85" s="3934" t="n"/>
      <c r="AO85" s="3934" t="n"/>
      <c r="AP85" s="3934" t="n"/>
      <c r="AQ85" s="3934" t="n"/>
      <c r="AR85" s="3934" t="n"/>
    </row>
    <row r="86">
      <c r="A86" s="3944" t="n"/>
      <c r="B86" s="3944" t="n"/>
      <c r="C86" s="3944" t="n"/>
      <c r="D86" s="3944" t="n"/>
      <c r="E86" s="3944" t="n"/>
      <c r="F86" s="3944" t="n"/>
      <c r="G86" s="3944" t="n"/>
      <c r="H86" s="3944" t="n"/>
      <c r="I86" s="3934" t="n"/>
      <c r="J86" s="3934" t="n"/>
      <c r="K86" s="3934" t="n"/>
      <c r="L86" s="3934" t="n"/>
      <c r="M86" s="3934" t="n"/>
      <c r="N86" s="3934" t="n"/>
      <c r="O86" s="3934" t="n"/>
      <c r="P86" s="3934" t="n"/>
      <c r="Q86" s="3934" t="n"/>
      <c r="R86" s="3934" t="n"/>
      <c r="S86" s="3934" t="n"/>
      <c r="T86" s="3934" t="n"/>
      <c r="U86" s="3934" t="n"/>
      <c r="V86" s="3934" t="n"/>
      <c r="W86" s="3934" t="n"/>
      <c r="X86" s="3934" t="n"/>
      <c r="Y86" s="3934" t="n"/>
      <c r="Z86" s="3934" t="n"/>
      <c r="AA86" s="3934" t="n"/>
      <c r="AB86" s="3934" t="n"/>
      <c r="AC86" s="3934" t="n"/>
      <c r="AD86" s="3934" t="n"/>
      <c r="AE86" s="3934" t="n"/>
      <c r="AF86" s="3934" t="n"/>
      <c r="AG86" s="3934" t="n"/>
      <c r="AH86" s="3934" t="n"/>
      <c r="AI86" s="3934" t="n"/>
      <c r="AJ86" s="3934" t="n"/>
      <c r="AK86" s="3934" t="n"/>
      <c r="AL86" s="3934" t="n"/>
      <c r="AM86" s="3934" t="n"/>
      <c r="AN86" s="3934" t="n"/>
      <c r="AO86" s="3934" t="n"/>
      <c r="AP86" s="3934" t="n"/>
      <c r="AQ86" s="3934" t="n"/>
      <c r="AR86" s="3934" t="n"/>
    </row>
    <row r="87">
      <c r="A87" s="3944" t="n"/>
      <c r="B87" s="3944" t="n"/>
      <c r="C87" s="3944" t="n"/>
      <c r="D87" s="3944" t="n"/>
      <c r="E87" s="3944" t="n"/>
      <c r="F87" s="3944" t="n"/>
      <c r="G87" s="3944" t="n"/>
      <c r="H87" s="3944" t="n"/>
      <c r="I87" s="3934" t="n"/>
      <c r="J87" s="3934" t="n"/>
      <c r="K87" s="3934" t="n"/>
      <c r="L87" s="3934" t="n"/>
      <c r="M87" s="3934" t="n"/>
      <c r="N87" s="3934" t="n"/>
      <c r="O87" s="3934" t="n"/>
      <c r="P87" s="3934" t="n"/>
      <c r="Q87" s="3934" t="n"/>
      <c r="R87" s="3934" t="n"/>
      <c r="S87" s="3934" t="n"/>
      <c r="T87" s="3934" t="n"/>
      <c r="U87" s="3934" t="n"/>
      <c r="V87" s="3934" t="n"/>
      <c r="W87" s="3934" t="n"/>
      <c r="X87" s="3934" t="n"/>
      <c r="Y87" s="3934" t="n"/>
      <c r="Z87" s="3934" t="n"/>
      <c r="AA87" s="3934" t="n"/>
      <c r="AB87" s="3934" t="n"/>
      <c r="AC87" s="3934" t="n"/>
      <c r="AD87" s="3934" t="n"/>
      <c r="AE87" s="3934" t="n"/>
      <c r="AF87" s="3934" t="n"/>
      <c r="AG87" s="3934" t="n"/>
      <c r="AH87" s="3934" t="n"/>
      <c r="AI87" s="3934" t="n"/>
      <c r="AJ87" s="3934" t="n"/>
      <c r="AK87" s="3934" t="n"/>
      <c r="AL87" s="3934" t="n"/>
      <c r="AM87" s="3934" t="n"/>
      <c r="AN87" s="3934" t="n"/>
      <c r="AO87" s="3934" t="n"/>
      <c r="AP87" s="3934" t="n"/>
      <c r="AQ87" s="3934" t="n"/>
      <c r="AR87" s="3934" t="n"/>
    </row>
    <row r="88">
      <c r="A88" s="3944" t="n"/>
      <c r="B88" s="3944" t="n"/>
      <c r="C88" s="3944" t="n"/>
      <c r="D88" s="3944" t="n"/>
      <c r="E88" s="3944" t="n"/>
      <c r="F88" s="3944" t="n"/>
      <c r="G88" s="3944" t="n"/>
      <c r="H88" s="3944" t="n"/>
      <c r="I88" s="3934" t="n"/>
      <c r="J88" s="3934" t="n"/>
      <c r="K88" s="3934" t="n"/>
      <c r="L88" s="3934" t="n"/>
      <c r="M88" s="3934" t="n"/>
      <c r="N88" s="3934" t="n"/>
      <c r="O88" s="3934" t="n"/>
      <c r="P88" s="3934" t="n"/>
      <c r="Q88" s="3934" t="n"/>
      <c r="R88" s="3934" t="n"/>
      <c r="S88" s="3934" t="n"/>
      <c r="T88" s="3934" t="n"/>
      <c r="U88" s="3934" t="n"/>
      <c r="V88" s="3934" t="n"/>
      <c r="W88" s="3934" t="n"/>
      <c r="X88" s="3934" t="n"/>
      <c r="Y88" s="3934" t="n"/>
      <c r="Z88" s="3934" t="n"/>
      <c r="AA88" s="3934" t="n"/>
      <c r="AB88" s="3934" t="n"/>
      <c r="AC88" s="3934" t="n"/>
      <c r="AD88" s="3934" t="n"/>
      <c r="AE88" s="3934" t="n"/>
      <c r="AF88" s="3934" t="n"/>
      <c r="AG88" s="3934" t="n"/>
      <c r="AH88" s="3934" t="n"/>
      <c r="AI88" s="3934" t="n"/>
      <c r="AJ88" s="3934" t="n"/>
      <c r="AK88" s="3934" t="n"/>
      <c r="AL88" s="3934" t="n"/>
      <c r="AM88" s="3934" t="n"/>
      <c r="AN88" s="3934" t="n"/>
      <c r="AO88" s="3934" t="n"/>
      <c r="AP88" s="3934" t="n"/>
      <c r="AQ88" s="3934" t="n"/>
      <c r="AR88" s="3934" t="n"/>
    </row>
    <row r="89">
      <c r="A89" s="3944" t="n"/>
      <c r="B89" s="3944" t="n"/>
      <c r="C89" s="3944" t="n"/>
      <c r="D89" s="3944" t="n"/>
      <c r="E89" s="3944" t="n"/>
      <c r="F89" s="3944" t="n"/>
      <c r="G89" s="3944" t="n"/>
      <c r="H89" s="3944" t="n"/>
      <c r="I89" s="3934" t="n"/>
      <c r="J89" s="3934" t="n"/>
      <c r="K89" s="3934" t="n"/>
      <c r="L89" s="3934" t="n"/>
      <c r="M89" s="3934" t="n"/>
      <c r="N89" s="3934" t="n"/>
      <c r="O89" s="3934" t="n"/>
      <c r="P89" s="3934" t="n"/>
      <c r="Q89" s="3934" t="n"/>
      <c r="R89" s="3934" t="n"/>
      <c r="S89" s="3934" t="n"/>
      <c r="T89" s="3934" t="n"/>
      <c r="U89" s="3934" t="n"/>
      <c r="V89" s="3934" t="n"/>
      <c r="W89" s="3934" t="n"/>
      <c r="X89" s="3934" t="n"/>
      <c r="Y89" s="3934" t="n"/>
      <c r="Z89" s="3934" t="n"/>
      <c r="AA89" s="3934" t="n"/>
      <c r="AB89" s="3934" t="n"/>
      <c r="AC89" s="3934" t="n"/>
      <c r="AD89" s="3934" t="n"/>
      <c r="AE89" s="3934" t="n"/>
      <c r="AF89" s="3934" t="n"/>
      <c r="AG89" s="3934" t="n"/>
      <c r="AH89" s="3934" t="n"/>
      <c r="AI89" s="3934" t="n"/>
      <c r="AJ89" s="3934" t="n"/>
      <c r="AK89" s="3934" t="n"/>
      <c r="AL89" s="3934" t="n"/>
      <c r="AM89" s="3934" t="n"/>
      <c r="AN89" s="3934" t="n"/>
      <c r="AO89" s="3934" t="n"/>
      <c r="AP89" s="3934" t="n"/>
      <c r="AQ89" s="3934" t="n"/>
      <c r="AR89" s="3934" t="n"/>
    </row>
    <row r="90">
      <c r="A90" s="3944" t="n"/>
      <c r="B90" s="3944" t="n"/>
      <c r="C90" s="3944" t="n"/>
      <c r="D90" s="3944" t="n"/>
      <c r="E90" s="3944" t="n"/>
      <c r="F90" s="3944" t="n"/>
      <c r="G90" s="3944" t="n"/>
      <c r="H90" s="3944" t="n"/>
      <c r="I90" s="3934" t="n"/>
      <c r="J90" s="3934" t="n"/>
      <c r="K90" s="3934" t="n"/>
      <c r="L90" s="3934" t="n"/>
      <c r="M90" s="3934" t="n"/>
      <c r="N90" s="3934" t="n"/>
      <c r="O90" s="3934" t="n"/>
      <c r="P90" s="3934" t="n"/>
      <c r="Q90" s="3934" t="n"/>
      <c r="R90" s="3934" t="n"/>
      <c r="S90" s="3934" t="n"/>
      <c r="T90" s="3934" t="n"/>
      <c r="U90" s="3934" t="n"/>
      <c r="V90" s="3934" t="n"/>
      <c r="W90" s="3934" t="n"/>
      <c r="X90" s="3934" t="n"/>
      <c r="Y90" s="3934" t="n"/>
      <c r="Z90" s="3934" t="n"/>
      <c r="AA90" s="3934" t="n"/>
      <c r="AB90" s="3934" t="n"/>
      <c r="AC90" s="3934" t="n"/>
      <c r="AD90" s="3934" t="n"/>
      <c r="AE90" s="3934" t="n"/>
      <c r="AF90" s="3934" t="n"/>
      <c r="AG90" s="3934" t="n"/>
      <c r="AH90" s="3934" t="n"/>
      <c r="AI90" s="3934" t="n"/>
      <c r="AJ90" s="3934" t="n"/>
      <c r="AK90" s="3934" t="n"/>
      <c r="AL90" s="3934" t="n"/>
      <c r="AM90" s="3934" t="n"/>
      <c r="AN90" s="3934" t="n"/>
      <c r="AO90" s="3934" t="n"/>
      <c r="AP90" s="3934" t="n"/>
      <c r="AQ90" s="3934" t="n"/>
      <c r="AR90" s="3934" t="n"/>
    </row>
    <row r="91">
      <c r="A91" s="3944" t="n"/>
      <c r="B91" s="3944" t="n"/>
      <c r="C91" s="3944" t="n"/>
      <c r="D91" s="3944" t="n"/>
      <c r="E91" s="3944" t="n"/>
      <c r="F91" s="3944" t="n"/>
      <c r="G91" s="3944" t="n"/>
      <c r="H91" s="3944" t="n"/>
      <c r="I91" s="3934" t="n"/>
      <c r="J91" s="3934" t="n"/>
      <c r="K91" s="3934" t="n"/>
      <c r="L91" s="3934" t="n"/>
      <c r="M91" s="3934" t="n"/>
      <c r="N91" s="3934" t="n"/>
      <c r="O91" s="3934" t="n"/>
      <c r="P91" s="3934" t="n"/>
      <c r="Q91" s="3934" t="n"/>
      <c r="R91" s="3934" t="n"/>
      <c r="S91" s="3934" t="n"/>
      <c r="T91" s="3934" t="n"/>
      <c r="U91" s="3934" t="n"/>
      <c r="V91" s="3934" t="n"/>
      <c r="W91" s="3934" t="n"/>
      <c r="X91" s="3934" t="n"/>
      <c r="Y91" s="3934" t="n"/>
      <c r="Z91" s="3934" t="n"/>
      <c r="AA91" s="3934" t="n"/>
      <c r="AB91" s="3934" t="n"/>
      <c r="AC91" s="3934" t="n"/>
      <c r="AD91" s="3934" t="n"/>
      <c r="AE91" s="3934" t="n"/>
      <c r="AF91" s="3934" t="n"/>
      <c r="AG91" s="3934" t="n"/>
      <c r="AH91" s="3934" t="n"/>
      <c r="AI91" s="3934" t="n"/>
      <c r="AJ91" s="3934" t="n"/>
      <c r="AK91" s="3934" t="n"/>
      <c r="AL91" s="3934" t="n"/>
      <c r="AM91" s="3934" t="n"/>
      <c r="AN91" s="3934" t="n"/>
      <c r="AO91" s="3934" t="n"/>
      <c r="AP91" s="3934" t="n"/>
      <c r="AQ91" s="3934" t="n"/>
      <c r="AR91" s="3934" t="n"/>
    </row>
    <row r="92">
      <c r="A92" s="3944" t="n"/>
      <c r="B92" s="3944" t="n"/>
      <c r="C92" s="3944" t="n"/>
      <c r="D92" s="3944" t="n"/>
      <c r="E92" s="3944" t="n"/>
      <c r="F92" s="3944" t="n"/>
      <c r="G92" s="3944" t="n"/>
      <c r="H92" s="3944" t="n"/>
      <c r="I92" s="3934" t="n"/>
      <c r="J92" s="3934" t="n"/>
      <c r="K92" s="3934" t="n"/>
      <c r="L92" s="3934" t="n"/>
      <c r="M92" s="3934" t="n"/>
      <c r="N92" s="3934" t="n"/>
      <c r="O92" s="3934" t="n"/>
      <c r="P92" s="3934" t="n"/>
      <c r="Q92" s="3934" t="n"/>
      <c r="R92" s="3934" t="n"/>
      <c r="S92" s="3934" t="n"/>
      <c r="T92" s="3934" t="n"/>
      <c r="U92" s="3934" t="n"/>
      <c r="V92" s="3934" t="n"/>
      <c r="W92" s="3934" t="n"/>
      <c r="X92" s="3934" t="n"/>
      <c r="Y92" s="3934" t="n"/>
      <c r="Z92" s="3934" t="n"/>
      <c r="AA92" s="3934" t="n"/>
      <c r="AB92" s="3934" t="n"/>
      <c r="AC92" s="3934" t="n"/>
      <c r="AD92" s="3934" t="n"/>
      <c r="AE92" s="3934" t="n"/>
      <c r="AF92" s="3934" t="n"/>
      <c r="AG92" s="3934" t="n"/>
      <c r="AH92" s="3934" t="n"/>
      <c r="AI92" s="3934" t="n"/>
      <c r="AJ92" s="3934" t="n"/>
      <c r="AK92" s="3934" t="n"/>
      <c r="AL92" s="3934" t="n"/>
      <c r="AM92" s="3934" t="n"/>
      <c r="AN92" s="3934" t="n"/>
      <c r="AO92" s="3934" t="n"/>
      <c r="AP92" s="3934" t="n"/>
      <c r="AQ92" s="3934" t="n"/>
      <c r="AR92" s="3934" t="n"/>
    </row>
    <row r="93">
      <c r="A93" s="3944" t="n"/>
      <c r="B93" s="3944" t="n"/>
      <c r="C93" s="3944" t="n"/>
      <c r="D93" s="3944" t="n"/>
      <c r="E93" s="3944" t="n"/>
      <c r="F93" s="3944" t="n"/>
      <c r="G93" s="3944" t="n"/>
      <c r="H93" s="3944" t="n"/>
      <c r="I93" s="3934" t="n"/>
      <c r="J93" s="3934" t="n"/>
      <c r="K93" s="3934" t="n"/>
      <c r="L93" s="3934" t="n"/>
      <c r="M93" s="3934" t="n"/>
      <c r="N93" s="3934" t="n"/>
      <c r="O93" s="3934" t="n"/>
      <c r="P93" s="3934" t="n"/>
      <c r="Q93" s="3934" t="n"/>
      <c r="R93" s="3934" t="n"/>
      <c r="S93" s="3934" t="n"/>
      <c r="T93" s="3934" t="n"/>
      <c r="U93" s="3934" t="n"/>
      <c r="V93" s="3934" t="n"/>
      <c r="W93" s="3934" t="n"/>
      <c r="X93" s="3934" t="n"/>
      <c r="Y93" s="3934" t="n"/>
      <c r="Z93" s="3934" t="n"/>
      <c r="AA93" s="3934" t="n"/>
      <c r="AB93" s="3934" t="n"/>
      <c r="AC93" s="3934" t="n"/>
      <c r="AD93" s="3934" t="n"/>
      <c r="AE93" s="3934" t="n"/>
      <c r="AF93" s="3934" t="n"/>
      <c r="AG93" s="3934" t="n"/>
      <c r="AH93" s="3934" t="n"/>
      <c r="AI93" s="3934" t="n"/>
      <c r="AJ93" s="3934" t="n"/>
      <c r="AK93" s="3934" t="n"/>
      <c r="AL93" s="3934" t="n"/>
      <c r="AM93" s="3934" t="n"/>
      <c r="AN93" s="3934" t="n"/>
      <c r="AO93" s="3934" t="n"/>
      <c r="AP93" s="3934" t="n"/>
      <c r="AQ93" s="3934" t="n"/>
      <c r="AR93" s="3934" t="n"/>
    </row>
    <row r="94">
      <c r="A94" s="3944" t="n"/>
      <c r="B94" s="3944" t="n"/>
      <c r="C94" s="3944" t="n"/>
      <c r="D94" s="3944" t="n"/>
      <c r="E94" s="3944" t="n"/>
      <c r="F94" s="3944" t="n"/>
      <c r="G94" s="3944" t="n"/>
      <c r="H94" s="3944" t="n"/>
      <c r="I94" s="3934" t="n"/>
      <c r="J94" s="3934" t="n"/>
      <c r="K94" s="3934" t="n"/>
      <c r="L94" s="3934" t="n"/>
      <c r="M94" s="3934" t="n"/>
      <c r="N94" s="3934" t="n"/>
      <c r="O94" s="3934" t="n"/>
      <c r="P94" s="3934" t="n"/>
      <c r="Q94" s="3934" t="n"/>
      <c r="R94" s="3934" t="n"/>
      <c r="S94" s="3934" t="n"/>
      <c r="T94" s="3934" t="n"/>
      <c r="U94" s="3934" t="n"/>
      <c r="V94" s="3934" t="n"/>
      <c r="W94" s="3934" t="n"/>
      <c r="X94" s="3934" t="n"/>
      <c r="Y94" s="3934" t="n"/>
      <c r="Z94" s="3934" t="n"/>
      <c r="AA94" s="3934" t="n"/>
      <c r="AB94" s="3934" t="n"/>
      <c r="AC94" s="3934" t="n"/>
      <c r="AD94" s="3934" t="n"/>
      <c r="AE94" s="3934" t="n"/>
      <c r="AF94" s="3934" t="n"/>
      <c r="AG94" s="3934" t="n"/>
      <c r="AH94" s="3934" t="n"/>
      <c r="AI94" s="3934" t="n"/>
      <c r="AJ94" s="3934" t="n"/>
      <c r="AK94" s="3934" t="n"/>
      <c r="AL94" s="3934" t="n"/>
      <c r="AM94" s="3934" t="n"/>
      <c r="AN94" s="3934" t="n"/>
      <c r="AO94" s="3934" t="n"/>
      <c r="AP94" s="3934" t="n"/>
      <c r="AQ94" s="3934" t="n"/>
      <c r="AR94" s="3934" t="n"/>
    </row>
    <row r="95">
      <c r="A95" s="3944" t="n"/>
      <c r="B95" s="3944" t="n"/>
      <c r="C95" s="3944" t="n"/>
      <c r="D95" s="3944" t="n"/>
      <c r="E95" s="3944" t="n"/>
      <c r="F95" s="3944" t="n"/>
      <c r="G95" s="3944" t="n"/>
      <c r="H95" s="3944" t="n"/>
      <c r="I95" s="3934" t="n"/>
      <c r="J95" s="3934" t="n"/>
      <c r="K95" s="3934" t="n"/>
      <c r="L95" s="3934" t="n"/>
      <c r="M95" s="3934" t="n"/>
      <c r="N95" s="3934" t="n"/>
      <c r="O95" s="3934" t="n"/>
      <c r="P95" s="3934" t="n"/>
      <c r="Q95" s="3934" t="n"/>
      <c r="R95" s="3934" t="n"/>
      <c r="S95" s="3934" t="n"/>
      <c r="T95" s="3934" t="n"/>
      <c r="U95" s="3934" t="n"/>
      <c r="V95" s="3934" t="n"/>
      <c r="W95" s="3934" t="n"/>
      <c r="X95" s="3934" t="n"/>
      <c r="Y95" s="3934" t="n"/>
      <c r="Z95" s="3934" t="n"/>
      <c r="AA95" s="3934" t="n"/>
      <c r="AB95" s="3934" t="n"/>
      <c r="AC95" s="3934" t="n"/>
      <c r="AD95" s="3934" t="n"/>
      <c r="AE95" s="3934" t="n"/>
      <c r="AF95" s="3934" t="n"/>
      <c r="AG95" s="3934" t="n"/>
      <c r="AH95" s="3934" t="n"/>
      <c r="AI95" s="3934" t="n"/>
      <c r="AJ95" s="3934" t="n"/>
      <c r="AK95" s="3934" t="n"/>
      <c r="AL95" s="3934" t="n"/>
      <c r="AM95" s="3934" t="n"/>
      <c r="AN95" s="3934" t="n"/>
      <c r="AO95" s="3934" t="n"/>
      <c r="AP95" s="3934" t="n"/>
      <c r="AQ95" s="3934" t="n"/>
      <c r="AR95" s="3934" t="n"/>
    </row>
    <row r="96">
      <c r="A96" s="3944" t="n"/>
      <c r="B96" s="3944" t="n"/>
      <c r="C96" s="3944" t="n"/>
      <c r="D96" s="3944" t="n"/>
      <c r="E96" s="3944" t="n"/>
      <c r="F96" s="3944" t="n"/>
      <c r="G96" s="3944" t="n"/>
      <c r="H96" s="3944" t="n"/>
      <c r="I96" s="3934" t="n"/>
      <c r="J96" s="3934" t="n"/>
      <c r="K96" s="3934" t="n"/>
      <c r="L96" s="3934" t="n"/>
      <c r="M96" s="3934" t="n"/>
      <c r="N96" s="3934" t="n"/>
      <c r="O96" s="3934" t="n"/>
      <c r="P96" s="3934" t="n"/>
      <c r="Q96" s="3934" t="n"/>
      <c r="R96" s="3934" t="n"/>
      <c r="S96" s="3934" t="n"/>
      <c r="T96" s="3934" t="n"/>
      <c r="U96" s="3934" t="n"/>
      <c r="V96" s="3934" t="n"/>
      <c r="W96" s="3934" t="n"/>
      <c r="X96" s="3934" t="n"/>
      <c r="Y96" s="3934" t="n"/>
      <c r="Z96" s="3934" t="n"/>
      <c r="AA96" s="3934" t="n"/>
      <c r="AB96" s="3934" t="n"/>
      <c r="AC96" s="3934" t="n"/>
      <c r="AD96" s="3934" t="n"/>
      <c r="AE96" s="3934" t="n"/>
      <c r="AF96" s="3934" t="n"/>
      <c r="AG96" s="3934" t="n"/>
      <c r="AH96" s="3934" t="n"/>
      <c r="AI96" s="3934" t="n"/>
      <c r="AJ96" s="3934" t="n"/>
      <c r="AK96" s="3934" t="n"/>
      <c r="AL96" s="3934" t="n"/>
      <c r="AM96" s="3934" t="n"/>
      <c r="AN96" s="3934" t="n"/>
      <c r="AO96" s="3934" t="n"/>
      <c r="AP96" s="3934" t="n"/>
      <c r="AQ96" s="3934" t="n"/>
      <c r="AR96" s="3934" t="n"/>
    </row>
    <row r="97">
      <c r="A97" s="3944" t="n"/>
      <c r="B97" s="3944" t="n"/>
      <c r="C97" s="3944" t="n"/>
      <c r="D97" s="3944" t="n"/>
      <c r="E97" s="3944" t="n"/>
      <c r="F97" s="3944" t="n"/>
      <c r="G97" s="3944" t="n"/>
      <c r="H97" s="3944" t="n"/>
      <c r="I97" s="3934" t="n"/>
      <c r="J97" s="3934" t="n"/>
      <c r="K97" s="3934" t="n"/>
      <c r="L97" s="3934" t="n"/>
      <c r="M97" s="3934" t="n"/>
      <c r="N97" s="3934" t="n"/>
      <c r="O97" s="3934" t="n"/>
      <c r="P97" s="3934" t="n"/>
      <c r="Q97" s="3934" t="n"/>
      <c r="R97" s="3934" t="n"/>
      <c r="S97" s="3934" t="n"/>
      <c r="T97" s="3934" t="n"/>
      <c r="U97" s="3934" t="n"/>
      <c r="V97" s="3934" t="n"/>
      <c r="W97" s="3934" t="n"/>
      <c r="X97" s="3934" t="n"/>
      <c r="Y97" s="3934" t="n"/>
      <c r="Z97" s="3934" t="n"/>
      <c r="AA97" s="3934" t="n"/>
      <c r="AB97" s="3934" t="n"/>
      <c r="AC97" s="3934" t="n"/>
      <c r="AD97" s="3934" t="n"/>
      <c r="AE97" s="3934" t="n"/>
      <c r="AF97" s="3934" t="n"/>
      <c r="AG97" s="3934" t="n"/>
      <c r="AH97" s="3934" t="n"/>
      <c r="AI97" s="3934" t="n"/>
      <c r="AJ97" s="3934" t="n"/>
      <c r="AK97" s="3934" t="n"/>
      <c r="AL97" s="3934" t="n"/>
      <c r="AM97" s="3934" t="n"/>
      <c r="AN97" s="3934" t="n"/>
      <c r="AO97" s="3934" t="n"/>
      <c r="AP97" s="3934" t="n"/>
      <c r="AQ97" s="3934" t="n"/>
      <c r="AR97" s="3934" t="n"/>
    </row>
    <row r="98">
      <c r="A98" s="3944" t="n"/>
      <c r="B98" s="3944" t="n"/>
      <c r="C98" s="3944" t="n"/>
      <c r="D98" s="3944" t="n"/>
      <c r="E98" s="3944" t="n"/>
      <c r="F98" s="3944" t="n"/>
      <c r="G98" s="3944" t="n"/>
      <c r="H98" s="3944" t="n"/>
      <c r="I98" s="3934" t="n"/>
      <c r="J98" s="3934" t="n"/>
      <c r="K98" s="3934" t="n"/>
      <c r="L98" s="3934" t="n"/>
      <c r="M98" s="3934" t="n"/>
      <c r="N98" s="3934" t="n"/>
      <c r="O98" s="3934" t="n"/>
      <c r="P98" s="3934" t="n"/>
      <c r="Q98" s="3934" t="n"/>
      <c r="R98" s="3934" t="n"/>
      <c r="S98" s="3934" t="n"/>
      <c r="T98" s="3934" t="n"/>
      <c r="U98" s="3934" t="n"/>
      <c r="V98" s="3934" t="n"/>
      <c r="W98" s="3934" t="n"/>
      <c r="X98" s="3934" t="n"/>
      <c r="Y98" s="3934" t="n"/>
      <c r="Z98" s="3934" t="n"/>
      <c r="AA98" s="3934" t="n"/>
      <c r="AB98" s="3934" t="n"/>
      <c r="AC98" s="3934" t="n"/>
      <c r="AD98" s="3934" t="n"/>
      <c r="AE98" s="3934" t="n"/>
      <c r="AF98" s="3934" t="n"/>
      <c r="AG98" s="3934" t="n"/>
      <c r="AH98" s="3934" t="n"/>
      <c r="AI98" s="3934" t="n"/>
      <c r="AJ98" s="3934" t="n"/>
      <c r="AK98" s="3934" t="n"/>
      <c r="AL98" s="3934" t="n"/>
      <c r="AM98" s="3934" t="n"/>
      <c r="AN98" s="3934" t="n"/>
      <c r="AO98" s="3934" t="n"/>
      <c r="AP98" s="3934" t="n"/>
      <c r="AQ98" s="3934" t="n"/>
      <c r="AR98" s="3934" t="n"/>
    </row>
    <row r="99">
      <c r="A99" s="3944" t="n"/>
      <c r="B99" s="3944" t="n"/>
      <c r="C99" s="3944" t="n"/>
      <c r="D99" s="3944" t="n"/>
      <c r="E99" s="3944" t="n"/>
      <c r="F99" s="3944" t="n"/>
      <c r="G99" s="3944" t="n"/>
      <c r="H99" s="3944" t="n"/>
      <c r="I99" s="3934" t="n"/>
      <c r="J99" s="3934" t="n"/>
      <c r="K99" s="3934" t="n"/>
      <c r="L99" s="3934" t="n"/>
      <c r="M99" s="3934" t="n"/>
      <c r="N99" s="3934" t="n"/>
      <c r="O99" s="3934" t="n"/>
      <c r="P99" s="3934" t="n"/>
      <c r="Q99" s="3934" t="n"/>
      <c r="R99" s="3934" t="n"/>
      <c r="S99" s="3934" t="n"/>
      <c r="T99" s="3934" t="n"/>
      <c r="U99" s="3934" t="n"/>
      <c r="V99" s="3934" t="n"/>
      <c r="W99" s="3934" t="n"/>
      <c r="X99" s="3934" t="n"/>
      <c r="Y99" s="3934" t="n"/>
      <c r="Z99" s="3934" t="n"/>
      <c r="AA99" s="3934" t="n"/>
      <c r="AB99" s="3934" t="n"/>
      <c r="AC99" s="3934" t="n"/>
      <c r="AD99" s="3934" t="n"/>
      <c r="AE99" s="3934" t="n"/>
      <c r="AF99" s="3934" t="n"/>
      <c r="AG99" s="3934" t="n"/>
      <c r="AH99" s="3934" t="n"/>
      <c r="AI99" s="3934" t="n"/>
      <c r="AJ99" s="3934" t="n"/>
      <c r="AK99" s="3934" t="n"/>
      <c r="AL99" s="3934" t="n"/>
      <c r="AM99" s="3934" t="n"/>
      <c r="AN99" s="3934" t="n"/>
      <c r="AO99" s="3934" t="n"/>
      <c r="AP99" s="3934" t="n"/>
      <c r="AQ99" s="3934" t="n"/>
      <c r="AR99" s="3934" t="n"/>
    </row>
    <row r="100">
      <c r="A100" s="3944" t="n"/>
      <c r="B100" s="3944" t="n"/>
      <c r="C100" s="3944" t="n"/>
      <c r="D100" s="3944" t="n"/>
      <c r="E100" s="3944" t="n"/>
      <c r="F100" s="3944" t="n"/>
      <c r="G100" s="3944" t="n"/>
      <c r="H100" s="3944" t="n"/>
      <c r="I100" s="3934" t="n"/>
      <c r="J100" s="3934" t="n"/>
      <c r="K100" s="3934" t="n"/>
      <c r="L100" s="3934" t="n"/>
      <c r="M100" s="3934" t="n"/>
      <c r="N100" s="3934" t="n"/>
      <c r="O100" s="3934" t="n"/>
      <c r="P100" s="3934" t="n"/>
      <c r="Q100" s="3934" t="n"/>
      <c r="R100" s="3934" t="n"/>
      <c r="S100" s="3934" t="n"/>
      <c r="T100" s="3934" t="n"/>
      <c r="U100" s="3934" t="n"/>
      <c r="V100" s="3934" t="n"/>
      <c r="W100" s="3934" t="n"/>
      <c r="X100" s="3934" t="n"/>
      <c r="Y100" s="3934" t="n"/>
      <c r="Z100" s="3934" t="n"/>
      <c r="AA100" s="3934" t="n"/>
      <c r="AB100" s="3934" t="n"/>
      <c r="AC100" s="3934" t="n"/>
      <c r="AD100" s="3934" t="n"/>
      <c r="AE100" s="3934" t="n"/>
      <c r="AF100" s="3934" t="n"/>
      <c r="AG100" s="3934" t="n"/>
      <c r="AH100" s="3934" t="n"/>
      <c r="AI100" s="3934" t="n"/>
      <c r="AJ100" s="3934" t="n"/>
      <c r="AK100" s="3934" t="n"/>
      <c r="AL100" s="3934" t="n"/>
      <c r="AM100" s="3934" t="n"/>
      <c r="AN100" s="3934" t="n"/>
      <c r="AO100" s="3934" t="n"/>
      <c r="AP100" s="3934" t="n"/>
      <c r="AQ100" s="3934" t="n"/>
      <c r="AR100" s="3934" t="n"/>
    </row>
    <row r="101">
      <c r="A101" s="3944" t="n"/>
      <c r="B101" s="3944" t="n"/>
      <c r="C101" s="3944" t="n"/>
      <c r="D101" s="3944" t="n"/>
      <c r="E101" s="3944" t="n"/>
      <c r="F101" s="3944" t="n"/>
      <c r="G101" s="3944" t="n"/>
      <c r="H101" s="3944" t="n"/>
      <c r="I101" s="3934" t="n"/>
      <c r="J101" s="3934" t="n"/>
      <c r="K101" s="3934" t="n"/>
      <c r="L101" s="3934" t="n"/>
      <c r="M101" s="3934" t="n"/>
      <c r="N101" s="3934" t="n"/>
      <c r="O101" s="3934" t="n"/>
      <c r="P101" s="3934" t="n"/>
      <c r="Q101" s="3934" t="n"/>
      <c r="R101" s="3934" t="n"/>
      <c r="S101" s="3934" t="n"/>
      <c r="T101" s="3934" t="n"/>
      <c r="U101" s="3934" t="n"/>
      <c r="V101" s="3934" t="n"/>
      <c r="W101" s="3934" t="n"/>
      <c r="X101" s="3934" t="n"/>
      <c r="Y101" s="3934" t="n"/>
      <c r="Z101" s="3934" t="n"/>
      <c r="AA101" s="3934" t="n"/>
      <c r="AB101" s="3934" t="n"/>
      <c r="AC101" s="3934" t="n"/>
      <c r="AD101" s="3934" t="n"/>
      <c r="AE101" s="3934" t="n"/>
      <c r="AF101" s="3934" t="n"/>
      <c r="AG101" s="3934" t="n"/>
      <c r="AH101" s="3934" t="n"/>
      <c r="AI101" s="3934" t="n"/>
      <c r="AJ101" s="3934" t="n"/>
      <c r="AK101" s="3934" t="n"/>
      <c r="AL101" s="3934" t="n"/>
      <c r="AM101" s="3934" t="n"/>
      <c r="AN101" s="3934" t="n"/>
      <c r="AO101" s="3934" t="n"/>
      <c r="AP101" s="3934" t="n"/>
      <c r="AQ101" s="3934" t="n"/>
      <c r="AR101" s="3934" t="n"/>
    </row>
    <row r="102">
      <c r="A102" s="3944" t="n"/>
      <c r="B102" s="3944" t="n"/>
      <c r="C102" s="3944" t="n"/>
      <c r="D102" s="3944" t="n"/>
      <c r="E102" s="3944" t="n"/>
      <c r="F102" s="3944" t="n"/>
      <c r="G102" s="3944" t="n"/>
      <c r="H102" s="3944" t="n"/>
      <c r="I102" s="3934" t="n"/>
      <c r="J102" s="3934" t="n"/>
      <c r="K102" s="3934" t="n"/>
      <c r="L102" s="3934" t="n"/>
      <c r="M102" s="3934" t="n"/>
      <c r="N102" s="3934" t="n"/>
      <c r="O102" s="3934" t="n"/>
      <c r="P102" s="3934" t="n"/>
      <c r="Q102" s="3934" t="n"/>
      <c r="R102" s="3934" t="n"/>
      <c r="S102" s="3934" t="n"/>
      <c r="T102" s="3934" t="n"/>
      <c r="U102" s="3934" t="n"/>
      <c r="V102" s="3934" t="n"/>
      <c r="W102" s="3934" t="n"/>
      <c r="X102" s="3934" t="n"/>
      <c r="Y102" s="3934" t="n"/>
      <c r="Z102" s="3934" t="n"/>
      <c r="AA102" s="3934" t="n"/>
      <c r="AB102" s="3934" t="n"/>
      <c r="AC102" s="3934" t="n"/>
      <c r="AD102" s="3934" t="n"/>
      <c r="AE102" s="3934" t="n"/>
      <c r="AF102" s="3934" t="n"/>
      <c r="AG102" s="3934" t="n"/>
      <c r="AH102" s="3934" t="n"/>
      <c r="AI102" s="3934" t="n"/>
      <c r="AJ102" s="3934" t="n"/>
      <c r="AK102" s="3934" t="n"/>
      <c r="AL102" s="3934" t="n"/>
      <c r="AM102" s="3934" t="n"/>
      <c r="AN102" s="3934" t="n"/>
      <c r="AO102" s="3934" t="n"/>
      <c r="AP102" s="3934" t="n"/>
      <c r="AQ102" s="3934" t="n"/>
      <c r="AR102" s="3934" t="n"/>
    </row>
    <row r="103">
      <c r="A103" s="3944" t="n"/>
      <c r="B103" s="3944" t="n"/>
      <c r="C103" s="3944" t="n"/>
      <c r="D103" s="3944" t="n"/>
      <c r="E103" s="3944" t="n"/>
      <c r="F103" s="3944" t="n"/>
      <c r="G103" s="3944" t="n"/>
      <c r="H103" s="3944" t="n"/>
      <c r="I103" s="3934" t="n"/>
      <c r="J103" s="3934" t="n"/>
      <c r="K103" s="3934" t="n"/>
      <c r="L103" s="3934" t="n"/>
      <c r="M103" s="3934" t="n"/>
      <c r="N103" s="3934" t="n"/>
      <c r="O103" s="3934" t="n"/>
      <c r="P103" s="3934" t="n"/>
      <c r="Q103" s="3934" t="n"/>
      <c r="R103" s="3934" t="n"/>
      <c r="S103" s="3934" t="n"/>
      <c r="T103" s="3934" t="n"/>
      <c r="U103" s="3934" t="n"/>
      <c r="V103" s="3934" t="n"/>
      <c r="W103" s="3934" t="n"/>
      <c r="X103" s="3934" t="n"/>
      <c r="Y103" s="3934" t="n"/>
      <c r="Z103" s="3934" t="n"/>
      <c r="AA103" s="3934" t="n"/>
      <c r="AB103" s="3934" t="n"/>
      <c r="AC103" s="3934" t="n"/>
      <c r="AD103" s="3934" t="n"/>
      <c r="AE103" s="3934" t="n"/>
      <c r="AF103" s="3934" t="n"/>
      <c r="AG103" s="3934" t="n"/>
      <c r="AH103" s="3934" t="n"/>
      <c r="AI103" s="3934" t="n"/>
      <c r="AJ103" s="3934" t="n"/>
      <c r="AK103" s="3934" t="n"/>
      <c r="AL103" s="3934" t="n"/>
      <c r="AM103" s="3934" t="n"/>
      <c r="AN103" s="3934" t="n"/>
      <c r="AO103" s="3934" t="n"/>
      <c r="AP103" s="3934" t="n"/>
      <c r="AQ103" s="3934" t="n"/>
      <c r="AR103" s="3934" t="n"/>
    </row>
    <row r="104">
      <c r="A104" s="3944" t="n"/>
      <c r="B104" s="3944" t="n"/>
      <c r="C104" s="3944" t="n"/>
      <c r="D104" s="3944" t="n"/>
      <c r="E104" s="3944" t="n"/>
      <c r="F104" s="3944" t="n"/>
      <c r="G104" s="3944" t="n"/>
      <c r="H104" s="3944" t="n"/>
      <c r="I104" s="3934" t="n"/>
      <c r="J104" s="3934" t="n"/>
      <c r="K104" s="3934" t="n"/>
      <c r="L104" s="3934" t="n"/>
      <c r="M104" s="3934" t="n"/>
      <c r="N104" s="3934" t="n"/>
      <c r="O104" s="3934" t="n"/>
      <c r="P104" s="3934" t="n"/>
      <c r="Q104" s="3934" t="n"/>
      <c r="R104" s="3934" t="n"/>
      <c r="S104" s="3934" t="n"/>
      <c r="T104" s="3934" t="n"/>
      <c r="U104" s="3934" t="n"/>
      <c r="V104" s="3934" t="n"/>
      <c r="W104" s="3934" t="n"/>
      <c r="X104" s="3934" t="n"/>
      <c r="Y104" s="3934" t="n"/>
      <c r="Z104" s="3934" t="n"/>
      <c r="AA104" s="3934" t="n"/>
      <c r="AB104" s="3934" t="n"/>
      <c r="AC104" s="3934" t="n"/>
      <c r="AD104" s="3934" t="n"/>
      <c r="AE104" s="3934" t="n"/>
      <c r="AF104" s="3934" t="n"/>
      <c r="AG104" s="3934" t="n"/>
      <c r="AH104" s="3934" t="n"/>
      <c r="AI104" s="3934" t="n"/>
      <c r="AJ104" s="3934" t="n"/>
      <c r="AK104" s="3934" t="n"/>
      <c r="AL104" s="3934" t="n"/>
      <c r="AM104" s="3934" t="n"/>
      <c r="AN104" s="3934" t="n"/>
      <c r="AO104" s="3934" t="n"/>
      <c r="AP104" s="3934" t="n"/>
      <c r="AQ104" s="3934" t="n"/>
      <c r="AR104" s="3934" t="n"/>
    </row>
    <row r="105">
      <c r="A105" s="3944" t="n"/>
      <c r="B105" s="3944" t="n"/>
      <c r="C105" s="3944" t="n"/>
      <c r="D105" s="3944" t="n"/>
      <c r="E105" s="3944" t="n"/>
      <c r="F105" s="3944" t="n"/>
      <c r="G105" s="3944" t="n"/>
      <c r="H105" s="3944" t="n"/>
      <c r="I105" s="3934" t="n"/>
      <c r="J105" s="3934" t="n"/>
      <c r="K105" s="3934" t="n"/>
      <c r="L105" s="3934" t="n"/>
      <c r="M105" s="3934" t="n"/>
      <c r="N105" s="3934" t="n"/>
      <c r="O105" s="3934" t="n"/>
      <c r="P105" s="3934" t="n"/>
      <c r="Q105" s="3934" t="n"/>
      <c r="R105" s="3934" t="n"/>
      <c r="S105" s="3934" t="n"/>
      <c r="T105" s="3934" t="n"/>
      <c r="U105" s="3934" t="n"/>
      <c r="V105" s="3934" t="n"/>
      <c r="W105" s="3934" t="n"/>
      <c r="X105" s="3934" t="n"/>
      <c r="Y105" s="3934" t="n"/>
      <c r="Z105" s="3934" t="n"/>
      <c r="AA105" s="3934" t="n"/>
      <c r="AB105" s="3934" t="n"/>
      <c r="AC105" s="3934" t="n"/>
      <c r="AD105" s="3934" t="n"/>
      <c r="AE105" s="3934" t="n"/>
      <c r="AF105" s="3934" t="n"/>
      <c r="AG105" s="3934" t="n"/>
      <c r="AH105" s="3934" t="n"/>
      <c r="AI105" s="3934" t="n"/>
      <c r="AJ105" s="3934" t="n"/>
      <c r="AK105" s="3934" t="n"/>
      <c r="AL105" s="3934" t="n"/>
      <c r="AM105" s="3934" t="n"/>
      <c r="AN105" s="3934" t="n"/>
      <c r="AO105" s="3934" t="n"/>
      <c r="AP105" s="3934" t="n"/>
      <c r="AQ105" s="3934" t="n"/>
      <c r="AR105" s="3934" t="n"/>
    </row>
    <row r="106">
      <c r="A106" s="3944" t="n"/>
      <c r="B106" s="3944" t="n"/>
      <c r="C106" s="3944" t="n"/>
      <c r="D106" s="3944" t="n"/>
      <c r="E106" s="3944" t="n"/>
      <c r="F106" s="3944" t="n"/>
      <c r="G106" s="3944" t="n"/>
      <c r="H106" s="3944" t="n"/>
      <c r="I106" s="3934" t="n"/>
      <c r="J106" s="3934" t="n"/>
      <c r="K106" s="3934" t="n"/>
      <c r="L106" s="3934" t="n"/>
      <c r="M106" s="3934" t="n"/>
      <c r="N106" s="3934" t="n"/>
      <c r="O106" s="3934" t="n"/>
      <c r="P106" s="3934" t="n"/>
      <c r="Q106" s="3934" t="n"/>
      <c r="R106" s="3934" t="n"/>
      <c r="S106" s="3934" t="n"/>
      <c r="T106" s="3934" t="n"/>
      <c r="U106" s="3934" t="n"/>
      <c r="V106" s="3934" t="n"/>
      <c r="W106" s="3934" t="n"/>
      <c r="X106" s="3934" t="n"/>
      <c r="Y106" s="3934" t="n"/>
      <c r="Z106" s="3934" t="n"/>
      <c r="AA106" s="3934" t="n"/>
      <c r="AB106" s="3934" t="n"/>
      <c r="AC106" s="3934" t="n"/>
      <c r="AD106" s="3934" t="n"/>
      <c r="AE106" s="3934" t="n"/>
      <c r="AF106" s="3934" t="n"/>
      <c r="AG106" s="3934" t="n"/>
      <c r="AH106" s="3934" t="n"/>
      <c r="AI106" s="3934" t="n"/>
      <c r="AJ106" s="3934" t="n"/>
      <c r="AK106" s="3934" t="n"/>
      <c r="AL106" s="3934" t="n"/>
      <c r="AM106" s="3934" t="n"/>
      <c r="AN106" s="3934" t="n"/>
      <c r="AO106" s="3934" t="n"/>
      <c r="AP106" s="3934" t="n"/>
      <c r="AQ106" s="3934" t="n"/>
      <c r="AR106" s="3934" t="n"/>
    </row>
    <row r="107">
      <c r="A107" s="3944" t="n"/>
      <c r="B107" s="3944" t="n"/>
      <c r="C107" s="3944" t="n"/>
      <c r="D107" s="3944" t="n"/>
      <c r="E107" s="3944" t="n"/>
      <c r="F107" s="3944" t="n"/>
      <c r="G107" s="3944" t="n"/>
      <c r="H107" s="3944" t="n"/>
      <c r="I107" s="3934" t="n"/>
      <c r="J107" s="3934" t="n"/>
      <c r="K107" s="3934" t="n"/>
      <c r="L107" s="3934" t="n"/>
      <c r="M107" s="3934" t="n"/>
      <c r="N107" s="3934" t="n"/>
      <c r="O107" s="3934" t="n"/>
      <c r="P107" s="3934" t="n"/>
      <c r="Q107" s="3934" t="n"/>
      <c r="R107" s="3934" t="n"/>
      <c r="S107" s="3934" t="n"/>
      <c r="T107" s="3934" t="n"/>
      <c r="U107" s="3934" t="n"/>
      <c r="V107" s="3934" t="n"/>
      <c r="W107" s="3934" t="n"/>
      <c r="X107" s="3934" t="n"/>
      <c r="Y107" s="3934" t="n"/>
      <c r="Z107" s="3934" t="n"/>
      <c r="AA107" s="3934" t="n"/>
      <c r="AB107" s="3934" t="n"/>
      <c r="AC107" s="3934" t="n"/>
      <c r="AD107" s="3934" t="n"/>
      <c r="AE107" s="3934" t="n"/>
      <c r="AF107" s="3934" t="n"/>
      <c r="AG107" s="3934" t="n"/>
      <c r="AH107" s="3934" t="n"/>
      <c r="AI107" s="3934" t="n"/>
      <c r="AJ107" s="3934" t="n"/>
      <c r="AK107" s="3934" t="n"/>
      <c r="AL107" s="3934" t="n"/>
      <c r="AM107" s="3934" t="n"/>
      <c r="AN107" s="3934" t="n"/>
      <c r="AO107" s="3934" t="n"/>
      <c r="AP107" s="3934" t="n"/>
      <c r="AQ107" s="3934" t="n"/>
      <c r="AR107" s="3934" t="n"/>
    </row>
    <row r="108">
      <c r="A108" s="3944" t="n"/>
      <c r="B108" s="3944" t="n"/>
      <c r="C108" s="3944" t="n"/>
      <c r="D108" s="3944" t="n"/>
      <c r="E108" s="3944" t="n"/>
      <c r="F108" s="3944" t="n"/>
      <c r="G108" s="3944" t="n"/>
      <c r="H108" s="3944" t="n"/>
      <c r="I108" s="3934" t="n"/>
      <c r="J108" s="3934" t="n"/>
      <c r="K108" s="3934" t="n"/>
      <c r="L108" s="3934" t="n"/>
      <c r="M108" s="3934" t="n"/>
      <c r="N108" s="3934" t="n"/>
      <c r="O108" s="3934" t="n"/>
      <c r="P108" s="3934" t="n"/>
      <c r="Q108" s="3934" t="n"/>
      <c r="R108" s="3934" t="n"/>
      <c r="S108" s="3934" t="n"/>
      <c r="T108" s="3934" t="n"/>
      <c r="U108" s="3934" t="n"/>
      <c r="V108" s="3934" t="n"/>
      <c r="W108" s="3934" t="n"/>
      <c r="X108" s="3934" t="n"/>
      <c r="Y108" s="3934" t="n"/>
      <c r="Z108" s="3934" t="n"/>
      <c r="AA108" s="3934" t="n"/>
      <c r="AB108" s="3934" t="n"/>
      <c r="AC108" s="3934" t="n"/>
      <c r="AD108" s="3934" t="n"/>
      <c r="AE108" s="3934" t="n"/>
      <c r="AF108" s="3934" t="n"/>
      <c r="AG108" s="3934" t="n"/>
      <c r="AH108" s="3934" t="n"/>
      <c r="AI108" s="3934" t="n"/>
      <c r="AJ108" s="3934" t="n"/>
      <c r="AK108" s="3934" t="n"/>
      <c r="AL108" s="3934" t="n"/>
      <c r="AM108" s="3934" t="n"/>
      <c r="AN108" s="3934" t="n"/>
      <c r="AO108" s="3934" t="n"/>
      <c r="AP108" s="3934" t="n"/>
      <c r="AQ108" s="3934" t="n"/>
      <c r="AR108" s="3934" t="n"/>
    </row>
    <row r="109">
      <c r="A109" s="3944" t="n"/>
      <c r="B109" s="3944" t="n"/>
      <c r="C109" s="3944" t="n"/>
      <c r="D109" s="3944" t="n"/>
      <c r="E109" s="3944" t="n"/>
      <c r="F109" s="3944" t="n"/>
      <c r="G109" s="3944" t="n"/>
      <c r="H109" s="3944" t="n"/>
      <c r="I109" s="3934" t="n"/>
      <c r="J109" s="3934" t="n"/>
      <c r="K109" s="3934" t="n"/>
      <c r="L109" s="3934" t="n"/>
      <c r="M109" s="3934" t="n"/>
      <c r="N109" s="3934" t="n"/>
      <c r="O109" s="3934" t="n"/>
      <c r="P109" s="3934" t="n"/>
      <c r="Q109" s="3934" t="n"/>
      <c r="R109" s="3934" t="n"/>
      <c r="S109" s="3934" t="n"/>
      <c r="T109" s="3934" t="n"/>
      <c r="U109" s="3934" t="n"/>
      <c r="V109" s="3934" t="n"/>
      <c r="W109" s="3934" t="n"/>
      <c r="X109" s="3934" t="n"/>
      <c r="Y109" s="3934" t="n"/>
      <c r="Z109" s="3934" t="n"/>
      <c r="AA109" s="3934" t="n"/>
      <c r="AB109" s="3934" t="n"/>
      <c r="AC109" s="3934" t="n"/>
      <c r="AD109" s="3934" t="n"/>
      <c r="AE109" s="3934" t="n"/>
      <c r="AF109" s="3934" t="n"/>
      <c r="AG109" s="3934" t="n"/>
      <c r="AH109" s="3934" t="n"/>
      <c r="AI109" s="3934" t="n"/>
      <c r="AJ109" s="3934" t="n"/>
      <c r="AK109" s="3934" t="n"/>
      <c r="AL109" s="3934" t="n"/>
      <c r="AM109" s="3934" t="n"/>
      <c r="AN109" s="3934" t="n"/>
      <c r="AO109" s="3934" t="n"/>
      <c r="AP109" s="3934" t="n"/>
      <c r="AQ109" s="3934" t="n"/>
      <c r="AR109" s="3934" t="n"/>
    </row>
    <row r="110">
      <c r="A110" s="3944" t="n"/>
      <c r="B110" s="3944" t="n"/>
      <c r="C110" s="3944" t="n"/>
      <c r="D110" s="3944" t="n"/>
      <c r="E110" s="3944" t="n"/>
      <c r="F110" s="3944" t="n"/>
      <c r="G110" s="3944" t="n"/>
      <c r="H110" s="3944" t="n"/>
      <c r="I110" s="3934" t="n"/>
      <c r="J110" s="3934" t="n"/>
      <c r="K110" s="3934" t="n"/>
      <c r="L110" s="3934" t="n"/>
      <c r="M110" s="3934" t="n"/>
      <c r="N110" s="3934" t="n"/>
      <c r="O110" s="3934" t="n"/>
      <c r="P110" s="3934" t="n"/>
      <c r="Q110" s="3934" t="n"/>
      <c r="R110" s="3934" t="n"/>
      <c r="S110" s="3934" t="n"/>
      <c r="T110" s="3934" t="n"/>
      <c r="U110" s="3934" t="n"/>
      <c r="V110" s="3934" t="n"/>
      <c r="W110" s="3934" t="n"/>
      <c r="X110" s="3934" t="n"/>
      <c r="Y110" s="3934" t="n"/>
      <c r="Z110" s="3934" t="n"/>
      <c r="AA110" s="3934" t="n"/>
      <c r="AB110" s="3934" t="n"/>
      <c r="AC110" s="3934" t="n"/>
      <c r="AD110" s="3934" t="n"/>
      <c r="AE110" s="3934" t="n"/>
      <c r="AF110" s="3934" t="n"/>
      <c r="AG110" s="3934" t="n"/>
      <c r="AH110" s="3934" t="n"/>
      <c r="AI110" s="3934" t="n"/>
      <c r="AJ110" s="3934" t="n"/>
      <c r="AK110" s="3934" t="n"/>
      <c r="AL110" s="3934" t="n"/>
      <c r="AM110" s="3934" t="n"/>
      <c r="AN110" s="3934" t="n"/>
      <c r="AO110" s="3934" t="n"/>
      <c r="AP110" s="3934" t="n"/>
      <c r="AQ110" s="3934" t="n"/>
      <c r="AR110" s="3934" t="n"/>
    </row>
    <row r="111">
      <c r="A111" s="3944" t="n"/>
      <c r="B111" s="3944" t="n"/>
      <c r="C111" s="3944" t="n"/>
      <c r="D111" s="3944" t="n"/>
      <c r="E111" s="3944" t="n"/>
      <c r="F111" s="3944" t="n"/>
      <c r="G111" s="3944" t="n"/>
      <c r="H111" s="3944" t="n"/>
      <c r="I111" s="3934" t="n"/>
      <c r="J111" s="3934" t="n"/>
      <c r="K111" s="3934" t="n"/>
      <c r="L111" s="3934" t="n"/>
      <c r="M111" s="3934" t="n"/>
      <c r="N111" s="3934" t="n"/>
      <c r="O111" s="3934" t="n"/>
      <c r="P111" s="3934" t="n"/>
      <c r="Q111" s="3934" t="n"/>
      <c r="R111" s="3934" t="n"/>
      <c r="S111" s="3934" t="n"/>
      <c r="T111" s="3934" t="n"/>
      <c r="U111" s="3934" t="n"/>
      <c r="V111" s="3934" t="n"/>
      <c r="W111" s="3934" t="n"/>
      <c r="X111" s="3934" t="n"/>
      <c r="Y111" s="3934" t="n"/>
      <c r="Z111" s="3934" t="n"/>
      <c r="AA111" s="3934" t="n"/>
      <c r="AB111" s="3934" t="n"/>
      <c r="AC111" s="3934" t="n"/>
      <c r="AD111" s="3934" t="n"/>
      <c r="AE111" s="3934" t="n"/>
      <c r="AF111" s="3934" t="n"/>
      <c r="AG111" s="3934" t="n"/>
      <c r="AH111" s="3934" t="n"/>
      <c r="AI111" s="3934" t="n"/>
      <c r="AJ111" s="3934" t="n"/>
      <c r="AK111" s="3934" t="n"/>
      <c r="AL111" s="3934" t="n"/>
      <c r="AM111" s="3934" t="n"/>
      <c r="AN111" s="3934" t="n"/>
      <c r="AO111" s="3934" t="n"/>
      <c r="AP111" s="3934" t="n"/>
      <c r="AQ111" s="3934" t="n"/>
      <c r="AR111" s="3934" t="n"/>
    </row>
    <row r="112">
      <c r="A112" s="3944" t="n"/>
      <c r="B112" s="3944" t="n"/>
      <c r="C112" s="3944" t="n"/>
      <c r="D112" s="3944" t="n"/>
      <c r="E112" s="3944" t="n"/>
      <c r="F112" s="3944" t="n"/>
      <c r="G112" s="3944" t="n"/>
      <c r="H112" s="3944" t="n"/>
      <c r="I112" s="3934" t="n"/>
      <c r="J112" s="3934" t="n"/>
      <c r="K112" s="3934" t="n"/>
      <c r="L112" s="3934" t="n"/>
      <c r="M112" s="3934" t="n"/>
      <c r="N112" s="3934" t="n"/>
      <c r="O112" s="3934" t="n"/>
      <c r="P112" s="3934" t="n"/>
      <c r="Q112" s="3934" t="n"/>
      <c r="R112" s="3934" t="n"/>
      <c r="S112" s="3934" t="n"/>
      <c r="T112" s="3934" t="n"/>
      <c r="U112" s="3934" t="n"/>
      <c r="V112" s="3934" t="n"/>
      <c r="W112" s="3934" t="n"/>
      <c r="X112" s="3934" t="n"/>
      <c r="Y112" s="3934" t="n"/>
      <c r="Z112" s="3934" t="n"/>
      <c r="AA112" s="3934" t="n"/>
      <c r="AB112" s="3934" t="n"/>
      <c r="AC112" s="3934" t="n"/>
      <c r="AD112" s="3934" t="n"/>
      <c r="AE112" s="3934" t="n"/>
      <c r="AF112" s="3934" t="n"/>
      <c r="AG112" s="3934" t="n"/>
      <c r="AH112" s="3934" t="n"/>
      <c r="AI112" s="3934" t="n"/>
      <c r="AJ112" s="3934" t="n"/>
      <c r="AK112" s="3934" t="n"/>
      <c r="AL112" s="3934" t="n"/>
      <c r="AM112" s="3934" t="n"/>
      <c r="AN112" s="3934" t="n"/>
      <c r="AO112" s="3934" t="n"/>
      <c r="AP112" s="3934" t="n"/>
      <c r="AQ112" s="3934" t="n"/>
      <c r="AR112" s="3934" t="n"/>
    </row>
    <row r="113">
      <c r="A113" s="3944" t="n"/>
      <c r="B113" s="3944" t="n"/>
      <c r="C113" s="3944" t="n"/>
      <c r="D113" s="3944" t="n"/>
      <c r="E113" s="3944" t="n"/>
      <c r="F113" s="3944" t="n"/>
      <c r="G113" s="3944" t="n"/>
      <c r="H113" s="3944" t="n"/>
      <c r="I113" s="3934" t="n"/>
      <c r="J113" s="3934" t="n"/>
      <c r="K113" s="3934" t="n"/>
      <c r="L113" s="3934" t="n"/>
      <c r="M113" s="3934" t="n"/>
      <c r="N113" s="3934" t="n"/>
      <c r="O113" s="3934" t="n"/>
      <c r="P113" s="3934" t="n"/>
      <c r="Q113" s="3934" t="n"/>
      <c r="R113" s="3934" t="n"/>
      <c r="S113" s="3934" t="n"/>
      <c r="T113" s="3934" t="n"/>
      <c r="U113" s="3934" t="n"/>
      <c r="V113" s="3934" t="n"/>
      <c r="W113" s="3934" t="n"/>
      <c r="X113" s="3934" t="n"/>
      <c r="Y113" s="3934" t="n"/>
      <c r="Z113" s="3934" t="n"/>
      <c r="AA113" s="3934" t="n"/>
      <c r="AB113" s="3934" t="n"/>
      <c r="AC113" s="3934" t="n"/>
      <c r="AD113" s="3934" t="n"/>
      <c r="AE113" s="3934" t="n"/>
      <c r="AF113" s="3934" t="n"/>
      <c r="AG113" s="3934" t="n"/>
      <c r="AH113" s="3934" t="n"/>
      <c r="AI113" s="3934" t="n"/>
      <c r="AJ113" s="3934" t="n"/>
      <c r="AK113" s="3934" t="n"/>
      <c r="AL113" s="3934" t="n"/>
      <c r="AM113" s="3934" t="n"/>
      <c r="AN113" s="3934" t="n"/>
      <c r="AO113" s="3934" t="n"/>
      <c r="AP113" s="3934" t="n"/>
      <c r="AQ113" s="3934" t="n"/>
      <c r="AR113" s="3934" t="n"/>
    </row>
    <row r="114">
      <c r="A114" s="3944" t="n"/>
      <c r="B114" s="3944" t="n"/>
      <c r="C114" s="3944" t="n"/>
      <c r="D114" s="3944" t="n"/>
      <c r="E114" s="3944" t="n"/>
      <c r="F114" s="3944" t="n"/>
      <c r="G114" s="3944" t="n"/>
      <c r="H114" s="3944" t="n"/>
      <c r="I114" s="3934" t="n"/>
      <c r="J114" s="3934" t="n"/>
      <c r="K114" s="3934" t="n"/>
      <c r="L114" s="3934" t="n"/>
      <c r="M114" s="3934" t="n"/>
      <c r="N114" s="3934" t="n"/>
      <c r="O114" s="3934" t="n"/>
      <c r="P114" s="3934" t="n"/>
      <c r="Q114" s="3934" t="n"/>
      <c r="R114" s="3934" t="n"/>
      <c r="S114" s="3934" t="n"/>
      <c r="T114" s="3934" t="n"/>
      <c r="U114" s="3934" t="n"/>
      <c r="V114" s="3934" t="n"/>
      <c r="W114" s="3934" t="n"/>
      <c r="X114" s="3934" t="n"/>
      <c r="Y114" s="3934" t="n"/>
      <c r="Z114" s="3934" t="n"/>
      <c r="AA114" s="3934" t="n"/>
      <c r="AB114" s="3934" t="n"/>
      <c r="AC114" s="3934" t="n"/>
      <c r="AD114" s="3934" t="n"/>
      <c r="AE114" s="3934" t="n"/>
      <c r="AF114" s="3934" t="n"/>
      <c r="AG114" s="3934" t="n"/>
      <c r="AH114" s="3934" t="n"/>
      <c r="AI114" s="3934" t="n"/>
      <c r="AJ114" s="3934" t="n"/>
      <c r="AK114" s="3934" t="n"/>
      <c r="AL114" s="3934" t="n"/>
      <c r="AM114" s="3934" t="n"/>
      <c r="AN114" s="3934" t="n"/>
      <c r="AO114" s="3934" t="n"/>
      <c r="AP114" s="3934" t="n"/>
      <c r="AQ114" s="3934" t="n"/>
      <c r="AR114" s="3934" t="n"/>
    </row>
    <row r="115">
      <c r="A115" s="3944" t="n"/>
      <c r="B115" s="3944" t="n"/>
      <c r="C115" s="3944" t="n"/>
      <c r="D115" s="3944" t="n"/>
      <c r="E115" s="3944" t="n"/>
      <c r="F115" s="3944" t="n"/>
      <c r="G115" s="3944" t="n"/>
      <c r="H115" s="3944" t="n"/>
      <c r="I115" s="3934" t="n"/>
      <c r="J115" s="3934" t="n"/>
      <c r="K115" s="3934" t="n"/>
      <c r="L115" s="3934" t="n"/>
      <c r="M115" s="3934" t="n"/>
      <c r="N115" s="3934" t="n"/>
      <c r="O115" s="3934" t="n"/>
      <c r="P115" s="3934" t="n"/>
      <c r="Q115" s="3934" t="n"/>
      <c r="R115" s="3934" t="n"/>
      <c r="S115" s="3934" t="n"/>
      <c r="T115" s="3934" t="n"/>
      <c r="U115" s="3934" t="n"/>
      <c r="V115" s="3934" t="n"/>
      <c r="W115" s="3934" t="n"/>
      <c r="X115" s="3934" t="n"/>
      <c r="Y115" s="3934" t="n"/>
      <c r="Z115" s="3934" t="n"/>
      <c r="AA115" s="3934" t="n"/>
      <c r="AB115" s="3934" t="n"/>
      <c r="AC115" s="3934" t="n"/>
      <c r="AD115" s="3934" t="n"/>
      <c r="AE115" s="3934" t="n"/>
      <c r="AF115" s="3934" t="n"/>
      <c r="AG115" s="3934" t="n"/>
      <c r="AH115" s="3934" t="n"/>
      <c r="AI115" s="3934" t="n"/>
      <c r="AJ115" s="3934" t="n"/>
      <c r="AK115" s="3934" t="n"/>
      <c r="AL115" s="3934" t="n"/>
      <c r="AM115" s="3934" t="n"/>
      <c r="AN115" s="3934" t="n"/>
      <c r="AO115" s="3934" t="n"/>
      <c r="AP115" s="3934" t="n"/>
      <c r="AQ115" s="3934" t="n"/>
      <c r="AR115" s="3934" t="n"/>
    </row>
    <row r="116">
      <c r="A116" s="3944" t="n"/>
      <c r="B116" s="3944" t="n"/>
      <c r="C116" s="3944" t="n"/>
      <c r="D116" s="3944" t="n"/>
      <c r="E116" s="3944" t="n"/>
      <c r="F116" s="3944" t="n"/>
      <c r="G116" s="3944" t="n"/>
      <c r="H116" s="3944" t="n"/>
      <c r="I116" s="3934" t="n"/>
      <c r="J116" s="3934" t="n"/>
      <c r="K116" s="3934" t="n"/>
      <c r="L116" s="3934" t="n"/>
      <c r="M116" s="3934" t="n"/>
      <c r="N116" s="3934" t="n"/>
      <c r="O116" s="3934" t="n"/>
      <c r="P116" s="3934" t="n"/>
      <c r="Q116" s="3934" t="n"/>
      <c r="R116" s="3934" t="n"/>
      <c r="S116" s="3934" t="n"/>
      <c r="T116" s="3934" t="n"/>
      <c r="U116" s="3934" t="n"/>
      <c r="V116" s="3934" t="n"/>
      <c r="W116" s="3934" t="n"/>
      <c r="X116" s="3934" t="n"/>
      <c r="Y116" s="3934" t="n"/>
      <c r="Z116" s="3934" t="n"/>
      <c r="AA116" s="3934" t="n"/>
      <c r="AB116" s="3934" t="n"/>
      <c r="AC116" s="3934" t="n"/>
      <c r="AD116" s="3934" t="n"/>
      <c r="AE116" s="3934" t="n"/>
      <c r="AF116" s="3934" t="n"/>
      <c r="AG116" s="3934" t="n"/>
      <c r="AH116" s="3934" t="n"/>
      <c r="AI116" s="3934" t="n"/>
      <c r="AJ116" s="3934" t="n"/>
      <c r="AK116" s="3934" t="n"/>
      <c r="AL116" s="3934" t="n"/>
      <c r="AM116" s="3934" t="n"/>
      <c r="AN116" s="3934" t="n"/>
      <c r="AO116" s="3934" t="n"/>
      <c r="AP116" s="3934" t="n"/>
      <c r="AQ116" s="3934" t="n"/>
      <c r="AR116" s="3934" t="n"/>
    </row>
    <row r="117">
      <c r="A117" s="3944" t="n"/>
      <c r="B117" s="3944" t="n"/>
      <c r="C117" s="3944" t="n"/>
      <c r="D117" s="3944" t="n"/>
      <c r="E117" s="3944" t="n"/>
      <c r="F117" s="3944" t="n"/>
      <c r="G117" s="3944" t="n"/>
      <c r="H117" s="3944" t="n"/>
      <c r="I117" s="3934" t="n"/>
      <c r="J117" s="3934" t="n"/>
      <c r="K117" s="3934" t="n"/>
      <c r="L117" s="3934" t="n"/>
      <c r="M117" s="3934" t="n"/>
      <c r="N117" s="3934" t="n"/>
      <c r="O117" s="3934" t="n"/>
      <c r="P117" s="3934" t="n"/>
      <c r="Q117" s="3934" t="n"/>
      <c r="R117" s="3934" t="n"/>
      <c r="S117" s="3934" t="n"/>
      <c r="T117" s="3934" t="n"/>
      <c r="U117" s="3934" t="n"/>
      <c r="V117" s="3934" t="n"/>
      <c r="W117" s="3934" t="n"/>
      <c r="X117" s="3934" t="n"/>
      <c r="Y117" s="3934" t="n"/>
      <c r="Z117" s="3934" t="n"/>
      <c r="AA117" s="3934" t="n"/>
      <c r="AB117" s="3934" t="n"/>
      <c r="AC117" s="3934" t="n"/>
      <c r="AD117" s="3934" t="n"/>
      <c r="AE117" s="3934" t="n"/>
      <c r="AF117" s="3934" t="n"/>
      <c r="AG117" s="3934" t="n"/>
      <c r="AH117" s="3934" t="n"/>
      <c r="AI117" s="3934" t="n"/>
      <c r="AJ117" s="3934" t="n"/>
      <c r="AK117" s="3934" t="n"/>
      <c r="AL117" s="3934" t="n"/>
      <c r="AM117" s="3934" t="n"/>
      <c r="AN117" s="3934" t="n"/>
      <c r="AO117" s="3934" t="n"/>
      <c r="AP117" s="3934" t="n"/>
      <c r="AQ117" s="3934" t="n"/>
      <c r="AR117" s="3934" t="n"/>
    </row>
    <row r="118">
      <c r="A118" s="3944" t="n"/>
      <c r="B118" s="3944" t="n"/>
      <c r="C118" s="3944" t="n"/>
      <c r="D118" s="3944" t="n"/>
      <c r="E118" s="3944" t="n"/>
      <c r="F118" s="3944" t="n"/>
      <c r="G118" s="3944" t="n"/>
      <c r="H118" s="3944" t="n"/>
      <c r="I118" s="3934" t="n"/>
      <c r="J118" s="3934" t="n"/>
      <c r="K118" s="3934" t="n"/>
      <c r="L118" s="3934" t="n"/>
      <c r="M118" s="3934" t="n"/>
      <c r="N118" s="3934" t="n"/>
      <c r="O118" s="3934" t="n"/>
      <c r="P118" s="3934" t="n"/>
      <c r="Q118" s="3934" t="n"/>
      <c r="R118" s="3934" t="n"/>
      <c r="S118" s="3934" t="n"/>
      <c r="T118" s="3934" t="n"/>
      <c r="U118" s="3934" t="n"/>
      <c r="V118" s="3934" t="n"/>
      <c r="W118" s="3934" t="n"/>
      <c r="X118" s="3934" t="n"/>
      <c r="Y118" s="3934" t="n"/>
      <c r="Z118" s="3934" t="n"/>
      <c r="AA118" s="3934" t="n"/>
      <c r="AB118" s="3934" t="n"/>
      <c r="AC118" s="3934" t="n"/>
      <c r="AD118" s="3934" t="n"/>
      <c r="AE118" s="3934" t="n"/>
      <c r="AF118" s="3934" t="n"/>
      <c r="AG118" s="3934" t="n"/>
      <c r="AH118" s="3934" t="n"/>
      <c r="AI118" s="3934" t="n"/>
      <c r="AJ118" s="3934" t="n"/>
      <c r="AK118" s="3934" t="n"/>
      <c r="AL118" s="3934" t="n"/>
      <c r="AM118" s="3934" t="n"/>
      <c r="AN118" s="3934" t="n"/>
      <c r="AO118" s="3934" t="n"/>
      <c r="AP118" s="3934" t="n"/>
      <c r="AQ118" s="3934" t="n"/>
      <c r="AR118" s="3934" t="n"/>
    </row>
    <row r="119">
      <c r="A119" s="3944" t="n"/>
      <c r="B119" s="3944" t="n"/>
      <c r="C119" s="3944" t="n"/>
      <c r="D119" s="3944" t="n"/>
      <c r="E119" s="3944" t="n"/>
      <c r="F119" s="3944" t="n"/>
      <c r="G119" s="3944" t="n"/>
      <c r="H119" s="3944" t="n"/>
      <c r="I119" s="3934" t="n"/>
      <c r="J119" s="3934" t="n"/>
      <c r="K119" s="3934" t="n"/>
      <c r="L119" s="3934" t="n"/>
      <c r="M119" s="3934" t="n"/>
      <c r="N119" s="3934" t="n"/>
      <c r="O119" s="3934" t="n"/>
      <c r="P119" s="3934" t="n"/>
      <c r="Q119" s="3934" t="n"/>
      <c r="R119" s="3934" t="n"/>
      <c r="S119" s="3934" t="n"/>
      <c r="T119" s="3934" t="n"/>
      <c r="U119" s="3934" t="n"/>
      <c r="V119" s="3934" t="n"/>
      <c r="W119" s="3934" t="n"/>
      <c r="X119" s="3934" t="n"/>
      <c r="Y119" s="3934" t="n"/>
      <c r="Z119" s="3934" t="n"/>
      <c r="AA119" s="3934" t="n"/>
      <c r="AB119" s="3934" t="n"/>
      <c r="AC119" s="3934" t="n"/>
      <c r="AD119" s="3934" t="n"/>
      <c r="AE119" s="3934" t="n"/>
      <c r="AF119" s="3934" t="n"/>
      <c r="AG119" s="3934" t="n"/>
      <c r="AH119" s="3934" t="n"/>
      <c r="AI119" s="3934" t="n"/>
      <c r="AJ119" s="3934" t="n"/>
      <c r="AK119" s="3934" t="n"/>
      <c r="AL119" s="3934" t="n"/>
      <c r="AM119" s="3934" t="n"/>
      <c r="AN119" s="3934" t="n"/>
      <c r="AO119" s="3934" t="n"/>
      <c r="AP119" s="3934" t="n"/>
      <c r="AQ119" s="3934" t="n"/>
      <c r="AR119" s="3934" t="n"/>
    </row>
    <row r="120">
      <c r="A120" s="3944" t="n"/>
      <c r="B120" s="3944" t="n"/>
      <c r="C120" s="3944" t="n"/>
      <c r="D120" s="3944" t="n"/>
      <c r="E120" s="3944" t="n"/>
      <c r="F120" s="3944" t="n"/>
      <c r="G120" s="3944" t="n"/>
      <c r="H120" s="3944" t="n"/>
      <c r="I120" s="3934" t="n"/>
      <c r="J120" s="3934" t="n"/>
      <c r="K120" s="3934" t="n"/>
      <c r="L120" s="3934" t="n"/>
      <c r="M120" s="3934" t="n"/>
      <c r="N120" s="3934" t="n"/>
      <c r="O120" s="3934" t="n"/>
      <c r="P120" s="3934" t="n"/>
      <c r="Q120" s="3934" t="n"/>
      <c r="R120" s="3934" t="n"/>
      <c r="S120" s="3934" t="n"/>
      <c r="T120" s="3934" t="n"/>
      <c r="U120" s="3934" t="n"/>
      <c r="V120" s="3934" t="n"/>
      <c r="W120" s="3934" t="n"/>
      <c r="X120" s="3934" t="n"/>
      <c r="Y120" s="3934" t="n"/>
      <c r="Z120" s="3934" t="n"/>
      <c r="AA120" s="3934" t="n"/>
      <c r="AB120" s="3934" t="n"/>
      <c r="AC120" s="3934" t="n"/>
      <c r="AD120" s="3934" t="n"/>
      <c r="AE120" s="3934" t="n"/>
      <c r="AF120" s="3934" t="n"/>
      <c r="AG120" s="3934" t="n"/>
      <c r="AH120" s="3934" t="n"/>
      <c r="AI120" s="3934" t="n"/>
      <c r="AJ120" s="3934" t="n"/>
      <c r="AK120" s="3934" t="n"/>
      <c r="AL120" s="3934" t="n"/>
      <c r="AM120" s="3934" t="n"/>
      <c r="AN120" s="3934" t="n"/>
      <c r="AO120" s="3934" t="n"/>
      <c r="AP120" s="3934" t="n"/>
      <c r="AQ120" s="3934" t="n"/>
      <c r="AR120" s="3934" t="n"/>
    </row>
    <row r="121">
      <c r="A121" s="3944" t="n"/>
      <c r="B121" s="3944" t="n"/>
      <c r="C121" s="3944" t="n"/>
      <c r="D121" s="3944" t="n"/>
      <c r="E121" s="3944" t="n"/>
      <c r="F121" s="3944" t="n"/>
      <c r="G121" s="3944" t="n"/>
      <c r="H121" s="3944" t="n"/>
      <c r="I121" s="3934" t="n"/>
      <c r="J121" s="3934" t="n"/>
      <c r="K121" s="3934" t="n"/>
      <c r="L121" s="3934" t="n"/>
      <c r="M121" s="3934" t="n"/>
      <c r="N121" s="3934" t="n"/>
      <c r="O121" s="3934" t="n"/>
      <c r="P121" s="3934" t="n"/>
      <c r="Q121" s="3934" t="n"/>
      <c r="R121" s="3934" t="n"/>
      <c r="S121" s="3934" t="n"/>
      <c r="T121" s="3934" t="n"/>
      <c r="U121" s="3934" t="n"/>
      <c r="V121" s="3934" t="n"/>
      <c r="W121" s="3934" t="n"/>
      <c r="X121" s="3934" t="n"/>
      <c r="Y121" s="3934" t="n"/>
      <c r="Z121" s="3934" t="n"/>
      <c r="AA121" s="3934" t="n"/>
      <c r="AB121" s="3934" t="n"/>
      <c r="AC121" s="3934" t="n"/>
      <c r="AD121" s="3934" t="n"/>
      <c r="AE121" s="3934" t="n"/>
      <c r="AF121" s="3934" t="n"/>
      <c r="AG121" s="3934" t="n"/>
      <c r="AH121" s="3934" t="n"/>
      <c r="AI121" s="3934" t="n"/>
      <c r="AJ121" s="3934" t="n"/>
      <c r="AK121" s="3934" t="n"/>
      <c r="AL121" s="3934" t="n"/>
      <c r="AM121" s="3934" t="n"/>
      <c r="AN121" s="3934" t="n"/>
      <c r="AO121" s="3934" t="n"/>
      <c r="AP121" s="3934" t="n"/>
      <c r="AQ121" s="3934" t="n"/>
      <c r="AR121" s="3934" t="n"/>
    </row>
    <row r="122">
      <c r="A122" s="3944" t="n"/>
      <c r="B122" s="3944" t="n"/>
      <c r="C122" s="3944" t="n"/>
      <c r="D122" s="3944" t="n"/>
      <c r="E122" s="3944" t="n"/>
      <c r="F122" s="3944" t="n"/>
      <c r="G122" s="3944" t="n"/>
      <c r="H122" s="3944" t="n"/>
      <c r="I122" s="3934" t="n"/>
      <c r="J122" s="3934" t="n"/>
      <c r="K122" s="3934" t="n"/>
      <c r="L122" s="3934" t="n"/>
      <c r="M122" s="3934" t="n"/>
      <c r="N122" s="3934" t="n"/>
      <c r="O122" s="3934" t="n"/>
      <c r="P122" s="3934" t="n"/>
      <c r="Q122" s="3934" t="n"/>
      <c r="R122" s="3934" t="n"/>
      <c r="S122" s="3934" t="n"/>
      <c r="T122" s="3934" t="n"/>
      <c r="U122" s="3934" t="n"/>
      <c r="V122" s="3934" t="n"/>
      <c r="W122" s="3934" t="n"/>
      <c r="X122" s="3934" t="n"/>
      <c r="Y122" s="3934" t="n"/>
      <c r="Z122" s="3934" t="n"/>
      <c r="AA122" s="3934" t="n"/>
      <c r="AB122" s="3934" t="n"/>
      <c r="AC122" s="3934" t="n"/>
      <c r="AD122" s="3934" t="n"/>
      <c r="AE122" s="3934" t="n"/>
      <c r="AF122" s="3934" t="n"/>
      <c r="AG122" s="3934" t="n"/>
      <c r="AH122" s="3934" t="n"/>
      <c r="AI122" s="3934" t="n"/>
      <c r="AJ122" s="3934" t="n"/>
      <c r="AK122" s="3934" t="n"/>
      <c r="AL122" s="3934" t="n"/>
      <c r="AM122" s="3934" t="n"/>
      <c r="AN122" s="3934" t="n"/>
      <c r="AO122" s="3934" t="n"/>
      <c r="AP122" s="3934" t="n"/>
      <c r="AQ122" s="3934" t="n"/>
      <c r="AR122" s="3934" t="n"/>
    </row>
    <row r="123">
      <c r="A123" s="3944" t="n"/>
      <c r="B123" s="3944" t="n"/>
      <c r="C123" s="3944" t="n"/>
      <c r="D123" s="3944" t="n"/>
      <c r="E123" s="3944" t="n"/>
      <c r="F123" s="3944" t="n"/>
      <c r="G123" s="3944" t="n"/>
      <c r="H123" s="3944" t="n"/>
      <c r="I123" s="3934" t="n"/>
      <c r="J123" s="3934" t="n"/>
      <c r="K123" s="3934" t="n"/>
      <c r="L123" s="3934" t="n"/>
      <c r="M123" s="3934" t="n"/>
      <c r="N123" s="3934" t="n"/>
      <c r="O123" s="3934" t="n"/>
      <c r="P123" s="3934" t="n"/>
      <c r="Q123" s="3934" t="n"/>
      <c r="R123" s="3934" t="n"/>
      <c r="S123" s="3934" t="n"/>
      <c r="T123" s="3934" t="n"/>
      <c r="U123" s="3934" t="n"/>
      <c r="V123" s="3934" t="n"/>
      <c r="W123" s="3934" t="n"/>
      <c r="X123" s="3934" t="n"/>
      <c r="Y123" s="3934" t="n"/>
      <c r="Z123" s="3934" t="n"/>
      <c r="AA123" s="3934" t="n"/>
      <c r="AB123" s="3934" t="n"/>
      <c r="AC123" s="3934" t="n"/>
      <c r="AD123" s="3934" t="n"/>
      <c r="AE123" s="3934" t="n"/>
      <c r="AF123" s="3934" t="n"/>
      <c r="AG123" s="3934" t="n"/>
      <c r="AH123" s="3934" t="n"/>
      <c r="AI123" s="3934" t="n"/>
      <c r="AJ123" s="3934" t="n"/>
      <c r="AK123" s="3934" t="n"/>
      <c r="AL123" s="3934" t="n"/>
      <c r="AM123" s="3934" t="n"/>
      <c r="AN123" s="3934" t="n"/>
      <c r="AO123" s="3934" t="n"/>
      <c r="AP123" s="3934" t="n"/>
      <c r="AQ123" s="3934" t="n"/>
      <c r="AR123" s="3934" t="n"/>
    </row>
    <row r="124">
      <c r="A124" s="3944" t="n"/>
      <c r="B124" s="3944" t="n"/>
      <c r="C124" s="3944" t="n"/>
      <c r="D124" s="3944" t="n"/>
      <c r="E124" s="3944" t="n"/>
      <c r="F124" s="3944" t="n"/>
      <c r="G124" s="3944" t="n"/>
      <c r="H124" s="3944" t="n"/>
      <c r="I124" s="3934" t="n"/>
      <c r="J124" s="3934" t="n"/>
      <c r="K124" s="3934" t="n"/>
      <c r="L124" s="3934" t="n"/>
      <c r="M124" s="3934" t="n"/>
      <c r="N124" s="3934" t="n"/>
      <c r="O124" s="3934" t="n"/>
      <c r="P124" s="3934" t="n"/>
      <c r="Q124" s="3934" t="n"/>
      <c r="R124" s="3934" t="n"/>
      <c r="S124" s="3934" t="n"/>
      <c r="T124" s="3934" t="n"/>
      <c r="U124" s="3934" t="n"/>
      <c r="V124" s="3934" t="n"/>
      <c r="W124" s="3934" t="n"/>
      <c r="X124" s="3934" t="n"/>
      <c r="Y124" s="3934" t="n"/>
      <c r="Z124" s="3934" t="n"/>
      <c r="AA124" s="3934" t="n"/>
      <c r="AB124" s="3934" t="n"/>
      <c r="AC124" s="3934" t="n"/>
      <c r="AD124" s="3934" t="n"/>
      <c r="AE124" s="3934" t="n"/>
      <c r="AF124" s="3934" t="n"/>
      <c r="AG124" s="3934" t="n"/>
      <c r="AH124" s="3934" t="n"/>
      <c r="AI124" s="3934" t="n"/>
      <c r="AJ124" s="3934" t="n"/>
      <c r="AK124" s="3934" t="n"/>
      <c r="AL124" s="3934" t="n"/>
      <c r="AM124" s="3934" t="n"/>
      <c r="AN124" s="3934" t="n"/>
      <c r="AO124" s="3934" t="n"/>
      <c r="AP124" s="3934" t="n"/>
      <c r="AQ124" s="3934" t="n"/>
      <c r="AR124" s="3934" t="n"/>
    </row>
    <row r="125">
      <c r="A125" s="3944" t="n"/>
      <c r="B125" s="3944" t="n"/>
      <c r="C125" s="3944" t="n"/>
      <c r="D125" s="3944" t="n"/>
      <c r="E125" s="3944" t="n"/>
      <c r="F125" s="3944" t="n"/>
      <c r="G125" s="3944" t="n"/>
      <c r="H125" s="3944" t="n"/>
      <c r="I125" s="3934" t="n"/>
      <c r="J125" s="3934" t="n"/>
      <c r="K125" s="3934" t="n"/>
      <c r="L125" s="3934" t="n"/>
      <c r="M125" s="3934" t="n"/>
      <c r="N125" s="3934" t="n"/>
      <c r="O125" s="3934" t="n"/>
      <c r="P125" s="3934" t="n"/>
      <c r="Q125" s="3934" t="n"/>
      <c r="R125" s="3934" t="n"/>
      <c r="S125" s="3934" t="n"/>
      <c r="T125" s="3934" t="n"/>
      <c r="U125" s="3934" t="n"/>
      <c r="V125" s="3934" t="n"/>
      <c r="W125" s="3934" t="n"/>
      <c r="X125" s="3934" t="n"/>
      <c r="Y125" s="3934" t="n"/>
      <c r="Z125" s="3934" t="n"/>
      <c r="AA125" s="3934" t="n"/>
      <c r="AB125" s="3934" t="n"/>
      <c r="AC125" s="3934" t="n"/>
      <c r="AD125" s="3934" t="n"/>
      <c r="AE125" s="3934" t="n"/>
      <c r="AF125" s="3934" t="n"/>
      <c r="AG125" s="3934" t="n"/>
      <c r="AH125" s="3934" t="n"/>
      <c r="AI125" s="3934" t="n"/>
      <c r="AJ125" s="3934" t="n"/>
      <c r="AK125" s="3934" t="n"/>
      <c r="AL125" s="3934" t="n"/>
      <c r="AM125" s="3934" t="n"/>
      <c r="AN125" s="3934" t="n"/>
      <c r="AO125" s="3934" t="n"/>
      <c r="AP125" s="3934" t="n"/>
      <c r="AQ125" s="3934" t="n"/>
      <c r="AR125" s="3934" t="n"/>
    </row>
    <row r="126">
      <c r="A126" s="3944" t="n"/>
      <c r="B126" s="3944" t="n"/>
      <c r="C126" s="3944" t="n"/>
      <c r="D126" s="3944" t="n"/>
      <c r="E126" s="3944" t="n"/>
      <c r="F126" s="3944" t="n"/>
      <c r="G126" s="3944" t="n"/>
      <c r="H126" s="3944" t="n"/>
      <c r="I126" s="3934" t="n"/>
      <c r="J126" s="3934" t="n"/>
      <c r="K126" s="3934" t="n"/>
      <c r="L126" s="3934" t="n"/>
      <c r="M126" s="3934" t="n"/>
      <c r="N126" s="3934" t="n"/>
      <c r="O126" s="3934" t="n"/>
      <c r="P126" s="3934" t="n"/>
      <c r="Q126" s="3934" t="n"/>
      <c r="R126" s="3934" t="n"/>
      <c r="S126" s="3934" t="n"/>
      <c r="T126" s="3934" t="n"/>
      <c r="U126" s="3934" t="n"/>
      <c r="V126" s="3934" t="n"/>
      <c r="W126" s="3934" t="n"/>
      <c r="X126" s="3934" t="n"/>
      <c r="Y126" s="3934" t="n"/>
      <c r="Z126" s="3934" t="n"/>
      <c r="AA126" s="3934" t="n"/>
      <c r="AB126" s="3934" t="n"/>
      <c r="AC126" s="3934" t="n"/>
      <c r="AD126" s="3934" t="n"/>
      <c r="AE126" s="3934" t="n"/>
      <c r="AF126" s="3934" t="n"/>
      <c r="AG126" s="3934" t="n"/>
      <c r="AH126" s="3934" t="n"/>
      <c r="AI126" s="3934" t="n"/>
      <c r="AJ126" s="3934" t="n"/>
      <c r="AK126" s="3934" t="n"/>
      <c r="AL126" s="3934" t="n"/>
      <c r="AM126" s="3934" t="n"/>
      <c r="AN126" s="3934" t="n"/>
      <c r="AO126" s="3934" t="n"/>
      <c r="AP126" s="3934" t="n"/>
      <c r="AQ126" s="3934" t="n"/>
      <c r="AR126" s="3934" t="n"/>
    </row>
    <row r="127">
      <c r="A127" s="3944" t="n"/>
      <c r="B127" s="3944" t="n"/>
      <c r="C127" s="3944" t="n"/>
      <c r="D127" s="3944" t="n"/>
      <c r="E127" s="3944" t="n"/>
      <c r="F127" s="3944" t="n"/>
      <c r="G127" s="3944" t="n"/>
      <c r="H127" s="3944" t="n"/>
      <c r="I127" s="3934" t="n"/>
      <c r="J127" s="3934" t="n"/>
      <c r="K127" s="3934" t="n"/>
      <c r="L127" s="3934" t="n"/>
      <c r="M127" s="3934" t="n"/>
      <c r="N127" s="3934" t="n"/>
      <c r="O127" s="3934" t="n"/>
      <c r="P127" s="3934" t="n"/>
      <c r="Q127" s="3934" t="n"/>
      <c r="R127" s="3934" t="n"/>
      <c r="S127" s="3934" t="n"/>
      <c r="T127" s="3934" t="n"/>
      <c r="U127" s="3934" t="n"/>
      <c r="V127" s="3934" t="n"/>
      <c r="W127" s="3934" t="n"/>
      <c r="X127" s="3934" t="n"/>
      <c r="Y127" s="3934" t="n"/>
      <c r="Z127" s="3934" t="n"/>
      <c r="AA127" s="3934" t="n"/>
      <c r="AB127" s="3934" t="n"/>
      <c r="AC127" s="3934" t="n"/>
      <c r="AD127" s="3934" t="n"/>
      <c r="AE127" s="3934" t="n"/>
      <c r="AF127" s="3934" t="n"/>
      <c r="AG127" s="3934" t="n"/>
      <c r="AH127" s="3934" t="n"/>
      <c r="AI127" s="3934" t="n"/>
      <c r="AJ127" s="3934" t="n"/>
      <c r="AK127" s="3934" t="n"/>
      <c r="AL127" s="3934" t="n"/>
      <c r="AM127" s="3934" t="n"/>
      <c r="AN127" s="3934" t="n"/>
      <c r="AO127" s="3934" t="n"/>
      <c r="AP127" s="3934" t="n"/>
      <c r="AQ127" s="3934" t="n"/>
      <c r="AR127" s="3934" t="n"/>
    </row>
    <row r="128">
      <c r="A128" s="3944" t="n"/>
      <c r="B128" s="3944" t="n"/>
      <c r="C128" s="3944" t="n"/>
      <c r="D128" s="3944" t="n"/>
      <c r="E128" s="3944" t="n"/>
      <c r="F128" s="3944" t="n"/>
      <c r="G128" s="3944" t="n"/>
      <c r="H128" s="3944" t="n"/>
      <c r="I128" s="3934" t="n"/>
      <c r="J128" s="3934" t="n"/>
      <c r="K128" s="3934" t="n"/>
      <c r="L128" s="3934" t="n"/>
      <c r="M128" s="3934" t="n"/>
      <c r="N128" s="3934" t="n"/>
      <c r="O128" s="3934" t="n"/>
      <c r="P128" s="3934" t="n"/>
      <c r="Q128" s="3934" t="n"/>
      <c r="R128" s="3934" t="n"/>
      <c r="S128" s="3934" t="n"/>
      <c r="T128" s="3934" t="n"/>
      <c r="U128" s="3934" t="n"/>
      <c r="V128" s="3934" t="n"/>
      <c r="W128" s="3934" t="n"/>
      <c r="X128" s="3934" t="n"/>
      <c r="Y128" s="3934" t="n"/>
      <c r="Z128" s="3934" t="n"/>
      <c r="AA128" s="3934" t="n"/>
      <c r="AB128" s="3934" t="n"/>
      <c r="AC128" s="3934" t="n"/>
      <c r="AD128" s="3934" t="n"/>
      <c r="AE128" s="3934" t="n"/>
      <c r="AF128" s="3934" t="n"/>
      <c r="AG128" s="3934" t="n"/>
      <c r="AH128" s="3934" t="n"/>
      <c r="AI128" s="3934" t="n"/>
      <c r="AJ128" s="3934" t="n"/>
      <c r="AK128" s="3934" t="n"/>
      <c r="AL128" s="3934" t="n"/>
      <c r="AM128" s="3934" t="n"/>
      <c r="AN128" s="3934" t="n"/>
      <c r="AO128" s="3934" t="n"/>
      <c r="AP128" s="3934" t="n"/>
      <c r="AQ128" s="3934" t="n"/>
      <c r="AR128" s="3934" t="n"/>
    </row>
    <row r="129">
      <c r="A129" s="3944" t="n"/>
      <c r="B129" s="3944" t="n"/>
      <c r="C129" s="3944" t="n"/>
      <c r="D129" s="3944" t="n"/>
      <c r="E129" s="3944" t="n"/>
      <c r="F129" s="3944" t="n"/>
      <c r="G129" s="3944" t="n"/>
      <c r="H129" s="3944" t="n"/>
      <c r="I129" s="3934" t="n"/>
      <c r="J129" s="3934" t="n"/>
      <c r="K129" s="3934" t="n"/>
      <c r="L129" s="3934" t="n"/>
      <c r="M129" s="3934" t="n"/>
      <c r="N129" s="3934" t="n"/>
      <c r="O129" s="3934" t="n"/>
      <c r="P129" s="3934" t="n"/>
      <c r="Q129" s="3934" t="n"/>
      <c r="R129" s="3934" t="n"/>
      <c r="S129" s="3934" t="n"/>
      <c r="T129" s="3934" t="n"/>
      <c r="U129" s="3934" t="n"/>
      <c r="V129" s="3934" t="n"/>
      <c r="W129" s="3934" t="n"/>
      <c r="X129" s="3934" t="n"/>
      <c r="Y129" s="3934" t="n"/>
      <c r="Z129" s="3934" t="n"/>
      <c r="AA129" s="3934" t="n"/>
      <c r="AB129" s="3934" t="n"/>
      <c r="AC129" s="3934" t="n"/>
      <c r="AD129" s="3934" t="n"/>
      <c r="AE129" s="3934" t="n"/>
      <c r="AF129" s="3934" t="n"/>
      <c r="AG129" s="3934" t="n"/>
      <c r="AH129" s="3934" t="n"/>
      <c r="AI129" s="3934" t="n"/>
      <c r="AJ129" s="3934" t="n"/>
      <c r="AK129" s="3934" t="n"/>
      <c r="AL129" s="3934" t="n"/>
      <c r="AM129" s="3934" t="n"/>
      <c r="AN129" s="3934" t="n"/>
      <c r="AO129" s="3934" t="n"/>
      <c r="AP129" s="3934" t="n"/>
      <c r="AQ129" s="3934" t="n"/>
      <c r="AR129" s="3934" t="n"/>
    </row>
    <row r="130">
      <c r="A130" s="3944" t="n"/>
      <c r="B130" s="3944" t="n"/>
      <c r="C130" s="3944" t="n"/>
      <c r="D130" s="3944" t="n"/>
      <c r="E130" s="3944" t="n"/>
      <c r="F130" s="3944" t="n"/>
      <c r="G130" s="3944" t="n"/>
      <c r="H130" s="3944" t="n"/>
      <c r="I130" s="3934" t="n"/>
      <c r="J130" s="3934" t="n"/>
      <c r="K130" s="3934" t="n"/>
      <c r="L130" s="3934" t="n"/>
      <c r="M130" s="3934" t="n"/>
      <c r="N130" s="3934" t="n"/>
      <c r="O130" s="3934" t="n"/>
      <c r="P130" s="3934" t="n"/>
      <c r="Q130" s="3934" t="n"/>
      <c r="R130" s="3934" t="n"/>
      <c r="S130" s="3934" t="n"/>
      <c r="T130" s="3934" t="n"/>
      <c r="U130" s="3934" t="n"/>
      <c r="V130" s="3934" t="n"/>
      <c r="W130" s="3934" t="n"/>
      <c r="X130" s="3934" t="n"/>
      <c r="Y130" s="3934" t="n"/>
      <c r="Z130" s="3934" t="n"/>
      <c r="AA130" s="3934" t="n"/>
      <c r="AB130" s="3934" t="n"/>
      <c r="AC130" s="3934" t="n"/>
      <c r="AD130" s="3934" t="n"/>
      <c r="AE130" s="3934" t="n"/>
      <c r="AF130" s="3934" t="n"/>
      <c r="AG130" s="3934" t="n"/>
      <c r="AH130" s="3934" t="n"/>
      <c r="AI130" s="3934" t="n"/>
      <c r="AJ130" s="3934" t="n"/>
      <c r="AK130" s="3934" t="n"/>
      <c r="AL130" s="3934" t="n"/>
      <c r="AM130" s="3934" t="n"/>
      <c r="AN130" s="3934" t="n"/>
      <c r="AO130" s="3934" t="n"/>
      <c r="AP130" s="3934" t="n"/>
      <c r="AQ130" s="3934" t="n"/>
      <c r="AR130" s="3934" t="n"/>
    </row>
    <row r="131">
      <c r="A131" s="3944" t="n"/>
      <c r="B131" s="3944" t="n"/>
      <c r="C131" s="3944" t="n"/>
      <c r="D131" s="3944" t="n"/>
      <c r="E131" s="3944" t="n"/>
      <c r="F131" s="3944" t="n"/>
      <c r="G131" s="3944" t="n"/>
      <c r="H131" s="3944" t="n"/>
      <c r="I131" s="3934" t="n"/>
      <c r="J131" s="3934" t="n"/>
      <c r="K131" s="3934" t="n"/>
      <c r="L131" s="3934" t="n"/>
      <c r="M131" s="3934" t="n"/>
      <c r="N131" s="3934" t="n"/>
      <c r="O131" s="3934" t="n"/>
      <c r="P131" s="3934" t="n"/>
      <c r="Q131" s="3934" t="n"/>
      <c r="R131" s="3934" t="n"/>
      <c r="S131" s="3934" t="n"/>
      <c r="T131" s="3934" t="n"/>
      <c r="U131" s="3934" t="n"/>
      <c r="V131" s="3934" t="n"/>
      <c r="W131" s="3934" t="n"/>
      <c r="X131" s="3934" t="n"/>
      <c r="Y131" s="3934" t="n"/>
      <c r="Z131" s="3934" t="n"/>
      <c r="AA131" s="3934" t="n"/>
      <c r="AB131" s="3934" t="n"/>
      <c r="AC131" s="3934" t="n"/>
      <c r="AD131" s="3934" t="n"/>
      <c r="AE131" s="3934" t="n"/>
      <c r="AF131" s="3934" t="n"/>
      <c r="AG131" s="3934" t="n"/>
      <c r="AH131" s="3934" t="n"/>
      <c r="AI131" s="3934" t="n"/>
      <c r="AJ131" s="3934" t="n"/>
      <c r="AK131" s="3934" t="n"/>
      <c r="AL131" s="3934" t="n"/>
      <c r="AM131" s="3934" t="n"/>
      <c r="AN131" s="3934" t="n"/>
      <c r="AO131" s="3934" t="n"/>
      <c r="AP131" s="3934" t="n"/>
      <c r="AQ131" s="3934" t="n"/>
      <c r="AR131" s="3934" t="n"/>
    </row>
    <row r="132">
      <c r="A132" s="3944" t="n"/>
      <c r="B132" s="3944" t="n"/>
      <c r="C132" s="3944" t="n"/>
      <c r="D132" s="3944" t="n"/>
      <c r="E132" s="3944" t="n"/>
      <c r="F132" s="3944" t="n"/>
      <c r="G132" s="3944" t="n"/>
      <c r="H132" s="3944" t="n"/>
      <c r="I132" s="3934" t="n"/>
      <c r="J132" s="3934" t="n"/>
      <c r="K132" s="3934" t="n"/>
      <c r="L132" s="3934" t="n"/>
      <c r="M132" s="3934" t="n"/>
      <c r="N132" s="3934" t="n"/>
      <c r="O132" s="3934" t="n"/>
      <c r="P132" s="3934" t="n"/>
      <c r="Q132" s="3934" t="n"/>
      <c r="R132" s="3934" t="n"/>
      <c r="S132" s="3934" t="n"/>
      <c r="T132" s="3934" t="n"/>
      <c r="U132" s="3934" t="n"/>
      <c r="V132" s="3934" t="n"/>
      <c r="W132" s="3934" t="n"/>
      <c r="X132" s="3934" t="n"/>
      <c r="Y132" s="3934" t="n"/>
      <c r="Z132" s="3934" t="n"/>
      <c r="AA132" s="3934" t="n"/>
      <c r="AB132" s="3934" t="n"/>
      <c r="AC132" s="3934" t="n"/>
      <c r="AD132" s="3934" t="n"/>
      <c r="AE132" s="3934" t="n"/>
      <c r="AF132" s="3934" t="n"/>
      <c r="AG132" s="3934" t="n"/>
      <c r="AH132" s="3934" t="n"/>
      <c r="AI132" s="3934" t="n"/>
      <c r="AJ132" s="3934" t="n"/>
      <c r="AK132" s="3934" t="n"/>
      <c r="AL132" s="3934" t="n"/>
      <c r="AM132" s="3934" t="n"/>
      <c r="AN132" s="3934" t="n"/>
      <c r="AO132" s="3934" t="n"/>
      <c r="AP132" s="3934" t="n"/>
      <c r="AQ132" s="3934" t="n"/>
      <c r="AR132" s="3934" t="n"/>
    </row>
    <row r="133">
      <c r="A133" s="3944" t="n"/>
      <c r="B133" s="3944" t="n"/>
      <c r="C133" s="3944" t="n"/>
      <c r="D133" s="3944" t="n"/>
      <c r="E133" s="3944" t="n"/>
      <c r="F133" s="3944" t="n"/>
      <c r="G133" s="3944" t="n"/>
      <c r="H133" s="3944" t="n"/>
      <c r="I133" s="3934" t="n"/>
      <c r="J133" s="3934" t="n"/>
      <c r="K133" s="3934" t="n"/>
      <c r="L133" s="3934" t="n"/>
      <c r="M133" s="3934" t="n"/>
      <c r="N133" s="3934" t="n"/>
      <c r="O133" s="3934" t="n"/>
      <c r="P133" s="3934" t="n"/>
      <c r="Q133" s="3934" t="n"/>
      <c r="R133" s="3934" t="n"/>
      <c r="S133" s="3934" t="n"/>
      <c r="T133" s="3934" t="n"/>
      <c r="U133" s="3934" t="n"/>
      <c r="V133" s="3934" t="n"/>
      <c r="W133" s="3934" t="n"/>
      <c r="X133" s="3934" t="n"/>
      <c r="Y133" s="3934" t="n"/>
      <c r="Z133" s="3934" t="n"/>
      <c r="AA133" s="3934" t="n"/>
      <c r="AB133" s="3934" t="n"/>
      <c r="AC133" s="3934" t="n"/>
      <c r="AD133" s="3934" t="n"/>
      <c r="AE133" s="3934" t="n"/>
      <c r="AF133" s="3934" t="n"/>
      <c r="AG133" s="3934" t="n"/>
      <c r="AH133" s="3934" t="n"/>
      <c r="AI133" s="3934" t="n"/>
      <c r="AJ133" s="3934" t="n"/>
      <c r="AK133" s="3934" t="n"/>
      <c r="AL133" s="3934" t="n"/>
      <c r="AM133" s="3934" t="n"/>
      <c r="AN133" s="3934" t="n"/>
      <c r="AO133" s="3934" t="n"/>
      <c r="AP133" s="3934" t="n"/>
      <c r="AQ133" s="3934" t="n"/>
      <c r="AR133" s="3934" t="n"/>
    </row>
    <row r="134">
      <c r="A134" s="3944" t="n"/>
      <c r="B134" s="3944" t="n"/>
      <c r="C134" s="3944" t="n"/>
      <c r="D134" s="3944" t="n"/>
      <c r="E134" s="3944" t="n"/>
      <c r="F134" s="3944" t="n"/>
      <c r="G134" s="3944" t="n"/>
      <c r="H134" s="3944" t="n"/>
      <c r="I134" s="3934" t="n"/>
      <c r="J134" s="3934" t="n"/>
      <c r="K134" s="3934" t="n"/>
      <c r="L134" s="3934" t="n"/>
      <c r="M134" s="3934" t="n"/>
      <c r="N134" s="3934" t="n"/>
      <c r="O134" s="3934" t="n"/>
      <c r="P134" s="3934" t="n"/>
      <c r="Q134" s="3934" t="n"/>
      <c r="R134" s="3934" t="n"/>
      <c r="S134" s="3934" t="n"/>
      <c r="T134" s="3934" t="n"/>
      <c r="U134" s="3934" t="n"/>
      <c r="V134" s="3934" t="n"/>
      <c r="W134" s="3934" t="n"/>
      <c r="X134" s="3934" t="n"/>
      <c r="Y134" s="3934" t="n"/>
      <c r="Z134" s="3934" t="n"/>
      <c r="AA134" s="3934" t="n"/>
      <c r="AB134" s="3934" t="n"/>
      <c r="AC134" s="3934" t="n"/>
      <c r="AD134" s="3934" t="n"/>
      <c r="AE134" s="3934" t="n"/>
      <c r="AF134" s="3934" t="n"/>
      <c r="AG134" s="3934" t="n"/>
      <c r="AH134" s="3934" t="n"/>
      <c r="AI134" s="3934" t="n"/>
      <c r="AJ134" s="3934" t="n"/>
      <c r="AK134" s="3934" t="n"/>
      <c r="AL134" s="3934" t="n"/>
      <c r="AM134" s="3934" t="n"/>
      <c r="AN134" s="3934" t="n"/>
      <c r="AO134" s="3934" t="n"/>
      <c r="AP134" s="3934" t="n"/>
      <c r="AQ134" s="3934" t="n"/>
      <c r="AR134" s="3934" t="n"/>
    </row>
    <row r="135">
      <c r="A135" s="3944" t="n"/>
      <c r="B135" s="3944" t="n"/>
      <c r="C135" s="3944" t="n"/>
      <c r="D135" s="3944" t="n"/>
      <c r="E135" s="3944" t="n"/>
      <c r="F135" s="3944" t="n"/>
      <c r="G135" s="3944" t="n"/>
      <c r="H135" s="3944" t="n"/>
      <c r="I135" s="3934" t="n"/>
      <c r="J135" s="3934" t="n"/>
      <c r="K135" s="3934" t="n"/>
      <c r="L135" s="3934" t="n"/>
      <c r="M135" s="3934" t="n"/>
      <c r="N135" s="3934" t="n"/>
      <c r="O135" s="3934" t="n"/>
      <c r="P135" s="3934" t="n"/>
      <c r="Q135" s="3934" t="n"/>
      <c r="R135" s="3934" t="n"/>
      <c r="S135" s="3934" t="n"/>
      <c r="T135" s="3934" t="n"/>
      <c r="U135" s="3934" t="n"/>
      <c r="V135" s="3934" t="n"/>
      <c r="W135" s="3934" t="n"/>
      <c r="X135" s="3934" t="n"/>
      <c r="Y135" s="3934" t="n"/>
      <c r="Z135" s="3934" t="n"/>
      <c r="AA135" s="3934" t="n"/>
      <c r="AB135" s="3934" t="n"/>
      <c r="AC135" s="3934" t="n"/>
      <c r="AD135" s="3934" t="n"/>
      <c r="AE135" s="3934" t="n"/>
      <c r="AF135" s="3934" t="n"/>
      <c r="AG135" s="3934" t="n"/>
      <c r="AH135" s="3934" t="n"/>
      <c r="AI135" s="3934" t="n"/>
      <c r="AJ135" s="3934" t="n"/>
      <c r="AK135" s="3934" t="n"/>
      <c r="AL135" s="3934" t="n"/>
      <c r="AM135" s="3934" t="n"/>
      <c r="AN135" s="3934" t="n"/>
      <c r="AO135" s="3934" t="n"/>
      <c r="AP135" s="3934" t="n"/>
      <c r="AQ135" s="3934" t="n"/>
      <c r="AR135" s="3934" t="n"/>
    </row>
    <row r="136">
      <c r="A136" s="3944" t="n"/>
      <c r="B136" s="3944" t="n"/>
      <c r="C136" s="3944" t="n"/>
      <c r="D136" s="3944" t="n"/>
      <c r="E136" s="3944" t="n"/>
      <c r="F136" s="3944" t="n"/>
      <c r="G136" s="3944" t="n"/>
      <c r="H136" s="3944" t="n"/>
      <c r="I136" s="3934" t="n"/>
      <c r="J136" s="3934" t="n"/>
      <c r="K136" s="3934" t="n"/>
      <c r="L136" s="3934" t="n"/>
      <c r="M136" s="3934" t="n"/>
      <c r="N136" s="3934" t="n"/>
      <c r="O136" s="3934" t="n"/>
      <c r="P136" s="3934" t="n"/>
      <c r="Q136" s="3934" t="n"/>
      <c r="R136" s="3934" t="n"/>
      <c r="S136" s="3934" t="n"/>
      <c r="T136" s="3934" t="n"/>
      <c r="U136" s="3934" t="n"/>
      <c r="V136" s="3934" t="n"/>
      <c r="W136" s="3934" t="n"/>
      <c r="X136" s="3934" t="n"/>
      <c r="Y136" s="3934" t="n"/>
      <c r="Z136" s="3934" t="n"/>
      <c r="AA136" s="3934" t="n"/>
      <c r="AB136" s="3934" t="n"/>
      <c r="AC136" s="3934" t="n"/>
      <c r="AD136" s="3934" t="n"/>
      <c r="AE136" s="3934" t="n"/>
      <c r="AF136" s="3934" t="n"/>
      <c r="AG136" s="3934" t="n"/>
      <c r="AH136" s="3934" t="n"/>
      <c r="AI136" s="3934" t="n"/>
      <c r="AJ136" s="3934" t="n"/>
      <c r="AK136" s="3934" t="n"/>
      <c r="AL136" s="3934" t="n"/>
      <c r="AM136" s="3934" t="n"/>
      <c r="AN136" s="3934" t="n"/>
      <c r="AO136" s="3934" t="n"/>
      <c r="AP136" s="3934" t="n"/>
      <c r="AQ136" s="3934" t="n"/>
      <c r="AR136" s="3934" t="n"/>
    </row>
    <row r="137">
      <c r="A137" s="3944" t="n"/>
      <c r="B137" s="3944" t="n"/>
      <c r="C137" s="3944" t="n"/>
      <c r="D137" s="3944" t="n"/>
      <c r="E137" s="3944" t="n"/>
      <c r="F137" s="3944" t="n"/>
      <c r="G137" s="3944" t="n"/>
      <c r="H137" s="3944" t="n"/>
      <c r="I137" s="3934" t="n"/>
      <c r="J137" s="3934" t="n"/>
      <c r="K137" s="3934" t="n"/>
      <c r="L137" s="3934" t="n"/>
      <c r="M137" s="3934" t="n"/>
      <c r="N137" s="3934" t="n"/>
      <c r="O137" s="3934" t="n"/>
      <c r="P137" s="3934" t="n"/>
      <c r="Q137" s="3934" t="n"/>
      <c r="R137" s="3934" t="n"/>
      <c r="S137" s="3934" t="n"/>
      <c r="T137" s="3934" t="n"/>
      <c r="U137" s="3934" t="n"/>
      <c r="V137" s="3934" t="n"/>
      <c r="W137" s="3934" t="n"/>
      <c r="X137" s="3934" t="n"/>
      <c r="Y137" s="3934" t="n"/>
      <c r="Z137" s="3934" t="n"/>
      <c r="AA137" s="3934" t="n"/>
      <c r="AB137" s="3934" t="n"/>
      <c r="AC137" s="3934" t="n"/>
      <c r="AD137" s="3934" t="n"/>
      <c r="AE137" s="3934" t="n"/>
      <c r="AF137" s="3934" t="n"/>
      <c r="AG137" s="3934" t="n"/>
      <c r="AH137" s="3934" t="n"/>
      <c r="AI137" s="3934" t="n"/>
      <c r="AJ137" s="3934" t="n"/>
      <c r="AK137" s="3934" t="n"/>
      <c r="AL137" s="3934" t="n"/>
      <c r="AM137" s="3934" t="n"/>
      <c r="AN137" s="3934" t="n"/>
      <c r="AO137" s="3934" t="n"/>
      <c r="AP137" s="3934" t="n"/>
      <c r="AQ137" s="3934" t="n"/>
      <c r="AR137" s="3934" t="n"/>
    </row>
    <row r="138">
      <c r="A138" s="3944" t="n"/>
      <c r="B138" s="3944" t="n"/>
      <c r="C138" s="3944" t="n"/>
      <c r="D138" s="3944" t="n"/>
      <c r="E138" s="3944" t="n"/>
      <c r="F138" s="3944" t="n"/>
      <c r="G138" s="3944" t="n"/>
      <c r="H138" s="3944" t="n"/>
      <c r="I138" s="3934" t="n"/>
      <c r="J138" s="3934" t="n"/>
      <c r="K138" s="3934" t="n"/>
      <c r="L138" s="3934" t="n"/>
      <c r="M138" s="3934" t="n"/>
      <c r="N138" s="3934" t="n"/>
      <c r="O138" s="3934" t="n"/>
      <c r="P138" s="3934" t="n"/>
      <c r="Q138" s="3934" t="n"/>
      <c r="R138" s="3934" t="n"/>
      <c r="S138" s="3934" t="n"/>
      <c r="T138" s="3934" t="n"/>
      <c r="U138" s="3934" t="n"/>
      <c r="V138" s="3934" t="n"/>
      <c r="W138" s="3934" t="n"/>
      <c r="X138" s="3934" t="n"/>
      <c r="Y138" s="3934" t="n"/>
      <c r="Z138" s="3934" t="n"/>
      <c r="AA138" s="3934" t="n"/>
      <c r="AB138" s="3934" t="n"/>
      <c r="AC138" s="3934" t="n"/>
      <c r="AD138" s="3934" t="n"/>
      <c r="AE138" s="3934" t="n"/>
      <c r="AF138" s="3934" t="n"/>
      <c r="AG138" s="3934" t="n"/>
      <c r="AH138" s="3934" t="n"/>
      <c r="AI138" s="3934" t="n"/>
      <c r="AJ138" s="3934" t="n"/>
      <c r="AK138" s="3934" t="n"/>
      <c r="AL138" s="3934" t="n"/>
      <c r="AM138" s="3934" t="n"/>
      <c r="AN138" s="3934" t="n"/>
      <c r="AO138" s="3934" t="n"/>
      <c r="AP138" s="3934" t="n"/>
      <c r="AQ138" s="3934" t="n"/>
      <c r="AR138" s="3934" t="n"/>
    </row>
    <row r="139">
      <c r="A139" s="3944" t="n"/>
      <c r="B139" s="3944" t="n"/>
      <c r="C139" s="3944" t="n"/>
      <c r="D139" s="3944" t="n"/>
      <c r="E139" s="3944" t="n"/>
      <c r="F139" s="3944" t="n"/>
      <c r="G139" s="3944" t="n"/>
      <c r="H139" s="3944" t="n"/>
      <c r="I139" s="3934" t="n"/>
      <c r="J139" s="3934" t="n"/>
      <c r="K139" s="3934" t="n"/>
      <c r="L139" s="3934" t="n"/>
      <c r="M139" s="3934" t="n"/>
      <c r="N139" s="3934" t="n"/>
      <c r="O139" s="3934" t="n"/>
      <c r="P139" s="3934" t="n"/>
      <c r="Q139" s="3934" t="n"/>
      <c r="R139" s="3934" t="n"/>
      <c r="S139" s="3934" t="n"/>
      <c r="T139" s="3934" t="n"/>
      <c r="U139" s="3934" t="n"/>
      <c r="V139" s="3934" t="n"/>
      <c r="W139" s="3934" t="n"/>
      <c r="X139" s="3934" t="n"/>
      <c r="Y139" s="3934" t="n"/>
      <c r="Z139" s="3934" t="n"/>
      <c r="AA139" s="3934" t="n"/>
      <c r="AB139" s="3934" t="n"/>
      <c r="AC139" s="3934" t="n"/>
      <c r="AD139" s="3934" t="n"/>
      <c r="AE139" s="3934" t="n"/>
      <c r="AF139" s="3934" t="n"/>
      <c r="AG139" s="3934" t="n"/>
      <c r="AH139" s="3934" t="n"/>
      <c r="AI139" s="3934" t="n"/>
      <c r="AJ139" s="3934" t="n"/>
      <c r="AK139" s="3934" t="n"/>
      <c r="AL139" s="3934" t="n"/>
      <c r="AM139" s="3934" t="n"/>
      <c r="AN139" s="3934" t="n"/>
      <c r="AO139" s="3934" t="n"/>
      <c r="AP139" s="3934" t="n"/>
      <c r="AQ139" s="3934" t="n"/>
      <c r="AR139" s="3934" t="n"/>
    </row>
    <row r="140">
      <c r="A140" s="3944" t="n"/>
      <c r="B140" s="3944" t="n"/>
      <c r="C140" s="3944" t="n"/>
      <c r="D140" s="3944" t="n"/>
      <c r="E140" s="3944" t="n"/>
      <c r="F140" s="3944" t="n"/>
      <c r="G140" s="3944" t="n"/>
      <c r="H140" s="3944" t="n"/>
      <c r="I140" s="3934" t="n"/>
      <c r="J140" s="3934" t="n"/>
      <c r="K140" s="3934" t="n"/>
      <c r="L140" s="3934" t="n"/>
      <c r="M140" s="3934" t="n"/>
      <c r="N140" s="3934" t="n"/>
      <c r="O140" s="3934" t="n"/>
      <c r="P140" s="3934" t="n"/>
      <c r="Q140" s="3934" t="n"/>
      <c r="R140" s="3934" t="n"/>
      <c r="S140" s="3934" t="n"/>
      <c r="T140" s="3934" t="n"/>
      <c r="U140" s="3934" t="n"/>
      <c r="V140" s="3934" t="n"/>
      <c r="W140" s="3934" t="n"/>
      <c r="X140" s="3934" t="n"/>
      <c r="Y140" s="3934" t="n"/>
      <c r="Z140" s="3934" t="n"/>
      <c r="AA140" s="3934" t="n"/>
      <c r="AB140" s="3934" t="n"/>
      <c r="AC140" s="3934" t="n"/>
      <c r="AD140" s="3934" t="n"/>
      <c r="AE140" s="3934" t="n"/>
      <c r="AF140" s="3934" t="n"/>
      <c r="AG140" s="3934" t="n"/>
      <c r="AH140" s="3934" t="n"/>
      <c r="AI140" s="3934" t="n"/>
      <c r="AJ140" s="3934" t="n"/>
      <c r="AK140" s="3934" t="n"/>
      <c r="AL140" s="3934" t="n"/>
      <c r="AM140" s="3934" t="n"/>
      <c r="AN140" s="3934" t="n"/>
      <c r="AO140" s="3934" t="n"/>
      <c r="AP140" s="3934" t="n"/>
      <c r="AQ140" s="3934" t="n"/>
      <c r="AR140" s="3934" t="n"/>
    </row>
    <row r="141">
      <c r="A141" s="3944" t="n"/>
      <c r="B141" s="3944" t="n"/>
      <c r="C141" s="3944" t="n"/>
      <c r="D141" s="3944" t="n"/>
      <c r="E141" s="3944" t="n"/>
      <c r="F141" s="3944" t="n"/>
      <c r="G141" s="3944" t="n"/>
      <c r="H141" s="3944" t="n"/>
      <c r="I141" s="3934" t="n"/>
      <c r="J141" s="3934" t="n"/>
      <c r="K141" s="3934" t="n"/>
      <c r="L141" s="3934" t="n"/>
      <c r="M141" s="3934" t="n"/>
      <c r="N141" s="3934" t="n"/>
      <c r="O141" s="3934" t="n"/>
      <c r="P141" s="3934" t="n"/>
      <c r="Q141" s="3934" t="n"/>
      <c r="R141" s="3934" t="n"/>
      <c r="S141" s="3934" t="n"/>
      <c r="T141" s="3934" t="n"/>
      <c r="U141" s="3934" t="n"/>
      <c r="V141" s="3934" t="n"/>
      <c r="W141" s="3934" t="n"/>
      <c r="X141" s="3934" t="n"/>
      <c r="Y141" s="3934" t="n"/>
      <c r="Z141" s="3934" t="n"/>
      <c r="AA141" s="3934" t="n"/>
      <c r="AB141" s="3934" t="n"/>
      <c r="AC141" s="3934" t="n"/>
      <c r="AD141" s="3934" t="n"/>
      <c r="AE141" s="3934" t="n"/>
      <c r="AF141" s="3934" t="n"/>
      <c r="AG141" s="3934" t="n"/>
      <c r="AH141" s="3934" t="n"/>
      <c r="AI141" s="3934" t="n"/>
      <c r="AJ141" s="3934" t="n"/>
      <c r="AK141" s="3934" t="n"/>
      <c r="AL141" s="3934" t="n"/>
      <c r="AM141" s="3934" t="n"/>
      <c r="AN141" s="3934" t="n"/>
      <c r="AO141" s="3934" t="n"/>
      <c r="AP141" s="3934" t="n"/>
      <c r="AQ141" s="3934" t="n"/>
      <c r="AR141" s="3934" t="n"/>
    </row>
    <row r="142">
      <c r="A142" s="3944" t="n"/>
      <c r="B142" s="3944" t="n"/>
      <c r="C142" s="3944" t="n"/>
      <c r="D142" s="3944" t="n"/>
      <c r="E142" s="3944" t="n"/>
      <c r="F142" s="3944" t="n"/>
      <c r="G142" s="3944" t="n"/>
      <c r="H142" s="3944" t="n"/>
      <c r="I142" s="3934" t="n"/>
      <c r="J142" s="3934" t="n"/>
      <c r="K142" s="3934" t="n"/>
      <c r="L142" s="3934" t="n"/>
      <c r="M142" s="3934" t="n"/>
      <c r="N142" s="3934" t="n"/>
      <c r="O142" s="3934" t="n"/>
      <c r="P142" s="3934" t="n"/>
      <c r="Q142" s="3934" t="n"/>
      <c r="R142" s="3934" t="n"/>
      <c r="S142" s="3934" t="n"/>
      <c r="T142" s="3934" t="n"/>
      <c r="U142" s="3934" t="n"/>
      <c r="V142" s="3934" t="n"/>
      <c r="W142" s="3934" t="n"/>
      <c r="X142" s="3934" t="n"/>
      <c r="Y142" s="3934" t="n"/>
      <c r="Z142" s="3934" t="n"/>
      <c r="AA142" s="3934" t="n"/>
      <c r="AB142" s="3934" t="n"/>
      <c r="AC142" s="3934" t="n"/>
      <c r="AD142" s="3934" t="n"/>
      <c r="AE142" s="3934" t="n"/>
      <c r="AF142" s="3934" t="n"/>
      <c r="AG142" s="3934" t="n"/>
      <c r="AH142" s="3934" t="n"/>
      <c r="AI142" s="3934" t="n"/>
      <c r="AJ142" s="3934" t="n"/>
      <c r="AK142" s="3934" t="n"/>
      <c r="AL142" s="3934" t="n"/>
      <c r="AM142" s="3934" t="n"/>
      <c r="AN142" s="3934" t="n"/>
      <c r="AO142" s="3934" t="n"/>
      <c r="AP142" s="3934" t="n"/>
      <c r="AQ142" s="3934" t="n"/>
      <c r="AR142" s="3934" t="n"/>
    </row>
    <row r="143">
      <c r="A143" s="3944" t="n"/>
      <c r="B143" s="3944" t="n"/>
      <c r="C143" s="3944" t="n"/>
      <c r="D143" s="3944" t="n"/>
      <c r="E143" s="3944" t="n"/>
      <c r="F143" s="3944" t="n"/>
      <c r="G143" s="3944" t="n"/>
      <c r="H143" s="3944" t="n"/>
      <c r="I143" s="3934" t="n"/>
      <c r="J143" s="3934" t="n"/>
      <c r="K143" s="3934" t="n"/>
      <c r="L143" s="3934" t="n"/>
      <c r="M143" s="3934" t="n"/>
      <c r="N143" s="3934" t="n"/>
      <c r="O143" s="3934" t="n"/>
      <c r="P143" s="3934" t="n"/>
      <c r="Q143" s="3934" t="n"/>
      <c r="R143" s="3934" t="n"/>
      <c r="S143" s="3934" t="n"/>
      <c r="T143" s="3934" t="n"/>
      <c r="U143" s="3934" t="n"/>
      <c r="V143" s="3934" t="n"/>
      <c r="W143" s="3934" t="n"/>
      <c r="X143" s="3934" t="n"/>
      <c r="Y143" s="3934" t="n"/>
      <c r="Z143" s="3934" t="n"/>
      <c r="AA143" s="3934" t="n"/>
      <c r="AB143" s="3934" t="n"/>
      <c r="AC143" s="3934" t="n"/>
      <c r="AD143" s="3934" t="n"/>
      <c r="AE143" s="3934" t="n"/>
      <c r="AF143" s="3934" t="n"/>
      <c r="AG143" s="3934" t="n"/>
      <c r="AH143" s="3934" t="n"/>
      <c r="AI143" s="3934" t="n"/>
      <c r="AJ143" s="3934" t="n"/>
      <c r="AK143" s="3934" t="n"/>
      <c r="AL143" s="3934" t="n"/>
      <c r="AM143" s="3934" t="n"/>
      <c r="AN143" s="3934" t="n"/>
      <c r="AO143" s="3934" t="n"/>
      <c r="AP143" s="3934" t="n"/>
      <c r="AQ143" s="3934" t="n"/>
      <c r="AR143" s="3934" t="n"/>
    </row>
    <row r="144">
      <c r="A144" s="3944" t="n"/>
      <c r="B144" s="3944" t="n"/>
      <c r="C144" s="3944" t="n"/>
      <c r="D144" s="3944" t="n"/>
      <c r="E144" s="3944" t="n"/>
      <c r="F144" s="3944" t="n"/>
      <c r="G144" s="3944" t="n"/>
      <c r="H144" s="3944" t="n"/>
      <c r="I144" s="3934" t="n"/>
      <c r="J144" s="3934" t="n"/>
      <c r="K144" s="3934" t="n"/>
      <c r="L144" s="3934" t="n"/>
      <c r="M144" s="3934" t="n"/>
      <c r="N144" s="3934" t="n"/>
      <c r="O144" s="3934" t="n"/>
      <c r="P144" s="3934" t="n"/>
      <c r="Q144" s="3934" t="n"/>
      <c r="R144" s="3934" t="n"/>
      <c r="S144" s="3934" t="n"/>
      <c r="T144" s="3934" t="n"/>
      <c r="U144" s="3934" t="n"/>
      <c r="V144" s="3934" t="n"/>
      <c r="W144" s="3934" t="n"/>
      <c r="X144" s="3934" t="n"/>
      <c r="Y144" s="3934" t="n"/>
      <c r="Z144" s="3934" t="n"/>
      <c r="AA144" s="3934" t="n"/>
      <c r="AB144" s="3934" t="n"/>
      <c r="AC144" s="3934" t="n"/>
      <c r="AD144" s="3934" t="n"/>
      <c r="AE144" s="3934" t="n"/>
      <c r="AF144" s="3934" t="n"/>
      <c r="AG144" s="3934" t="n"/>
      <c r="AH144" s="3934" t="n"/>
      <c r="AI144" s="3934" t="n"/>
      <c r="AJ144" s="3934" t="n"/>
      <c r="AK144" s="3934" t="n"/>
      <c r="AL144" s="3934" t="n"/>
      <c r="AM144" s="3934" t="n"/>
      <c r="AN144" s="3934" t="n"/>
      <c r="AO144" s="3934" t="n"/>
      <c r="AP144" s="3934" t="n"/>
      <c r="AQ144" s="3934" t="n"/>
      <c r="AR144" s="3934" t="n"/>
    </row>
    <row r="145">
      <c r="A145" s="3944" t="n"/>
      <c r="B145" s="3944" t="n"/>
      <c r="C145" s="3944" t="n"/>
      <c r="D145" s="3944" t="n"/>
      <c r="E145" s="3944" t="n"/>
      <c r="F145" s="3944" t="n"/>
      <c r="G145" s="3944" t="n"/>
      <c r="H145" s="3944" t="n"/>
      <c r="I145" s="3934" t="n"/>
      <c r="J145" s="3934" t="n"/>
      <c r="K145" s="3934" t="n"/>
      <c r="L145" s="3934" t="n"/>
      <c r="M145" s="3934" t="n"/>
      <c r="N145" s="3934" t="n"/>
      <c r="O145" s="3934" t="n"/>
      <c r="P145" s="3934" t="n"/>
      <c r="Q145" s="3934" t="n"/>
      <c r="R145" s="3934" t="n"/>
      <c r="S145" s="3934" t="n"/>
      <c r="T145" s="3934" t="n"/>
      <c r="U145" s="3934" t="n"/>
      <c r="V145" s="3934" t="n"/>
      <c r="W145" s="3934" t="n"/>
      <c r="X145" s="3934" t="n"/>
      <c r="Y145" s="3934" t="n"/>
      <c r="Z145" s="3934" t="n"/>
      <c r="AA145" s="3934" t="n"/>
      <c r="AB145" s="3934" t="n"/>
      <c r="AC145" s="3934" t="n"/>
      <c r="AD145" s="3934" t="n"/>
      <c r="AE145" s="3934" t="n"/>
      <c r="AF145" s="3934" t="n"/>
      <c r="AG145" s="3934" t="n"/>
      <c r="AH145" s="3934" t="n"/>
      <c r="AI145" s="3934" t="n"/>
      <c r="AJ145" s="3934" t="n"/>
      <c r="AK145" s="3934" t="n"/>
      <c r="AL145" s="3934" t="n"/>
      <c r="AM145" s="3934" t="n"/>
      <c r="AN145" s="3934" t="n"/>
      <c r="AO145" s="3934" t="n"/>
      <c r="AP145" s="3934" t="n"/>
      <c r="AQ145" s="3934" t="n"/>
      <c r="AR145" s="3934" t="n"/>
    </row>
    <row r="146">
      <c r="A146" s="3944" t="n"/>
      <c r="B146" s="3944" t="n"/>
      <c r="C146" s="3944" t="n"/>
      <c r="D146" s="3944" t="n"/>
      <c r="E146" s="3944" t="n"/>
      <c r="F146" s="3944" t="n"/>
      <c r="G146" s="3944" t="n"/>
      <c r="H146" s="3944" t="n"/>
      <c r="I146" s="3934" t="n"/>
      <c r="J146" s="3934" t="n"/>
      <c r="K146" s="3934" t="n"/>
      <c r="L146" s="3934" t="n"/>
      <c r="M146" s="3934" t="n"/>
      <c r="N146" s="3934" t="n"/>
      <c r="O146" s="3934" t="n"/>
      <c r="P146" s="3934" t="n"/>
      <c r="Q146" s="3934" t="n"/>
      <c r="R146" s="3934" t="n"/>
      <c r="S146" s="3934" t="n"/>
      <c r="T146" s="3934" t="n"/>
      <c r="U146" s="3934" t="n"/>
      <c r="V146" s="3934" t="n"/>
      <c r="W146" s="3934" t="n"/>
      <c r="X146" s="3934" t="n"/>
      <c r="Y146" s="3934" t="n"/>
      <c r="Z146" s="3934" t="n"/>
      <c r="AA146" s="3934" t="n"/>
      <c r="AB146" s="3934" t="n"/>
      <c r="AC146" s="3934" t="n"/>
      <c r="AD146" s="3934" t="n"/>
      <c r="AE146" s="3934" t="n"/>
      <c r="AF146" s="3934" t="n"/>
      <c r="AG146" s="3934" t="n"/>
      <c r="AH146" s="3934" t="n"/>
      <c r="AI146" s="3934" t="n"/>
      <c r="AJ146" s="3934" t="n"/>
      <c r="AK146" s="3934" t="n"/>
      <c r="AL146" s="3934" t="n"/>
      <c r="AM146" s="3934" t="n"/>
      <c r="AN146" s="3934" t="n"/>
      <c r="AO146" s="3934" t="n"/>
      <c r="AP146" s="3934" t="n"/>
      <c r="AQ146" s="3934" t="n"/>
      <c r="AR146" s="3934" t="n"/>
    </row>
    <row r="147">
      <c r="A147" s="3944" t="n"/>
      <c r="B147" s="3944" t="n"/>
      <c r="C147" s="3944" t="n"/>
      <c r="D147" s="3944" t="n"/>
      <c r="E147" s="3944" t="n"/>
      <c r="F147" s="3944" t="n"/>
      <c r="G147" s="3944" t="n"/>
      <c r="H147" s="3944" t="n"/>
      <c r="I147" s="3934" t="n"/>
      <c r="J147" s="3934" t="n"/>
      <c r="K147" s="3934" t="n"/>
      <c r="L147" s="3934" t="n"/>
      <c r="M147" s="3934" t="n"/>
      <c r="N147" s="3934" t="n"/>
      <c r="O147" s="3934" t="n"/>
      <c r="P147" s="3934" t="n"/>
      <c r="Q147" s="3934" t="n"/>
      <c r="R147" s="3934" t="n"/>
      <c r="S147" s="3934" t="n"/>
      <c r="T147" s="3934" t="n"/>
      <c r="U147" s="3934" t="n"/>
      <c r="V147" s="3934" t="n"/>
      <c r="W147" s="3934" t="n"/>
      <c r="X147" s="3934" t="n"/>
      <c r="Y147" s="3934" t="n"/>
      <c r="Z147" s="3934" t="n"/>
      <c r="AA147" s="3934" t="n"/>
      <c r="AB147" s="3934" t="n"/>
      <c r="AC147" s="3934" t="n"/>
      <c r="AD147" s="3934" t="n"/>
      <c r="AE147" s="3934" t="n"/>
      <c r="AF147" s="3934" t="n"/>
      <c r="AG147" s="3934" t="n"/>
      <c r="AH147" s="3934" t="n"/>
      <c r="AI147" s="3934" t="n"/>
      <c r="AJ147" s="3934" t="n"/>
      <c r="AK147" s="3934" t="n"/>
      <c r="AL147" s="3934" t="n"/>
      <c r="AM147" s="3934" t="n"/>
      <c r="AN147" s="3934" t="n"/>
      <c r="AO147" s="3934" t="n"/>
      <c r="AP147" s="3934" t="n"/>
      <c r="AQ147" s="3934" t="n"/>
      <c r="AR147" s="3934" t="n"/>
    </row>
    <row r="148">
      <c r="A148" s="3944" t="n"/>
      <c r="B148" s="3944" t="n"/>
      <c r="C148" s="3944" t="n"/>
      <c r="D148" s="3944" t="n"/>
      <c r="E148" s="3944" t="n"/>
      <c r="F148" s="3944" t="n"/>
      <c r="G148" s="3944" t="n"/>
      <c r="H148" s="3944" t="n"/>
      <c r="I148" s="3934" t="n"/>
      <c r="J148" s="3934" t="n"/>
      <c r="K148" s="3934" t="n"/>
      <c r="L148" s="3934" t="n"/>
      <c r="M148" s="3934" t="n"/>
      <c r="N148" s="3934" t="n"/>
      <c r="O148" s="3934" t="n"/>
      <c r="P148" s="3934" t="n"/>
      <c r="Q148" s="3934" t="n"/>
      <c r="R148" s="3934" t="n"/>
      <c r="S148" s="3934" t="n"/>
      <c r="T148" s="3934" t="n"/>
      <c r="U148" s="3934" t="n"/>
      <c r="V148" s="3934" t="n"/>
      <c r="W148" s="3934" t="n"/>
      <c r="X148" s="3934" t="n"/>
      <c r="Y148" s="3934" t="n"/>
      <c r="Z148" s="3934" t="n"/>
      <c r="AA148" s="3934" t="n"/>
      <c r="AB148" s="3934" t="n"/>
      <c r="AC148" s="3934" t="n"/>
      <c r="AD148" s="3934" t="n"/>
      <c r="AE148" s="3934" t="n"/>
      <c r="AF148" s="3934" t="n"/>
      <c r="AG148" s="3934" t="n"/>
      <c r="AH148" s="3934" t="n"/>
      <c r="AI148" s="3934" t="n"/>
      <c r="AJ148" s="3934" t="n"/>
      <c r="AK148" s="3934" t="n"/>
      <c r="AL148" s="3934" t="n"/>
      <c r="AM148" s="3934" t="n"/>
      <c r="AN148" s="3934" t="n"/>
      <c r="AO148" s="3934" t="n"/>
      <c r="AP148" s="3934" t="n"/>
      <c r="AQ148" s="3934" t="n"/>
      <c r="AR148" s="3934" t="n"/>
    </row>
    <row r="149">
      <c r="A149" s="3944" t="n"/>
      <c r="B149" s="3944" t="n"/>
      <c r="C149" s="3944" t="n"/>
      <c r="D149" s="3944" t="n"/>
      <c r="E149" s="3944" t="n"/>
      <c r="F149" s="3944" t="n"/>
      <c r="G149" s="3944" t="n"/>
      <c r="H149" s="3944" t="n"/>
      <c r="I149" s="3934" t="n"/>
      <c r="J149" s="3934" t="n"/>
      <c r="K149" s="3934" t="n"/>
      <c r="L149" s="3934" t="n"/>
      <c r="M149" s="3934" t="n"/>
      <c r="N149" s="3934" t="n"/>
      <c r="O149" s="3934" t="n"/>
      <c r="P149" s="3934" t="n"/>
      <c r="Q149" s="3934" t="n"/>
      <c r="R149" s="3934" t="n"/>
      <c r="S149" s="3934" t="n"/>
      <c r="T149" s="3934" t="n"/>
      <c r="U149" s="3934" t="n"/>
      <c r="V149" s="3934" t="n"/>
      <c r="W149" s="3934" t="n"/>
      <c r="X149" s="3934" t="n"/>
      <c r="Y149" s="3934" t="n"/>
      <c r="Z149" s="3934" t="n"/>
      <c r="AA149" s="3934" t="n"/>
      <c r="AB149" s="3934" t="n"/>
      <c r="AC149" s="3934" t="n"/>
      <c r="AD149" s="3934" t="n"/>
      <c r="AE149" s="3934" t="n"/>
      <c r="AF149" s="3934" t="n"/>
      <c r="AG149" s="3934" t="n"/>
      <c r="AH149" s="3934" t="n"/>
      <c r="AI149" s="3934" t="n"/>
      <c r="AJ149" s="3934" t="n"/>
      <c r="AK149" s="3934" t="n"/>
      <c r="AL149" s="3934" t="n"/>
      <c r="AM149" s="3934" t="n"/>
      <c r="AN149" s="3934" t="n"/>
      <c r="AO149" s="3934" t="n"/>
      <c r="AP149" s="3934" t="n"/>
      <c r="AQ149" s="3934" t="n"/>
      <c r="AR149" s="3934" t="n"/>
    </row>
    <row r="150">
      <c r="A150" s="3944" t="n"/>
      <c r="B150" s="3944" t="n"/>
      <c r="C150" s="3944" t="n"/>
      <c r="D150" s="3944" t="n"/>
      <c r="E150" s="3944" t="n"/>
      <c r="F150" s="3944" t="n"/>
      <c r="G150" s="3944" t="n"/>
      <c r="H150" s="3944" t="n"/>
      <c r="I150" s="3934" t="n"/>
      <c r="J150" s="3934" t="n"/>
      <c r="K150" s="3934" t="n"/>
      <c r="L150" s="3934" t="n"/>
      <c r="M150" s="3934" t="n"/>
      <c r="N150" s="3934" t="n"/>
      <c r="O150" s="3934" t="n"/>
      <c r="P150" s="3934" t="n"/>
      <c r="Q150" s="3934" t="n"/>
      <c r="R150" s="3934" t="n"/>
      <c r="S150" s="3934" t="n"/>
      <c r="T150" s="3934" t="n"/>
      <c r="U150" s="3934" t="n"/>
      <c r="V150" s="3934" t="n"/>
      <c r="W150" s="3934" t="n"/>
      <c r="X150" s="3934" t="n"/>
      <c r="Y150" s="3934" t="n"/>
      <c r="Z150" s="3934" t="n"/>
      <c r="AA150" s="3934" t="n"/>
      <c r="AB150" s="3934" t="n"/>
      <c r="AC150" s="3934" t="n"/>
      <c r="AD150" s="3934" t="n"/>
      <c r="AE150" s="3934" t="n"/>
      <c r="AF150" s="3934" t="n"/>
      <c r="AG150" s="3934" t="n"/>
      <c r="AH150" s="3934" t="n"/>
      <c r="AI150" s="3934" t="n"/>
      <c r="AJ150" s="3934" t="n"/>
      <c r="AK150" s="3934" t="n"/>
      <c r="AL150" s="3934" t="n"/>
      <c r="AM150" s="3934" t="n"/>
      <c r="AN150" s="3934" t="n"/>
      <c r="AO150" s="3934" t="n"/>
      <c r="AP150" s="3934" t="n"/>
      <c r="AQ150" s="3934" t="n"/>
      <c r="AR150" s="3934" t="n"/>
    </row>
    <row r="151">
      <c r="A151" s="3944" t="n"/>
      <c r="B151" s="3944" t="n"/>
      <c r="C151" s="3944" t="n"/>
      <c r="D151" s="3944" t="n"/>
      <c r="E151" s="3944" t="n"/>
      <c r="F151" s="3944" t="n"/>
      <c r="G151" s="3944" t="n"/>
      <c r="H151" s="3944" t="n"/>
      <c r="I151" s="3934" t="n"/>
      <c r="J151" s="3934" t="n"/>
      <c r="K151" s="3934" t="n"/>
      <c r="L151" s="3934" t="n"/>
      <c r="M151" s="3934" t="n"/>
      <c r="N151" s="3934" t="n"/>
      <c r="O151" s="3934" t="n"/>
      <c r="P151" s="3934" t="n"/>
      <c r="Q151" s="3934" t="n"/>
      <c r="R151" s="3934" t="n"/>
      <c r="S151" s="3934" t="n"/>
      <c r="T151" s="3934" t="n"/>
      <c r="U151" s="3934" t="n"/>
      <c r="V151" s="3934" t="n"/>
      <c r="W151" s="3934" t="n"/>
      <c r="X151" s="3934" t="n"/>
      <c r="Y151" s="3934" t="n"/>
      <c r="Z151" s="3934" t="n"/>
      <c r="AA151" s="3934" t="n"/>
      <c r="AB151" s="3934" t="n"/>
      <c r="AC151" s="3934" t="n"/>
      <c r="AD151" s="3934" t="n"/>
      <c r="AE151" s="3934" t="n"/>
      <c r="AF151" s="3934" t="n"/>
      <c r="AG151" s="3934" t="n"/>
      <c r="AH151" s="3934" t="n"/>
      <c r="AI151" s="3934" t="n"/>
      <c r="AJ151" s="3934" t="n"/>
      <c r="AK151" s="3934" t="n"/>
      <c r="AL151" s="3934" t="n"/>
      <c r="AM151" s="3934" t="n"/>
      <c r="AN151" s="3934" t="n"/>
      <c r="AO151" s="3934" t="n"/>
      <c r="AP151" s="3934" t="n"/>
      <c r="AQ151" s="3934" t="n"/>
      <c r="AR151" s="3934" t="n"/>
    </row>
    <row r="152">
      <c r="A152" s="3944" t="n"/>
      <c r="B152" s="3944" t="n"/>
      <c r="C152" s="3944" t="n"/>
      <c r="D152" s="3944" t="n"/>
      <c r="E152" s="3944" t="n"/>
      <c r="F152" s="3944" t="n"/>
      <c r="G152" s="3944" t="n"/>
      <c r="H152" s="3944" t="n"/>
      <c r="I152" s="3934" t="n"/>
      <c r="J152" s="3934" t="n"/>
      <c r="K152" s="3934" t="n"/>
      <c r="L152" s="3934" t="n"/>
      <c r="M152" s="3934" t="n"/>
      <c r="N152" s="3934" t="n"/>
      <c r="O152" s="3934" t="n"/>
      <c r="P152" s="3934" t="n"/>
      <c r="Q152" s="3934" t="n"/>
      <c r="R152" s="3934" t="n"/>
      <c r="S152" s="3934" t="n"/>
      <c r="T152" s="3934" t="n"/>
      <c r="U152" s="3934" t="n"/>
      <c r="V152" s="3934" t="n"/>
      <c r="W152" s="3934" t="n"/>
      <c r="X152" s="3934" t="n"/>
      <c r="Y152" s="3934" t="n"/>
      <c r="Z152" s="3934" t="n"/>
      <c r="AA152" s="3934" t="n"/>
      <c r="AB152" s="3934" t="n"/>
      <c r="AC152" s="3934" t="n"/>
      <c r="AD152" s="3934" t="n"/>
      <c r="AE152" s="3934" t="n"/>
      <c r="AF152" s="3934" t="n"/>
      <c r="AG152" s="3934" t="n"/>
      <c r="AH152" s="3934" t="n"/>
      <c r="AI152" s="3934" t="n"/>
      <c r="AJ152" s="3934" t="n"/>
      <c r="AK152" s="3934" t="n"/>
      <c r="AL152" s="3934" t="n"/>
      <c r="AM152" s="3934" t="n"/>
      <c r="AN152" s="3934" t="n"/>
      <c r="AO152" s="3934" t="n"/>
      <c r="AP152" s="3934" t="n"/>
      <c r="AQ152" s="3934" t="n"/>
      <c r="AR152" s="3934" t="n"/>
    </row>
    <row r="153">
      <c r="A153" s="3944" t="n"/>
      <c r="B153" s="3944" t="n"/>
      <c r="C153" s="3944" t="n"/>
      <c r="D153" s="3944" t="n"/>
      <c r="E153" s="3944" t="n"/>
      <c r="F153" s="3944" t="n"/>
      <c r="G153" s="3944" t="n"/>
      <c r="H153" s="3944" t="n"/>
      <c r="I153" s="3934" t="n"/>
      <c r="J153" s="3934" t="n"/>
      <c r="K153" s="3934" t="n"/>
      <c r="L153" s="3934" t="n"/>
      <c r="M153" s="3934" t="n"/>
      <c r="N153" s="3934" t="n"/>
      <c r="O153" s="3934" t="n"/>
      <c r="P153" s="3934" t="n"/>
      <c r="Q153" s="3934" t="n"/>
      <c r="R153" s="3934" t="n"/>
      <c r="S153" s="3934" t="n"/>
      <c r="T153" s="3934" t="n"/>
      <c r="U153" s="3934" t="n"/>
      <c r="V153" s="3934" t="n"/>
      <c r="W153" s="3934" t="n"/>
      <c r="X153" s="3934" t="n"/>
      <c r="Y153" s="3934" t="n"/>
      <c r="Z153" s="3934" t="n"/>
      <c r="AA153" s="3934" t="n"/>
      <c r="AB153" s="3934" t="n"/>
      <c r="AC153" s="3934" t="n"/>
      <c r="AD153" s="3934" t="n"/>
      <c r="AE153" s="3934" t="n"/>
      <c r="AF153" s="3934" t="n"/>
      <c r="AG153" s="3934" t="n"/>
      <c r="AH153" s="3934" t="n"/>
      <c r="AI153" s="3934" t="n"/>
      <c r="AJ153" s="3934" t="n"/>
      <c r="AK153" s="3934" t="n"/>
      <c r="AL153" s="3934" t="n"/>
      <c r="AM153" s="3934" t="n"/>
      <c r="AN153" s="3934" t="n"/>
      <c r="AO153" s="3934" t="n"/>
      <c r="AP153" s="3934" t="n"/>
      <c r="AQ153" s="3934" t="n"/>
      <c r="AR153" s="3934" t="n"/>
    </row>
    <row r="154">
      <c r="A154" s="3944" t="n"/>
      <c r="B154" s="3944" t="n"/>
      <c r="C154" s="3944" t="n"/>
      <c r="D154" s="3944" t="n"/>
      <c r="E154" s="3944" t="n"/>
      <c r="F154" s="3944" t="n"/>
      <c r="G154" s="3944" t="n"/>
      <c r="H154" s="3944" t="n"/>
      <c r="I154" s="3934" t="n"/>
      <c r="J154" s="3934" t="n"/>
      <c r="K154" s="3934" t="n"/>
      <c r="L154" s="3934" t="n"/>
      <c r="M154" s="3934" t="n"/>
      <c r="N154" s="3934" t="n"/>
      <c r="O154" s="3934" t="n"/>
      <c r="P154" s="3934" t="n"/>
      <c r="Q154" s="3934" t="n"/>
      <c r="R154" s="3934" t="n"/>
      <c r="S154" s="3934" t="n"/>
      <c r="T154" s="3934" t="n"/>
      <c r="U154" s="3934" t="n"/>
      <c r="V154" s="3934" t="n"/>
      <c r="W154" s="3934" t="n"/>
      <c r="X154" s="3934" t="n"/>
      <c r="Y154" s="3934" t="n"/>
      <c r="Z154" s="3934" t="n"/>
      <c r="AA154" s="3934" t="n"/>
      <c r="AB154" s="3934" t="n"/>
      <c r="AC154" s="3934" t="n"/>
      <c r="AD154" s="3934" t="n"/>
      <c r="AE154" s="3934" t="n"/>
      <c r="AF154" s="3934" t="n"/>
      <c r="AG154" s="3934" t="n"/>
      <c r="AH154" s="3934" t="n"/>
      <c r="AI154" s="3934" t="n"/>
      <c r="AJ154" s="3934" t="n"/>
      <c r="AK154" s="3934" t="n"/>
      <c r="AL154" s="3934" t="n"/>
      <c r="AM154" s="3934" t="n"/>
      <c r="AN154" s="3934" t="n"/>
      <c r="AO154" s="3934" t="n"/>
      <c r="AP154" s="3934" t="n"/>
      <c r="AQ154" s="3934" t="n"/>
      <c r="AR154" s="3934" t="n"/>
    </row>
    <row r="155">
      <c r="A155" s="3944" t="n"/>
      <c r="B155" s="3944" t="n"/>
      <c r="C155" s="3944" t="n"/>
      <c r="D155" s="3944" t="n"/>
      <c r="E155" s="3944" t="n"/>
      <c r="F155" s="3944" t="n"/>
      <c r="G155" s="3944" t="n"/>
      <c r="H155" s="3944" t="n"/>
      <c r="I155" s="3934" t="n"/>
      <c r="J155" s="3934" t="n"/>
      <c r="K155" s="3934" t="n"/>
      <c r="L155" s="3934" t="n"/>
      <c r="M155" s="3934" t="n"/>
      <c r="N155" s="3934" t="n"/>
      <c r="O155" s="3934" t="n"/>
      <c r="P155" s="3934" t="n"/>
      <c r="Q155" s="3934" t="n"/>
      <c r="R155" s="3934" t="n"/>
      <c r="S155" s="3934" t="n"/>
      <c r="T155" s="3934" t="n"/>
      <c r="U155" s="3934" t="n"/>
      <c r="V155" s="3934" t="n"/>
      <c r="W155" s="3934" t="n"/>
      <c r="X155" s="3934" t="n"/>
      <c r="Y155" s="3934" t="n"/>
      <c r="Z155" s="3934" t="n"/>
      <c r="AA155" s="3934" t="n"/>
      <c r="AB155" s="3934" t="n"/>
      <c r="AC155" s="3934" t="n"/>
      <c r="AD155" s="3934" t="n"/>
      <c r="AE155" s="3934" t="n"/>
      <c r="AF155" s="3934" t="n"/>
      <c r="AG155" s="3934" t="n"/>
      <c r="AH155" s="3934" t="n"/>
      <c r="AI155" s="3934" t="n"/>
      <c r="AJ155" s="3934" t="n"/>
      <c r="AK155" s="3934" t="n"/>
      <c r="AL155" s="3934" t="n"/>
      <c r="AM155" s="3934" t="n"/>
      <c r="AN155" s="3934" t="n"/>
      <c r="AO155" s="3934" t="n"/>
      <c r="AP155" s="3934" t="n"/>
      <c r="AQ155" s="3934" t="n"/>
      <c r="AR155" s="3934" t="n"/>
    </row>
    <row r="156">
      <c r="A156" s="3944" t="n"/>
      <c r="B156" s="3944" t="n"/>
      <c r="C156" s="3944" t="n"/>
      <c r="D156" s="3944" t="n"/>
      <c r="E156" s="3944" t="n"/>
      <c r="F156" s="3944" t="n"/>
      <c r="G156" s="3944" t="n"/>
      <c r="H156" s="3944" t="n"/>
      <c r="I156" s="3934" t="n"/>
      <c r="J156" s="3934" t="n"/>
      <c r="K156" s="3934" t="n"/>
      <c r="L156" s="3934" t="n"/>
      <c r="M156" s="3934" t="n"/>
      <c r="N156" s="3934" t="n"/>
      <c r="O156" s="3934" t="n"/>
      <c r="P156" s="3934" t="n"/>
      <c r="Q156" s="3934" t="n"/>
      <c r="R156" s="3934" t="n"/>
      <c r="S156" s="3934" t="n"/>
      <c r="T156" s="3934" t="n"/>
      <c r="U156" s="3934" t="n"/>
      <c r="V156" s="3934" t="n"/>
      <c r="W156" s="3934" t="n"/>
      <c r="X156" s="3934" t="n"/>
      <c r="Y156" s="3934" t="n"/>
      <c r="Z156" s="3934" t="n"/>
      <c r="AA156" s="3934" t="n"/>
      <c r="AB156" s="3934" t="n"/>
      <c r="AC156" s="3934" t="n"/>
      <c r="AD156" s="3934" t="n"/>
      <c r="AE156" s="3934" t="n"/>
      <c r="AF156" s="3934" t="n"/>
      <c r="AG156" s="3934" t="n"/>
      <c r="AH156" s="3934" t="n"/>
      <c r="AI156" s="3934" t="n"/>
      <c r="AJ156" s="3934" t="n"/>
      <c r="AK156" s="3934" t="n"/>
      <c r="AL156" s="3934" t="n"/>
      <c r="AM156" s="3934" t="n"/>
      <c r="AN156" s="3934" t="n"/>
      <c r="AO156" s="3934" t="n"/>
      <c r="AP156" s="3934" t="n"/>
      <c r="AQ156" s="3934" t="n"/>
      <c r="AR156" s="3934" t="n"/>
    </row>
    <row r="157">
      <c r="A157" s="3944" t="n"/>
      <c r="B157" s="3944" t="n"/>
      <c r="C157" s="3944" t="n"/>
      <c r="D157" s="3944" t="n"/>
      <c r="E157" s="3944" t="n"/>
      <c r="F157" s="3944" t="n"/>
      <c r="G157" s="3944" t="n"/>
      <c r="H157" s="3944" t="n"/>
      <c r="I157" s="3934" t="n"/>
      <c r="J157" s="3934" t="n"/>
      <c r="K157" s="3934" t="n"/>
      <c r="L157" s="3934" t="n"/>
      <c r="M157" s="3934" t="n"/>
      <c r="N157" s="3934" t="n"/>
      <c r="O157" s="3934" t="n"/>
      <c r="P157" s="3934" t="n"/>
      <c r="Q157" s="3934" t="n"/>
      <c r="R157" s="3934" t="n"/>
      <c r="S157" s="3934" t="n"/>
      <c r="T157" s="3934" t="n"/>
      <c r="U157" s="3934" t="n"/>
      <c r="V157" s="3934" t="n"/>
      <c r="W157" s="3934" t="n"/>
      <c r="X157" s="3934" t="n"/>
      <c r="Y157" s="3934" t="n"/>
      <c r="Z157" s="3934" t="n"/>
      <c r="AA157" s="3934" t="n"/>
      <c r="AB157" s="3934" t="n"/>
      <c r="AC157" s="3934" t="n"/>
      <c r="AD157" s="3934" t="n"/>
      <c r="AE157" s="3934" t="n"/>
      <c r="AF157" s="3934" t="n"/>
      <c r="AG157" s="3934" t="n"/>
      <c r="AH157" s="3934" t="n"/>
      <c r="AI157" s="3934" t="n"/>
      <c r="AJ157" s="3934" t="n"/>
      <c r="AK157" s="3934" t="n"/>
      <c r="AL157" s="3934" t="n"/>
      <c r="AM157" s="3934" t="n"/>
      <c r="AN157" s="3934" t="n"/>
      <c r="AO157" s="3934" t="n"/>
      <c r="AP157" s="3934" t="n"/>
      <c r="AQ157" s="3934" t="n"/>
      <c r="AR157" s="3934" t="n"/>
    </row>
    <row r="158">
      <c r="A158" s="3944" t="n"/>
      <c r="B158" s="3944" t="n"/>
      <c r="C158" s="3944" t="n"/>
      <c r="D158" s="3944" t="n"/>
      <c r="E158" s="3944" t="n"/>
      <c r="F158" s="3944" t="n"/>
      <c r="G158" s="3944" t="n"/>
      <c r="H158" s="3944" t="n"/>
      <c r="I158" s="3934" t="n"/>
      <c r="J158" s="3934" t="n"/>
      <c r="K158" s="3934" t="n"/>
      <c r="L158" s="3934" t="n"/>
      <c r="M158" s="3934" t="n"/>
      <c r="N158" s="3934" t="n"/>
      <c r="O158" s="3934" t="n"/>
      <c r="P158" s="3934" t="n"/>
      <c r="Q158" s="3934" t="n"/>
      <c r="R158" s="3934" t="n"/>
      <c r="S158" s="3934" t="n"/>
      <c r="T158" s="3934" t="n"/>
      <c r="U158" s="3934" t="n"/>
      <c r="V158" s="3934" t="n"/>
      <c r="W158" s="3934" t="n"/>
      <c r="X158" s="3934" t="n"/>
      <c r="Y158" s="3934" t="n"/>
      <c r="Z158" s="3934" t="n"/>
      <c r="AA158" s="3934" t="n"/>
      <c r="AB158" s="3934" t="n"/>
      <c r="AC158" s="3934" t="n"/>
      <c r="AD158" s="3934" t="n"/>
      <c r="AE158" s="3934" t="n"/>
      <c r="AF158" s="3934" t="n"/>
      <c r="AG158" s="3934" t="n"/>
      <c r="AH158" s="3934" t="n"/>
      <c r="AI158" s="3934" t="n"/>
      <c r="AJ158" s="3934" t="n"/>
      <c r="AK158" s="3934" t="n"/>
      <c r="AL158" s="3934" t="n"/>
      <c r="AM158" s="3934" t="n"/>
      <c r="AN158" s="3934" t="n"/>
      <c r="AO158" s="3934" t="n"/>
      <c r="AP158" s="3934" t="n"/>
      <c r="AQ158" s="3934" t="n"/>
      <c r="AR158" s="3934" t="n"/>
    </row>
    <row r="159">
      <c r="A159" s="3944" t="n"/>
      <c r="B159" s="3944" t="n"/>
      <c r="C159" s="3944" t="n"/>
      <c r="D159" s="3944" t="n"/>
      <c r="E159" s="3944" t="n"/>
      <c r="F159" s="3944" t="n"/>
      <c r="G159" s="3944" t="n"/>
      <c r="H159" s="3944" t="n"/>
      <c r="I159" s="3934" t="n"/>
      <c r="J159" s="3934" t="n"/>
      <c r="K159" s="3934" t="n"/>
      <c r="L159" s="3934" t="n"/>
      <c r="M159" s="3934" t="n"/>
      <c r="N159" s="3934" t="n"/>
      <c r="O159" s="3934" t="n"/>
      <c r="P159" s="3934" t="n"/>
      <c r="Q159" s="3934" t="n"/>
      <c r="R159" s="3934" t="n"/>
      <c r="S159" s="3934" t="n"/>
      <c r="T159" s="3934" t="n"/>
      <c r="U159" s="3934" t="n"/>
      <c r="V159" s="3934" t="n"/>
      <c r="W159" s="3934" t="n"/>
      <c r="X159" s="3934" t="n"/>
      <c r="Y159" s="3934" t="n"/>
      <c r="Z159" s="3934" t="n"/>
      <c r="AA159" s="3934" t="n"/>
      <c r="AB159" s="3934" t="n"/>
      <c r="AC159" s="3934" t="n"/>
      <c r="AD159" s="3934" t="n"/>
      <c r="AE159" s="3934" t="n"/>
      <c r="AF159" s="3934" t="n"/>
      <c r="AG159" s="3934" t="n"/>
      <c r="AH159" s="3934" t="n"/>
      <c r="AI159" s="3934" t="n"/>
      <c r="AJ159" s="3934" t="n"/>
      <c r="AK159" s="3934" t="n"/>
      <c r="AL159" s="3934" t="n"/>
      <c r="AM159" s="3934" t="n"/>
      <c r="AN159" s="3934" t="n"/>
      <c r="AO159" s="3934" t="n"/>
      <c r="AP159" s="3934" t="n"/>
      <c r="AQ159" s="3934" t="n"/>
      <c r="AR159" s="3934" t="n"/>
    </row>
    <row r="160">
      <c r="A160" s="3944" t="n"/>
      <c r="B160" s="3944" t="n"/>
      <c r="C160" s="3944" t="n"/>
      <c r="D160" s="3944" t="n"/>
      <c r="E160" s="3944" t="n"/>
      <c r="F160" s="3944" t="n"/>
      <c r="G160" s="3944" t="n"/>
      <c r="H160" s="3944" t="n"/>
      <c r="I160" s="3934" t="n"/>
      <c r="J160" s="3934" t="n"/>
      <c r="K160" s="3934" t="n"/>
      <c r="L160" s="3934" t="n"/>
      <c r="M160" s="3934" t="n"/>
      <c r="N160" s="3934" t="n"/>
      <c r="O160" s="3934" t="n"/>
      <c r="P160" s="3934" t="n"/>
      <c r="Q160" s="3934" t="n"/>
      <c r="R160" s="3934" t="n"/>
      <c r="S160" s="3934" t="n"/>
      <c r="T160" s="3934" t="n"/>
      <c r="U160" s="3934" t="n"/>
      <c r="V160" s="3934" t="n"/>
      <c r="W160" s="3934" t="n"/>
      <c r="X160" s="3934" t="n"/>
      <c r="Y160" s="3934" t="n"/>
      <c r="Z160" s="3934" t="n"/>
      <c r="AA160" s="3934" t="n"/>
      <c r="AB160" s="3934" t="n"/>
      <c r="AC160" s="3934" t="n"/>
      <c r="AD160" s="3934" t="n"/>
      <c r="AE160" s="3934" t="n"/>
      <c r="AF160" s="3934" t="n"/>
      <c r="AG160" s="3934" t="n"/>
      <c r="AH160" s="3934" t="n"/>
      <c r="AI160" s="3934" t="n"/>
      <c r="AJ160" s="3934" t="n"/>
      <c r="AK160" s="3934" t="n"/>
      <c r="AL160" s="3934" t="n"/>
      <c r="AM160" s="3934" t="n"/>
      <c r="AN160" s="3934" t="n"/>
      <c r="AO160" s="3934" t="n"/>
      <c r="AP160" s="3934" t="n"/>
      <c r="AQ160" s="3934" t="n"/>
      <c r="AR160" s="3934" t="n"/>
    </row>
    <row r="161">
      <c r="A161" s="3944" t="n"/>
      <c r="B161" s="3944" t="n"/>
      <c r="C161" s="3944" t="n"/>
      <c r="D161" s="3944" t="n"/>
      <c r="E161" s="3944" t="n"/>
      <c r="F161" s="3944" t="n"/>
      <c r="G161" s="3944" t="n"/>
      <c r="H161" s="3944" t="n"/>
      <c r="I161" s="3934" t="n"/>
      <c r="J161" s="3934" t="n"/>
      <c r="K161" s="3934" t="n"/>
      <c r="L161" s="3934" t="n"/>
      <c r="M161" s="3934" t="n"/>
      <c r="N161" s="3934" t="n"/>
      <c r="O161" s="3934" t="n"/>
      <c r="P161" s="3934" t="n"/>
      <c r="Q161" s="3934" t="n"/>
      <c r="R161" s="3934" t="n"/>
      <c r="S161" s="3934" t="n"/>
      <c r="T161" s="3934" t="n"/>
      <c r="U161" s="3934" t="n"/>
      <c r="V161" s="3934" t="n"/>
      <c r="W161" s="3934" t="n"/>
      <c r="X161" s="3934" t="n"/>
      <c r="Y161" s="3934" t="n"/>
      <c r="Z161" s="3934" t="n"/>
      <c r="AA161" s="3934" t="n"/>
      <c r="AB161" s="3934" t="n"/>
      <c r="AC161" s="3934" t="n"/>
      <c r="AD161" s="3934" t="n"/>
      <c r="AE161" s="3934" t="n"/>
      <c r="AF161" s="3934" t="n"/>
      <c r="AG161" s="3934" t="n"/>
      <c r="AH161" s="3934" t="n"/>
      <c r="AI161" s="3934" t="n"/>
      <c r="AJ161" s="3934" t="n"/>
      <c r="AK161" s="3934" t="n"/>
      <c r="AL161" s="3934" t="n"/>
      <c r="AM161" s="3934" t="n"/>
      <c r="AN161" s="3934" t="n"/>
      <c r="AO161" s="3934" t="n"/>
      <c r="AP161" s="3934" t="n"/>
      <c r="AQ161" s="3934" t="n"/>
      <c r="AR161" s="3934" t="n"/>
    </row>
    <row r="162">
      <c r="A162" s="3944" t="n"/>
      <c r="B162" s="3944" t="n"/>
      <c r="C162" s="3944" t="n"/>
      <c r="D162" s="3944" t="n"/>
      <c r="E162" s="3944" t="n"/>
      <c r="F162" s="3944" t="n"/>
      <c r="G162" s="3944" t="n"/>
      <c r="H162" s="3944" t="n"/>
      <c r="I162" s="3934" t="n"/>
      <c r="J162" s="3934" t="n"/>
      <c r="K162" s="3934" t="n"/>
      <c r="L162" s="3934" t="n"/>
      <c r="M162" s="3934" t="n"/>
      <c r="N162" s="3934" t="n"/>
      <c r="O162" s="3934" t="n"/>
      <c r="P162" s="3934" t="n"/>
      <c r="Q162" s="3934" t="n"/>
      <c r="R162" s="3934" t="n"/>
      <c r="S162" s="3934" t="n"/>
      <c r="T162" s="3934" t="n"/>
      <c r="U162" s="3934" t="n"/>
      <c r="V162" s="3934" t="n"/>
      <c r="W162" s="3934" t="n"/>
      <c r="X162" s="3934" t="n"/>
      <c r="Y162" s="3934" t="n"/>
      <c r="Z162" s="3934" t="n"/>
      <c r="AA162" s="3934" t="n"/>
      <c r="AB162" s="3934" t="n"/>
      <c r="AC162" s="3934" t="n"/>
      <c r="AD162" s="3934" t="n"/>
      <c r="AE162" s="3934" t="n"/>
      <c r="AF162" s="3934" t="n"/>
      <c r="AG162" s="3934" t="n"/>
      <c r="AH162" s="3934" t="n"/>
      <c r="AI162" s="3934" t="n"/>
      <c r="AJ162" s="3934" t="n"/>
      <c r="AK162" s="3934" t="n"/>
      <c r="AL162" s="3934" t="n"/>
      <c r="AM162" s="3934" t="n"/>
      <c r="AN162" s="3934" t="n"/>
      <c r="AO162" s="3934" t="n"/>
      <c r="AP162" s="3934" t="n"/>
      <c r="AQ162" s="3934" t="n"/>
      <c r="AR162" s="3934" t="n"/>
    </row>
    <row r="163">
      <c r="A163" s="3944" t="n"/>
      <c r="B163" s="3944" t="n"/>
      <c r="C163" s="3944" t="n"/>
      <c r="D163" s="3944" t="n"/>
      <c r="E163" s="3944" t="n"/>
      <c r="F163" s="3944" t="n"/>
      <c r="G163" s="3944" t="n"/>
      <c r="H163" s="3944" t="n"/>
      <c r="I163" s="3934" t="n"/>
      <c r="J163" s="3934" t="n"/>
      <c r="K163" s="3934" t="n"/>
      <c r="L163" s="3934" t="n"/>
      <c r="M163" s="3934" t="n"/>
      <c r="N163" s="3934" t="n"/>
      <c r="O163" s="3934" t="n"/>
      <c r="P163" s="3934" t="n"/>
      <c r="Q163" s="3934" t="n"/>
      <c r="R163" s="3934" t="n"/>
      <c r="S163" s="3934" t="n"/>
      <c r="T163" s="3934" t="n"/>
      <c r="U163" s="3934" t="n"/>
      <c r="V163" s="3934" t="n"/>
      <c r="W163" s="3934" t="n"/>
      <c r="X163" s="3934" t="n"/>
      <c r="Y163" s="3934" t="n"/>
      <c r="Z163" s="3934" t="n"/>
      <c r="AA163" s="3934" t="n"/>
      <c r="AB163" s="3934" t="n"/>
      <c r="AC163" s="3934" t="n"/>
      <c r="AD163" s="3934" t="n"/>
      <c r="AE163" s="3934" t="n"/>
      <c r="AF163" s="3934" t="n"/>
      <c r="AG163" s="3934" t="n"/>
      <c r="AH163" s="3934" t="n"/>
      <c r="AI163" s="3934" t="n"/>
      <c r="AJ163" s="3934" t="n"/>
      <c r="AK163" s="3934" t="n"/>
      <c r="AL163" s="3934" t="n"/>
      <c r="AM163" s="3934" t="n"/>
      <c r="AN163" s="3934" t="n"/>
      <c r="AO163" s="3934" t="n"/>
      <c r="AP163" s="3934" t="n"/>
      <c r="AQ163" s="3934" t="n"/>
      <c r="AR163" s="3934" t="n"/>
    </row>
    <row r="164">
      <c r="A164" s="3944" t="n"/>
      <c r="B164" s="3944" t="n"/>
      <c r="C164" s="3944" t="n"/>
      <c r="D164" s="3944" t="n"/>
      <c r="E164" s="3944" t="n"/>
      <c r="F164" s="3944" t="n"/>
      <c r="G164" s="3944" t="n"/>
      <c r="H164" s="3944" t="n"/>
      <c r="I164" s="3934" t="n"/>
      <c r="J164" s="3934" t="n"/>
      <c r="K164" s="3934" t="n"/>
      <c r="L164" s="3934" t="n"/>
      <c r="M164" s="3934" t="n"/>
      <c r="N164" s="3934" t="n"/>
      <c r="O164" s="3934" t="n"/>
      <c r="P164" s="3934" t="n"/>
      <c r="Q164" s="3934" t="n"/>
      <c r="R164" s="3934" t="n"/>
      <c r="S164" s="3934" t="n"/>
      <c r="T164" s="3934" t="n"/>
      <c r="U164" s="3934" t="n"/>
      <c r="V164" s="3934" t="n"/>
      <c r="W164" s="3934" t="n"/>
      <c r="X164" s="3934" t="n"/>
      <c r="Y164" s="3934" t="n"/>
      <c r="Z164" s="3934" t="n"/>
      <c r="AA164" s="3934" t="n"/>
      <c r="AB164" s="3934" t="n"/>
      <c r="AC164" s="3934" t="n"/>
      <c r="AD164" s="3934" t="n"/>
      <c r="AE164" s="3934" t="n"/>
      <c r="AF164" s="3934" t="n"/>
      <c r="AG164" s="3934" t="n"/>
      <c r="AH164" s="3934" t="n"/>
      <c r="AI164" s="3934" t="n"/>
      <c r="AJ164" s="3934" t="n"/>
      <c r="AK164" s="3934" t="n"/>
      <c r="AL164" s="3934" t="n"/>
      <c r="AM164" s="3934" t="n"/>
      <c r="AN164" s="3934" t="n"/>
      <c r="AO164" s="3934" t="n"/>
      <c r="AP164" s="3934" t="n"/>
      <c r="AQ164" s="3934" t="n"/>
      <c r="AR164" s="3934" t="n"/>
    </row>
    <row r="165">
      <c r="A165" s="3944" t="n"/>
      <c r="B165" s="3944" t="n"/>
      <c r="C165" s="3944" t="n"/>
      <c r="D165" s="3944" t="n"/>
      <c r="E165" s="3944" t="n"/>
      <c r="F165" s="3944" t="n"/>
      <c r="G165" s="3944" t="n"/>
      <c r="H165" s="3944" t="n"/>
      <c r="I165" s="3934" t="n"/>
      <c r="J165" s="3934" t="n"/>
      <c r="K165" s="3934" t="n"/>
      <c r="L165" s="3934" t="n"/>
      <c r="M165" s="3934" t="n"/>
      <c r="N165" s="3934" t="n"/>
      <c r="O165" s="3934" t="n"/>
      <c r="P165" s="3934" t="n"/>
      <c r="Q165" s="3934" t="n"/>
      <c r="R165" s="3934" t="n"/>
      <c r="S165" s="3934" t="n"/>
      <c r="T165" s="3934" t="n"/>
      <c r="U165" s="3934" t="n"/>
      <c r="V165" s="3934" t="n"/>
      <c r="W165" s="3934" t="n"/>
      <c r="X165" s="3934" t="n"/>
      <c r="Y165" s="3934" t="n"/>
      <c r="Z165" s="3934" t="n"/>
      <c r="AA165" s="3934" t="n"/>
      <c r="AB165" s="3934" t="n"/>
      <c r="AC165" s="3934" t="n"/>
      <c r="AD165" s="3934" t="n"/>
      <c r="AE165" s="3934" t="n"/>
      <c r="AF165" s="3934" t="n"/>
      <c r="AG165" s="3934" t="n"/>
      <c r="AH165" s="3934" t="n"/>
      <c r="AI165" s="3934" t="n"/>
      <c r="AJ165" s="3934" t="n"/>
      <c r="AK165" s="3934" t="n"/>
      <c r="AL165" s="3934" t="n"/>
      <c r="AM165" s="3934" t="n"/>
      <c r="AN165" s="3934" t="n"/>
      <c r="AO165" s="3934" t="n"/>
      <c r="AP165" s="3934" t="n"/>
      <c r="AQ165" s="3934" t="n"/>
      <c r="AR165" s="3934" t="n"/>
    </row>
    <row r="166">
      <c r="A166" s="3944" t="n"/>
      <c r="B166" s="3944" t="n"/>
      <c r="C166" s="3944" t="n"/>
      <c r="D166" s="3944" t="n"/>
      <c r="E166" s="3944" t="n"/>
      <c r="F166" s="3944" t="n"/>
      <c r="G166" s="3944" t="n"/>
      <c r="H166" s="3944" t="n"/>
      <c r="I166" s="3934" t="n"/>
      <c r="J166" s="3934" t="n"/>
      <c r="K166" s="3934" t="n"/>
      <c r="L166" s="3934" t="n"/>
      <c r="M166" s="3934" t="n"/>
      <c r="N166" s="3934" t="n"/>
      <c r="O166" s="3934" t="n"/>
      <c r="P166" s="3934" t="n"/>
      <c r="Q166" s="3934" t="n"/>
      <c r="R166" s="3934" t="n"/>
      <c r="S166" s="3934" t="n"/>
      <c r="T166" s="3934" t="n"/>
      <c r="U166" s="3934" t="n"/>
      <c r="V166" s="3934" t="n"/>
      <c r="W166" s="3934" t="n"/>
      <c r="X166" s="3934" t="n"/>
      <c r="Y166" s="3934" t="n"/>
      <c r="Z166" s="3934" t="n"/>
      <c r="AA166" s="3934" t="n"/>
      <c r="AB166" s="3934" t="n"/>
      <c r="AC166" s="3934" t="n"/>
      <c r="AD166" s="3934" t="n"/>
      <c r="AE166" s="3934" t="n"/>
      <c r="AF166" s="3934" t="n"/>
      <c r="AG166" s="3934" t="n"/>
      <c r="AH166" s="3934" t="n"/>
      <c r="AI166" s="3934" t="n"/>
      <c r="AJ166" s="3934" t="n"/>
      <c r="AK166" s="3934" t="n"/>
      <c r="AL166" s="3934" t="n"/>
      <c r="AM166" s="3934" t="n"/>
      <c r="AN166" s="3934" t="n"/>
      <c r="AO166" s="3934" t="n"/>
      <c r="AP166" s="3934" t="n"/>
      <c r="AQ166" s="3934" t="n"/>
      <c r="AR166" s="3934" t="n"/>
    </row>
    <row r="167">
      <c r="A167" s="3944" t="n"/>
      <c r="B167" s="3944" t="n"/>
      <c r="C167" s="3944" t="n"/>
      <c r="D167" s="3944" t="n"/>
      <c r="E167" s="3944" t="n"/>
      <c r="F167" s="3944" t="n"/>
      <c r="G167" s="3944" t="n"/>
      <c r="H167" s="3944" t="n"/>
      <c r="I167" s="3934" t="n"/>
      <c r="J167" s="3934" t="n"/>
      <c r="K167" s="3934" t="n"/>
      <c r="L167" s="3934" t="n"/>
      <c r="M167" s="3934" t="n"/>
      <c r="N167" s="3934" t="n"/>
      <c r="O167" s="3934" t="n"/>
      <c r="P167" s="3934" t="n"/>
      <c r="Q167" s="3934" t="n"/>
      <c r="R167" s="3934" t="n"/>
      <c r="S167" s="3934" t="n"/>
      <c r="T167" s="3934" t="n"/>
      <c r="U167" s="3934" t="n"/>
      <c r="V167" s="3934" t="n"/>
      <c r="W167" s="3934" t="n"/>
      <c r="X167" s="3934" t="n"/>
      <c r="Y167" s="3934" t="n"/>
      <c r="Z167" s="3934" t="n"/>
      <c r="AA167" s="3934" t="n"/>
      <c r="AB167" s="3934" t="n"/>
      <c r="AC167" s="3934" t="n"/>
      <c r="AD167" s="3934" t="n"/>
      <c r="AE167" s="3934" t="n"/>
      <c r="AF167" s="3934" t="n"/>
      <c r="AG167" s="3934" t="n"/>
      <c r="AH167" s="3934" t="n"/>
      <c r="AI167" s="3934" t="n"/>
      <c r="AJ167" s="3934" t="n"/>
      <c r="AK167" s="3934" t="n"/>
      <c r="AL167" s="3934" t="n"/>
      <c r="AM167" s="3934" t="n"/>
      <c r="AN167" s="3934" t="n"/>
      <c r="AO167" s="3934" t="n"/>
      <c r="AP167" s="3934" t="n"/>
      <c r="AQ167" s="3934" t="n"/>
      <c r="AR167" s="3934" t="n"/>
    </row>
    <row r="168">
      <c r="A168" s="3944" t="n"/>
      <c r="B168" s="3944" t="n"/>
      <c r="C168" s="3944" t="n"/>
      <c r="D168" s="3944" t="n"/>
      <c r="E168" s="3944" t="n"/>
      <c r="F168" s="3944" t="n"/>
      <c r="G168" s="3944" t="n"/>
      <c r="H168" s="3944" t="n"/>
      <c r="I168" s="3934" t="n"/>
      <c r="J168" s="3934" t="n"/>
      <c r="K168" s="3934" t="n"/>
      <c r="L168" s="3934" t="n"/>
      <c r="M168" s="3934" t="n"/>
      <c r="N168" s="3934" t="n"/>
      <c r="O168" s="3934" t="n"/>
      <c r="P168" s="3934" t="n"/>
      <c r="Q168" s="3934" t="n"/>
      <c r="R168" s="3934" t="n"/>
      <c r="S168" s="3934" t="n"/>
      <c r="T168" s="3934" t="n"/>
      <c r="U168" s="3934" t="n"/>
      <c r="V168" s="3934" t="n"/>
      <c r="W168" s="3934" t="n"/>
      <c r="X168" s="3934" t="n"/>
      <c r="Y168" s="3934" t="n"/>
      <c r="Z168" s="3934" t="n"/>
      <c r="AA168" s="3934" t="n"/>
      <c r="AB168" s="3934" t="n"/>
      <c r="AC168" s="3934" t="n"/>
      <c r="AD168" s="3934" t="n"/>
      <c r="AE168" s="3934" t="n"/>
      <c r="AF168" s="3934" t="n"/>
      <c r="AG168" s="3934" t="n"/>
      <c r="AH168" s="3934" t="n"/>
      <c r="AI168" s="3934" t="n"/>
      <c r="AJ168" s="3934" t="n"/>
      <c r="AK168" s="3934" t="n"/>
      <c r="AL168" s="3934" t="n"/>
      <c r="AM168" s="3934" t="n"/>
      <c r="AN168" s="3934" t="n"/>
      <c r="AO168" s="3934" t="n"/>
      <c r="AP168" s="3934" t="n"/>
      <c r="AQ168" s="3934" t="n"/>
      <c r="AR168" s="3934" t="n"/>
    </row>
    <row r="169">
      <c r="A169" s="3944" t="n"/>
      <c r="B169" s="3944" t="n"/>
      <c r="C169" s="3944" t="n"/>
      <c r="D169" s="3944" t="n"/>
      <c r="E169" s="3944" t="n"/>
      <c r="F169" s="3944" t="n"/>
      <c r="G169" s="3944" t="n"/>
      <c r="H169" s="3944" t="n"/>
      <c r="I169" s="3934" t="n"/>
      <c r="J169" s="3934" t="n"/>
      <c r="K169" s="3934" t="n"/>
      <c r="L169" s="3934" t="n"/>
      <c r="M169" s="3934" t="n"/>
      <c r="N169" s="3934" t="n"/>
      <c r="O169" s="3934" t="n"/>
      <c r="P169" s="3934" t="n"/>
      <c r="Q169" s="3934" t="n"/>
      <c r="R169" s="3934" t="n"/>
      <c r="S169" s="3934" t="n"/>
      <c r="T169" s="3934" t="n"/>
      <c r="U169" s="3934" t="n"/>
      <c r="V169" s="3934" t="n"/>
      <c r="W169" s="3934" t="n"/>
      <c r="X169" s="3934" t="n"/>
      <c r="Y169" s="3934" t="n"/>
      <c r="Z169" s="3934" t="n"/>
      <c r="AA169" s="3934" t="n"/>
      <c r="AB169" s="3934" t="n"/>
      <c r="AC169" s="3934" t="n"/>
      <c r="AD169" s="3934" t="n"/>
      <c r="AE169" s="3934" t="n"/>
      <c r="AF169" s="3934" t="n"/>
      <c r="AG169" s="3934" t="n"/>
      <c r="AH169" s="3934" t="n"/>
      <c r="AI169" s="3934" t="n"/>
      <c r="AJ169" s="3934" t="n"/>
      <c r="AK169" s="3934" t="n"/>
      <c r="AL169" s="3934" t="n"/>
      <c r="AM169" s="3934" t="n"/>
      <c r="AN169" s="3934" t="n"/>
      <c r="AO169" s="3934" t="n"/>
      <c r="AP169" s="3934" t="n"/>
      <c r="AQ169" s="3934" t="n"/>
      <c r="AR169" s="3934" t="n"/>
    </row>
    <row r="170">
      <c r="A170" s="3944" t="n"/>
      <c r="B170" s="3944" t="n"/>
      <c r="C170" s="3944" t="n"/>
      <c r="D170" s="3944" t="n"/>
      <c r="E170" s="3944" t="n"/>
      <c r="F170" s="3944" t="n"/>
      <c r="G170" s="3944" t="n"/>
      <c r="H170" s="3944" t="n"/>
      <c r="I170" s="3934" t="n"/>
      <c r="J170" s="3934" t="n"/>
      <c r="K170" s="3934" t="n"/>
      <c r="L170" s="3934" t="n"/>
      <c r="M170" s="3934" t="n"/>
      <c r="N170" s="3934" t="n"/>
      <c r="O170" s="3934" t="n"/>
      <c r="P170" s="3934" t="n"/>
      <c r="Q170" s="3934" t="n"/>
      <c r="R170" s="3934" t="n"/>
      <c r="S170" s="3934" t="n"/>
      <c r="T170" s="3934" t="n"/>
      <c r="U170" s="3934" t="n"/>
      <c r="V170" s="3934" t="n"/>
      <c r="W170" s="3934" t="n"/>
      <c r="X170" s="3934" t="n"/>
      <c r="Y170" s="3934" t="n"/>
      <c r="Z170" s="3934" t="n"/>
      <c r="AA170" s="3934" t="n"/>
      <c r="AB170" s="3934" t="n"/>
      <c r="AC170" s="3934" t="n"/>
      <c r="AD170" s="3934" t="n"/>
      <c r="AE170" s="3934" t="n"/>
      <c r="AF170" s="3934" t="n"/>
      <c r="AG170" s="3934" t="n"/>
      <c r="AH170" s="3934" t="n"/>
      <c r="AI170" s="3934" t="n"/>
      <c r="AJ170" s="3934" t="n"/>
      <c r="AK170" s="3934" t="n"/>
      <c r="AL170" s="3934" t="n"/>
      <c r="AM170" s="3934" t="n"/>
      <c r="AN170" s="3934" t="n"/>
      <c r="AO170" s="3934" t="n"/>
      <c r="AP170" s="3934" t="n"/>
      <c r="AQ170" s="3934" t="n"/>
      <c r="AR170" s="3934" t="n"/>
    </row>
    <row r="171">
      <c r="A171" s="3944" t="n"/>
      <c r="B171" s="3944" t="n"/>
      <c r="C171" s="3944" t="n"/>
      <c r="D171" s="3944" t="n"/>
      <c r="E171" s="3944" t="n"/>
      <c r="F171" s="3944" t="n"/>
      <c r="G171" s="3944" t="n"/>
      <c r="H171" s="3944" t="n"/>
      <c r="I171" s="3934" t="n"/>
      <c r="J171" s="3934" t="n"/>
      <c r="K171" s="3934" t="n"/>
      <c r="L171" s="3934" t="n"/>
      <c r="M171" s="3934" t="n"/>
      <c r="N171" s="3934" t="n"/>
      <c r="O171" s="3934" t="n"/>
      <c r="P171" s="3934" t="n"/>
      <c r="Q171" s="3934" t="n"/>
      <c r="R171" s="3934" t="n"/>
      <c r="S171" s="3934" t="n"/>
      <c r="T171" s="3934" t="n"/>
      <c r="U171" s="3934" t="n"/>
      <c r="V171" s="3934" t="n"/>
      <c r="W171" s="3934" t="n"/>
      <c r="X171" s="3934" t="n"/>
      <c r="Y171" s="3934" t="n"/>
      <c r="Z171" s="3934" t="n"/>
      <c r="AA171" s="3934" t="n"/>
      <c r="AB171" s="3934" t="n"/>
      <c r="AC171" s="3934" t="n"/>
      <c r="AD171" s="3934" t="n"/>
      <c r="AE171" s="3934" t="n"/>
      <c r="AF171" s="3934" t="n"/>
      <c r="AG171" s="3934" t="n"/>
      <c r="AH171" s="3934" t="n"/>
      <c r="AI171" s="3934" t="n"/>
      <c r="AJ171" s="3934" t="n"/>
      <c r="AK171" s="3934" t="n"/>
      <c r="AL171" s="3934" t="n"/>
      <c r="AM171" s="3934" t="n"/>
      <c r="AN171" s="3934" t="n"/>
      <c r="AO171" s="3934" t="n"/>
      <c r="AP171" s="3934" t="n"/>
      <c r="AQ171" s="3934" t="n"/>
      <c r="AR171" s="3934" t="n"/>
    </row>
    <row r="172">
      <c r="A172" s="3944" t="n"/>
      <c r="B172" s="3944" t="n"/>
      <c r="C172" s="3944" t="n"/>
      <c r="D172" s="3944" t="n"/>
      <c r="E172" s="3944" t="n"/>
      <c r="F172" s="3944" t="n"/>
      <c r="G172" s="3944" t="n"/>
      <c r="H172" s="3944" t="n"/>
      <c r="I172" s="3934" t="n"/>
      <c r="J172" s="3934" t="n"/>
      <c r="K172" s="3934" t="n"/>
      <c r="L172" s="3934" t="n"/>
      <c r="M172" s="3934" t="n"/>
      <c r="N172" s="3934" t="n"/>
      <c r="O172" s="3934" t="n"/>
      <c r="P172" s="3934" t="n"/>
      <c r="Q172" s="3934" t="n"/>
      <c r="R172" s="3934" t="n"/>
      <c r="S172" s="3934" t="n"/>
      <c r="T172" s="3934" t="n"/>
      <c r="U172" s="3934" t="n"/>
      <c r="V172" s="3934" t="n"/>
      <c r="W172" s="3934" t="n"/>
      <c r="X172" s="3934" t="n"/>
      <c r="Y172" s="3934" t="n"/>
      <c r="Z172" s="3934" t="n"/>
      <c r="AA172" s="3934" t="n"/>
      <c r="AB172" s="3934" t="n"/>
      <c r="AC172" s="3934" t="n"/>
      <c r="AD172" s="3934" t="n"/>
      <c r="AE172" s="3934" t="n"/>
      <c r="AF172" s="3934" t="n"/>
      <c r="AG172" s="3934" t="n"/>
      <c r="AH172" s="3934" t="n"/>
      <c r="AI172" s="3934" t="n"/>
      <c r="AJ172" s="3934" t="n"/>
      <c r="AK172" s="3934" t="n"/>
      <c r="AL172" s="3934" t="n"/>
      <c r="AM172" s="3934" t="n"/>
      <c r="AN172" s="3934" t="n"/>
      <c r="AO172" s="3934" t="n"/>
      <c r="AP172" s="3934" t="n"/>
      <c r="AQ172" s="3934" t="n"/>
      <c r="AR172" s="3934" t="n"/>
    </row>
    <row r="173">
      <c r="A173" s="3944" t="n"/>
      <c r="B173" s="3944" t="n"/>
      <c r="C173" s="3944" t="n"/>
      <c r="D173" s="3944" t="n"/>
      <c r="E173" s="3944" t="n"/>
      <c r="F173" s="3944" t="n"/>
      <c r="G173" s="3944" t="n"/>
      <c r="H173" s="3944" t="n"/>
      <c r="I173" s="3934" t="n"/>
      <c r="J173" s="3934" t="n"/>
      <c r="K173" s="3934" t="n"/>
      <c r="L173" s="3934" t="n"/>
      <c r="M173" s="3934" t="n"/>
      <c r="N173" s="3934" t="n"/>
      <c r="O173" s="3934" t="n"/>
      <c r="P173" s="3934" t="n"/>
      <c r="Q173" s="3934" t="n"/>
      <c r="R173" s="3934" t="n"/>
      <c r="S173" s="3934" t="n"/>
      <c r="T173" s="3934" t="n"/>
      <c r="U173" s="3934" t="n"/>
      <c r="V173" s="3934" t="n"/>
      <c r="W173" s="3934" t="n"/>
      <c r="X173" s="3934" t="n"/>
      <c r="Y173" s="3934" t="n"/>
      <c r="Z173" s="3934" t="n"/>
      <c r="AA173" s="3934" t="n"/>
      <c r="AB173" s="3934" t="n"/>
      <c r="AC173" s="3934" t="n"/>
      <c r="AD173" s="3934" t="n"/>
      <c r="AE173" s="3934" t="n"/>
      <c r="AF173" s="3934" t="n"/>
      <c r="AG173" s="3934" t="n"/>
      <c r="AH173" s="3934" t="n"/>
      <c r="AI173" s="3934" t="n"/>
      <c r="AJ173" s="3934" t="n"/>
      <c r="AK173" s="3934" t="n"/>
      <c r="AL173" s="3934" t="n"/>
      <c r="AM173" s="3934" t="n"/>
      <c r="AN173" s="3934" t="n"/>
      <c r="AO173" s="3934" t="n"/>
      <c r="AP173" s="3934" t="n"/>
      <c r="AQ173" s="3934" t="n"/>
      <c r="AR173" s="3934" t="n"/>
    </row>
    <row r="174">
      <c r="A174" s="3944" t="n"/>
      <c r="B174" s="3944" t="n"/>
      <c r="C174" s="3944" t="n"/>
      <c r="D174" s="3944" t="n"/>
      <c r="E174" s="3944" t="n"/>
      <c r="F174" s="3944" t="n"/>
      <c r="G174" s="3944" t="n"/>
      <c r="H174" s="3944" t="n"/>
      <c r="I174" s="3934" t="n"/>
      <c r="J174" s="3934" t="n"/>
      <c r="K174" s="3934" t="n"/>
      <c r="L174" s="3934" t="n"/>
      <c r="M174" s="3934" t="n"/>
      <c r="N174" s="3934" t="n"/>
      <c r="O174" s="3934" t="n"/>
      <c r="P174" s="3934" t="n"/>
      <c r="Q174" s="3934" t="n"/>
      <c r="R174" s="3934" t="n"/>
      <c r="S174" s="3934" t="n"/>
      <c r="T174" s="3934" t="n"/>
      <c r="U174" s="3934" t="n"/>
      <c r="V174" s="3934" t="n"/>
      <c r="W174" s="3934" t="n"/>
      <c r="X174" s="3934" t="n"/>
      <c r="Y174" s="3934" t="n"/>
      <c r="Z174" s="3934" t="n"/>
      <c r="AA174" s="3934" t="n"/>
      <c r="AB174" s="3934" t="n"/>
      <c r="AC174" s="3934" t="n"/>
      <c r="AD174" s="3934" t="n"/>
      <c r="AE174" s="3934" t="n"/>
      <c r="AF174" s="3934" t="n"/>
      <c r="AG174" s="3934" t="n"/>
      <c r="AH174" s="3934" t="n"/>
      <c r="AI174" s="3934" t="n"/>
      <c r="AJ174" s="3934" t="n"/>
      <c r="AK174" s="3934" t="n"/>
      <c r="AL174" s="3934" t="n"/>
      <c r="AM174" s="3934" t="n"/>
      <c r="AN174" s="3934" t="n"/>
      <c r="AO174" s="3934" t="n"/>
      <c r="AP174" s="3934" t="n"/>
      <c r="AQ174" s="3934" t="n"/>
      <c r="AR174" s="3934" t="n"/>
    </row>
    <row r="175">
      <c r="A175" s="3944" t="n"/>
      <c r="B175" s="3944" t="n"/>
      <c r="C175" s="3944" t="n"/>
      <c r="D175" s="3944" t="n"/>
      <c r="E175" s="3944" t="n"/>
      <c r="F175" s="3944" t="n"/>
      <c r="G175" s="3944" t="n"/>
      <c r="H175" s="3944" t="n"/>
      <c r="I175" s="3934" t="n"/>
      <c r="J175" s="3934" t="n"/>
      <c r="K175" s="3934" t="n"/>
      <c r="L175" s="3934" t="n"/>
      <c r="M175" s="3934" t="n"/>
      <c r="N175" s="3934" t="n"/>
      <c r="O175" s="3934" t="n"/>
      <c r="P175" s="3934" t="n"/>
      <c r="Q175" s="3934" t="n"/>
      <c r="R175" s="3934" t="n"/>
      <c r="S175" s="3934" t="n"/>
      <c r="T175" s="3934" t="n"/>
      <c r="U175" s="3934" t="n"/>
      <c r="V175" s="3934" t="n"/>
      <c r="W175" s="3934" t="n"/>
      <c r="X175" s="3934" t="n"/>
      <c r="Y175" s="3934" t="n"/>
      <c r="Z175" s="3934" t="n"/>
      <c r="AA175" s="3934" t="n"/>
      <c r="AB175" s="3934" t="n"/>
      <c r="AC175" s="3934" t="n"/>
      <c r="AD175" s="3934" t="n"/>
      <c r="AE175" s="3934" t="n"/>
      <c r="AF175" s="3934" t="n"/>
      <c r="AG175" s="3934" t="n"/>
      <c r="AH175" s="3934" t="n"/>
      <c r="AI175" s="3934" t="n"/>
      <c r="AJ175" s="3934" t="n"/>
      <c r="AK175" s="3934" t="n"/>
      <c r="AL175" s="3934" t="n"/>
      <c r="AM175" s="3934" t="n"/>
      <c r="AN175" s="3934" t="n"/>
      <c r="AO175" s="3934" t="n"/>
      <c r="AP175" s="3934" t="n"/>
      <c r="AQ175" s="3934" t="n"/>
      <c r="AR175" s="3934" t="n"/>
    </row>
    <row r="176">
      <c r="A176" s="3944" t="n"/>
      <c r="B176" s="3944" t="n"/>
      <c r="C176" s="3944" t="n"/>
      <c r="D176" s="3944" t="n"/>
      <c r="E176" s="3944" t="n"/>
      <c r="F176" s="3944" t="n"/>
      <c r="G176" s="3944" t="n"/>
      <c r="H176" s="3944" t="n"/>
      <c r="I176" s="3934" t="n"/>
      <c r="J176" s="3934" t="n"/>
      <c r="K176" s="3934" t="n"/>
      <c r="L176" s="3934" t="n"/>
      <c r="M176" s="3934" t="n"/>
      <c r="N176" s="3934" t="n"/>
      <c r="O176" s="3934" t="n"/>
      <c r="P176" s="3934" t="n"/>
      <c r="Q176" s="3934" t="n"/>
      <c r="R176" s="3934" t="n"/>
      <c r="S176" s="3934" t="n"/>
      <c r="T176" s="3934" t="n"/>
      <c r="U176" s="3934" t="n"/>
      <c r="V176" s="3934" t="n"/>
      <c r="W176" s="3934" t="n"/>
      <c r="X176" s="3934" t="n"/>
      <c r="Y176" s="3934" t="n"/>
      <c r="Z176" s="3934" t="n"/>
      <c r="AA176" s="3934" t="n"/>
      <c r="AB176" s="3934" t="n"/>
      <c r="AC176" s="3934" t="n"/>
      <c r="AD176" s="3934" t="n"/>
      <c r="AE176" s="3934" t="n"/>
      <c r="AF176" s="3934" t="n"/>
      <c r="AG176" s="3934" t="n"/>
      <c r="AH176" s="3934" t="n"/>
      <c r="AI176" s="3934" t="n"/>
      <c r="AJ176" s="3934" t="n"/>
      <c r="AK176" s="3934" t="n"/>
      <c r="AL176" s="3934" t="n"/>
      <c r="AM176" s="3934" t="n"/>
      <c r="AN176" s="3934" t="n"/>
      <c r="AO176" s="3934" t="n"/>
      <c r="AP176" s="3934" t="n"/>
      <c r="AQ176" s="3934" t="n"/>
      <c r="AR176" s="3934" t="n"/>
    </row>
    <row r="177">
      <c r="A177" s="3944" t="n"/>
      <c r="B177" s="3944" t="n"/>
      <c r="C177" s="3944" t="n"/>
      <c r="D177" s="3944" t="n"/>
      <c r="E177" s="3944" t="n"/>
      <c r="F177" s="3944" t="n"/>
      <c r="G177" s="3944" t="n"/>
      <c r="H177" s="3944" t="n"/>
      <c r="I177" s="3934" t="n"/>
      <c r="J177" s="3934" t="n"/>
      <c r="K177" s="3934" t="n"/>
      <c r="L177" s="3934" t="n"/>
      <c r="M177" s="3934" t="n"/>
      <c r="N177" s="3934" t="n"/>
      <c r="O177" s="3934" t="n"/>
      <c r="P177" s="3934" t="n"/>
      <c r="Q177" s="3934" t="n"/>
      <c r="R177" s="3934" t="n"/>
      <c r="S177" s="3934" t="n"/>
      <c r="T177" s="3934" t="n"/>
      <c r="U177" s="3934" t="n"/>
      <c r="V177" s="3934" t="n"/>
      <c r="W177" s="3934" t="n"/>
      <c r="X177" s="3934" t="n"/>
      <c r="Y177" s="3934" t="n"/>
      <c r="Z177" s="3934" t="n"/>
      <c r="AA177" s="3934" t="n"/>
      <c r="AB177" s="3934" t="n"/>
      <c r="AC177" s="3934" t="n"/>
      <c r="AD177" s="3934" t="n"/>
      <c r="AE177" s="3934" t="n"/>
      <c r="AF177" s="3934" t="n"/>
      <c r="AG177" s="3934" t="n"/>
      <c r="AH177" s="3934" t="n"/>
      <c r="AI177" s="3934" t="n"/>
      <c r="AJ177" s="3934" t="n"/>
      <c r="AK177" s="3934" t="n"/>
      <c r="AL177" s="3934" t="n"/>
      <c r="AM177" s="3934" t="n"/>
      <c r="AN177" s="3934" t="n"/>
      <c r="AO177" s="3934" t="n"/>
      <c r="AP177" s="3934" t="n"/>
      <c r="AQ177" s="3934" t="n"/>
      <c r="AR177" s="3934" t="n"/>
    </row>
    <row r="178">
      <c r="A178" s="3944" t="n"/>
      <c r="B178" s="3944" t="n"/>
      <c r="C178" s="3944" t="n"/>
      <c r="D178" s="3944" t="n"/>
      <c r="E178" s="3944" t="n"/>
      <c r="F178" s="3944" t="n"/>
      <c r="G178" s="3944" t="n"/>
      <c r="H178" s="3944" t="n"/>
      <c r="I178" s="3934" t="n"/>
      <c r="J178" s="3934" t="n"/>
      <c r="K178" s="3934" t="n"/>
      <c r="L178" s="3934" t="n"/>
      <c r="M178" s="3934" t="n"/>
      <c r="N178" s="3934" t="n"/>
      <c r="O178" s="3934" t="n"/>
      <c r="P178" s="3934" t="n"/>
      <c r="Q178" s="3934" t="n"/>
      <c r="R178" s="3934" t="n"/>
      <c r="S178" s="3934" t="n"/>
      <c r="T178" s="3934" t="n"/>
      <c r="U178" s="3934" t="n"/>
      <c r="V178" s="3934" t="n"/>
      <c r="W178" s="3934" t="n"/>
      <c r="X178" s="3934" t="n"/>
      <c r="Y178" s="3934" t="n"/>
      <c r="Z178" s="3934" t="n"/>
      <c r="AA178" s="3934" t="n"/>
      <c r="AB178" s="3934" t="n"/>
      <c r="AC178" s="3934" t="n"/>
      <c r="AD178" s="3934" t="n"/>
      <c r="AE178" s="3934" t="n"/>
      <c r="AF178" s="3934" t="n"/>
      <c r="AG178" s="3934" t="n"/>
      <c r="AH178" s="3934" t="n"/>
      <c r="AI178" s="3934" t="n"/>
      <c r="AJ178" s="3934" t="n"/>
      <c r="AK178" s="3934" t="n"/>
      <c r="AL178" s="3934" t="n"/>
      <c r="AM178" s="3934" t="n"/>
      <c r="AN178" s="3934" t="n"/>
      <c r="AO178" s="3934" t="n"/>
      <c r="AP178" s="3934" t="n"/>
      <c r="AQ178" s="3934" t="n"/>
      <c r="AR178" s="3934" t="n"/>
    </row>
    <row r="179">
      <c r="A179" s="3944" t="n"/>
      <c r="B179" s="3944" t="n"/>
      <c r="C179" s="3944" t="n"/>
      <c r="D179" s="3944" t="n"/>
      <c r="E179" s="3944" t="n"/>
      <c r="F179" s="3944" t="n"/>
      <c r="G179" s="3944" t="n"/>
      <c r="H179" s="3944" t="n"/>
      <c r="I179" s="3934" t="n"/>
      <c r="J179" s="3934" t="n"/>
      <c r="K179" s="3934" t="n"/>
      <c r="L179" s="3934" t="n"/>
      <c r="M179" s="3934" t="n"/>
      <c r="N179" s="3934" t="n"/>
      <c r="O179" s="3934" t="n"/>
      <c r="P179" s="3934" t="n"/>
      <c r="Q179" s="3934" t="n"/>
      <c r="R179" s="3934" t="n"/>
      <c r="S179" s="3934" t="n"/>
      <c r="T179" s="3934" t="n"/>
      <c r="U179" s="3934" t="n"/>
      <c r="V179" s="3934" t="n"/>
      <c r="W179" s="3934" t="n"/>
      <c r="X179" s="3934" t="n"/>
      <c r="Y179" s="3934" t="n"/>
      <c r="Z179" s="3934" t="n"/>
      <c r="AA179" s="3934" t="n"/>
      <c r="AB179" s="3934" t="n"/>
      <c r="AC179" s="3934" t="n"/>
      <c r="AD179" s="3934" t="n"/>
      <c r="AE179" s="3934" t="n"/>
      <c r="AF179" s="3934" t="n"/>
      <c r="AG179" s="3934" t="n"/>
      <c r="AH179" s="3934" t="n"/>
      <c r="AI179" s="3934" t="n"/>
      <c r="AJ179" s="3934" t="n"/>
      <c r="AK179" s="3934" t="n"/>
      <c r="AL179" s="3934" t="n"/>
      <c r="AM179" s="3934" t="n"/>
      <c r="AN179" s="3934" t="n"/>
      <c r="AO179" s="3934" t="n"/>
      <c r="AP179" s="3934" t="n"/>
      <c r="AQ179" s="3934" t="n"/>
      <c r="AR179" s="3934" t="n"/>
    </row>
    <row r="180">
      <c r="A180" s="3944" t="n"/>
      <c r="B180" s="3944" t="n"/>
      <c r="C180" s="3944" t="n"/>
      <c r="D180" s="3944" t="n"/>
      <c r="E180" s="3944" t="n"/>
      <c r="F180" s="3944" t="n"/>
      <c r="G180" s="3944" t="n"/>
      <c r="H180" s="3944" t="n"/>
      <c r="I180" s="3934" t="n"/>
      <c r="J180" s="3934" t="n"/>
      <c r="K180" s="3934" t="n"/>
      <c r="L180" s="3934" t="n"/>
      <c r="M180" s="3934" t="n"/>
      <c r="N180" s="3934" t="n"/>
      <c r="O180" s="3934" t="n"/>
      <c r="P180" s="3934" t="n"/>
      <c r="Q180" s="3934" t="n"/>
      <c r="R180" s="3934" t="n"/>
      <c r="S180" s="3934" t="n"/>
      <c r="T180" s="3934" t="n"/>
      <c r="U180" s="3934" t="n"/>
      <c r="V180" s="3934" t="n"/>
      <c r="W180" s="3934" t="n"/>
      <c r="X180" s="3934" t="n"/>
      <c r="Y180" s="3934" t="n"/>
      <c r="Z180" s="3934" t="n"/>
      <c r="AA180" s="3934" t="n"/>
      <c r="AB180" s="3934" t="n"/>
      <c r="AC180" s="3934" t="n"/>
      <c r="AD180" s="3934" t="n"/>
      <c r="AE180" s="3934" t="n"/>
      <c r="AF180" s="3934" t="n"/>
      <c r="AG180" s="3934" t="n"/>
      <c r="AH180" s="3934" t="n"/>
      <c r="AI180" s="3934" t="n"/>
      <c r="AJ180" s="3934" t="n"/>
      <c r="AK180" s="3934" t="n"/>
      <c r="AL180" s="3934" t="n"/>
      <c r="AM180" s="3934" t="n"/>
      <c r="AN180" s="3934" t="n"/>
      <c r="AO180" s="3934" t="n"/>
      <c r="AP180" s="3934" t="n"/>
      <c r="AQ180" s="3934" t="n"/>
      <c r="AR180" s="3934" t="n"/>
    </row>
    <row r="181">
      <c r="A181" s="3944" t="n"/>
      <c r="B181" s="3944" t="n"/>
      <c r="C181" s="3944" t="n"/>
      <c r="D181" s="3944" t="n"/>
      <c r="E181" s="3944" t="n"/>
      <c r="F181" s="3944" t="n"/>
      <c r="G181" s="3944" t="n"/>
      <c r="H181" s="3944" t="n"/>
      <c r="I181" s="3934" t="n"/>
      <c r="J181" s="3934" t="n"/>
      <c r="K181" s="3934" t="n"/>
      <c r="L181" s="3934" t="n"/>
      <c r="M181" s="3934" t="n"/>
      <c r="N181" s="3934" t="n"/>
      <c r="O181" s="3934" t="n"/>
      <c r="P181" s="3934" t="n"/>
      <c r="Q181" s="3934" t="n"/>
      <c r="R181" s="3934" t="n"/>
      <c r="S181" s="3934" t="n"/>
      <c r="T181" s="3934" t="n"/>
      <c r="U181" s="3934" t="n"/>
      <c r="V181" s="3934" t="n"/>
      <c r="W181" s="3934" t="n"/>
      <c r="X181" s="3934" t="n"/>
      <c r="Y181" s="3934" t="n"/>
      <c r="Z181" s="3934" t="n"/>
      <c r="AA181" s="3934" t="n"/>
      <c r="AB181" s="3934" t="n"/>
      <c r="AC181" s="3934" t="n"/>
      <c r="AD181" s="3934" t="n"/>
      <c r="AE181" s="3934" t="n"/>
      <c r="AF181" s="3934" t="n"/>
      <c r="AG181" s="3934" t="n"/>
      <c r="AH181" s="3934" t="n"/>
      <c r="AI181" s="3934" t="n"/>
      <c r="AJ181" s="3934" t="n"/>
      <c r="AK181" s="3934" t="n"/>
      <c r="AL181" s="3934" t="n"/>
      <c r="AM181" s="3934" t="n"/>
      <c r="AN181" s="3934" t="n"/>
      <c r="AO181" s="3934" t="n"/>
      <c r="AP181" s="3934" t="n"/>
      <c r="AQ181" s="3934" t="n"/>
      <c r="AR181" s="3934" t="n"/>
    </row>
    <row r="182">
      <c r="A182" s="3944" t="n"/>
      <c r="B182" s="3944" t="n"/>
      <c r="C182" s="3944" t="n"/>
      <c r="D182" s="3944" t="n"/>
      <c r="E182" s="3944" t="n"/>
      <c r="F182" s="3944" t="n"/>
      <c r="G182" s="3944" t="n"/>
      <c r="H182" s="3944" t="n"/>
      <c r="I182" s="3934" t="n"/>
      <c r="J182" s="3934" t="n"/>
      <c r="K182" s="3934" t="n"/>
      <c r="L182" s="3934" t="n"/>
      <c r="M182" s="3934" t="n"/>
      <c r="N182" s="3934" t="n"/>
      <c r="O182" s="3934" t="n"/>
      <c r="P182" s="3934" t="n"/>
      <c r="Q182" s="3934" t="n"/>
      <c r="R182" s="3934" t="n"/>
      <c r="S182" s="3934" t="n"/>
      <c r="T182" s="3934" t="n"/>
      <c r="U182" s="3934" t="n"/>
      <c r="V182" s="3934" t="n"/>
      <c r="W182" s="3934" t="n"/>
      <c r="X182" s="3934" t="n"/>
      <c r="Y182" s="3934" t="n"/>
      <c r="Z182" s="3934" t="n"/>
      <c r="AA182" s="3934" t="n"/>
      <c r="AB182" s="3934" t="n"/>
      <c r="AC182" s="3934" t="n"/>
      <c r="AD182" s="3934" t="n"/>
      <c r="AE182" s="3934" t="n"/>
      <c r="AF182" s="3934" t="n"/>
      <c r="AG182" s="3934" t="n"/>
      <c r="AH182" s="3934" t="n"/>
      <c r="AI182" s="3934" t="n"/>
      <c r="AJ182" s="3934" t="n"/>
      <c r="AK182" s="3934" t="n"/>
      <c r="AL182" s="3934" t="n"/>
      <c r="AM182" s="3934" t="n"/>
      <c r="AN182" s="3934" t="n"/>
      <c r="AO182" s="3934" t="n"/>
      <c r="AP182" s="3934" t="n"/>
      <c r="AQ182" s="3934" t="n"/>
      <c r="AR182" s="3934" t="n"/>
    </row>
    <row r="183">
      <c r="A183" s="3944" t="n"/>
      <c r="B183" s="3944" t="n"/>
      <c r="C183" s="3944" t="n"/>
      <c r="D183" s="3944" t="n"/>
      <c r="E183" s="3944" t="n"/>
      <c r="F183" s="3944" t="n"/>
      <c r="G183" s="3944" t="n"/>
      <c r="H183" s="3944" t="n"/>
      <c r="I183" s="3934" t="n"/>
      <c r="J183" s="3934" t="n"/>
      <c r="K183" s="3934" t="n"/>
      <c r="L183" s="3934" t="n"/>
      <c r="M183" s="3934" t="n"/>
      <c r="N183" s="3934" t="n"/>
      <c r="O183" s="3934" t="n"/>
      <c r="P183" s="3934" t="n"/>
      <c r="Q183" s="3934" t="n"/>
      <c r="R183" s="3934" t="n"/>
      <c r="S183" s="3934" t="n"/>
      <c r="T183" s="3934" t="n"/>
      <c r="U183" s="3934" t="n"/>
      <c r="V183" s="3934" t="n"/>
      <c r="W183" s="3934" t="n"/>
      <c r="X183" s="3934" t="n"/>
      <c r="Y183" s="3934" t="n"/>
      <c r="Z183" s="3934" t="n"/>
      <c r="AA183" s="3934" t="n"/>
      <c r="AB183" s="3934" t="n"/>
      <c r="AC183" s="3934" t="n"/>
      <c r="AD183" s="3934" t="n"/>
      <c r="AE183" s="3934" t="n"/>
      <c r="AF183" s="3934" t="n"/>
      <c r="AG183" s="3934" t="n"/>
      <c r="AH183" s="3934" t="n"/>
      <c r="AI183" s="3934" t="n"/>
      <c r="AJ183" s="3934" t="n"/>
      <c r="AK183" s="3934" t="n"/>
      <c r="AL183" s="3934" t="n"/>
      <c r="AM183" s="3934" t="n"/>
      <c r="AN183" s="3934" t="n"/>
      <c r="AO183" s="3934" t="n"/>
      <c r="AP183" s="3934" t="n"/>
      <c r="AQ183" s="3934" t="n"/>
      <c r="AR183" s="3934" t="n"/>
    </row>
    <row r="184">
      <c r="A184" s="3944" t="n"/>
      <c r="B184" s="3944" t="n"/>
      <c r="C184" s="3944" t="n"/>
      <c r="D184" s="3944" t="n"/>
      <c r="E184" s="3944" t="n"/>
      <c r="F184" s="3944" t="n"/>
      <c r="G184" s="3944" t="n"/>
      <c r="H184" s="3944" t="n"/>
      <c r="I184" s="3934" t="n"/>
      <c r="J184" s="3934" t="n"/>
      <c r="K184" s="3934" t="n"/>
      <c r="L184" s="3934" t="n"/>
      <c r="M184" s="3934" t="n"/>
      <c r="N184" s="3934" t="n"/>
      <c r="O184" s="3934" t="n"/>
      <c r="P184" s="3934" t="n"/>
      <c r="Q184" s="3934" t="n"/>
      <c r="R184" s="3934" t="n"/>
      <c r="S184" s="3934" t="n"/>
      <c r="T184" s="3934" t="n"/>
      <c r="U184" s="3934" t="n"/>
      <c r="V184" s="3934" t="n"/>
      <c r="W184" s="3934" t="n"/>
      <c r="X184" s="3934" t="n"/>
      <c r="Y184" s="3934" t="n"/>
      <c r="Z184" s="3934" t="n"/>
      <c r="AA184" s="3934" t="n"/>
      <c r="AB184" s="3934" t="n"/>
      <c r="AC184" s="3934" t="n"/>
      <c r="AD184" s="3934" t="n"/>
      <c r="AE184" s="3934" t="n"/>
      <c r="AF184" s="3934" t="n"/>
      <c r="AG184" s="3934" t="n"/>
      <c r="AH184" s="3934" t="n"/>
      <c r="AI184" s="3934" t="n"/>
      <c r="AJ184" s="3934" t="n"/>
      <c r="AK184" s="3934" t="n"/>
      <c r="AL184" s="3934" t="n"/>
      <c r="AM184" s="3934" t="n"/>
      <c r="AN184" s="3934" t="n"/>
      <c r="AO184" s="3934" t="n"/>
      <c r="AP184" s="3934" t="n"/>
      <c r="AQ184" s="3934" t="n"/>
      <c r="AR184" s="3934" t="n"/>
    </row>
    <row r="185">
      <c r="A185" s="3944" t="n"/>
      <c r="B185" s="3944" t="n"/>
      <c r="C185" s="3944" t="n"/>
      <c r="D185" s="3944" t="n"/>
      <c r="E185" s="3944" t="n"/>
      <c r="F185" s="3944" t="n"/>
      <c r="G185" s="3944" t="n"/>
      <c r="H185" s="3944" t="n"/>
      <c r="I185" s="3934" t="n"/>
      <c r="J185" s="3934" t="n"/>
      <c r="K185" s="3934" t="n"/>
      <c r="L185" s="3934" t="n"/>
      <c r="M185" s="3934" t="n"/>
      <c r="N185" s="3934" t="n"/>
      <c r="O185" s="3934" t="n"/>
      <c r="P185" s="3934" t="n"/>
      <c r="Q185" s="3934" t="n"/>
      <c r="R185" s="3934" t="n"/>
      <c r="S185" s="3934" t="n"/>
      <c r="T185" s="3934" t="n"/>
      <c r="U185" s="3934" t="n"/>
      <c r="V185" s="3934" t="n"/>
      <c r="W185" s="3934" t="n"/>
      <c r="X185" s="3934" t="n"/>
      <c r="Y185" s="3934" t="n"/>
      <c r="Z185" s="3934" t="n"/>
      <c r="AA185" s="3934" t="n"/>
      <c r="AB185" s="3934" t="n"/>
      <c r="AC185" s="3934" t="n"/>
      <c r="AD185" s="3934" t="n"/>
      <c r="AE185" s="3934" t="n"/>
      <c r="AF185" s="3934" t="n"/>
      <c r="AG185" s="3934" t="n"/>
      <c r="AH185" s="3934" t="n"/>
      <c r="AI185" s="3934" t="n"/>
      <c r="AJ185" s="3934" t="n"/>
      <c r="AK185" s="3934" t="n"/>
      <c r="AL185" s="3934" t="n"/>
      <c r="AM185" s="3934" t="n"/>
      <c r="AN185" s="3934" t="n"/>
      <c r="AO185" s="3934" t="n"/>
      <c r="AP185" s="3934" t="n"/>
      <c r="AQ185" s="3934" t="n"/>
      <c r="AR185" s="3934" t="n"/>
    </row>
    <row r="186">
      <c r="A186" s="3944" t="n"/>
      <c r="B186" s="3944" t="n"/>
      <c r="C186" s="3944" t="n"/>
      <c r="D186" s="3944" t="n"/>
      <c r="E186" s="3944" t="n"/>
      <c r="F186" s="3944" t="n"/>
      <c r="G186" s="3944" t="n"/>
      <c r="H186" s="3944" t="n"/>
      <c r="I186" s="3934" t="n"/>
      <c r="J186" s="3934" t="n"/>
      <c r="K186" s="3934" t="n"/>
      <c r="L186" s="3934" t="n"/>
      <c r="M186" s="3934" t="n"/>
      <c r="N186" s="3934" t="n"/>
      <c r="O186" s="3934" t="n"/>
      <c r="P186" s="3934" t="n"/>
      <c r="Q186" s="3934" t="n"/>
      <c r="R186" s="3934" t="n"/>
      <c r="S186" s="3934" t="n"/>
      <c r="T186" s="3934" t="n"/>
      <c r="U186" s="3934" t="n"/>
      <c r="V186" s="3934" t="n"/>
      <c r="W186" s="3934" t="n"/>
      <c r="X186" s="3934" t="n"/>
      <c r="Y186" s="3934" t="n"/>
      <c r="Z186" s="3934" t="n"/>
      <c r="AA186" s="3934" t="n"/>
      <c r="AB186" s="3934" t="n"/>
      <c r="AC186" s="3934" t="n"/>
      <c r="AD186" s="3934" t="n"/>
      <c r="AE186" s="3934" t="n"/>
      <c r="AF186" s="3934" t="n"/>
      <c r="AG186" s="3934" t="n"/>
      <c r="AH186" s="3934" t="n"/>
      <c r="AI186" s="3934" t="n"/>
      <c r="AJ186" s="3934" t="n"/>
      <c r="AK186" s="3934" t="n"/>
      <c r="AL186" s="3934" t="n"/>
      <c r="AM186" s="3934" t="n"/>
      <c r="AN186" s="3934" t="n"/>
      <c r="AO186" s="3934" t="n"/>
      <c r="AP186" s="3934" t="n"/>
      <c r="AQ186" s="3934" t="n"/>
      <c r="AR186" s="3934" t="n"/>
    </row>
    <row r="187">
      <c r="A187" s="3944" t="n"/>
      <c r="B187" s="3944" t="n"/>
      <c r="C187" s="3944" t="n"/>
      <c r="D187" s="3944" t="n"/>
      <c r="E187" s="3944" t="n"/>
      <c r="F187" s="3944" t="n"/>
      <c r="G187" s="3944" t="n"/>
      <c r="H187" s="3944" t="n"/>
      <c r="I187" s="3934" t="n"/>
      <c r="J187" s="3934" t="n"/>
      <c r="K187" s="3934" t="n"/>
      <c r="L187" s="3934" t="n"/>
      <c r="M187" s="3934" t="n"/>
      <c r="N187" s="3934" t="n"/>
      <c r="O187" s="3934" t="n"/>
      <c r="P187" s="3934" t="n"/>
      <c r="Q187" s="3934" t="n"/>
      <c r="R187" s="3934" t="n"/>
      <c r="S187" s="3934" t="n"/>
      <c r="T187" s="3934" t="n"/>
      <c r="U187" s="3934" t="n"/>
      <c r="V187" s="3934" t="n"/>
      <c r="W187" s="3934" t="n"/>
      <c r="X187" s="3934" t="n"/>
      <c r="Y187" s="3934" t="n"/>
      <c r="Z187" s="3934" t="n"/>
      <c r="AA187" s="3934" t="n"/>
      <c r="AB187" s="3934" t="n"/>
      <c r="AC187" s="3934" t="n"/>
      <c r="AD187" s="3934" t="n"/>
      <c r="AE187" s="3934" t="n"/>
      <c r="AF187" s="3934" t="n"/>
      <c r="AG187" s="3934" t="n"/>
      <c r="AH187" s="3934" t="n"/>
      <c r="AI187" s="3934" t="n"/>
      <c r="AJ187" s="3934" t="n"/>
      <c r="AK187" s="3934" t="n"/>
      <c r="AL187" s="3934" t="n"/>
      <c r="AM187" s="3934" t="n"/>
      <c r="AN187" s="3934" t="n"/>
      <c r="AO187" s="3934" t="n"/>
      <c r="AP187" s="3934" t="n"/>
      <c r="AQ187" s="3934" t="n"/>
      <c r="AR187" s="3934" t="n"/>
    </row>
    <row r="188">
      <c r="A188" s="3944" t="n"/>
      <c r="B188" s="3944" t="n"/>
      <c r="C188" s="3944" t="n"/>
      <c r="D188" s="3944" t="n"/>
      <c r="E188" s="3944" t="n"/>
      <c r="F188" s="3944" t="n"/>
      <c r="G188" s="3944" t="n"/>
      <c r="H188" s="3944" t="n"/>
      <c r="I188" s="3934" t="n"/>
      <c r="J188" s="3934" t="n"/>
      <c r="K188" s="3934" t="n"/>
      <c r="L188" s="3934" t="n"/>
      <c r="M188" s="3934" t="n"/>
      <c r="N188" s="3934" t="n"/>
      <c r="O188" s="3934" t="n"/>
      <c r="P188" s="3934" t="n"/>
      <c r="Q188" s="3934" t="n"/>
      <c r="R188" s="3934" t="n"/>
      <c r="S188" s="3934" t="n"/>
      <c r="T188" s="3934" t="n"/>
      <c r="U188" s="3934" t="n"/>
      <c r="V188" s="3934" t="n"/>
      <c r="W188" s="3934" t="n"/>
      <c r="X188" s="3934" t="n"/>
      <c r="Y188" s="3934" t="n"/>
      <c r="Z188" s="3934" t="n"/>
      <c r="AA188" s="3934" t="n"/>
      <c r="AB188" s="3934" t="n"/>
      <c r="AC188" s="3934" t="n"/>
      <c r="AD188" s="3934" t="n"/>
      <c r="AE188" s="3934" t="n"/>
      <c r="AF188" s="3934" t="n"/>
      <c r="AG188" s="3934" t="n"/>
      <c r="AH188" s="3934" t="n"/>
      <c r="AI188" s="3934" t="n"/>
      <c r="AJ188" s="3934" t="n"/>
      <c r="AK188" s="3934" t="n"/>
      <c r="AL188" s="3934" t="n"/>
      <c r="AM188" s="3934" t="n"/>
      <c r="AN188" s="3934" t="n"/>
      <c r="AO188" s="3934" t="n"/>
      <c r="AP188" s="3934" t="n"/>
      <c r="AQ188" s="3934" t="n"/>
      <c r="AR188" s="3934" t="n"/>
    </row>
    <row r="189">
      <c r="A189" s="3944" t="n"/>
      <c r="B189" s="3944" t="n"/>
      <c r="C189" s="3944" t="n"/>
      <c r="D189" s="3944" t="n"/>
      <c r="E189" s="3944" t="n"/>
      <c r="F189" s="3944" t="n"/>
      <c r="G189" s="3944" t="n"/>
      <c r="H189" s="3944" t="n"/>
      <c r="I189" s="3934" t="n"/>
      <c r="J189" s="3934" t="n"/>
      <c r="K189" s="3934" t="n"/>
      <c r="L189" s="3934" t="n"/>
      <c r="M189" s="3934" t="n"/>
      <c r="N189" s="3934" t="n"/>
      <c r="O189" s="3934" t="n"/>
      <c r="P189" s="3934" t="n"/>
      <c r="Q189" s="3934" t="n"/>
      <c r="R189" s="3934" t="n"/>
      <c r="S189" s="3934" t="n"/>
      <c r="T189" s="3934" t="n"/>
      <c r="U189" s="3934" t="n"/>
      <c r="V189" s="3934" t="n"/>
      <c r="W189" s="3934" t="n"/>
      <c r="X189" s="3934" t="n"/>
      <c r="Y189" s="3934" t="n"/>
      <c r="Z189" s="3934" t="n"/>
      <c r="AA189" s="3934" t="n"/>
      <c r="AB189" s="3934" t="n"/>
      <c r="AC189" s="3934" t="n"/>
      <c r="AD189" s="3934" t="n"/>
      <c r="AE189" s="3934" t="n"/>
      <c r="AF189" s="3934" t="n"/>
      <c r="AG189" s="3934" t="n"/>
      <c r="AH189" s="3934" t="n"/>
      <c r="AI189" s="3934" t="n"/>
      <c r="AJ189" s="3934" t="n"/>
      <c r="AK189" s="3934" t="n"/>
      <c r="AL189" s="3934" t="n"/>
      <c r="AM189" s="3934" t="n"/>
      <c r="AN189" s="3934" t="n"/>
      <c r="AO189" s="3934" t="n"/>
      <c r="AP189" s="3934" t="n"/>
      <c r="AQ189" s="3934" t="n"/>
      <c r="AR189" s="3934" t="n"/>
    </row>
    <row r="190">
      <c r="A190" s="3944" t="n"/>
      <c r="B190" s="3944" t="n"/>
      <c r="C190" s="3944" t="n"/>
      <c r="D190" s="3944" t="n"/>
      <c r="E190" s="3944" t="n"/>
      <c r="F190" s="3944" t="n"/>
      <c r="G190" s="3944" t="n"/>
      <c r="H190" s="3944" t="n"/>
      <c r="I190" s="3934" t="n"/>
      <c r="J190" s="3934" t="n"/>
      <c r="K190" s="3934" t="n"/>
      <c r="L190" s="3934" t="n"/>
      <c r="M190" s="3934" t="n"/>
      <c r="N190" s="3934" t="n"/>
      <c r="O190" s="3934" t="n"/>
      <c r="P190" s="3934" t="n"/>
      <c r="Q190" s="3934" t="n"/>
      <c r="R190" s="3934" t="n"/>
      <c r="S190" s="3934" t="n"/>
      <c r="T190" s="3934" t="n"/>
      <c r="U190" s="3934" t="n"/>
      <c r="V190" s="3934" t="n"/>
      <c r="W190" s="3934" t="n"/>
      <c r="X190" s="3934" t="n"/>
      <c r="Y190" s="3934" t="n"/>
      <c r="Z190" s="3934" t="n"/>
      <c r="AA190" s="3934" t="n"/>
      <c r="AB190" s="3934" t="n"/>
      <c r="AC190" s="3934" t="n"/>
      <c r="AD190" s="3934" t="n"/>
      <c r="AE190" s="3934" t="n"/>
      <c r="AF190" s="3934" t="n"/>
      <c r="AG190" s="3934" t="n"/>
      <c r="AH190" s="3934" t="n"/>
      <c r="AI190" s="3934" t="n"/>
      <c r="AJ190" s="3934" t="n"/>
      <c r="AK190" s="3934" t="n"/>
      <c r="AL190" s="3934" t="n"/>
      <c r="AM190" s="3934" t="n"/>
      <c r="AN190" s="3934" t="n"/>
      <c r="AO190" s="3934" t="n"/>
      <c r="AP190" s="3934" t="n"/>
      <c r="AQ190" s="3934" t="n"/>
      <c r="AR190" s="3934" t="n"/>
    </row>
    <row r="191">
      <c r="A191" s="3944" t="n"/>
      <c r="B191" s="3944" t="n"/>
      <c r="C191" s="3944" t="n"/>
      <c r="D191" s="3944" t="n"/>
      <c r="E191" s="3944" t="n"/>
      <c r="F191" s="3944" t="n"/>
      <c r="G191" s="3944" t="n"/>
      <c r="H191" s="3944" t="n"/>
      <c r="I191" s="3934" t="n"/>
      <c r="J191" s="3934" t="n"/>
      <c r="K191" s="3934" t="n"/>
      <c r="L191" s="3934" t="n"/>
      <c r="M191" s="3934" t="n"/>
      <c r="N191" s="3934" t="n"/>
      <c r="O191" s="3934" t="n"/>
      <c r="P191" s="3934" t="n"/>
      <c r="Q191" s="3934" t="n"/>
      <c r="R191" s="3934" t="n"/>
      <c r="S191" s="3934" t="n"/>
      <c r="T191" s="3934" t="n"/>
      <c r="U191" s="3934" t="n"/>
      <c r="V191" s="3934" t="n"/>
      <c r="W191" s="3934" t="n"/>
      <c r="X191" s="3934" t="n"/>
      <c r="Y191" s="3934" t="n"/>
      <c r="Z191" s="3934" t="n"/>
      <c r="AA191" s="3934" t="n"/>
      <c r="AB191" s="3934" t="n"/>
      <c r="AC191" s="3934" t="n"/>
      <c r="AD191" s="3934" t="n"/>
      <c r="AE191" s="3934" t="n"/>
      <c r="AF191" s="3934" t="n"/>
      <c r="AG191" s="3934" t="n"/>
      <c r="AH191" s="3934" t="n"/>
      <c r="AI191" s="3934" t="n"/>
      <c r="AJ191" s="3934" t="n"/>
      <c r="AK191" s="3934" t="n"/>
      <c r="AL191" s="3934" t="n"/>
      <c r="AM191" s="3934" t="n"/>
      <c r="AN191" s="3934" t="n"/>
      <c r="AO191" s="3934" t="n"/>
      <c r="AP191" s="3934" t="n"/>
      <c r="AQ191" s="3934" t="n"/>
      <c r="AR191" s="3934" t="n"/>
    </row>
    <row r="192">
      <c r="A192" s="3944" t="n"/>
      <c r="B192" s="3944" t="n"/>
      <c r="C192" s="3944" t="n"/>
      <c r="D192" s="3944" t="n"/>
      <c r="E192" s="3944" t="n"/>
      <c r="F192" s="3944" t="n"/>
      <c r="G192" s="3944" t="n"/>
      <c r="H192" s="3944" t="n"/>
      <c r="I192" s="3934" t="n"/>
      <c r="J192" s="3934" t="n"/>
      <c r="K192" s="3934" t="n"/>
      <c r="L192" s="3934" t="n"/>
      <c r="M192" s="3934" t="n"/>
      <c r="N192" s="3934" t="n"/>
      <c r="O192" s="3934" t="n"/>
      <c r="P192" s="3934" t="n"/>
      <c r="Q192" s="3934" t="n"/>
      <c r="R192" s="3934" t="n"/>
      <c r="S192" s="3934" t="n"/>
      <c r="T192" s="3934" t="n"/>
      <c r="U192" s="3934" t="n"/>
      <c r="V192" s="3934" t="n"/>
      <c r="W192" s="3934" t="n"/>
      <c r="X192" s="3934" t="n"/>
      <c r="Y192" s="3934" t="n"/>
      <c r="Z192" s="3934" t="n"/>
      <c r="AA192" s="3934" t="n"/>
      <c r="AB192" s="3934" t="n"/>
      <c r="AC192" s="3934" t="n"/>
      <c r="AD192" s="3934" t="n"/>
      <c r="AE192" s="3934" t="n"/>
      <c r="AF192" s="3934" t="n"/>
      <c r="AG192" s="3934" t="n"/>
      <c r="AH192" s="3934" t="n"/>
      <c r="AI192" s="3934" t="n"/>
      <c r="AJ192" s="3934" t="n"/>
      <c r="AK192" s="3934" t="n"/>
      <c r="AL192" s="3934" t="n"/>
      <c r="AM192" s="3934" t="n"/>
      <c r="AN192" s="3934" t="n"/>
      <c r="AO192" s="3934" t="n"/>
      <c r="AP192" s="3934" t="n"/>
      <c r="AQ192" s="3934" t="n"/>
      <c r="AR192" s="3934" t="n"/>
    </row>
    <row r="193">
      <c r="A193" s="3944" t="n"/>
      <c r="B193" s="3944" t="n"/>
      <c r="C193" s="3944" t="n"/>
      <c r="D193" s="3944" t="n"/>
      <c r="E193" s="3944" t="n"/>
      <c r="F193" s="3944" t="n"/>
      <c r="G193" s="3944" t="n"/>
      <c r="H193" s="3944" t="n"/>
      <c r="I193" s="3934" t="n"/>
      <c r="J193" s="3934" t="n"/>
      <c r="K193" s="3934" t="n"/>
      <c r="L193" s="3934" t="n"/>
      <c r="M193" s="3934" t="n"/>
      <c r="N193" s="3934" t="n"/>
      <c r="O193" s="3934" t="n"/>
      <c r="P193" s="3934" t="n"/>
      <c r="Q193" s="3934" t="n"/>
      <c r="R193" s="3934" t="n"/>
      <c r="S193" s="3934" t="n"/>
      <c r="T193" s="3934" t="n"/>
      <c r="U193" s="3934" t="n"/>
      <c r="V193" s="3934" t="n"/>
      <c r="W193" s="3934" t="n"/>
      <c r="X193" s="3934" t="n"/>
      <c r="Y193" s="3934" t="n"/>
      <c r="Z193" s="3934" t="n"/>
      <c r="AA193" s="3934" t="n"/>
      <c r="AB193" s="3934" t="n"/>
      <c r="AC193" s="3934" t="n"/>
      <c r="AD193" s="3934" t="n"/>
      <c r="AE193" s="3934" t="n"/>
      <c r="AF193" s="3934" t="n"/>
      <c r="AG193" s="3934" t="n"/>
      <c r="AH193" s="3934" t="n"/>
      <c r="AI193" s="3934" t="n"/>
      <c r="AJ193" s="3934" t="n"/>
      <c r="AK193" s="3934" t="n"/>
      <c r="AL193" s="3934" t="n"/>
      <c r="AM193" s="3934" t="n"/>
      <c r="AN193" s="3934" t="n"/>
      <c r="AO193" s="3934" t="n"/>
      <c r="AP193" s="3934" t="n"/>
      <c r="AQ193" s="3934" t="n"/>
      <c r="AR193" s="3934" t="n"/>
    </row>
    <row r="194">
      <c r="A194" s="3944" t="n"/>
      <c r="B194" s="3944" t="n"/>
      <c r="C194" s="3944" t="n"/>
      <c r="D194" s="3944" t="n"/>
      <c r="E194" s="3944" t="n"/>
      <c r="F194" s="3944" t="n"/>
      <c r="G194" s="3944" t="n"/>
      <c r="H194" s="3944" t="n"/>
      <c r="I194" s="3934" t="n"/>
      <c r="J194" s="3934" t="n"/>
      <c r="K194" s="3934" t="n"/>
      <c r="L194" s="3934" t="n"/>
      <c r="M194" s="3934" t="n"/>
      <c r="N194" s="3934" t="n"/>
      <c r="O194" s="3934" t="n"/>
      <c r="P194" s="3934" t="n"/>
      <c r="Q194" s="3934" t="n"/>
      <c r="R194" s="3934" t="n"/>
      <c r="S194" s="3934" t="n"/>
      <c r="T194" s="3934" t="n"/>
      <c r="U194" s="3934" t="n"/>
      <c r="V194" s="3934" t="n"/>
      <c r="W194" s="3934" t="n"/>
      <c r="X194" s="3934" t="n"/>
      <c r="Y194" s="3934" t="n"/>
      <c r="Z194" s="3934" t="n"/>
      <c r="AA194" s="3934" t="n"/>
      <c r="AB194" s="3934" t="n"/>
      <c r="AC194" s="3934" t="n"/>
      <c r="AD194" s="3934" t="n"/>
      <c r="AE194" s="3934" t="n"/>
      <c r="AF194" s="3934" t="n"/>
      <c r="AG194" s="3934" t="n"/>
      <c r="AH194" s="3934" t="n"/>
      <c r="AI194" s="3934" t="n"/>
      <c r="AJ194" s="3934" t="n"/>
      <c r="AK194" s="3934" t="n"/>
      <c r="AL194" s="3934" t="n"/>
      <c r="AM194" s="3934" t="n"/>
      <c r="AN194" s="3934" t="n"/>
      <c r="AO194" s="3934" t="n"/>
      <c r="AP194" s="3934" t="n"/>
      <c r="AQ194" s="3934" t="n"/>
      <c r="AR194" s="3934" t="n"/>
    </row>
    <row r="195">
      <c r="A195" s="3944" t="n"/>
      <c r="B195" s="3944" t="n"/>
      <c r="C195" s="3944" t="n"/>
      <c r="D195" s="3944" t="n"/>
      <c r="E195" s="3944" t="n"/>
      <c r="F195" s="3944" t="n"/>
      <c r="G195" s="3944" t="n"/>
      <c r="H195" s="3944" t="n"/>
      <c r="I195" s="3934" t="n"/>
      <c r="J195" s="3934" t="n"/>
      <c r="K195" s="3934" t="n"/>
      <c r="L195" s="3934" t="n"/>
      <c r="M195" s="3934" t="n"/>
      <c r="N195" s="3934" t="n"/>
      <c r="O195" s="3934" t="n"/>
      <c r="P195" s="3934" t="n"/>
      <c r="Q195" s="3934" t="n"/>
      <c r="R195" s="3934" t="n"/>
      <c r="S195" s="3934" t="n"/>
      <c r="T195" s="3934" t="n"/>
      <c r="U195" s="3934" t="n"/>
      <c r="V195" s="3934" t="n"/>
      <c r="W195" s="3934" t="n"/>
      <c r="X195" s="3934" t="n"/>
      <c r="Y195" s="3934" t="n"/>
      <c r="Z195" s="3934" t="n"/>
      <c r="AA195" s="3934" t="n"/>
      <c r="AB195" s="3934" t="n"/>
      <c r="AC195" s="3934" t="n"/>
      <c r="AD195" s="3934" t="n"/>
      <c r="AE195" s="3934" t="n"/>
      <c r="AF195" s="3934" t="n"/>
      <c r="AG195" s="3934" t="n"/>
      <c r="AH195" s="3934" t="n"/>
      <c r="AI195" s="3934" t="n"/>
      <c r="AJ195" s="3934" t="n"/>
      <c r="AK195" s="3934" t="n"/>
      <c r="AL195" s="3934" t="n"/>
      <c r="AM195" s="3934" t="n"/>
      <c r="AN195" s="3934" t="n"/>
      <c r="AO195" s="3934" t="n"/>
      <c r="AP195" s="3934" t="n"/>
      <c r="AQ195" s="3934" t="n"/>
      <c r="AR195" s="3934" t="n"/>
    </row>
    <row r="196">
      <c r="A196" s="3944" t="n"/>
      <c r="B196" s="3944" t="n"/>
      <c r="C196" s="3944" t="n"/>
      <c r="D196" s="3944" t="n"/>
      <c r="E196" s="3944" t="n"/>
      <c r="F196" s="3944" t="n"/>
      <c r="G196" s="3944" t="n"/>
      <c r="H196" s="3944" t="n"/>
      <c r="I196" s="3934" t="n"/>
      <c r="J196" s="3934" t="n"/>
      <c r="K196" s="3934" t="n"/>
      <c r="L196" s="3934" t="n"/>
      <c r="M196" s="3934" t="n"/>
      <c r="N196" s="3934" t="n"/>
      <c r="O196" s="3934" t="n"/>
      <c r="P196" s="3934" t="n"/>
      <c r="Q196" s="3934" t="n"/>
      <c r="R196" s="3934" t="n"/>
      <c r="S196" s="3934" t="n"/>
      <c r="T196" s="3934" t="n"/>
      <c r="U196" s="3934" t="n"/>
      <c r="V196" s="3934" t="n"/>
      <c r="W196" s="3934" t="n"/>
      <c r="X196" s="3934" t="n"/>
      <c r="Y196" s="3934" t="n"/>
      <c r="Z196" s="3934" t="n"/>
      <c r="AA196" s="3934" t="n"/>
      <c r="AB196" s="3934" t="n"/>
      <c r="AC196" s="3934" t="n"/>
      <c r="AD196" s="3934" t="n"/>
      <c r="AE196" s="3934" t="n"/>
      <c r="AF196" s="3934" t="n"/>
      <c r="AG196" s="3934" t="n"/>
      <c r="AH196" s="3934" t="n"/>
      <c r="AI196" s="3934" t="n"/>
      <c r="AJ196" s="3934" t="n"/>
      <c r="AK196" s="3934" t="n"/>
      <c r="AL196" s="3934" t="n"/>
      <c r="AM196" s="3934" t="n"/>
      <c r="AN196" s="3934" t="n"/>
      <c r="AO196" s="3934" t="n"/>
      <c r="AP196" s="3934" t="n"/>
      <c r="AQ196" s="3934" t="n"/>
      <c r="AR196" s="3934" t="n"/>
    </row>
    <row r="197">
      <c r="A197" s="3944" t="n"/>
      <c r="B197" s="3944" t="n"/>
      <c r="C197" s="3944" t="n"/>
      <c r="D197" s="3944" t="n"/>
      <c r="E197" s="3944" t="n"/>
      <c r="F197" s="3944" t="n"/>
      <c r="G197" s="3944" t="n"/>
      <c r="H197" s="3944" t="n"/>
      <c r="I197" s="3934" t="n"/>
      <c r="J197" s="3934" t="n"/>
      <c r="K197" s="3934" t="n"/>
      <c r="L197" s="3934" t="n"/>
      <c r="M197" s="3934" t="n"/>
      <c r="N197" s="3934" t="n"/>
      <c r="O197" s="3934" t="n"/>
      <c r="P197" s="3934" t="n"/>
      <c r="Q197" s="3934" t="n"/>
      <c r="R197" s="3934" t="n"/>
      <c r="S197" s="3934" t="n"/>
      <c r="T197" s="3934" t="n"/>
      <c r="U197" s="3934" t="n"/>
      <c r="V197" s="3934" t="n"/>
      <c r="W197" s="3934" t="n"/>
      <c r="X197" s="3934" t="n"/>
      <c r="Y197" s="3934" t="n"/>
      <c r="Z197" s="3934" t="n"/>
      <c r="AA197" s="3934" t="n"/>
      <c r="AB197" s="3934" t="n"/>
      <c r="AC197" s="3934" t="n"/>
      <c r="AD197" s="3934" t="n"/>
      <c r="AE197" s="3934" t="n"/>
      <c r="AF197" s="3934" t="n"/>
      <c r="AG197" s="3934" t="n"/>
      <c r="AH197" s="3934" t="n"/>
      <c r="AI197" s="3934" t="n"/>
      <c r="AJ197" s="3934" t="n"/>
      <c r="AK197" s="3934" t="n"/>
      <c r="AL197" s="3934" t="n"/>
      <c r="AM197" s="3934" t="n"/>
      <c r="AN197" s="3934" t="n"/>
      <c r="AO197" s="3934" t="n"/>
      <c r="AP197" s="3934" t="n"/>
      <c r="AQ197" s="3934" t="n"/>
      <c r="AR197" s="3934" t="n"/>
    </row>
    <row r="198">
      <c r="A198" s="3944" t="n"/>
      <c r="B198" s="3944" t="n"/>
      <c r="C198" s="3944" t="n"/>
      <c r="D198" s="3944" t="n"/>
      <c r="E198" s="3944" t="n"/>
      <c r="F198" s="3944" t="n"/>
      <c r="G198" s="3944" t="n"/>
      <c r="H198" s="3944" t="n"/>
      <c r="I198" s="3934" t="n"/>
      <c r="J198" s="3934" t="n"/>
      <c r="K198" s="3934" t="n"/>
      <c r="L198" s="3934" t="n"/>
      <c r="M198" s="3934" t="n"/>
      <c r="N198" s="3934" t="n"/>
      <c r="O198" s="3934" t="n"/>
      <c r="P198" s="3934" t="n"/>
      <c r="Q198" s="3934" t="n"/>
      <c r="R198" s="3934" t="n"/>
      <c r="S198" s="3934" t="n"/>
      <c r="T198" s="3934" t="n"/>
      <c r="U198" s="3934" t="n"/>
      <c r="V198" s="3934" t="n"/>
      <c r="W198" s="3934" t="n"/>
      <c r="X198" s="3934" t="n"/>
      <c r="Y198" s="3934" t="n"/>
      <c r="Z198" s="3934" t="n"/>
      <c r="AA198" s="3934" t="n"/>
      <c r="AB198" s="3934" t="n"/>
      <c r="AC198" s="3934" t="n"/>
      <c r="AD198" s="3934" t="n"/>
      <c r="AE198" s="3934" t="n"/>
      <c r="AF198" s="3934" t="n"/>
      <c r="AG198" s="3934" t="n"/>
      <c r="AH198" s="3934" t="n"/>
      <c r="AI198" s="3934" t="n"/>
      <c r="AJ198" s="3934" t="n"/>
      <c r="AK198" s="3934" t="n"/>
      <c r="AL198" s="3934" t="n"/>
      <c r="AM198" s="3934" t="n"/>
      <c r="AN198" s="3934" t="n"/>
      <c r="AO198" s="3934" t="n"/>
      <c r="AP198" s="3934" t="n"/>
      <c r="AQ198" s="3934" t="n"/>
      <c r="AR198" s="3934" t="n"/>
    </row>
    <row r="199">
      <c r="A199" s="3944" t="n"/>
      <c r="B199" s="3944" t="n"/>
      <c r="C199" s="3944" t="n"/>
      <c r="D199" s="3944" t="n"/>
      <c r="E199" s="3944" t="n"/>
      <c r="F199" s="3944" t="n"/>
      <c r="G199" s="3944" t="n"/>
      <c r="H199" s="3944" t="n"/>
      <c r="I199" s="3934" t="n"/>
      <c r="J199" s="3934" t="n"/>
      <c r="K199" s="3934" t="n"/>
      <c r="L199" s="3934" t="n"/>
      <c r="M199" s="3934" t="n"/>
      <c r="N199" s="3934" t="n"/>
      <c r="O199" s="3934" t="n"/>
      <c r="P199" s="3934" t="n"/>
      <c r="Q199" s="3934" t="n"/>
      <c r="R199" s="3934" t="n"/>
      <c r="S199" s="3934" t="n"/>
      <c r="T199" s="3934" t="n"/>
      <c r="U199" s="3934" t="n"/>
      <c r="V199" s="3934" t="n"/>
      <c r="W199" s="3934" t="n"/>
      <c r="X199" s="3934" t="n"/>
      <c r="Y199" s="3934" t="n"/>
      <c r="Z199" s="3934" t="n"/>
      <c r="AA199" s="3934" t="n"/>
      <c r="AB199" s="3934" t="n"/>
      <c r="AC199" s="3934" t="n"/>
      <c r="AD199" s="3934" t="n"/>
      <c r="AE199" s="3934" t="n"/>
      <c r="AF199" s="3934" t="n"/>
      <c r="AG199" s="3934" t="n"/>
      <c r="AH199" s="3934" t="n"/>
      <c r="AI199" s="3934" t="n"/>
      <c r="AJ199" s="3934" t="n"/>
      <c r="AK199" s="3934" t="n"/>
      <c r="AL199" s="3934" t="n"/>
      <c r="AM199" s="3934" t="n"/>
      <c r="AN199" s="3934" t="n"/>
      <c r="AO199" s="3934" t="n"/>
      <c r="AP199" s="3934" t="n"/>
      <c r="AQ199" s="3934" t="n"/>
      <c r="AR199" s="3934" t="n"/>
    </row>
    <row r="200">
      <c r="A200" s="3944" t="n"/>
      <c r="B200" s="3944" t="n"/>
      <c r="C200" s="3944" t="n"/>
      <c r="D200" s="3944" t="n"/>
      <c r="E200" s="3944" t="n"/>
      <c r="F200" s="3944" t="n"/>
      <c r="G200" s="3944" t="n"/>
      <c r="H200" s="3944" t="n"/>
      <c r="I200" s="3934" t="n"/>
      <c r="J200" s="3934" t="n"/>
      <c r="K200" s="3934" t="n"/>
      <c r="L200" s="3934" t="n"/>
      <c r="M200" s="3934" t="n"/>
      <c r="N200" s="3934" t="n"/>
      <c r="O200" s="3934" t="n"/>
      <c r="P200" s="3934" t="n"/>
      <c r="Q200" s="3934" t="n"/>
      <c r="R200" s="3934" t="n"/>
      <c r="S200" s="3934" t="n"/>
      <c r="T200" s="3934" t="n"/>
      <c r="U200" s="3934" t="n"/>
      <c r="V200" s="3934" t="n"/>
      <c r="W200" s="3934" t="n"/>
      <c r="X200" s="3934" t="n"/>
      <c r="Y200" s="3934" t="n"/>
      <c r="Z200" s="3934" t="n"/>
      <c r="AA200" s="3934" t="n"/>
      <c r="AB200" s="3934" t="n"/>
      <c r="AC200" s="3934" t="n"/>
      <c r="AD200" s="3934" t="n"/>
      <c r="AE200" s="3934" t="n"/>
      <c r="AF200" s="3934" t="n"/>
      <c r="AG200" s="3934" t="n"/>
      <c r="AH200" s="3934" t="n"/>
      <c r="AI200" s="3934" t="n"/>
      <c r="AJ200" s="3934" t="n"/>
      <c r="AK200" s="3934" t="n"/>
      <c r="AL200" s="3934" t="n"/>
      <c r="AM200" s="3934" t="n"/>
      <c r="AN200" s="3934" t="n"/>
      <c r="AO200" s="3934" t="n"/>
      <c r="AP200" s="3934" t="n"/>
      <c r="AQ200" s="3934" t="n"/>
      <c r="AR200" s="3934" t="n"/>
    </row>
    <row r="201">
      <c r="A201" s="3944" t="n"/>
      <c r="B201" s="3944" t="n"/>
      <c r="C201" s="3944" t="n"/>
      <c r="D201" s="3944" t="n"/>
      <c r="E201" s="3944" t="n"/>
      <c r="F201" s="3944" t="n"/>
      <c r="G201" s="3944" t="n"/>
      <c r="H201" s="3944" t="n"/>
      <c r="I201" s="3934" t="n"/>
      <c r="J201" s="3934" t="n"/>
      <c r="K201" s="3934" t="n"/>
      <c r="L201" s="3934" t="n"/>
      <c r="M201" s="3934" t="n"/>
      <c r="N201" s="3934" t="n"/>
      <c r="O201" s="3934" t="n"/>
      <c r="P201" s="3934" t="n"/>
      <c r="Q201" s="3934" t="n"/>
      <c r="R201" s="3934" t="n"/>
      <c r="S201" s="3934" t="n"/>
      <c r="T201" s="3934" t="n"/>
      <c r="U201" s="3934" t="n"/>
      <c r="V201" s="3934" t="n"/>
      <c r="W201" s="3934" t="n"/>
      <c r="X201" s="3934" t="n"/>
      <c r="Y201" s="3934" t="n"/>
      <c r="Z201" s="3934" t="n"/>
      <c r="AA201" s="3934" t="n"/>
      <c r="AB201" s="3934" t="n"/>
      <c r="AC201" s="3934" t="n"/>
      <c r="AD201" s="3934" t="n"/>
      <c r="AE201" s="3934" t="n"/>
      <c r="AF201" s="3934" t="n"/>
      <c r="AG201" s="3934" t="n"/>
      <c r="AH201" s="3934" t="n"/>
      <c r="AI201" s="3934" t="n"/>
      <c r="AJ201" s="3934" t="n"/>
      <c r="AK201" s="3934" t="n"/>
      <c r="AL201" s="3934" t="n"/>
      <c r="AM201" s="3934" t="n"/>
      <c r="AN201" s="3934" t="n"/>
      <c r="AO201" s="3934" t="n"/>
      <c r="AP201" s="3934" t="n"/>
      <c r="AQ201" s="3934" t="n"/>
      <c r="AR201" s="3934" t="n"/>
    </row>
    <row r="202">
      <c r="A202" s="3944" t="n"/>
      <c r="B202" s="3944" t="n"/>
      <c r="C202" s="3944" t="n"/>
      <c r="D202" s="3944" t="n"/>
      <c r="E202" s="3944" t="n"/>
      <c r="F202" s="3944" t="n"/>
      <c r="G202" s="3944" t="n"/>
      <c r="H202" s="3944" t="n"/>
      <c r="I202" s="3934" t="n"/>
      <c r="J202" s="3934" t="n"/>
      <c r="K202" s="3934" t="n"/>
      <c r="L202" s="3934" t="n"/>
      <c r="M202" s="3934" t="n"/>
      <c r="N202" s="3934" t="n"/>
      <c r="O202" s="3934" t="n"/>
      <c r="P202" s="3934" t="n"/>
      <c r="Q202" s="3934" t="n"/>
      <c r="R202" s="3934" t="n"/>
      <c r="S202" s="3934" t="n"/>
      <c r="T202" s="3934" t="n"/>
      <c r="U202" s="3934" t="n"/>
      <c r="V202" s="3934" t="n"/>
      <c r="W202" s="3934" t="n"/>
      <c r="X202" s="3934" t="n"/>
      <c r="Y202" s="3934" t="n"/>
      <c r="Z202" s="3934" t="n"/>
      <c r="AA202" s="3934" t="n"/>
      <c r="AB202" s="3934" t="n"/>
      <c r="AC202" s="3934" t="n"/>
      <c r="AD202" s="3934" t="n"/>
      <c r="AE202" s="3934" t="n"/>
      <c r="AF202" s="3934" t="n"/>
      <c r="AG202" s="3934" t="n"/>
      <c r="AH202" s="3934" t="n"/>
      <c r="AI202" s="3934" t="n"/>
      <c r="AJ202" s="3934" t="n"/>
      <c r="AK202" s="3934" t="n"/>
      <c r="AL202" s="3934" t="n"/>
      <c r="AM202" s="3934" t="n"/>
      <c r="AN202" s="3934" t="n"/>
      <c r="AO202" s="3934" t="n"/>
      <c r="AP202" s="3934" t="n"/>
      <c r="AQ202" s="3934" t="n"/>
      <c r="AR202" s="3934" t="n"/>
    </row>
    <row r="203">
      <c r="A203" s="3944" t="n"/>
      <c r="B203" s="3944" t="n"/>
      <c r="C203" s="3944" t="n"/>
      <c r="D203" s="3944" t="n"/>
      <c r="E203" s="3944" t="n"/>
      <c r="F203" s="3944" t="n"/>
      <c r="G203" s="3944" t="n"/>
      <c r="H203" s="3944" t="n"/>
      <c r="I203" s="3934" t="n"/>
      <c r="J203" s="3934" t="n"/>
      <c r="K203" s="3934" t="n"/>
      <c r="L203" s="3934" t="n"/>
      <c r="M203" s="3934" t="n"/>
      <c r="N203" s="3934" t="n"/>
      <c r="O203" s="3934" t="n"/>
      <c r="P203" s="3934" t="n"/>
      <c r="Q203" s="3934" t="n"/>
      <c r="R203" s="3934" t="n"/>
      <c r="S203" s="3934" t="n"/>
      <c r="T203" s="3934" t="n"/>
      <c r="U203" s="3934" t="n"/>
      <c r="V203" s="3934" t="n"/>
      <c r="W203" s="3934" t="n"/>
      <c r="X203" s="3934" t="n"/>
      <c r="Y203" s="3934" t="n"/>
      <c r="Z203" s="3934" t="n"/>
      <c r="AA203" s="3934" t="n"/>
      <c r="AB203" s="3934" t="n"/>
      <c r="AC203" s="3934" t="n"/>
      <c r="AD203" s="3934" t="n"/>
      <c r="AE203" s="3934" t="n"/>
      <c r="AF203" s="3934" t="n"/>
      <c r="AG203" s="3934" t="n"/>
      <c r="AH203" s="3934" t="n"/>
      <c r="AI203" s="3934" t="n"/>
      <c r="AJ203" s="3934" t="n"/>
      <c r="AK203" s="3934" t="n"/>
      <c r="AL203" s="3934" t="n"/>
      <c r="AM203" s="3934" t="n"/>
      <c r="AN203" s="3934" t="n"/>
      <c r="AO203" s="3934" t="n"/>
      <c r="AP203" s="3934" t="n"/>
      <c r="AQ203" s="3934" t="n"/>
      <c r="AR203" s="3934" t="n"/>
    </row>
    <row r="204">
      <c r="A204" s="3944" t="n"/>
      <c r="B204" s="3944" t="n"/>
      <c r="C204" s="3944" t="n"/>
      <c r="D204" s="3944" t="n"/>
      <c r="E204" s="3944" t="n"/>
      <c r="F204" s="3944" t="n"/>
      <c r="G204" s="3944" t="n"/>
      <c r="H204" s="3944" t="n"/>
      <c r="I204" s="3934" t="n"/>
      <c r="J204" s="3934" t="n"/>
      <c r="K204" s="3934" t="n"/>
      <c r="L204" s="3934" t="n"/>
      <c r="M204" s="3934" t="n"/>
      <c r="N204" s="3934" t="n"/>
      <c r="O204" s="3934" t="n"/>
      <c r="P204" s="3934" t="n"/>
      <c r="Q204" s="3934" t="n"/>
      <c r="R204" s="3934" t="n"/>
      <c r="S204" s="3934" t="n"/>
      <c r="T204" s="3934" t="n"/>
      <c r="U204" s="3934" t="n"/>
      <c r="V204" s="3934" t="n"/>
      <c r="W204" s="3934" t="n"/>
      <c r="X204" s="3934" t="n"/>
      <c r="Y204" s="3934" t="n"/>
      <c r="Z204" s="3934" t="n"/>
      <c r="AA204" s="3934" t="n"/>
      <c r="AB204" s="3934" t="n"/>
      <c r="AC204" s="3934" t="n"/>
      <c r="AD204" s="3934" t="n"/>
      <c r="AE204" s="3934" t="n"/>
      <c r="AF204" s="3934" t="n"/>
      <c r="AG204" s="3934" t="n"/>
      <c r="AH204" s="3934" t="n"/>
      <c r="AI204" s="3934" t="n"/>
      <c r="AJ204" s="3934" t="n"/>
      <c r="AK204" s="3934" t="n"/>
      <c r="AL204" s="3934" t="n"/>
      <c r="AM204" s="3934" t="n"/>
      <c r="AN204" s="3934" t="n"/>
      <c r="AO204" s="3934" t="n"/>
      <c r="AP204" s="3934" t="n"/>
      <c r="AQ204" s="3934" t="n"/>
      <c r="AR204" s="3934" t="n"/>
    </row>
    <row r="205">
      <c r="A205" s="3944" t="n"/>
      <c r="B205" s="3944" t="n"/>
      <c r="C205" s="3944" t="n"/>
      <c r="D205" s="3944" t="n"/>
      <c r="E205" s="3944" t="n"/>
      <c r="F205" s="3944" t="n"/>
      <c r="G205" s="3944" t="n"/>
      <c r="H205" s="3944" t="n"/>
      <c r="I205" s="3934" t="n"/>
      <c r="J205" s="3934" t="n"/>
      <c r="K205" s="3934" t="n"/>
      <c r="L205" s="3934" t="n"/>
      <c r="M205" s="3934" t="n"/>
      <c r="N205" s="3934" t="n"/>
      <c r="O205" s="3934" t="n"/>
      <c r="P205" s="3934" t="n"/>
      <c r="Q205" s="3934" t="n"/>
      <c r="R205" s="3934" t="n"/>
      <c r="S205" s="3934" t="n"/>
      <c r="T205" s="3934" t="n"/>
      <c r="U205" s="3934" t="n"/>
      <c r="V205" s="3934" t="n"/>
      <c r="W205" s="3934" t="n"/>
      <c r="X205" s="3934" t="n"/>
      <c r="Y205" s="3934" t="n"/>
      <c r="Z205" s="3934" t="n"/>
      <c r="AA205" s="3934" t="n"/>
      <c r="AB205" s="3934" t="n"/>
      <c r="AC205" s="3934" t="n"/>
      <c r="AD205" s="3934" t="n"/>
      <c r="AE205" s="3934" t="n"/>
      <c r="AF205" s="3934" t="n"/>
      <c r="AG205" s="3934" t="n"/>
      <c r="AH205" s="3934" t="n"/>
      <c r="AI205" s="3934" t="n"/>
      <c r="AJ205" s="3934" t="n"/>
      <c r="AK205" s="3934" t="n"/>
      <c r="AL205" s="3934" t="n"/>
      <c r="AM205" s="3934" t="n"/>
      <c r="AN205" s="3934" t="n"/>
      <c r="AO205" s="3934" t="n"/>
      <c r="AP205" s="3934" t="n"/>
      <c r="AQ205" s="3934" t="n"/>
      <c r="AR205" s="3934" t="n"/>
    </row>
    <row r="206">
      <c r="A206" s="3944" t="n"/>
      <c r="B206" s="3944" t="n"/>
      <c r="C206" s="3944" t="n"/>
      <c r="D206" s="3944" t="n"/>
      <c r="E206" s="3944" t="n"/>
      <c r="F206" s="3944" t="n"/>
      <c r="G206" s="3944" t="n"/>
      <c r="H206" s="3944" t="n"/>
      <c r="I206" s="3934" t="n"/>
      <c r="J206" s="3934" t="n"/>
      <c r="K206" s="3934" t="n"/>
      <c r="L206" s="3934" t="n"/>
      <c r="M206" s="3934" t="n"/>
      <c r="N206" s="3934" t="n"/>
      <c r="O206" s="3934" t="n"/>
      <c r="P206" s="3934" t="n"/>
      <c r="Q206" s="3934" t="n"/>
      <c r="R206" s="3934" t="n"/>
      <c r="S206" s="3934" t="n"/>
      <c r="T206" s="3934" t="n"/>
      <c r="U206" s="3934" t="n"/>
      <c r="V206" s="3934" t="n"/>
      <c r="W206" s="3934" t="n"/>
      <c r="X206" s="3934" t="n"/>
      <c r="Y206" s="3934" t="n"/>
      <c r="Z206" s="3934" t="n"/>
      <c r="AA206" s="3934" t="n"/>
      <c r="AB206" s="3934" t="n"/>
      <c r="AC206" s="3934" t="n"/>
      <c r="AD206" s="3934" t="n"/>
      <c r="AE206" s="3934" t="n"/>
      <c r="AF206" s="3934" t="n"/>
      <c r="AG206" s="3934" t="n"/>
      <c r="AH206" s="3934" t="n"/>
      <c r="AI206" s="3934" t="n"/>
      <c r="AJ206" s="3934" t="n"/>
      <c r="AK206" s="3934" t="n"/>
      <c r="AL206" s="3934" t="n"/>
      <c r="AM206" s="3934" t="n"/>
      <c r="AN206" s="3934" t="n"/>
      <c r="AO206" s="3934" t="n"/>
      <c r="AP206" s="3934" t="n"/>
      <c r="AQ206" s="3934" t="n"/>
      <c r="AR206" s="3934" t="n"/>
    </row>
    <row r="207">
      <c r="A207" s="3944" t="n"/>
      <c r="B207" s="3944" t="n"/>
      <c r="C207" s="3944" t="n"/>
      <c r="D207" s="3944" t="n"/>
      <c r="E207" s="3944" t="n"/>
      <c r="F207" s="3944" t="n"/>
      <c r="G207" s="3944" t="n"/>
      <c r="H207" s="3944" t="n"/>
      <c r="I207" s="3934" t="n"/>
      <c r="J207" s="3934" t="n"/>
      <c r="K207" s="3934" t="n"/>
      <c r="L207" s="3934" t="n"/>
      <c r="M207" s="3934" t="n"/>
      <c r="N207" s="3934" t="n"/>
      <c r="O207" s="3934" t="n"/>
      <c r="P207" s="3934" t="n"/>
      <c r="Q207" s="3934" t="n"/>
      <c r="R207" s="3934" t="n"/>
      <c r="S207" s="3934" t="n"/>
      <c r="T207" s="3934" t="n"/>
      <c r="U207" s="3934" t="n"/>
      <c r="V207" s="3934" t="n"/>
      <c r="W207" s="3934" t="n"/>
      <c r="X207" s="3934" t="n"/>
      <c r="Y207" s="3934" t="n"/>
      <c r="Z207" s="3934" t="n"/>
      <c r="AA207" s="3934" t="n"/>
      <c r="AB207" s="3934" t="n"/>
      <c r="AC207" s="3934" t="n"/>
      <c r="AD207" s="3934" t="n"/>
      <c r="AE207" s="3934" t="n"/>
      <c r="AF207" s="3934" t="n"/>
      <c r="AG207" s="3934" t="n"/>
      <c r="AH207" s="3934" t="n"/>
      <c r="AI207" s="3934" t="n"/>
      <c r="AJ207" s="3934" t="n"/>
      <c r="AK207" s="3934" t="n"/>
      <c r="AL207" s="3934" t="n"/>
      <c r="AM207" s="3934" t="n"/>
      <c r="AN207" s="3934" t="n"/>
      <c r="AO207" s="3934" t="n"/>
      <c r="AP207" s="3934" t="n"/>
      <c r="AQ207" s="3934" t="n"/>
      <c r="AR207" s="3934" t="n"/>
    </row>
    <row r="208">
      <c r="A208" s="3944" t="n"/>
      <c r="B208" s="3944" t="n"/>
      <c r="C208" s="3944" t="n"/>
      <c r="D208" s="3944" t="n"/>
      <c r="E208" s="3944" t="n"/>
      <c r="F208" s="3944" t="n"/>
      <c r="G208" s="3944" t="n"/>
      <c r="H208" s="3944" t="n"/>
      <c r="I208" s="3934" t="n"/>
      <c r="J208" s="3934" t="n"/>
      <c r="K208" s="3934" t="n"/>
      <c r="L208" s="3934" t="n"/>
      <c r="M208" s="3934" t="n"/>
      <c r="N208" s="3934" t="n"/>
      <c r="O208" s="3934" t="n"/>
      <c r="P208" s="3934" t="n"/>
      <c r="Q208" s="3934" t="n"/>
      <c r="R208" s="3934" t="n"/>
      <c r="S208" s="3934" t="n"/>
      <c r="T208" s="3934" t="n"/>
      <c r="U208" s="3934" t="n"/>
      <c r="V208" s="3934" t="n"/>
      <c r="W208" s="3934" t="n"/>
      <c r="X208" s="3934" t="n"/>
      <c r="Y208" s="3934" t="n"/>
      <c r="Z208" s="3934" t="n"/>
      <c r="AA208" s="3934" t="n"/>
      <c r="AB208" s="3934" t="n"/>
      <c r="AC208" s="3934" t="n"/>
      <c r="AD208" s="3934" t="n"/>
      <c r="AE208" s="3934" t="n"/>
      <c r="AF208" s="3934" t="n"/>
      <c r="AG208" s="3934" t="n"/>
      <c r="AH208" s="3934" t="n"/>
      <c r="AI208" s="3934" t="n"/>
      <c r="AJ208" s="3934" t="n"/>
      <c r="AK208" s="3934" t="n"/>
      <c r="AL208" s="3934" t="n"/>
      <c r="AM208" s="3934" t="n"/>
      <c r="AN208" s="3934" t="n"/>
      <c r="AO208" s="3934" t="n"/>
      <c r="AP208" s="3934" t="n"/>
      <c r="AQ208" s="3934" t="n"/>
      <c r="AR208" s="3934" t="n"/>
    </row>
    <row r="209">
      <c r="A209" s="3944" t="n"/>
      <c r="B209" s="3944" t="n"/>
      <c r="C209" s="3944" t="n"/>
      <c r="D209" s="3944" t="n"/>
      <c r="E209" s="3944" t="n"/>
      <c r="F209" s="3944" t="n"/>
      <c r="G209" s="3944" t="n"/>
      <c r="H209" s="3944" t="n"/>
      <c r="I209" s="3934" t="n"/>
      <c r="J209" s="3934" t="n"/>
      <c r="K209" s="3934" t="n"/>
      <c r="L209" s="3934" t="n"/>
      <c r="M209" s="3934" t="n"/>
      <c r="N209" s="3934" t="n"/>
      <c r="O209" s="3934" t="n"/>
      <c r="P209" s="3934" t="n"/>
      <c r="Q209" s="3934" t="n"/>
      <c r="R209" s="3934" t="n"/>
      <c r="S209" s="3934" t="n"/>
      <c r="T209" s="3934" t="n"/>
      <c r="U209" s="3934" t="n"/>
      <c r="V209" s="3934" t="n"/>
      <c r="W209" s="3934" t="n"/>
      <c r="X209" s="3934" t="n"/>
      <c r="Y209" s="3934" t="n"/>
      <c r="Z209" s="3934" t="n"/>
      <c r="AA209" s="3934" t="n"/>
      <c r="AB209" s="3934" t="n"/>
      <c r="AC209" s="3934" t="n"/>
      <c r="AD209" s="3934" t="n"/>
      <c r="AE209" s="3934" t="n"/>
      <c r="AF209" s="3934" t="n"/>
      <c r="AG209" s="3934" t="n"/>
      <c r="AH209" s="3934" t="n"/>
      <c r="AI209" s="3934" t="n"/>
      <c r="AJ209" s="3934" t="n"/>
      <c r="AK209" s="3934" t="n"/>
      <c r="AL209" s="3934" t="n"/>
      <c r="AM209" s="3934" t="n"/>
      <c r="AN209" s="3934" t="n"/>
      <c r="AO209" s="3934" t="n"/>
      <c r="AP209" s="3934" t="n"/>
      <c r="AQ209" s="3934" t="n"/>
      <c r="AR209" s="3934" t="n"/>
    </row>
    <row r="210">
      <c r="A210" s="3944" t="n"/>
      <c r="B210" s="3944" t="n"/>
      <c r="C210" s="3944" t="n"/>
      <c r="D210" s="3944" t="n"/>
      <c r="E210" s="3944" t="n"/>
      <c r="F210" s="3944" t="n"/>
      <c r="G210" s="3944" t="n"/>
      <c r="H210" s="3944" t="n"/>
      <c r="I210" s="3934" t="n"/>
      <c r="J210" s="3934" t="n"/>
      <c r="K210" s="3934" t="n"/>
      <c r="L210" s="3934" t="n"/>
      <c r="M210" s="3934" t="n"/>
      <c r="N210" s="3934" t="n"/>
      <c r="O210" s="3934" t="n"/>
      <c r="P210" s="3934" t="n"/>
      <c r="Q210" s="3934" t="n"/>
      <c r="R210" s="3934" t="n"/>
      <c r="S210" s="3934" t="n"/>
      <c r="T210" s="3934" t="n"/>
      <c r="U210" s="3934" t="n"/>
      <c r="V210" s="3934" t="n"/>
      <c r="W210" s="3934" t="n"/>
      <c r="X210" s="3934" t="n"/>
      <c r="Y210" s="3934" t="n"/>
      <c r="Z210" s="3934" t="n"/>
      <c r="AA210" s="3934" t="n"/>
      <c r="AB210" s="3934" t="n"/>
      <c r="AC210" s="3934" t="n"/>
      <c r="AD210" s="3934" t="n"/>
      <c r="AE210" s="3934" t="n"/>
      <c r="AF210" s="3934" t="n"/>
      <c r="AG210" s="3934" t="n"/>
      <c r="AH210" s="3934" t="n"/>
      <c r="AI210" s="3934" t="n"/>
      <c r="AJ210" s="3934" t="n"/>
      <c r="AK210" s="3934" t="n"/>
      <c r="AL210" s="3934" t="n"/>
      <c r="AM210" s="3934" t="n"/>
      <c r="AN210" s="3934" t="n"/>
      <c r="AO210" s="3934" t="n"/>
      <c r="AP210" s="3934" t="n"/>
      <c r="AQ210" s="3934" t="n"/>
      <c r="AR210" s="3934" t="n"/>
    </row>
    <row r="211">
      <c r="A211" s="3944" t="n"/>
      <c r="B211" s="3944" t="n"/>
      <c r="C211" s="3944" t="n"/>
      <c r="D211" s="3944" t="n"/>
      <c r="E211" s="3944" t="n"/>
      <c r="F211" s="3944" t="n"/>
      <c r="G211" s="3944" t="n"/>
      <c r="H211" s="3944" t="n"/>
      <c r="I211" s="3934" t="n"/>
      <c r="J211" s="3934" t="n"/>
      <c r="K211" s="3934" t="n"/>
      <c r="L211" s="3934" t="n"/>
      <c r="M211" s="3934" t="n"/>
      <c r="N211" s="3934" t="n"/>
      <c r="O211" s="3934" t="n"/>
      <c r="P211" s="3934" t="n"/>
      <c r="Q211" s="3934" t="n"/>
      <c r="R211" s="3934" t="n"/>
      <c r="S211" s="3934" t="n"/>
      <c r="T211" s="3934" t="n"/>
      <c r="U211" s="3934" t="n"/>
      <c r="V211" s="3934" t="n"/>
      <c r="W211" s="3934" t="n"/>
      <c r="X211" s="3934" t="n"/>
      <c r="Y211" s="3934" t="n"/>
      <c r="Z211" s="3934" t="n"/>
      <c r="AA211" s="3934" t="n"/>
      <c r="AB211" s="3934" t="n"/>
      <c r="AC211" s="3934" t="n"/>
      <c r="AD211" s="3934" t="n"/>
      <c r="AE211" s="3934" t="n"/>
      <c r="AF211" s="3934" t="n"/>
      <c r="AG211" s="3934" t="n"/>
      <c r="AH211" s="3934" t="n"/>
      <c r="AI211" s="3934" t="n"/>
      <c r="AJ211" s="3934" t="n"/>
      <c r="AK211" s="3934" t="n"/>
      <c r="AL211" s="3934" t="n"/>
      <c r="AM211" s="3934" t="n"/>
      <c r="AN211" s="3934" t="n"/>
      <c r="AO211" s="3934" t="n"/>
      <c r="AP211" s="3934" t="n"/>
      <c r="AQ211" s="3934" t="n"/>
      <c r="AR211" s="3934" t="n"/>
    </row>
    <row r="212">
      <c r="A212" s="3944" t="n"/>
      <c r="B212" s="3944" t="n"/>
      <c r="C212" s="3944" t="n"/>
      <c r="D212" s="3944" t="n"/>
      <c r="E212" s="3944" t="n"/>
      <c r="F212" s="3944" t="n"/>
      <c r="G212" s="3944" t="n"/>
      <c r="H212" s="3944" t="n"/>
      <c r="I212" s="3934" t="n"/>
      <c r="J212" s="3934" t="n"/>
      <c r="K212" s="3934" t="n"/>
      <c r="L212" s="3934" t="n"/>
      <c r="M212" s="3934" t="n"/>
      <c r="N212" s="3934" t="n"/>
      <c r="O212" s="3934" t="n"/>
      <c r="P212" s="3934" t="n"/>
      <c r="Q212" s="3934" t="n"/>
      <c r="R212" s="3934" t="n"/>
      <c r="S212" s="3934" t="n"/>
      <c r="T212" s="3934" t="n"/>
      <c r="U212" s="3934" t="n"/>
      <c r="V212" s="3934" t="n"/>
      <c r="W212" s="3934" t="n"/>
      <c r="X212" s="3934" t="n"/>
      <c r="Y212" s="3934" t="n"/>
      <c r="Z212" s="3934" t="n"/>
      <c r="AA212" s="3934" t="n"/>
      <c r="AB212" s="3934" t="n"/>
      <c r="AC212" s="3934" t="n"/>
      <c r="AD212" s="3934" t="n"/>
      <c r="AE212" s="3934" t="n"/>
      <c r="AF212" s="3934" t="n"/>
      <c r="AG212" s="3934" t="n"/>
      <c r="AH212" s="3934" t="n"/>
      <c r="AI212" s="3934" t="n"/>
      <c r="AJ212" s="3934" t="n"/>
      <c r="AK212" s="3934" t="n"/>
      <c r="AL212" s="3934" t="n"/>
      <c r="AM212" s="3934" t="n"/>
      <c r="AN212" s="3934" t="n"/>
      <c r="AO212" s="3934" t="n"/>
      <c r="AP212" s="3934" t="n"/>
      <c r="AQ212" s="3934" t="n"/>
      <c r="AR212" s="3934" t="n"/>
    </row>
    <row r="213">
      <c r="A213" s="3944" t="n"/>
      <c r="B213" s="3944" t="n"/>
      <c r="C213" s="3944" t="n"/>
      <c r="D213" s="3944" t="n"/>
      <c r="E213" s="3944" t="n"/>
      <c r="F213" s="3944" t="n"/>
      <c r="G213" s="3944" t="n"/>
      <c r="H213" s="3944" t="n"/>
      <c r="I213" s="3934" t="n"/>
      <c r="J213" s="3934" t="n"/>
      <c r="K213" s="3934" t="n"/>
      <c r="L213" s="3934" t="n"/>
      <c r="M213" s="3934" t="n"/>
      <c r="N213" s="3934" t="n"/>
      <c r="O213" s="3934" t="n"/>
      <c r="P213" s="3934" t="n"/>
      <c r="Q213" s="3934" t="n"/>
      <c r="R213" s="3934" t="n"/>
      <c r="S213" s="3934" t="n"/>
      <c r="T213" s="3934" t="n"/>
      <c r="U213" s="3934" t="n"/>
      <c r="V213" s="3934" t="n"/>
      <c r="W213" s="3934" t="n"/>
      <c r="X213" s="3934" t="n"/>
      <c r="Y213" s="3934" t="n"/>
      <c r="Z213" s="3934" t="n"/>
      <c r="AA213" s="3934" t="n"/>
      <c r="AB213" s="3934" t="n"/>
      <c r="AC213" s="3934" t="n"/>
      <c r="AD213" s="3934" t="n"/>
      <c r="AE213" s="3934" t="n"/>
      <c r="AF213" s="3934" t="n"/>
      <c r="AG213" s="3934" t="n"/>
      <c r="AH213" s="3934" t="n"/>
      <c r="AI213" s="3934" t="n"/>
      <c r="AJ213" s="3934" t="n"/>
      <c r="AK213" s="3934" t="n"/>
      <c r="AL213" s="3934" t="n"/>
      <c r="AM213" s="3934" t="n"/>
      <c r="AN213" s="3934" t="n"/>
      <c r="AO213" s="3934" t="n"/>
      <c r="AP213" s="3934" t="n"/>
      <c r="AQ213" s="3934" t="n"/>
      <c r="AR213" s="3934" t="n"/>
    </row>
    <row r="214">
      <c r="A214" s="3944" t="n"/>
      <c r="B214" s="3944" t="n"/>
      <c r="C214" s="3944" t="n"/>
      <c r="D214" s="3944" t="n"/>
      <c r="E214" s="3944" t="n"/>
      <c r="F214" s="3944" t="n"/>
      <c r="G214" s="3944" t="n"/>
      <c r="H214" s="3944" t="n"/>
      <c r="I214" s="3934" t="n"/>
      <c r="J214" s="3934" t="n"/>
      <c r="K214" s="3934" t="n"/>
      <c r="L214" s="3934" t="n"/>
      <c r="M214" s="3934" t="n"/>
      <c r="N214" s="3934" t="n"/>
      <c r="O214" s="3934" t="n"/>
      <c r="P214" s="3934" t="n"/>
      <c r="Q214" s="3934" t="n"/>
      <c r="R214" s="3934" t="n"/>
      <c r="S214" s="3934" t="n"/>
      <c r="T214" s="3934" t="n"/>
      <c r="U214" s="3934" t="n"/>
      <c r="V214" s="3934" t="n"/>
      <c r="W214" s="3934" t="n"/>
      <c r="X214" s="3934" t="n"/>
      <c r="Y214" s="3934" t="n"/>
      <c r="Z214" s="3934" t="n"/>
      <c r="AA214" s="3934" t="n"/>
      <c r="AB214" s="3934" t="n"/>
      <c r="AC214" s="3934" t="n"/>
      <c r="AD214" s="3934" t="n"/>
      <c r="AE214" s="3934" t="n"/>
      <c r="AF214" s="3934" t="n"/>
      <c r="AG214" s="3934" t="n"/>
      <c r="AH214" s="3934" t="n"/>
      <c r="AI214" s="3934" t="n"/>
      <c r="AJ214" s="3934" t="n"/>
      <c r="AK214" s="3934" t="n"/>
      <c r="AL214" s="3934" t="n"/>
      <c r="AM214" s="3934" t="n"/>
      <c r="AN214" s="3934" t="n"/>
      <c r="AO214" s="3934" t="n"/>
      <c r="AP214" s="3934" t="n"/>
      <c r="AQ214" s="3934" t="n"/>
      <c r="AR214" s="3934" t="n"/>
    </row>
    <row r="215">
      <c r="A215" s="3944" t="n"/>
      <c r="B215" s="3944" t="n"/>
      <c r="C215" s="3944" t="n"/>
      <c r="D215" s="3944" t="n"/>
      <c r="E215" s="3944" t="n"/>
      <c r="F215" s="3944" t="n"/>
      <c r="G215" s="3944" t="n"/>
      <c r="H215" s="3944" t="n"/>
      <c r="I215" s="3934" t="n"/>
      <c r="J215" s="3934" t="n"/>
      <c r="K215" s="3934" t="n"/>
      <c r="L215" s="3934" t="n"/>
      <c r="M215" s="3934" t="n"/>
      <c r="N215" s="3934" t="n"/>
      <c r="O215" s="3934" t="n"/>
      <c r="P215" s="3934" t="n"/>
      <c r="Q215" s="3934" t="n"/>
      <c r="R215" s="3934" t="n"/>
      <c r="S215" s="3934" t="n"/>
      <c r="T215" s="3934" t="n"/>
      <c r="U215" s="3934" t="n"/>
      <c r="V215" s="3934" t="n"/>
      <c r="W215" s="3934" t="n"/>
      <c r="X215" s="3934" t="n"/>
      <c r="Y215" s="3934" t="n"/>
      <c r="Z215" s="3934" t="n"/>
      <c r="AA215" s="3934" t="n"/>
      <c r="AB215" s="3934" t="n"/>
      <c r="AC215" s="3934" t="n"/>
      <c r="AD215" s="3934" t="n"/>
      <c r="AE215" s="3934" t="n"/>
      <c r="AF215" s="3934" t="n"/>
      <c r="AG215" s="3934" t="n"/>
      <c r="AH215" s="3934" t="n"/>
      <c r="AI215" s="3934" t="n"/>
      <c r="AJ215" s="3934" t="n"/>
      <c r="AK215" s="3934" t="n"/>
      <c r="AL215" s="3934" t="n"/>
      <c r="AM215" s="3934" t="n"/>
      <c r="AN215" s="3934" t="n"/>
      <c r="AO215" s="3934" t="n"/>
      <c r="AP215" s="3934" t="n"/>
      <c r="AQ215" s="3934" t="n"/>
      <c r="AR215" s="3934" t="n"/>
    </row>
    <row r="216">
      <c r="A216" s="3944" t="n"/>
      <c r="B216" s="3944" t="n"/>
      <c r="C216" s="3944" t="n"/>
      <c r="D216" s="3944" t="n"/>
      <c r="E216" s="3944" t="n"/>
      <c r="F216" s="3944" t="n"/>
      <c r="G216" s="3944" t="n"/>
      <c r="H216" s="3944" t="n"/>
      <c r="I216" s="3934" t="n"/>
      <c r="J216" s="3934" t="n"/>
      <c r="K216" s="3934" t="n"/>
      <c r="L216" s="3934" t="n"/>
      <c r="M216" s="3934" t="n"/>
      <c r="N216" s="3934" t="n"/>
      <c r="O216" s="3934" t="n"/>
      <c r="P216" s="3934" t="n"/>
      <c r="Q216" s="3934" t="n"/>
      <c r="R216" s="3934" t="n"/>
      <c r="S216" s="3934" t="n"/>
      <c r="T216" s="3934" t="n"/>
      <c r="U216" s="3934" t="n"/>
      <c r="V216" s="3934" t="n"/>
      <c r="W216" s="3934" t="n"/>
      <c r="X216" s="3934" t="n"/>
      <c r="Y216" s="3934" t="n"/>
      <c r="Z216" s="3934" t="n"/>
      <c r="AA216" s="3934" t="n"/>
      <c r="AB216" s="3934" t="n"/>
      <c r="AC216" s="3934" t="n"/>
      <c r="AD216" s="3934" t="n"/>
      <c r="AE216" s="3934" t="n"/>
      <c r="AF216" s="3934" t="n"/>
      <c r="AG216" s="3934" t="n"/>
      <c r="AH216" s="3934" t="n"/>
      <c r="AI216" s="3934" t="n"/>
      <c r="AJ216" s="3934" t="n"/>
      <c r="AK216" s="3934" t="n"/>
      <c r="AL216" s="3934" t="n"/>
      <c r="AM216" s="3934" t="n"/>
      <c r="AN216" s="3934" t="n"/>
      <c r="AO216" s="3934" t="n"/>
      <c r="AP216" s="3934" t="n"/>
      <c r="AQ216" s="3934" t="n"/>
      <c r="AR216" s="3934" t="n"/>
    </row>
    <row r="217">
      <c r="A217" s="3944" t="n"/>
      <c r="B217" s="3944" t="n"/>
      <c r="C217" s="3944" t="n"/>
      <c r="D217" s="3944" t="n"/>
      <c r="E217" s="3944" t="n"/>
      <c r="F217" s="3944" t="n"/>
      <c r="G217" s="3944" t="n"/>
      <c r="H217" s="3944" t="n"/>
      <c r="I217" s="3934" t="n"/>
      <c r="J217" s="3934" t="n"/>
      <c r="K217" s="3934" t="n"/>
      <c r="L217" s="3934" t="n"/>
      <c r="M217" s="3934" t="n"/>
      <c r="N217" s="3934" t="n"/>
      <c r="O217" s="3934" t="n"/>
      <c r="P217" s="3934" t="n"/>
      <c r="Q217" s="3934" t="n"/>
      <c r="R217" s="3934" t="n"/>
      <c r="S217" s="3934" t="n"/>
      <c r="T217" s="3934" t="n"/>
      <c r="U217" s="3934" t="n"/>
      <c r="V217" s="3934" t="n"/>
      <c r="W217" s="3934" t="n"/>
      <c r="X217" s="3934" t="n"/>
      <c r="Y217" s="3934" t="n"/>
      <c r="Z217" s="3934" t="n"/>
      <c r="AA217" s="3934" t="n"/>
      <c r="AB217" s="3934" t="n"/>
      <c r="AC217" s="3934" t="n"/>
      <c r="AD217" s="3934" t="n"/>
      <c r="AE217" s="3934" t="n"/>
      <c r="AF217" s="3934" t="n"/>
      <c r="AG217" s="3934" t="n"/>
      <c r="AH217" s="3934" t="n"/>
      <c r="AI217" s="3934" t="n"/>
      <c r="AJ217" s="3934" t="n"/>
      <c r="AK217" s="3934" t="n"/>
      <c r="AL217" s="3934" t="n"/>
      <c r="AM217" s="3934" t="n"/>
      <c r="AN217" s="3934" t="n"/>
      <c r="AO217" s="3934" t="n"/>
      <c r="AP217" s="3934" t="n"/>
      <c r="AQ217" s="3934" t="n"/>
      <c r="AR217" s="3934" t="n"/>
    </row>
    <row r="218">
      <c r="A218" s="3944" t="n"/>
      <c r="B218" s="3944" t="n"/>
      <c r="C218" s="3944" t="n"/>
      <c r="D218" s="3944" t="n"/>
      <c r="E218" s="3944" t="n"/>
      <c r="F218" s="3944" t="n"/>
      <c r="G218" s="3944" t="n"/>
      <c r="H218" s="3944" t="n"/>
      <c r="I218" s="3934" t="n"/>
      <c r="J218" s="3934" t="n"/>
      <c r="K218" s="3934" t="n"/>
      <c r="L218" s="3934" t="n"/>
      <c r="M218" s="3934" t="n"/>
      <c r="N218" s="3934" t="n"/>
      <c r="O218" s="3934" t="n"/>
      <c r="P218" s="3934" t="n"/>
      <c r="Q218" s="3934" t="n"/>
      <c r="R218" s="3934" t="n"/>
      <c r="S218" s="3934" t="n"/>
      <c r="T218" s="3934" t="n"/>
      <c r="U218" s="3934" t="n"/>
      <c r="V218" s="3934" t="n"/>
      <c r="W218" s="3934" t="n"/>
      <c r="X218" s="3934" t="n"/>
      <c r="Y218" s="3934" t="n"/>
      <c r="Z218" s="3934" t="n"/>
      <c r="AA218" s="3934" t="n"/>
      <c r="AB218" s="3934" t="n"/>
      <c r="AC218" s="3934" t="n"/>
      <c r="AD218" s="3934" t="n"/>
      <c r="AE218" s="3934" t="n"/>
      <c r="AF218" s="3934" t="n"/>
      <c r="AG218" s="3934" t="n"/>
      <c r="AH218" s="3934" t="n"/>
      <c r="AI218" s="3934" t="n"/>
      <c r="AJ218" s="3934" t="n"/>
      <c r="AK218" s="3934" t="n"/>
      <c r="AL218" s="3934" t="n"/>
      <c r="AM218" s="3934" t="n"/>
      <c r="AN218" s="3934" t="n"/>
      <c r="AO218" s="3934" t="n"/>
      <c r="AP218" s="3934" t="n"/>
      <c r="AQ218" s="3934" t="n"/>
      <c r="AR218" s="3934" t="n"/>
    </row>
    <row r="219">
      <c r="A219" s="3944" t="n"/>
      <c r="B219" s="3944" t="n"/>
      <c r="C219" s="3944" t="n"/>
      <c r="D219" s="3944" t="n"/>
      <c r="E219" s="3944" t="n"/>
      <c r="F219" s="3944" t="n"/>
      <c r="G219" s="3944" t="n"/>
      <c r="H219" s="3944" t="n"/>
      <c r="I219" s="3934" t="n"/>
      <c r="J219" s="3934" t="n"/>
      <c r="K219" s="3934" t="n"/>
      <c r="L219" s="3934" t="n"/>
      <c r="M219" s="3934" t="n"/>
      <c r="N219" s="3934" t="n"/>
      <c r="O219" s="3934" t="n"/>
      <c r="P219" s="3934" t="n"/>
      <c r="Q219" s="3934" t="n"/>
      <c r="R219" s="3934" t="n"/>
      <c r="S219" s="3934" t="n"/>
      <c r="T219" s="3934" t="n"/>
      <c r="U219" s="3934" t="n"/>
      <c r="V219" s="3934" t="n"/>
      <c r="W219" s="3934" t="n"/>
      <c r="X219" s="3934" t="n"/>
      <c r="Y219" s="3934" t="n"/>
      <c r="Z219" s="3934" t="n"/>
      <c r="AA219" s="3934" t="n"/>
      <c r="AB219" s="3934" t="n"/>
      <c r="AC219" s="3934" t="n"/>
      <c r="AD219" s="3934" t="n"/>
      <c r="AE219" s="3934" t="n"/>
      <c r="AF219" s="3934" t="n"/>
      <c r="AG219" s="3934" t="n"/>
      <c r="AH219" s="3934" t="n"/>
      <c r="AI219" s="3934" t="n"/>
      <c r="AJ219" s="3934" t="n"/>
      <c r="AK219" s="3934" t="n"/>
      <c r="AL219" s="3934" t="n"/>
      <c r="AM219" s="3934" t="n"/>
      <c r="AN219" s="3934" t="n"/>
      <c r="AO219" s="3934" t="n"/>
      <c r="AP219" s="3934" t="n"/>
      <c r="AQ219" s="3934" t="n"/>
      <c r="AR219" s="3934" t="n"/>
    </row>
    <row r="220">
      <c r="A220" s="3944" t="n"/>
      <c r="B220" s="3944" t="n"/>
      <c r="C220" s="3944" t="n"/>
      <c r="D220" s="3944" t="n"/>
      <c r="E220" s="3944" t="n"/>
      <c r="F220" s="3944" t="n"/>
      <c r="G220" s="3944" t="n"/>
      <c r="H220" s="3944" t="n"/>
      <c r="I220" s="3934" t="n"/>
      <c r="J220" s="3934" t="n"/>
      <c r="K220" s="3934" t="n"/>
      <c r="L220" s="3934" t="n"/>
      <c r="M220" s="3934" t="n"/>
      <c r="N220" s="3934" t="n"/>
      <c r="O220" s="3934" t="n"/>
      <c r="P220" s="3934" t="n"/>
      <c r="Q220" s="3934" t="n"/>
      <c r="R220" s="3934" t="n"/>
      <c r="S220" s="3934" t="n"/>
      <c r="T220" s="3934" t="n"/>
      <c r="U220" s="3934" t="n"/>
      <c r="V220" s="3934" t="n"/>
      <c r="W220" s="3934" t="n"/>
      <c r="X220" s="3934" t="n"/>
      <c r="Y220" s="3934" t="n"/>
      <c r="Z220" s="3934" t="n"/>
      <c r="AA220" s="3934" t="n"/>
      <c r="AB220" s="3934" t="n"/>
      <c r="AC220" s="3934" t="n"/>
      <c r="AD220" s="3934" t="n"/>
      <c r="AE220" s="3934" t="n"/>
      <c r="AF220" s="3934" t="n"/>
      <c r="AG220" s="3934" t="n"/>
      <c r="AH220" s="3934" t="n"/>
      <c r="AI220" s="3934" t="n"/>
      <c r="AJ220" s="3934" t="n"/>
      <c r="AK220" s="3934" t="n"/>
      <c r="AL220" s="3934" t="n"/>
      <c r="AM220" s="3934" t="n"/>
      <c r="AN220" s="3934" t="n"/>
      <c r="AO220" s="3934" t="n"/>
      <c r="AP220" s="3934" t="n"/>
      <c r="AQ220" s="3934" t="n"/>
      <c r="AR220" s="3934" t="n"/>
    </row>
    <row r="221">
      <c r="A221" s="3944" t="n"/>
      <c r="B221" s="3944" t="n"/>
      <c r="C221" s="3944" t="n"/>
      <c r="D221" s="3944" t="n"/>
      <c r="E221" s="3944" t="n"/>
      <c r="F221" s="3944" t="n"/>
      <c r="G221" s="3944" t="n"/>
      <c r="H221" s="3944" t="n"/>
      <c r="I221" s="3934" t="n"/>
      <c r="J221" s="3934" t="n"/>
      <c r="K221" s="3934" t="n"/>
      <c r="L221" s="3934" t="n"/>
      <c r="M221" s="3934" t="n"/>
      <c r="N221" s="3934" t="n"/>
      <c r="O221" s="3934" t="n"/>
      <c r="P221" s="3934" t="n"/>
      <c r="Q221" s="3934" t="n"/>
      <c r="R221" s="3934" t="n"/>
      <c r="S221" s="3934" t="n"/>
      <c r="T221" s="3934" t="n"/>
      <c r="U221" s="3934" t="n"/>
      <c r="V221" s="3934" t="n"/>
      <c r="W221" s="3934" t="n"/>
      <c r="X221" s="3934" t="n"/>
      <c r="Y221" s="3934" t="n"/>
      <c r="Z221" s="3934" t="n"/>
      <c r="AA221" s="3934" t="n"/>
      <c r="AB221" s="3934" t="n"/>
      <c r="AC221" s="3934" t="n"/>
      <c r="AD221" s="3934" t="n"/>
      <c r="AE221" s="3934" t="n"/>
      <c r="AF221" s="3934" t="n"/>
      <c r="AG221" s="3934" t="n"/>
      <c r="AH221" s="3934" t="n"/>
      <c r="AI221" s="3934" t="n"/>
      <c r="AJ221" s="3934" t="n"/>
      <c r="AK221" s="3934" t="n"/>
      <c r="AL221" s="3934" t="n"/>
      <c r="AM221" s="3934" t="n"/>
      <c r="AN221" s="3934" t="n"/>
      <c r="AO221" s="3934" t="n"/>
      <c r="AP221" s="3934" t="n"/>
      <c r="AQ221" s="3934" t="n"/>
      <c r="AR221" s="3934" t="n"/>
    </row>
    <row r="222">
      <c r="A222" s="3944" t="n"/>
      <c r="B222" s="3944" t="n"/>
      <c r="C222" s="3944" t="n"/>
      <c r="D222" s="3944" t="n"/>
      <c r="E222" s="3944" t="n"/>
      <c r="F222" s="3944" t="n"/>
      <c r="G222" s="3944" t="n"/>
      <c r="H222" s="3944" t="n"/>
      <c r="I222" s="3934" t="n"/>
      <c r="J222" s="3934" t="n"/>
      <c r="K222" s="3934" t="n"/>
      <c r="L222" s="3934" t="n"/>
      <c r="M222" s="3934" t="n"/>
      <c r="N222" s="3934" t="n"/>
      <c r="O222" s="3934" t="n"/>
      <c r="P222" s="3934" t="n"/>
      <c r="Q222" s="3934" t="n"/>
      <c r="R222" s="3934" t="n"/>
      <c r="S222" s="3934" t="n"/>
      <c r="T222" s="3934" t="n"/>
      <c r="U222" s="3934" t="n"/>
      <c r="V222" s="3934" t="n"/>
      <c r="W222" s="3934" t="n"/>
      <c r="X222" s="3934" t="n"/>
      <c r="Y222" s="3934" t="n"/>
      <c r="Z222" s="3934" t="n"/>
      <c r="AA222" s="3934" t="n"/>
      <c r="AB222" s="3934" t="n"/>
      <c r="AC222" s="3934" t="n"/>
      <c r="AD222" s="3934" t="n"/>
      <c r="AE222" s="3934" t="n"/>
      <c r="AF222" s="3934" t="n"/>
      <c r="AG222" s="3934" t="n"/>
      <c r="AH222" s="3934" t="n"/>
      <c r="AI222" s="3934" t="n"/>
      <c r="AJ222" s="3934" t="n"/>
      <c r="AK222" s="3934" t="n"/>
      <c r="AL222" s="3934" t="n"/>
      <c r="AM222" s="3934" t="n"/>
      <c r="AN222" s="3934" t="n"/>
      <c r="AO222" s="3934" t="n"/>
      <c r="AP222" s="3934" t="n"/>
      <c r="AQ222" s="3934" t="n"/>
      <c r="AR222" s="3934" t="n"/>
    </row>
    <row r="223">
      <c r="A223" s="3944" t="n"/>
      <c r="B223" s="3944" t="n"/>
      <c r="C223" s="3944" t="n"/>
      <c r="D223" s="3944" t="n"/>
      <c r="E223" s="3944" t="n"/>
      <c r="F223" s="3944" t="n"/>
      <c r="G223" s="3944" t="n"/>
      <c r="H223" s="3944" t="n"/>
      <c r="I223" s="3934" t="n"/>
      <c r="J223" s="3934" t="n"/>
      <c r="K223" s="3934" t="n"/>
      <c r="L223" s="3934" t="n"/>
      <c r="M223" s="3934" t="n"/>
      <c r="N223" s="3934" t="n"/>
      <c r="O223" s="3934" t="n"/>
      <c r="P223" s="3934" t="n"/>
      <c r="Q223" s="3934" t="n"/>
      <c r="R223" s="3934" t="n"/>
      <c r="S223" s="3934" t="n"/>
      <c r="T223" s="3934" t="n"/>
      <c r="U223" s="3934" t="n"/>
      <c r="V223" s="3934" t="n"/>
      <c r="W223" s="3934" t="n"/>
      <c r="X223" s="3934" t="n"/>
      <c r="Y223" s="3934" t="n"/>
      <c r="Z223" s="3934" t="n"/>
      <c r="AA223" s="3934" t="n"/>
      <c r="AB223" s="3934" t="n"/>
      <c r="AC223" s="3934" t="n"/>
      <c r="AD223" s="3934" t="n"/>
      <c r="AE223" s="3934" t="n"/>
      <c r="AF223" s="3934" t="n"/>
      <c r="AG223" s="3934" t="n"/>
      <c r="AH223" s="3934" t="n"/>
      <c r="AI223" s="3934" t="n"/>
      <c r="AJ223" s="3934" t="n"/>
      <c r="AK223" s="3934" t="n"/>
      <c r="AL223" s="3934" t="n"/>
      <c r="AM223" s="3934" t="n"/>
      <c r="AN223" s="3934" t="n"/>
      <c r="AO223" s="3934" t="n"/>
      <c r="AP223" s="3934" t="n"/>
      <c r="AQ223" s="3934" t="n"/>
      <c r="AR223" s="3934" t="n"/>
    </row>
    <row r="224">
      <c r="A224" s="3944" t="n"/>
      <c r="B224" s="3944" t="n"/>
      <c r="C224" s="3944" t="n"/>
      <c r="D224" s="3944" t="n"/>
      <c r="E224" s="3944" t="n"/>
      <c r="F224" s="3944" t="n"/>
      <c r="G224" s="3944" t="n"/>
      <c r="H224" s="3944" t="n"/>
      <c r="I224" s="3934" t="n"/>
      <c r="J224" s="3934" t="n"/>
      <c r="K224" s="3934" t="n"/>
      <c r="L224" s="3934" t="n"/>
      <c r="M224" s="3934" t="n"/>
      <c r="N224" s="3934" t="n"/>
      <c r="O224" s="3934" t="n"/>
      <c r="P224" s="3934" t="n"/>
      <c r="Q224" s="3934" t="n"/>
      <c r="R224" s="3934" t="n"/>
      <c r="S224" s="3934" t="n"/>
      <c r="T224" s="3934" t="n"/>
      <c r="U224" s="3934" t="n"/>
      <c r="V224" s="3934" t="n"/>
      <c r="W224" s="3934" t="n"/>
      <c r="X224" s="3934" t="n"/>
      <c r="Y224" s="3934" t="n"/>
      <c r="Z224" s="3934" t="n"/>
      <c r="AA224" s="3934" t="n"/>
      <c r="AB224" s="3934" t="n"/>
      <c r="AC224" s="3934" t="n"/>
      <c r="AD224" s="3934" t="n"/>
      <c r="AE224" s="3934" t="n"/>
      <c r="AF224" s="3934" t="n"/>
      <c r="AG224" s="3934" t="n"/>
      <c r="AH224" s="3934" t="n"/>
      <c r="AI224" s="3934" t="n"/>
      <c r="AJ224" s="3934" t="n"/>
      <c r="AK224" s="3934" t="n"/>
      <c r="AL224" s="3934" t="n"/>
      <c r="AM224" s="3934" t="n"/>
      <c r="AN224" s="3934" t="n"/>
      <c r="AO224" s="3934" t="n"/>
      <c r="AP224" s="3934" t="n"/>
      <c r="AQ224" s="3934" t="n"/>
      <c r="AR224" s="3934" t="n"/>
    </row>
    <row r="225">
      <c r="A225" s="3944" t="n"/>
      <c r="B225" s="3944" t="n"/>
      <c r="C225" s="3944" t="n"/>
      <c r="D225" s="3944" t="n"/>
      <c r="E225" s="3944" t="n"/>
      <c r="F225" s="3944" t="n"/>
      <c r="G225" s="3944" t="n"/>
      <c r="H225" s="3944" t="n"/>
      <c r="I225" s="3934" t="n"/>
      <c r="J225" s="3934" t="n"/>
      <c r="K225" s="3934" t="n"/>
      <c r="L225" s="3934" t="n"/>
      <c r="M225" s="3934" t="n"/>
      <c r="N225" s="3934" t="n"/>
      <c r="O225" s="3934" t="n"/>
      <c r="P225" s="3934" t="n"/>
      <c r="Q225" s="3934" t="n"/>
      <c r="R225" s="3934" t="n"/>
      <c r="S225" s="3934" t="n"/>
      <c r="T225" s="3934" t="n"/>
      <c r="U225" s="3934" t="n"/>
      <c r="V225" s="3934" t="n"/>
      <c r="W225" s="3934" t="n"/>
      <c r="X225" s="3934" t="n"/>
      <c r="Y225" s="3934" t="n"/>
      <c r="Z225" s="3934" t="n"/>
      <c r="AA225" s="3934" t="n"/>
      <c r="AB225" s="3934" t="n"/>
      <c r="AC225" s="3934" t="n"/>
      <c r="AD225" s="3934" t="n"/>
      <c r="AE225" s="3934" t="n"/>
      <c r="AF225" s="3934" t="n"/>
      <c r="AG225" s="3934" t="n"/>
      <c r="AH225" s="3934" t="n"/>
      <c r="AI225" s="3934" t="n"/>
      <c r="AJ225" s="3934" t="n"/>
      <c r="AK225" s="3934" t="n"/>
      <c r="AL225" s="3934" t="n"/>
      <c r="AM225" s="3934" t="n"/>
      <c r="AN225" s="3934" t="n"/>
      <c r="AO225" s="3934" t="n"/>
      <c r="AP225" s="3934" t="n"/>
      <c r="AQ225" s="3934" t="n"/>
      <c r="AR225" s="3934" t="n"/>
    </row>
    <row r="226">
      <c r="A226" s="3944" t="n"/>
      <c r="B226" s="3944" t="n"/>
      <c r="C226" s="3944" t="n"/>
      <c r="D226" s="3944" t="n"/>
      <c r="E226" s="3944" t="n"/>
      <c r="F226" s="3944" t="n"/>
      <c r="G226" s="3944" t="n"/>
      <c r="H226" s="3944" t="n"/>
      <c r="I226" s="3934" t="n"/>
      <c r="J226" s="3934" t="n"/>
      <c r="K226" s="3934" t="n"/>
      <c r="L226" s="3934" t="n"/>
      <c r="M226" s="3934" t="n"/>
      <c r="N226" s="3934" t="n"/>
      <c r="O226" s="3934" t="n"/>
      <c r="P226" s="3934" t="n"/>
      <c r="Q226" s="3934" t="n"/>
      <c r="R226" s="3934" t="n"/>
      <c r="S226" s="3934" t="n"/>
      <c r="T226" s="3934" t="n"/>
      <c r="U226" s="3934" t="n"/>
      <c r="V226" s="3934" t="n"/>
      <c r="W226" s="3934" t="n"/>
      <c r="X226" s="3934" t="n"/>
      <c r="Y226" s="3934" t="n"/>
      <c r="Z226" s="3934" t="n"/>
      <c r="AA226" s="3934" t="n"/>
      <c r="AB226" s="3934" t="n"/>
      <c r="AC226" s="3934" t="n"/>
      <c r="AD226" s="3934" t="n"/>
      <c r="AE226" s="3934" t="n"/>
      <c r="AF226" s="3934" t="n"/>
      <c r="AG226" s="3934" t="n"/>
      <c r="AH226" s="3934" t="n"/>
      <c r="AI226" s="3934" t="n"/>
      <c r="AJ226" s="3934" t="n"/>
      <c r="AK226" s="3934" t="n"/>
      <c r="AL226" s="3934" t="n"/>
      <c r="AM226" s="3934" t="n"/>
      <c r="AN226" s="3934" t="n"/>
      <c r="AO226" s="3934" t="n"/>
      <c r="AP226" s="3934" t="n"/>
      <c r="AQ226" s="3934" t="n"/>
      <c r="AR226" s="3934" t="n"/>
    </row>
    <row r="227">
      <c r="A227" s="3944" t="n"/>
      <c r="B227" s="3944" t="n"/>
      <c r="C227" s="3944" t="n"/>
      <c r="D227" s="3944" t="n"/>
      <c r="E227" s="3944" t="n"/>
      <c r="F227" s="3944" t="n"/>
      <c r="G227" s="3944" t="n"/>
      <c r="H227" s="3944" t="n"/>
      <c r="I227" s="3934" t="n"/>
      <c r="J227" s="3934" t="n"/>
      <c r="K227" s="3934" t="n"/>
      <c r="L227" s="3934" t="n"/>
      <c r="M227" s="3934" t="n"/>
      <c r="N227" s="3934" t="n"/>
      <c r="O227" s="3934" t="n"/>
      <c r="P227" s="3934" t="n"/>
      <c r="Q227" s="3934" t="n"/>
      <c r="R227" s="3934" t="n"/>
      <c r="S227" s="3934" t="n"/>
      <c r="T227" s="3934" t="n"/>
      <c r="U227" s="3934" t="n"/>
      <c r="V227" s="3934" t="n"/>
      <c r="W227" s="3934" t="n"/>
      <c r="X227" s="3934" t="n"/>
      <c r="Y227" s="3934" t="n"/>
      <c r="Z227" s="3934" t="n"/>
      <c r="AA227" s="3934" t="n"/>
      <c r="AB227" s="3934" t="n"/>
      <c r="AC227" s="3934" t="n"/>
      <c r="AD227" s="3934" t="n"/>
      <c r="AE227" s="3934" t="n"/>
      <c r="AF227" s="3934" t="n"/>
      <c r="AG227" s="3934" t="n"/>
      <c r="AH227" s="3934" t="n"/>
      <c r="AI227" s="3934" t="n"/>
      <c r="AJ227" s="3934" t="n"/>
      <c r="AK227" s="3934" t="n"/>
      <c r="AL227" s="3934" t="n"/>
      <c r="AM227" s="3934" t="n"/>
      <c r="AN227" s="3934" t="n"/>
      <c r="AO227" s="3934" t="n"/>
      <c r="AP227" s="3934" t="n"/>
      <c r="AQ227" s="3934" t="n"/>
      <c r="AR227" s="3934" t="n"/>
    </row>
    <row r="228">
      <c r="A228" s="3944" t="n"/>
      <c r="B228" s="3944" t="n"/>
      <c r="C228" s="3944" t="n"/>
      <c r="D228" s="3944" t="n"/>
      <c r="E228" s="3944" t="n"/>
      <c r="F228" s="3944" t="n"/>
      <c r="G228" s="3944" t="n"/>
      <c r="H228" s="3944" t="n"/>
      <c r="I228" s="3934" t="n"/>
      <c r="J228" s="3934" t="n"/>
      <c r="K228" s="3934" t="n"/>
      <c r="L228" s="3934" t="n"/>
      <c r="M228" s="3934" t="n"/>
      <c r="N228" s="3934" t="n"/>
      <c r="O228" s="3934" t="n"/>
      <c r="P228" s="3934" t="n"/>
      <c r="Q228" s="3934" t="n"/>
      <c r="R228" s="3934" t="n"/>
      <c r="S228" s="3934" t="n"/>
      <c r="T228" s="3934" t="n"/>
      <c r="U228" s="3934" t="n"/>
      <c r="V228" s="3934" t="n"/>
      <c r="W228" s="3934" t="n"/>
      <c r="X228" s="3934" t="n"/>
      <c r="Y228" s="3934" t="n"/>
      <c r="Z228" s="3934" t="n"/>
      <c r="AA228" s="3934" t="n"/>
      <c r="AB228" s="3934" t="n"/>
      <c r="AC228" s="3934" t="n"/>
      <c r="AD228" s="3934" t="n"/>
      <c r="AE228" s="3934" t="n"/>
      <c r="AF228" s="3934" t="n"/>
      <c r="AG228" s="3934" t="n"/>
      <c r="AH228" s="3934" t="n"/>
      <c r="AI228" s="3934" t="n"/>
      <c r="AJ228" s="3934" t="n"/>
      <c r="AK228" s="3934" t="n"/>
      <c r="AL228" s="3934" t="n"/>
      <c r="AM228" s="3934" t="n"/>
      <c r="AN228" s="3934" t="n"/>
      <c r="AO228" s="3934" t="n"/>
      <c r="AP228" s="3934" t="n"/>
      <c r="AQ228" s="3934" t="n"/>
      <c r="AR228" s="3934" t="n"/>
    </row>
    <row r="229">
      <c r="A229" s="3944" t="n"/>
      <c r="B229" s="3944" t="n"/>
      <c r="C229" s="3944" t="n"/>
      <c r="D229" s="3944" t="n"/>
      <c r="E229" s="3944" t="n"/>
      <c r="F229" s="3944" t="n"/>
      <c r="G229" s="3944" t="n"/>
      <c r="H229" s="3944" t="n"/>
      <c r="I229" s="3934" t="n"/>
      <c r="J229" s="3934" t="n"/>
      <c r="K229" s="3934" t="n"/>
      <c r="L229" s="3934" t="n"/>
      <c r="M229" s="3934" t="n"/>
      <c r="N229" s="3934" t="n"/>
      <c r="O229" s="3934" t="n"/>
      <c r="P229" s="3934" t="n"/>
      <c r="Q229" s="3934" t="n"/>
      <c r="R229" s="3934" t="n"/>
      <c r="S229" s="3934" t="n"/>
      <c r="T229" s="3934" t="n"/>
      <c r="U229" s="3934" t="n"/>
      <c r="V229" s="3934" t="n"/>
      <c r="W229" s="3934" t="n"/>
      <c r="X229" s="3934" t="n"/>
      <c r="Y229" s="3934" t="n"/>
      <c r="Z229" s="3934" t="n"/>
      <c r="AA229" s="3934" t="n"/>
      <c r="AB229" s="3934" t="n"/>
      <c r="AC229" s="3934" t="n"/>
      <c r="AD229" s="3934" t="n"/>
      <c r="AE229" s="3934" t="n"/>
      <c r="AF229" s="3934" t="n"/>
      <c r="AG229" s="3934" t="n"/>
      <c r="AH229" s="3934" t="n"/>
      <c r="AI229" s="3934" t="n"/>
      <c r="AJ229" s="3934" t="n"/>
      <c r="AK229" s="3934" t="n"/>
      <c r="AL229" s="3934" t="n"/>
      <c r="AM229" s="3934" t="n"/>
      <c r="AN229" s="3934" t="n"/>
      <c r="AO229" s="3934" t="n"/>
      <c r="AP229" s="3934" t="n"/>
      <c r="AQ229" s="3934" t="n"/>
      <c r="AR229" s="3934" t="n"/>
    </row>
    <row r="230">
      <c r="A230" s="3944" t="n"/>
      <c r="B230" s="3944" t="n"/>
      <c r="C230" s="3944" t="n"/>
      <c r="D230" s="3944" t="n"/>
      <c r="E230" s="3944" t="n"/>
      <c r="F230" s="3944" t="n"/>
      <c r="G230" s="3944" t="n"/>
      <c r="H230" s="3944" t="n"/>
      <c r="I230" s="3934" t="n"/>
      <c r="J230" s="3934" t="n"/>
      <c r="K230" s="3934" t="n"/>
      <c r="L230" s="3934" t="n"/>
      <c r="M230" s="3934" t="n"/>
      <c r="N230" s="3934" t="n"/>
      <c r="O230" s="3934" t="n"/>
      <c r="P230" s="3934" t="n"/>
      <c r="Q230" s="3934" t="n"/>
      <c r="R230" s="3934" t="n"/>
      <c r="S230" s="3934" t="n"/>
      <c r="T230" s="3934" t="n"/>
      <c r="U230" s="3934" t="n"/>
      <c r="V230" s="3934" t="n"/>
      <c r="W230" s="3934" t="n"/>
      <c r="X230" s="3934" t="n"/>
      <c r="Y230" s="3934" t="n"/>
      <c r="Z230" s="3934" t="n"/>
      <c r="AA230" s="3934" t="n"/>
      <c r="AB230" s="3934" t="n"/>
      <c r="AC230" s="3934" t="n"/>
      <c r="AD230" s="3934" t="n"/>
      <c r="AE230" s="3934" t="n"/>
      <c r="AF230" s="3934" t="n"/>
      <c r="AG230" s="3934" t="n"/>
      <c r="AH230" s="3934" t="n"/>
      <c r="AI230" s="3934" t="n"/>
      <c r="AJ230" s="3934" t="n"/>
      <c r="AK230" s="3934" t="n"/>
      <c r="AL230" s="3934" t="n"/>
      <c r="AM230" s="3934" t="n"/>
      <c r="AN230" s="3934" t="n"/>
      <c r="AO230" s="3934" t="n"/>
      <c r="AP230" s="3934" t="n"/>
      <c r="AQ230" s="3934" t="n"/>
      <c r="AR230" s="3934" t="n"/>
    </row>
    <row r="231">
      <c r="A231" s="3944" t="n"/>
      <c r="B231" s="3944" t="n"/>
      <c r="C231" s="3944" t="n"/>
      <c r="D231" s="3944" t="n"/>
      <c r="E231" s="3944" t="n"/>
      <c r="F231" s="3944" t="n"/>
      <c r="G231" s="3944" t="n"/>
      <c r="H231" s="3944" t="n"/>
      <c r="I231" s="3934" t="n"/>
      <c r="J231" s="3934" t="n"/>
      <c r="K231" s="3934" t="n"/>
      <c r="L231" s="3934" t="n"/>
      <c r="M231" s="3934" t="n"/>
      <c r="N231" s="3934" t="n"/>
      <c r="O231" s="3934" t="n"/>
      <c r="P231" s="3934" t="n"/>
      <c r="Q231" s="3934" t="n"/>
      <c r="R231" s="3934" t="n"/>
      <c r="S231" s="3934" t="n"/>
      <c r="T231" s="3934" t="n"/>
      <c r="U231" s="3934" t="n"/>
      <c r="V231" s="3934" t="n"/>
      <c r="W231" s="3934" t="n"/>
      <c r="X231" s="3934" t="n"/>
      <c r="Y231" s="3934" t="n"/>
      <c r="Z231" s="3934" t="n"/>
      <c r="AA231" s="3934" t="n"/>
      <c r="AB231" s="3934" t="n"/>
      <c r="AC231" s="3934" t="n"/>
      <c r="AD231" s="3934" t="n"/>
      <c r="AE231" s="3934" t="n"/>
      <c r="AF231" s="3934" t="n"/>
      <c r="AG231" s="3934" t="n"/>
      <c r="AH231" s="3934" t="n"/>
      <c r="AI231" s="3934" t="n"/>
      <c r="AJ231" s="3934" t="n"/>
      <c r="AK231" s="3934" t="n"/>
      <c r="AL231" s="3934" t="n"/>
      <c r="AM231" s="3934" t="n"/>
      <c r="AN231" s="3934" t="n"/>
      <c r="AO231" s="3934" t="n"/>
      <c r="AP231" s="3934" t="n"/>
      <c r="AQ231" s="3934" t="n"/>
      <c r="AR231" s="3934" t="n"/>
    </row>
    <row r="232">
      <c r="A232" s="3944" t="n"/>
      <c r="B232" s="3944" t="n"/>
      <c r="C232" s="3944" t="n"/>
      <c r="D232" s="3944" t="n"/>
      <c r="E232" s="3944" t="n"/>
      <c r="F232" s="3944" t="n"/>
      <c r="G232" s="3944" t="n"/>
      <c r="H232" s="3944" t="n"/>
      <c r="I232" s="3934" t="n"/>
      <c r="J232" s="3934" t="n"/>
      <c r="K232" s="3934" t="n"/>
      <c r="L232" s="3934" t="n"/>
      <c r="M232" s="3934" t="n"/>
      <c r="N232" s="3934" t="n"/>
      <c r="O232" s="3934" t="n"/>
      <c r="P232" s="3934" t="n"/>
      <c r="Q232" s="3934" t="n"/>
      <c r="R232" s="3934" t="n"/>
      <c r="S232" s="3934" t="n"/>
      <c r="T232" s="3934" t="n"/>
      <c r="U232" s="3934" t="n"/>
      <c r="V232" s="3934" t="n"/>
      <c r="W232" s="3934" t="n"/>
      <c r="X232" s="3934" t="n"/>
      <c r="Y232" s="3934" t="n"/>
      <c r="Z232" s="3934" t="n"/>
      <c r="AA232" s="3934" t="n"/>
      <c r="AB232" s="3934" t="n"/>
      <c r="AC232" s="3934" t="n"/>
      <c r="AD232" s="3934" t="n"/>
      <c r="AE232" s="3934" t="n"/>
      <c r="AF232" s="3934" t="n"/>
      <c r="AG232" s="3934" t="n"/>
      <c r="AH232" s="3934" t="n"/>
      <c r="AI232" s="3934" t="n"/>
      <c r="AJ232" s="3934" t="n"/>
      <c r="AK232" s="3934" t="n"/>
      <c r="AL232" s="3934" t="n"/>
      <c r="AM232" s="3934" t="n"/>
      <c r="AN232" s="3934" t="n"/>
      <c r="AO232" s="3934" t="n"/>
      <c r="AP232" s="3934" t="n"/>
      <c r="AQ232" s="3934" t="n"/>
      <c r="AR232" s="3934" t="n"/>
    </row>
    <row r="233">
      <c r="A233" s="3944" t="n"/>
      <c r="B233" s="3944" t="n"/>
      <c r="C233" s="3944" t="n"/>
      <c r="D233" s="3944" t="n"/>
      <c r="E233" s="3944" t="n"/>
      <c r="F233" s="3944" t="n"/>
      <c r="G233" s="3944" t="n"/>
      <c r="H233" s="3944" t="n"/>
      <c r="I233" s="3934" t="n"/>
      <c r="J233" s="3934" t="n"/>
      <c r="K233" s="3934" t="n"/>
      <c r="L233" s="3934" t="n"/>
      <c r="M233" s="3934" t="n"/>
      <c r="N233" s="3934" t="n"/>
      <c r="O233" s="3934" t="n"/>
      <c r="P233" s="3934" t="n"/>
      <c r="Q233" s="3934" t="n"/>
      <c r="R233" s="3934" t="n"/>
      <c r="S233" s="3934" t="n"/>
      <c r="T233" s="3934" t="n"/>
      <c r="U233" s="3934" t="n"/>
      <c r="V233" s="3934" t="n"/>
      <c r="W233" s="3934" t="n"/>
      <c r="X233" s="3934" t="n"/>
      <c r="Y233" s="3934" t="n"/>
      <c r="Z233" s="3934" t="n"/>
      <c r="AA233" s="3934" t="n"/>
      <c r="AB233" s="3934" t="n"/>
      <c r="AC233" s="3934" t="n"/>
      <c r="AD233" s="3934" t="n"/>
      <c r="AE233" s="3934" t="n"/>
      <c r="AF233" s="3934" t="n"/>
      <c r="AG233" s="3934" t="n"/>
      <c r="AH233" s="3934" t="n"/>
      <c r="AI233" s="3934" t="n"/>
      <c r="AJ233" s="3934" t="n"/>
      <c r="AK233" s="3934" t="n"/>
      <c r="AL233" s="3934" t="n"/>
      <c r="AM233" s="3934" t="n"/>
      <c r="AN233" s="3934" t="n"/>
      <c r="AO233" s="3934" t="n"/>
      <c r="AP233" s="3934" t="n"/>
      <c r="AQ233" s="3934" t="n"/>
      <c r="AR233" s="3934" t="n"/>
    </row>
    <row r="234">
      <c r="A234" s="3944" t="n"/>
      <c r="B234" s="3944" t="n"/>
      <c r="C234" s="3944" t="n"/>
      <c r="D234" s="3944" t="n"/>
      <c r="E234" s="3944" t="n"/>
      <c r="F234" s="3944" t="n"/>
      <c r="G234" s="3944" t="n"/>
      <c r="H234" s="3944" t="n"/>
      <c r="I234" s="3934" t="n"/>
      <c r="J234" s="3934" t="n"/>
      <c r="K234" s="3934" t="n"/>
      <c r="L234" s="3934" t="n"/>
      <c r="M234" s="3934" t="n"/>
      <c r="N234" s="3934" t="n"/>
      <c r="O234" s="3934" t="n"/>
      <c r="P234" s="3934" t="n"/>
      <c r="Q234" s="3934" t="n"/>
      <c r="R234" s="3934" t="n"/>
      <c r="S234" s="3934" t="n"/>
      <c r="T234" s="3934" t="n"/>
      <c r="U234" s="3934" t="n"/>
      <c r="V234" s="3934" t="n"/>
      <c r="W234" s="3934" t="n"/>
      <c r="X234" s="3934" t="n"/>
      <c r="Y234" s="3934" t="n"/>
      <c r="Z234" s="3934" t="n"/>
      <c r="AA234" s="3934" t="n"/>
      <c r="AB234" s="3934" t="n"/>
      <c r="AC234" s="3934" t="n"/>
      <c r="AD234" s="3934" t="n"/>
      <c r="AE234" s="3934" t="n"/>
      <c r="AF234" s="3934" t="n"/>
      <c r="AG234" s="3934" t="n"/>
      <c r="AH234" s="3934" t="n"/>
      <c r="AI234" s="3934" t="n"/>
      <c r="AJ234" s="3934" t="n"/>
      <c r="AK234" s="3934" t="n"/>
      <c r="AL234" s="3934" t="n"/>
      <c r="AM234" s="3934" t="n"/>
      <c r="AN234" s="3934" t="n"/>
      <c r="AO234" s="3934" t="n"/>
      <c r="AP234" s="3934" t="n"/>
      <c r="AQ234" s="3934" t="n"/>
      <c r="AR234" s="3934" t="n"/>
    </row>
    <row r="235">
      <c r="A235" s="3944" t="n"/>
      <c r="B235" s="3944" t="n"/>
      <c r="C235" s="3944" t="n"/>
      <c r="D235" s="3944" t="n"/>
      <c r="E235" s="3944" t="n"/>
      <c r="F235" s="3944" t="n"/>
      <c r="G235" s="3944" t="n"/>
      <c r="H235" s="3944" t="n"/>
      <c r="I235" s="3934" t="n"/>
      <c r="J235" s="3934" t="n"/>
      <c r="K235" s="3934" t="n"/>
      <c r="L235" s="3934" t="n"/>
      <c r="M235" s="3934" t="n"/>
      <c r="N235" s="3934" t="n"/>
      <c r="O235" s="3934" t="n"/>
      <c r="P235" s="3934" t="n"/>
      <c r="Q235" s="3934" t="n"/>
      <c r="R235" s="3934" t="n"/>
      <c r="S235" s="3934" t="n"/>
      <c r="T235" s="3934" t="n"/>
      <c r="U235" s="3934" t="n"/>
      <c r="V235" s="3934" t="n"/>
      <c r="W235" s="3934" t="n"/>
      <c r="X235" s="3934" t="n"/>
      <c r="Y235" s="3934" t="n"/>
      <c r="Z235" s="3934" t="n"/>
      <c r="AA235" s="3934" t="n"/>
      <c r="AB235" s="3934" t="n"/>
      <c r="AC235" s="3934" t="n"/>
      <c r="AD235" s="3934" t="n"/>
      <c r="AE235" s="3934" t="n"/>
      <c r="AF235" s="3934" t="n"/>
      <c r="AG235" s="3934" t="n"/>
      <c r="AH235" s="3934" t="n"/>
      <c r="AI235" s="3934" t="n"/>
      <c r="AJ235" s="3934" t="n"/>
      <c r="AK235" s="3934" t="n"/>
      <c r="AL235" s="3934" t="n"/>
      <c r="AM235" s="3934" t="n"/>
      <c r="AN235" s="3934" t="n"/>
      <c r="AO235" s="3934" t="n"/>
      <c r="AP235" s="3934" t="n"/>
      <c r="AQ235" s="3934" t="n"/>
      <c r="AR235" s="3934" t="n"/>
    </row>
    <row r="236">
      <c r="A236" s="3944" t="n"/>
      <c r="B236" s="3944" t="n"/>
      <c r="C236" s="3944" t="n"/>
      <c r="D236" s="3944" t="n"/>
      <c r="E236" s="3944" t="n"/>
      <c r="F236" s="3944" t="n"/>
      <c r="G236" s="3944" t="n"/>
      <c r="H236" s="3944" t="n"/>
      <c r="I236" s="3934" t="n"/>
      <c r="J236" s="3934" t="n"/>
      <c r="K236" s="3934" t="n"/>
      <c r="L236" s="3934" t="n"/>
      <c r="M236" s="3934" t="n"/>
      <c r="N236" s="3934" t="n"/>
      <c r="O236" s="3934" t="n"/>
      <c r="P236" s="3934" t="n"/>
      <c r="Q236" s="3934" t="n"/>
      <c r="R236" s="3934" t="n"/>
      <c r="S236" s="3934" t="n"/>
      <c r="T236" s="3934" t="n"/>
      <c r="U236" s="3934" t="n"/>
      <c r="V236" s="3934" t="n"/>
      <c r="W236" s="3934" t="n"/>
      <c r="X236" s="3934" t="n"/>
      <c r="Y236" s="3934" t="n"/>
      <c r="Z236" s="3934" t="n"/>
      <c r="AA236" s="3934" t="n"/>
      <c r="AB236" s="3934" t="n"/>
      <c r="AC236" s="3934" t="n"/>
      <c r="AD236" s="3934" t="n"/>
      <c r="AE236" s="3934" t="n"/>
      <c r="AF236" s="3934" t="n"/>
      <c r="AG236" s="3934" t="n"/>
      <c r="AH236" s="3934" t="n"/>
      <c r="AI236" s="3934" t="n"/>
      <c r="AJ236" s="3934" t="n"/>
      <c r="AK236" s="3934" t="n"/>
      <c r="AL236" s="3934" t="n"/>
      <c r="AM236" s="3934" t="n"/>
      <c r="AN236" s="3934" t="n"/>
      <c r="AO236" s="3934" t="n"/>
      <c r="AP236" s="3934" t="n"/>
      <c r="AQ236" s="3934" t="n"/>
      <c r="AR236" s="3934" t="n"/>
    </row>
    <row r="237">
      <c r="A237" s="3944" t="n"/>
      <c r="B237" s="3944" t="n"/>
      <c r="C237" s="3944" t="n"/>
      <c r="D237" s="3944" t="n"/>
      <c r="E237" s="3944" t="n"/>
      <c r="F237" s="3944" t="n"/>
      <c r="G237" s="3944" t="n"/>
      <c r="H237" s="3944" t="n"/>
      <c r="I237" s="3934" t="n"/>
      <c r="J237" s="3934" t="n"/>
      <c r="K237" s="3934" t="n"/>
      <c r="L237" s="3934" t="n"/>
      <c r="M237" s="3934" t="n"/>
      <c r="N237" s="3934" t="n"/>
      <c r="O237" s="3934" t="n"/>
      <c r="P237" s="3934" t="n"/>
      <c r="Q237" s="3934" t="n"/>
      <c r="R237" s="3934" t="n"/>
      <c r="S237" s="3934" t="n"/>
      <c r="T237" s="3934" t="n"/>
      <c r="U237" s="3934" t="n"/>
      <c r="V237" s="3934" t="n"/>
      <c r="W237" s="3934" t="n"/>
      <c r="X237" s="3934" t="n"/>
      <c r="Y237" s="3934" t="n"/>
      <c r="Z237" s="3934" t="n"/>
      <c r="AA237" s="3934" t="n"/>
      <c r="AB237" s="3934" t="n"/>
      <c r="AC237" s="3934" t="n"/>
      <c r="AD237" s="3934" t="n"/>
      <c r="AE237" s="3934" t="n"/>
      <c r="AF237" s="3934" t="n"/>
      <c r="AG237" s="3934" t="n"/>
      <c r="AH237" s="3934" t="n"/>
      <c r="AI237" s="3934" t="n"/>
      <c r="AJ237" s="3934" t="n"/>
      <c r="AK237" s="3934" t="n"/>
      <c r="AL237" s="3934" t="n"/>
      <c r="AM237" s="3934" t="n"/>
      <c r="AN237" s="3934" t="n"/>
      <c r="AO237" s="3934" t="n"/>
      <c r="AP237" s="3934" t="n"/>
      <c r="AQ237" s="3934" t="n"/>
      <c r="AR237" s="3934" t="n"/>
    </row>
    <row r="238">
      <c r="A238" s="3944" t="n"/>
      <c r="B238" s="3944" t="n"/>
      <c r="C238" s="3944" t="n"/>
      <c r="D238" s="3944" t="n"/>
      <c r="E238" s="3944" t="n"/>
      <c r="F238" s="3944" t="n"/>
      <c r="G238" s="3944" t="n"/>
      <c r="H238" s="3944" t="n"/>
      <c r="I238" s="3934" t="n"/>
      <c r="J238" s="3934" t="n"/>
      <c r="K238" s="3934" t="n"/>
      <c r="L238" s="3934" t="n"/>
      <c r="M238" s="3934" t="n"/>
      <c r="N238" s="3934" t="n"/>
      <c r="O238" s="3934" t="n"/>
      <c r="P238" s="3934" t="n"/>
      <c r="Q238" s="3934" t="n"/>
      <c r="R238" s="3934" t="n"/>
      <c r="S238" s="3934" t="n"/>
      <c r="T238" s="3934" t="n"/>
      <c r="U238" s="3934" t="n"/>
      <c r="V238" s="3934" t="n"/>
      <c r="W238" s="3934" t="n"/>
      <c r="X238" s="3934" t="n"/>
      <c r="Y238" s="3934" t="n"/>
      <c r="Z238" s="3934" t="n"/>
      <c r="AA238" s="3934" t="n"/>
      <c r="AB238" s="3934" t="n"/>
      <c r="AC238" s="3934" t="n"/>
      <c r="AD238" s="3934" t="n"/>
      <c r="AE238" s="3934" t="n"/>
      <c r="AF238" s="3934" t="n"/>
      <c r="AG238" s="3934" t="n"/>
      <c r="AH238" s="3934" t="n"/>
      <c r="AI238" s="3934" t="n"/>
      <c r="AJ238" s="3934" t="n"/>
      <c r="AK238" s="3934" t="n"/>
      <c r="AL238" s="3934" t="n"/>
      <c r="AM238" s="3934" t="n"/>
      <c r="AN238" s="3934" t="n"/>
      <c r="AO238" s="3934" t="n"/>
      <c r="AP238" s="3934" t="n"/>
      <c r="AQ238" s="3934" t="n"/>
      <c r="AR238" s="3934" t="n"/>
    </row>
    <row r="239">
      <c r="A239" s="3944" t="n"/>
      <c r="B239" s="3944" t="n"/>
      <c r="C239" s="3944" t="n"/>
      <c r="D239" s="3944" t="n"/>
      <c r="E239" s="3944" t="n"/>
      <c r="F239" s="3944" t="n"/>
      <c r="G239" s="3944" t="n"/>
      <c r="H239" s="3944" t="n"/>
      <c r="I239" s="3934" t="n"/>
      <c r="J239" s="3934" t="n"/>
      <c r="K239" s="3934" t="n"/>
      <c r="L239" s="3934" t="n"/>
      <c r="M239" s="3934" t="n"/>
      <c r="N239" s="3934" t="n"/>
      <c r="O239" s="3934" t="n"/>
      <c r="P239" s="3934" t="n"/>
      <c r="Q239" s="3934" t="n"/>
      <c r="R239" s="3934" t="n"/>
      <c r="S239" s="3934" t="n"/>
      <c r="T239" s="3934" t="n"/>
      <c r="U239" s="3934" t="n"/>
      <c r="V239" s="3934" t="n"/>
      <c r="W239" s="3934" t="n"/>
      <c r="X239" s="3934" t="n"/>
      <c r="Y239" s="3934" t="n"/>
      <c r="Z239" s="3934" t="n"/>
      <c r="AA239" s="3934" t="n"/>
      <c r="AB239" s="3934" t="n"/>
      <c r="AC239" s="3934" t="n"/>
      <c r="AD239" s="3934" t="n"/>
      <c r="AE239" s="3934" t="n"/>
      <c r="AF239" s="3934" t="n"/>
      <c r="AG239" s="3934" t="n"/>
      <c r="AH239" s="3934" t="n"/>
      <c r="AI239" s="3934" t="n"/>
      <c r="AJ239" s="3934" t="n"/>
      <c r="AK239" s="3934" t="n"/>
      <c r="AL239" s="3934" t="n"/>
      <c r="AM239" s="3934" t="n"/>
      <c r="AN239" s="3934" t="n"/>
      <c r="AO239" s="3934" t="n"/>
      <c r="AP239" s="3934" t="n"/>
      <c r="AQ239" s="3934" t="n"/>
      <c r="AR239" s="3934" t="n"/>
    </row>
    <row r="240">
      <c r="A240" s="3944" t="n"/>
      <c r="B240" s="3944" t="n"/>
      <c r="C240" s="3944" t="n"/>
      <c r="D240" s="3944" t="n"/>
      <c r="E240" s="3944" t="n"/>
      <c r="F240" s="3944" t="n"/>
      <c r="G240" s="3944" t="n"/>
      <c r="H240" s="3944" t="n"/>
      <c r="I240" s="3934" t="n"/>
      <c r="J240" s="3934" t="n"/>
      <c r="K240" s="3934" t="n"/>
      <c r="L240" s="3934" t="n"/>
      <c r="M240" s="3934" t="n"/>
      <c r="N240" s="3934" t="n"/>
      <c r="O240" s="3934" t="n"/>
      <c r="P240" s="3934" t="n"/>
      <c r="Q240" s="3934" t="n"/>
      <c r="R240" s="3934" t="n"/>
      <c r="S240" s="3934" t="n"/>
      <c r="T240" s="3934" t="n"/>
      <c r="U240" s="3934" t="n"/>
      <c r="V240" s="3934" t="n"/>
      <c r="W240" s="3934" t="n"/>
      <c r="X240" s="3934" t="n"/>
      <c r="Y240" s="3934" t="n"/>
      <c r="Z240" s="3934" t="n"/>
      <c r="AA240" s="3934" t="n"/>
      <c r="AB240" s="3934" t="n"/>
      <c r="AC240" s="3934" t="n"/>
      <c r="AD240" s="3934" t="n"/>
      <c r="AE240" s="3934" t="n"/>
      <c r="AF240" s="3934" t="n"/>
      <c r="AG240" s="3934" t="n"/>
      <c r="AH240" s="3934" t="n"/>
      <c r="AI240" s="3934" t="n"/>
      <c r="AJ240" s="3934" t="n"/>
      <c r="AK240" s="3934" t="n"/>
      <c r="AL240" s="3934" t="n"/>
      <c r="AM240" s="3934" t="n"/>
      <c r="AN240" s="3934" t="n"/>
      <c r="AO240" s="3934" t="n"/>
      <c r="AP240" s="3934" t="n"/>
      <c r="AQ240" s="3934" t="n"/>
      <c r="AR240" s="3934" t="n"/>
    </row>
    <row r="241">
      <c r="A241" s="3944" t="n"/>
      <c r="B241" s="3944" t="n"/>
      <c r="C241" s="3944" t="n"/>
      <c r="D241" s="3944" t="n"/>
      <c r="E241" s="3944" t="n"/>
      <c r="F241" s="3944" t="n"/>
      <c r="G241" s="3944" t="n"/>
      <c r="H241" s="3944" t="n"/>
      <c r="I241" s="3934" t="n"/>
      <c r="J241" s="3934" t="n"/>
      <c r="K241" s="3934" t="n"/>
      <c r="L241" s="3934" t="n"/>
      <c r="M241" s="3934" t="n"/>
      <c r="N241" s="3934" t="n"/>
      <c r="O241" s="3934" t="n"/>
      <c r="P241" s="3934" t="n"/>
      <c r="Q241" s="3934" t="n"/>
      <c r="R241" s="3934" t="n"/>
      <c r="S241" s="3934" t="n"/>
      <c r="T241" s="3934" t="n"/>
      <c r="U241" s="3934" t="n"/>
      <c r="V241" s="3934" t="n"/>
      <c r="W241" s="3934" t="n"/>
      <c r="X241" s="3934" t="n"/>
      <c r="Y241" s="3934" t="n"/>
      <c r="Z241" s="3934" t="n"/>
      <c r="AA241" s="3934" t="n"/>
      <c r="AB241" s="3934" t="n"/>
      <c r="AC241" s="3934" t="n"/>
      <c r="AD241" s="3934" t="n"/>
      <c r="AE241" s="3934" t="n"/>
      <c r="AF241" s="3934" t="n"/>
      <c r="AG241" s="3934" t="n"/>
      <c r="AH241" s="3934" t="n"/>
      <c r="AI241" s="3934" t="n"/>
      <c r="AJ241" s="3934" t="n"/>
      <c r="AK241" s="3934" t="n"/>
      <c r="AL241" s="3934" t="n"/>
      <c r="AM241" s="3934" t="n"/>
      <c r="AN241" s="3934" t="n"/>
      <c r="AO241" s="3934" t="n"/>
      <c r="AP241" s="3934" t="n"/>
      <c r="AQ241" s="3934" t="n"/>
      <c r="AR241" s="3934" t="n"/>
    </row>
    <row r="242">
      <c r="A242" s="3944" t="n"/>
      <c r="B242" s="3944" t="n"/>
      <c r="C242" s="3944" t="n"/>
      <c r="D242" s="3944" t="n"/>
      <c r="E242" s="3944" t="n"/>
      <c r="F242" s="3944" t="n"/>
      <c r="G242" s="3944" t="n"/>
      <c r="H242" s="3944" t="n"/>
      <c r="I242" s="3934" t="n"/>
      <c r="J242" s="3934" t="n"/>
      <c r="K242" s="3934" t="n"/>
      <c r="L242" s="3934" t="n"/>
      <c r="M242" s="3934" t="n"/>
      <c r="N242" s="3934" t="n"/>
      <c r="O242" s="3934" t="n"/>
      <c r="P242" s="3934" t="n"/>
      <c r="Q242" s="3934" t="n"/>
      <c r="R242" s="3934" t="n"/>
      <c r="S242" s="3934" t="n"/>
      <c r="T242" s="3934" t="n"/>
      <c r="U242" s="3934" t="n"/>
      <c r="V242" s="3934" t="n"/>
      <c r="W242" s="3934" t="n"/>
      <c r="X242" s="3934" t="n"/>
      <c r="Y242" s="3934" t="n"/>
      <c r="Z242" s="3934" t="n"/>
      <c r="AA242" s="3934" t="n"/>
      <c r="AB242" s="3934" t="n"/>
      <c r="AC242" s="3934" t="n"/>
      <c r="AD242" s="3934" t="n"/>
      <c r="AE242" s="3934" t="n"/>
      <c r="AF242" s="3934" t="n"/>
      <c r="AG242" s="3934" t="n"/>
      <c r="AH242" s="3934" t="n"/>
      <c r="AI242" s="3934" t="n"/>
      <c r="AJ242" s="3934" t="n"/>
      <c r="AK242" s="3934" t="n"/>
      <c r="AL242" s="3934" t="n"/>
      <c r="AM242" s="3934" t="n"/>
      <c r="AN242" s="3934" t="n"/>
      <c r="AO242" s="3934" t="n"/>
      <c r="AP242" s="3934" t="n"/>
      <c r="AQ242" s="3934" t="n"/>
      <c r="AR242" s="3934" t="n"/>
    </row>
    <row r="243">
      <c r="A243" s="3944" t="n"/>
      <c r="B243" s="3944" t="n"/>
      <c r="C243" s="3944" t="n"/>
      <c r="D243" s="3944" t="n"/>
      <c r="E243" s="3944" t="n"/>
      <c r="F243" s="3944" t="n"/>
      <c r="G243" s="3944" t="n"/>
      <c r="H243" s="3944" t="n"/>
      <c r="I243" s="3934" t="n"/>
      <c r="J243" s="3934" t="n"/>
      <c r="K243" s="3934" t="n"/>
      <c r="L243" s="3934" t="n"/>
      <c r="M243" s="3934" t="n"/>
      <c r="N243" s="3934" t="n"/>
      <c r="O243" s="3934" t="n"/>
      <c r="P243" s="3934" t="n"/>
      <c r="Q243" s="3934" t="n"/>
      <c r="R243" s="3934" t="n"/>
      <c r="S243" s="3934" t="n"/>
      <c r="T243" s="3934" t="n"/>
      <c r="U243" s="3934" t="n"/>
      <c r="V243" s="3934" t="n"/>
      <c r="W243" s="3934" t="n"/>
      <c r="X243" s="3934" t="n"/>
      <c r="Y243" s="3934" t="n"/>
      <c r="Z243" s="3934" t="n"/>
      <c r="AA243" s="3934" t="n"/>
      <c r="AB243" s="3934" t="n"/>
      <c r="AC243" s="3934" t="n"/>
      <c r="AD243" s="3934" t="n"/>
      <c r="AE243" s="3934" t="n"/>
      <c r="AF243" s="3934" t="n"/>
      <c r="AG243" s="3934" t="n"/>
      <c r="AH243" s="3934" t="n"/>
      <c r="AI243" s="3934" t="n"/>
      <c r="AJ243" s="3934" t="n"/>
      <c r="AK243" s="3934" t="n"/>
      <c r="AL243" s="3934" t="n"/>
      <c r="AM243" s="3934" t="n"/>
      <c r="AN243" s="3934" t="n"/>
      <c r="AO243" s="3934" t="n"/>
      <c r="AP243" s="3934" t="n"/>
      <c r="AQ243" s="3934" t="n"/>
      <c r="AR243" s="3934" t="n"/>
    </row>
    <row r="244">
      <c r="A244" s="3944" t="n"/>
      <c r="B244" s="3944" t="n"/>
      <c r="C244" s="3944" t="n"/>
      <c r="D244" s="3944" t="n"/>
      <c r="E244" s="3944" t="n"/>
      <c r="F244" s="3944" t="n"/>
      <c r="G244" s="3944" t="n"/>
      <c r="H244" s="3944" t="n"/>
      <c r="I244" s="3934" t="n"/>
      <c r="J244" s="3934" t="n"/>
      <c r="K244" s="3934" t="n"/>
      <c r="L244" s="3934" t="n"/>
      <c r="M244" s="3934" t="n"/>
      <c r="N244" s="3934" t="n"/>
      <c r="O244" s="3934" t="n"/>
      <c r="P244" s="3934" t="n"/>
      <c r="Q244" s="3934" t="n"/>
      <c r="R244" s="3934" t="n"/>
      <c r="S244" s="3934" t="n"/>
      <c r="T244" s="3934" t="n"/>
      <c r="U244" s="3934" t="n"/>
      <c r="V244" s="3934" t="n"/>
      <c r="W244" s="3934" t="n"/>
      <c r="X244" s="3934" t="n"/>
      <c r="Y244" s="3934" t="n"/>
      <c r="Z244" s="3934" t="n"/>
      <c r="AA244" s="3934" t="n"/>
      <c r="AB244" s="3934" t="n"/>
      <c r="AC244" s="3934" t="n"/>
      <c r="AD244" s="3934" t="n"/>
      <c r="AE244" s="3934" t="n"/>
      <c r="AF244" s="3934" t="n"/>
      <c r="AG244" s="3934" t="n"/>
      <c r="AH244" s="3934" t="n"/>
      <c r="AI244" s="3934" t="n"/>
      <c r="AJ244" s="3934" t="n"/>
      <c r="AK244" s="3934" t="n"/>
      <c r="AL244" s="3934" t="n"/>
      <c r="AM244" s="3934" t="n"/>
      <c r="AN244" s="3934" t="n"/>
      <c r="AO244" s="3934" t="n"/>
      <c r="AP244" s="3934" t="n"/>
      <c r="AQ244" s="3934" t="n"/>
      <c r="AR244" s="3934" t="n"/>
    </row>
    <row r="245">
      <c r="A245" s="3944" t="n"/>
      <c r="B245" s="3944" t="n"/>
      <c r="C245" s="3944" t="n"/>
      <c r="D245" s="3944" t="n"/>
      <c r="E245" s="3944" t="n"/>
      <c r="F245" s="3944" t="n"/>
      <c r="G245" s="3944" t="n"/>
      <c r="H245" s="3944" t="n"/>
      <c r="I245" s="3934" t="n"/>
      <c r="J245" s="3934" t="n"/>
      <c r="K245" s="3934" t="n"/>
      <c r="L245" s="3934" t="n"/>
      <c r="M245" s="3934" t="n"/>
      <c r="N245" s="3934" t="n"/>
      <c r="O245" s="3934" t="n"/>
      <c r="P245" s="3934" t="n"/>
      <c r="Q245" s="3934" t="n"/>
      <c r="R245" s="3934" t="n"/>
      <c r="S245" s="3934" t="n"/>
      <c r="T245" s="3934" t="n"/>
      <c r="U245" s="3934" t="n"/>
      <c r="V245" s="3934" t="n"/>
      <c r="W245" s="3934" t="n"/>
      <c r="X245" s="3934" t="n"/>
      <c r="Y245" s="3934" t="n"/>
      <c r="Z245" s="3934" t="n"/>
      <c r="AA245" s="3934" t="n"/>
      <c r="AB245" s="3934" t="n"/>
      <c r="AC245" s="3934" t="n"/>
      <c r="AD245" s="3934" t="n"/>
      <c r="AE245" s="3934" t="n"/>
      <c r="AF245" s="3934" t="n"/>
      <c r="AG245" s="3934" t="n"/>
      <c r="AH245" s="3934" t="n"/>
      <c r="AI245" s="3934" t="n"/>
      <c r="AJ245" s="3934" t="n"/>
      <c r="AK245" s="3934" t="n"/>
      <c r="AL245" s="3934" t="n"/>
      <c r="AM245" s="3934" t="n"/>
      <c r="AN245" s="3934" t="n"/>
      <c r="AO245" s="3934" t="n"/>
      <c r="AP245" s="3934" t="n"/>
      <c r="AQ245" s="3934" t="n"/>
      <c r="AR245" s="3934" t="n"/>
    </row>
    <row r="246">
      <c r="A246" s="3944" t="n"/>
      <c r="B246" s="3944" t="n"/>
      <c r="C246" s="3944" t="n"/>
      <c r="D246" s="3944" t="n"/>
      <c r="E246" s="3944" t="n"/>
      <c r="F246" s="3944" t="n"/>
      <c r="G246" s="3944" t="n"/>
      <c r="H246" s="3944" t="n"/>
      <c r="I246" s="3934" t="n"/>
      <c r="J246" s="3934" t="n"/>
      <c r="K246" s="3934" t="n"/>
      <c r="L246" s="3934" t="n"/>
      <c r="M246" s="3934" t="n"/>
      <c r="N246" s="3934" t="n"/>
      <c r="O246" s="3934" t="n"/>
      <c r="P246" s="3934" t="n"/>
      <c r="Q246" s="3934" t="n"/>
      <c r="R246" s="3934" t="n"/>
      <c r="S246" s="3934" t="n"/>
      <c r="T246" s="3934" t="n"/>
      <c r="U246" s="3934" t="n"/>
      <c r="V246" s="3934" t="n"/>
      <c r="W246" s="3934" t="n"/>
      <c r="X246" s="3934" t="n"/>
      <c r="Y246" s="3934" t="n"/>
      <c r="Z246" s="3934" t="n"/>
      <c r="AA246" s="3934" t="n"/>
      <c r="AB246" s="3934" t="n"/>
      <c r="AC246" s="3934" t="n"/>
      <c r="AD246" s="3934" t="n"/>
      <c r="AE246" s="3934" t="n"/>
      <c r="AF246" s="3934" t="n"/>
      <c r="AG246" s="3934" t="n"/>
      <c r="AH246" s="3934" t="n"/>
      <c r="AI246" s="3934" t="n"/>
      <c r="AJ246" s="3934" t="n"/>
      <c r="AK246" s="3934" t="n"/>
      <c r="AL246" s="3934" t="n"/>
      <c r="AM246" s="3934" t="n"/>
      <c r="AN246" s="3934" t="n"/>
      <c r="AO246" s="3934" t="n"/>
      <c r="AP246" s="3934" t="n"/>
      <c r="AQ246" s="3934" t="n"/>
      <c r="AR246" s="3934" t="n"/>
    </row>
    <row r="247">
      <c r="A247" s="3944" t="n"/>
      <c r="B247" s="3944" t="n"/>
      <c r="C247" s="3944" t="n"/>
      <c r="D247" s="3944" t="n"/>
      <c r="E247" s="3944" t="n"/>
      <c r="F247" s="3944" t="n"/>
      <c r="G247" s="3944" t="n"/>
      <c r="H247" s="3944" t="n"/>
      <c r="I247" s="3934" t="n"/>
      <c r="J247" s="3934" t="n"/>
      <c r="K247" s="3934" t="n"/>
      <c r="L247" s="3934" t="n"/>
      <c r="M247" s="3934" t="n"/>
      <c r="N247" s="3934" t="n"/>
      <c r="O247" s="3934" t="n"/>
      <c r="P247" s="3934" t="n"/>
      <c r="Q247" s="3934" t="n"/>
      <c r="R247" s="3934" t="n"/>
      <c r="S247" s="3934" t="n"/>
      <c r="T247" s="3934" t="n"/>
      <c r="U247" s="3934" t="n"/>
      <c r="V247" s="3934" t="n"/>
      <c r="W247" s="3934" t="n"/>
      <c r="X247" s="3934" t="n"/>
      <c r="Y247" s="3934" t="n"/>
      <c r="Z247" s="3934" t="n"/>
      <c r="AA247" s="3934" t="n"/>
      <c r="AB247" s="3934" t="n"/>
      <c r="AC247" s="3934" t="n"/>
      <c r="AD247" s="3934" t="n"/>
      <c r="AE247" s="3934" t="n"/>
      <c r="AF247" s="3934" t="n"/>
      <c r="AG247" s="3934" t="n"/>
      <c r="AH247" s="3934" t="n"/>
      <c r="AI247" s="3934" t="n"/>
      <c r="AJ247" s="3934" t="n"/>
      <c r="AK247" s="3934" t="n"/>
      <c r="AL247" s="3934" t="n"/>
      <c r="AM247" s="3934" t="n"/>
      <c r="AN247" s="3934" t="n"/>
      <c r="AO247" s="3934" t="n"/>
      <c r="AP247" s="3934" t="n"/>
      <c r="AQ247" s="3934" t="n"/>
      <c r="AR247" s="3934" t="n"/>
    </row>
    <row r="248">
      <c r="A248" s="3944" t="n"/>
      <c r="B248" s="3944" t="n"/>
      <c r="C248" s="3944" t="n"/>
      <c r="D248" s="3944" t="n"/>
      <c r="E248" s="3944" t="n"/>
      <c r="F248" s="3944" t="n"/>
      <c r="G248" s="3944" t="n"/>
      <c r="H248" s="3944" t="n"/>
      <c r="I248" s="3934" t="n"/>
      <c r="J248" s="3934" t="n"/>
      <c r="K248" s="3934" t="n"/>
      <c r="L248" s="3934" t="n"/>
      <c r="M248" s="3934" t="n"/>
      <c r="N248" s="3934" t="n"/>
      <c r="O248" s="3934" t="n"/>
      <c r="P248" s="3934" t="n"/>
      <c r="Q248" s="3934" t="n"/>
      <c r="R248" s="3934" t="n"/>
      <c r="S248" s="3934" t="n"/>
      <c r="T248" s="3934" t="n"/>
      <c r="U248" s="3934" t="n"/>
      <c r="V248" s="3934" t="n"/>
      <c r="W248" s="3934" t="n"/>
      <c r="X248" s="3934" t="n"/>
      <c r="Y248" s="3934" t="n"/>
      <c r="Z248" s="3934" t="n"/>
      <c r="AA248" s="3934" t="n"/>
      <c r="AB248" s="3934" t="n"/>
      <c r="AC248" s="3934" t="n"/>
      <c r="AD248" s="3934" t="n"/>
      <c r="AE248" s="3934" t="n"/>
      <c r="AF248" s="3934" t="n"/>
      <c r="AG248" s="3934" t="n"/>
      <c r="AH248" s="3934" t="n"/>
      <c r="AI248" s="3934" t="n"/>
      <c r="AJ248" s="3934" t="n"/>
      <c r="AK248" s="3934" t="n"/>
      <c r="AL248" s="3934" t="n"/>
      <c r="AM248" s="3934" t="n"/>
      <c r="AN248" s="3934" t="n"/>
      <c r="AO248" s="3934" t="n"/>
      <c r="AP248" s="3934" t="n"/>
      <c r="AQ248" s="3934" t="n"/>
      <c r="AR248" s="3934" t="n"/>
    </row>
    <row r="249">
      <c r="A249" s="3944" t="n"/>
      <c r="B249" s="3944" t="n"/>
      <c r="C249" s="3944" t="n"/>
      <c r="D249" s="3944" t="n"/>
      <c r="E249" s="3944" t="n"/>
      <c r="F249" s="3944" t="n"/>
      <c r="G249" s="3944" t="n"/>
      <c r="H249" s="3944" t="n"/>
      <c r="I249" s="3934" t="n"/>
      <c r="J249" s="3934" t="n"/>
      <c r="K249" s="3934" t="n"/>
      <c r="L249" s="3934" t="n"/>
      <c r="M249" s="3934" t="n"/>
      <c r="N249" s="3934" t="n"/>
      <c r="O249" s="3934" t="n"/>
      <c r="P249" s="3934" t="n"/>
      <c r="Q249" s="3934" t="n"/>
      <c r="R249" s="3934" t="n"/>
      <c r="S249" s="3934" t="n"/>
      <c r="T249" s="3934" t="n"/>
      <c r="U249" s="3934" t="n"/>
      <c r="V249" s="3934" t="n"/>
      <c r="W249" s="3934" t="n"/>
      <c r="X249" s="3934" t="n"/>
      <c r="Y249" s="3934" t="n"/>
      <c r="Z249" s="3934" t="n"/>
      <c r="AA249" s="3934" t="n"/>
      <c r="AB249" s="3934" t="n"/>
      <c r="AC249" s="3934" t="n"/>
      <c r="AD249" s="3934" t="n"/>
      <c r="AE249" s="3934" t="n"/>
      <c r="AF249" s="3934" t="n"/>
      <c r="AG249" s="3934" t="n"/>
      <c r="AH249" s="3934" t="n"/>
      <c r="AI249" s="3934" t="n"/>
      <c r="AJ249" s="3934" t="n"/>
      <c r="AK249" s="3934" t="n"/>
      <c r="AL249" s="3934" t="n"/>
      <c r="AM249" s="3934" t="n"/>
      <c r="AN249" s="3934" t="n"/>
      <c r="AO249" s="3934" t="n"/>
      <c r="AP249" s="3934" t="n"/>
      <c r="AQ249" s="3934" t="n"/>
      <c r="AR249" s="3934" t="n"/>
    </row>
    <row r="250">
      <c r="A250" s="3944" t="n"/>
      <c r="B250" s="3944" t="n"/>
      <c r="C250" s="3944" t="n"/>
      <c r="D250" s="3944" t="n"/>
      <c r="E250" s="3944" t="n"/>
      <c r="F250" s="3944" t="n"/>
      <c r="G250" s="3944" t="n"/>
      <c r="H250" s="3944" t="n"/>
      <c r="I250" s="3934" t="n"/>
      <c r="J250" s="3934" t="n"/>
      <c r="K250" s="3934" t="n"/>
      <c r="L250" s="3934" t="n"/>
      <c r="M250" s="3934" t="n"/>
      <c r="N250" s="3934" t="n"/>
      <c r="O250" s="3934" t="n"/>
      <c r="P250" s="3934" t="n"/>
      <c r="Q250" s="3934" t="n"/>
      <c r="R250" s="3934" t="n"/>
      <c r="S250" s="3934" t="n"/>
      <c r="T250" s="3934" t="n"/>
      <c r="U250" s="3934" t="n"/>
      <c r="V250" s="3934" t="n"/>
      <c r="W250" s="3934" t="n"/>
      <c r="X250" s="3934" t="n"/>
      <c r="Y250" s="3934" t="n"/>
      <c r="Z250" s="3934" t="n"/>
      <c r="AA250" s="3934" t="n"/>
      <c r="AB250" s="3934" t="n"/>
      <c r="AC250" s="3934" t="n"/>
      <c r="AD250" s="3934" t="n"/>
      <c r="AE250" s="3934" t="n"/>
      <c r="AF250" s="3934" t="n"/>
      <c r="AG250" s="3934" t="n"/>
      <c r="AH250" s="3934" t="n"/>
      <c r="AI250" s="3934" t="n"/>
      <c r="AJ250" s="3934" t="n"/>
      <c r="AK250" s="3934" t="n"/>
      <c r="AL250" s="3934" t="n"/>
      <c r="AM250" s="3934" t="n"/>
      <c r="AN250" s="3934" t="n"/>
      <c r="AO250" s="3934" t="n"/>
      <c r="AP250" s="3934" t="n"/>
      <c r="AQ250" s="3934" t="n"/>
      <c r="AR250" s="3934" t="n"/>
    </row>
    <row r="251">
      <c r="A251" s="3944" t="n"/>
      <c r="B251" s="3944" t="n"/>
      <c r="C251" s="3944" t="n"/>
      <c r="D251" s="3944" t="n"/>
      <c r="E251" s="3944" t="n"/>
      <c r="F251" s="3944" t="n"/>
      <c r="G251" s="3944" t="n"/>
      <c r="H251" s="3944" t="n"/>
      <c r="I251" s="3934" t="n"/>
      <c r="J251" s="3934" t="n"/>
      <c r="K251" s="3934" t="n"/>
      <c r="L251" s="3934" t="n"/>
      <c r="M251" s="3934" t="n"/>
      <c r="N251" s="3934" t="n"/>
      <c r="O251" s="3934" t="n"/>
      <c r="P251" s="3934" t="n"/>
      <c r="Q251" s="3934" t="n"/>
      <c r="R251" s="3934" t="n"/>
      <c r="S251" s="3934" t="n"/>
      <c r="T251" s="3934" t="n"/>
      <c r="U251" s="3934" t="n"/>
      <c r="V251" s="3934" t="n"/>
      <c r="W251" s="3934" t="n"/>
      <c r="X251" s="3934" t="n"/>
      <c r="Y251" s="3934" t="n"/>
      <c r="Z251" s="3934" t="n"/>
      <c r="AA251" s="3934" t="n"/>
      <c r="AB251" s="3934" t="n"/>
      <c r="AC251" s="3934" t="n"/>
      <c r="AD251" s="3934" t="n"/>
      <c r="AE251" s="3934" t="n"/>
      <c r="AF251" s="3934" t="n"/>
      <c r="AG251" s="3934" t="n"/>
      <c r="AH251" s="3934" t="n"/>
      <c r="AI251" s="3934" t="n"/>
      <c r="AJ251" s="3934" t="n"/>
      <c r="AK251" s="3934" t="n"/>
      <c r="AL251" s="3934" t="n"/>
      <c r="AM251" s="3934" t="n"/>
      <c r="AN251" s="3934" t="n"/>
      <c r="AO251" s="3934" t="n"/>
      <c r="AP251" s="3934" t="n"/>
      <c r="AQ251" s="3934" t="n"/>
      <c r="AR251" s="3934" t="n"/>
    </row>
    <row r="252">
      <c r="A252" s="3944" t="n"/>
      <c r="B252" s="3944" t="n"/>
      <c r="C252" s="3944" t="n"/>
      <c r="D252" s="3944" t="n"/>
      <c r="E252" s="3944" t="n"/>
      <c r="F252" s="3944" t="n"/>
      <c r="G252" s="3944" t="n"/>
      <c r="H252" s="3944" t="n"/>
      <c r="I252" s="3934" t="n"/>
      <c r="J252" s="3934" t="n"/>
      <c r="K252" s="3934" t="n"/>
      <c r="L252" s="3934" t="n"/>
      <c r="M252" s="3934" t="n"/>
      <c r="N252" s="3934" t="n"/>
      <c r="O252" s="3934" t="n"/>
      <c r="P252" s="3934" t="n"/>
      <c r="Q252" s="3934" t="n"/>
      <c r="R252" s="3934" t="n"/>
      <c r="S252" s="3934" t="n"/>
      <c r="T252" s="3934" t="n"/>
      <c r="U252" s="3934" t="n"/>
      <c r="V252" s="3934" t="n"/>
      <c r="W252" s="3934" t="n"/>
      <c r="X252" s="3934" t="n"/>
      <c r="Y252" s="3934" t="n"/>
      <c r="Z252" s="3934" t="n"/>
      <c r="AA252" s="3934" t="n"/>
      <c r="AB252" s="3934" t="n"/>
      <c r="AC252" s="3934" t="n"/>
      <c r="AD252" s="3934" t="n"/>
      <c r="AE252" s="3934" t="n"/>
      <c r="AF252" s="3934" t="n"/>
      <c r="AG252" s="3934" t="n"/>
      <c r="AH252" s="3934" t="n"/>
      <c r="AI252" s="3934" t="n"/>
      <c r="AJ252" s="3934" t="n"/>
      <c r="AK252" s="3934" t="n"/>
      <c r="AL252" s="3934" t="n"/>
      <c r="AM252" s="3934" t="n"/>
      <c r="AN252" s="3934" t="n"/>
      <c r="AO252" s="3934" t="n"/>
      <c r="AP252" s="3934" t="n"/>
      <c r="AQ252" s="3934" t="n"/>
      <c r="AR252" s="3934" t="n"/>
    </row>
    <row r="253">
      <c r="A253" s="3944" t="n"/>
      <c r="B253" s="3944" t="n"/>
      <c r="C253" s="3944" t="n"/>
      <c r="D253" s="3944" t="n"/>
      <c r="E253" s="3944" t="n"/>
      <c r="F253" s="3944" t="n"/>
      <c r="G253" s="3944" t="n"/>
      <c r="H253" s="3944" t="n"/>
      <c r="I253" s="3934" t="n"/>
      <c r="J253" s="3934" t="n"/>
      <c r="K253" s="3934" t="n"/>
      <c r="L253" s="3934" t="n"/>
      <c r="M253" s="3934" t="n"/>
      <c r="N253" s="3934" t="n"/>
      <c r="O253" s="3934" t="n"/>
      <c r="P253" s="3934" t="n"/>
      <c r="Q253" s="3934" t="n"/>
      <c r="R253" s="3934" t="n"/>
      <c r="S253" s="3934" t="n"/>
      <c r="T253" s="3934" t="n"/>
      <c r="U253" s="3934" t="n"/>
      <c r="V253" s="3934" t="n"/>
      <c r="W253" s="3934" t="n"/>
      <c r="X253" s="3934" t="n"/>
      <c r="Y253" s="3934" t="n"/>
      <c r="Z253" s="3934" t="n"/>
      <c r="AA253" s="3934" t="n"/>
      <c r="AB253" s="3934" t="n"/>
      <c r="AC253" s="3934" t="n"/>
      <c r="AD253" s="3934" t="n"/>
      <c r="AE253" s="3934" t="n"/>
      <c r="AF253" s="3934" t="n"/>
      <c r="AG253" s="3934" t="n"/>
      <c r="AH253" s="3934" t="n"/>
      <c r="AI253" s="3934" t="n"/>
      <c r="AJ253" s="3934" t="n"/>
      <c r="AK253" s="3934" t="n"/>
      <c r="AL253" s="3934" t="n"/>
      <c r="AM253" s="3934" t="n"/>
      <c r="AN253" s="3934" t="n"/>
      <c r="AO253" s="3934" t="n"/>
      <c r="AP253" s="3934" t="n"/>
      <c r="AQ253" s="3934" t="n"/>
      <c r="AR253" s="3934" t="n"/>
    </row>
    <row r="254">
      <c r="A254" s="3944" t="n"/>
      <c r="B254" s="3944" t="n"/>
      <c r="C254" s="3944" t="n"/>
      <c r="D254" s="3944" t="n"/>
      <c r="E254" s="3944" t="n"/>
      <c r="F254" s="3944" t="n"/>
      <c r="G254" s="3944" t="n"/>
      <c r="H254" s="3944" t="n"/>
      <c r="I254" s="3934" t="n"/>
      <c r="J254" s="3934" t="n"/>
      <c r="K254" s="3934" t="n"/>
      <c r="L254" s="3934" t="n"/>
      <c r="M254" s="3934" t="n"/>
      <c r="N254" s="3934" t="n"/>
      <c r="O254" s="3934" t="n"/>
      <c r="P254" s="3934" t="n"/>
      <c r="Q254" s="3934" t="n"/>
      <c r="R254" s="3934" t="n"/>
      <c r="S254" s="3934" t="n"/>
      <c r="T254" s="3934" t="n"/>
      <c r="U254" s="3934" t="n"/>
      <c r="V254" s="3934" t="n"/>
      <c r="W254" s="3934" t="n"/>
      <c r="X254" s="3934" t="n"/>
      <c r="Y254" s="3934" t="n"/>
      <c r="Z254" s="3934" t="n"/>
      <c r="AA254" s="3934" t="n"/>
      <c r="AB254" s="3934" t="n"/>
      <c r="AC254" s="3934" t="n"/>
      <c r="AD254" s="3934" t="n"/>
      <c r="AE254" s="3934" t="n"/>
      <c r="AF254" s="3934" t="n"/>
      <c r="AG254" s="3934" t="n"/>
      <c r="AH254" s="3934" t="n"/>
      <c r="AI254" s="3934" t="n"/>
      <c r="AJ254" s="3934" t="n"/>
      <c r="AK254" s="3934" t="n"/>
      <c r="AL254" s="3934" t="n"/>
      <c r="AM254" s="3934" t="n"/>
      <c r="AN254" s="3934" t="n"/>
      <c r="AO254" s="3934" t="n"/>
      <c r="AP254" s="3934" t="n"/>
      <c r="AQ254" s="3934" t="n"/>
      <c r="AR254" s="3934" t="n"/>
    </row>
    <row r="255">
      <c r="A255" s="3944" t="n"/>
      <c r="B255" s="3944" t="n"/>
      <c r="C255" s="3944" t="n"/>
      <c r="D255" s="3944" t="n"/>
      <c r="E255" s="3944" t="n"/>
      <c r="F255" s="3944" t="n"/>
      <c r="G255" s="3944" t="n"/>
      <c r="H255" s="3944" t="n"/>
      <c r="I255" s="3934" t="n"/>
      <c r="J255" s="3934" t="n"/>
      <c r="K255" s="3934" t="n"/>
      <c r="L255" s="3934" t="n"/>
      <c r="M255" s="3934" t="n"/>
      <c r="N255" s="3934" t="n"/>
      <c r="O255" s="3934" t="n"/>
      <c r="P255" s="3934" t="n"/>
      <c r="Q255" s="3934" t="n"/>
      <c r="R255" s="3934" t="n"/>
      <c r="S255" s="3934" t="n"/>
      <c r="T255" s="3934" t="n"/>
      <c r="U255" s="3934" t="n"/>
      <c r="V255" s="3934" t="n"/>
      <c r="W255" s="3934" t="n"/>
      <c r="X255" s="3934" t="n"/>
      <c r="Y255" s="3934" t="n"/>
      <c r="Z255" s="3934" t="n"/>
      <c r="AA255" s="3934" t="n"/>
      <c r="AB255" s="3934" t="n"/>
      <c r="AC255" s="3934" t="n"/>
      <c r="AD255" s="3934" t="n"/>
      <c r="AE255" s="3934" t="n"/>
      <c r="AF255" s="3934" t="n"/>
      <c r="AG255" s="3934" t="n"/>
      <c r="AH255" s="3934" t="n"/>
      <c r="AI255" s="3934" t="n"/>
      <c r="AJ255" s="3934" t="n"/>
      <c r="AK255" s="3934" t="n"/>
      <c r="AL255" s="3934" t="n"/>
      <c r="AM255" s="3934" t="n"/>
      <c r="AN255" s="3934" t="n"/>
      <c r="AO255" s="3934" t="n"/>
      <c r="AP255" s="3934" t="n"/>
      <c r="AQ255" s="3934" t="n"/>
      <c r="AR255" s="3934" t="n"/>
    </row>
    <row r="256">
      <c r="A256" s="3944" t="n"/>
      <c r="B256" s="3944" t="n"/>
      <c r="C256" s="3944" t="n"/>
      <c r="D256" s="3944" t="n"/>
      <c r="E256" s="3944" t="n"/>
      <c r="F256" s="3944" t="n"/>
      <c r="G256" s="3944" t="n"/>
      <c r="H256" s="3944" t="n"/>
      <c r="I256" s="3934" t="n"/>
      <c r="J256" s="3934" t="n"/>
      <c r="K256" s="3934" t="n"/>
      <c r="L256" s="3934" t="n"/>
      <c r="M256" s="3934" t="n"/>
      <c r="N256" s="3934" t="n"/>
      <c r="O256" s="3934" t="n"/>
      <c r="P256" s="3934" t="n"/>
      <c r="Q256" s="3934" t="n"/>
      <c r="R256" s="3934" t="n"/>
      <c r="S256" s="3934" t="n"/>
      <c r="T256" s="3934" t="n"/>
      <c r="U256" s="3934" t="n"/>
      <c r="V256" s="3934" t="n"/>
      <c r="W256" s="3934" t="n"/>
      <c r="X256" s="3934" t="n"/>
      <c r="Y256" s="3934" t="n"/>
      <c r="Z256" s="3934" t="n"/>
      <c r="AA256" s="3934" t="n"/>
      <c r="AB256" s="3934" t="n"/>
      <c r="AC256" s="3934" t="n"/>
      <c r="AD256" s="3934" t="n"/>
      <c r="AE256" s="3934" t="n"/>
      <c r="AF256" s="3934" t="n"/>
      <c r="AG256" s="3934" t="n"/>
      <c r="AH256" s="3934" t="n"/>
      <c r="AI256" s="3934" t="n"/>
      <c r="AJ256" s="3934" t="n"/>
      <c r="AK256" s="3934" t="n"/>
      <c r="AL256" s="3934" t="n"/>
      <c r="AM256" s="3934" t="n"/>
      <c r="AN256" s="3934" t="n"/>
      <c r="AO256" s="3934" t="n"/>
      <c r="AP256" s="3934" t="n"/>
      <c r="AQ256" s="3934" t="n"/>
      <c r="AR256" s="3934" t="n"/>
    </row>
    <row r="257">
      <c r="A257" s="3944" t="n"/>
      <c r="B257" s="3944" t="n"/>
      <c r="C257" s="3944" t="n"/>
      <c r="D257" s="3944" t="n"/>
      <c r="E257" s="3944" t="n"/>
      <c r="F257" s="3944" t="n"/>
      <c r="G257" s="3944" t="n"/>
      <c r="H257" s="3944" t="n"/>
      <c r="I257" s="3934" t="n"/>
      <c r="J257" s="3934" t="n"/>
      <c r="K257" s="3934" t="n"/>
      <c r="L257" s="3934" t="n"/>
      <c r="M257" s="3934" t="n"/>
      <c r="N257" s="3934" t="n"/>
      <c r="O257" s="3934" t="n"/>
      <c r="P257" s="3934" t="n"/>
      <c r="Q257" s="3934" t="n"/>
      <c r="R257" s="3934" t="n"/>
      <c r="S257" s="3934" t="n"/>
      <c r="T257" s="3934" t="n"/>
      <c r="U257" s="3934" t="n"/>
      <c r="V257" s="3934" t="n"/>
      <c r="W257" s="3934" t="n"/>
      <c r="X257" s="3934" t="n"/>
      <c r="Y257" s="3934" t="n"/>
      <c r="Z257" s="3934" t="n"/>
      <c r="AA257" s="3934" t="n"/>
      <c r="AB257" s="3934" t="n"/>
      <c r="AC257" s="3934" t="n"/>
      <c r="AD257" s="3934" t="n"/>
      <c r="AE257" s="3934" t="n"/>
      <c r="AF257" s="3934" t="n"/>
      <c r="AG257" s="3934" t="n"/>
      <c r="AH257" s="3934" t="n"/>
      <c r="AI257" s="3934" t="n"/>
      <c r="AJ257" s="3934" t="n"/>
      <c r="AK257" s="3934" t="n"/>
      <c r="AL257" s="3934" t="n"/>
      <c r="AM257" s="3934" t="n"/>
      <c r="AN257" s="3934" t="n"/>
      <c r="AO257" s="3934" t="n"/>
      <c r="AP257" s="3934" t="n"/>
      <c r="AQ257" s="3934" t="n"/>
      <c r="AR257" s="3934" t="n"/>
    </row>
    <row r="258">
      <c r="A258" s="3944" t="n"/>
      <c r="B258" s="3944" t="n"/>
      <c r="C258" s="3944" t="n"/>
      <c r="D258" s="3944" t="n"/>
      <c r="E258" s="3944" t="n"/>
      <c r="F258" s="3944" t="n"/>
      <c r="G258" s="3944" t="n"/>
      <c r="H258" s="3944" t="n"/>
      <c r="I258" s="3934" t="n"/>
      <c r="J258" s="3934" t="n"/>
      <c r="K258" s="3934" t="n"/>
      <c r="L258" s="3934" t="n"/>
      <c r="M258" s="3934" t="n"/>
      <c r="N258" s="3934" t="n"/>
      <c r="O258" s="3934" t="n"/>
      <c r="P258" s="3934" t="n"/>
      <c r="Q258" s="3934" t="n"/>
      <c r="R258" s="3934" t="n"/>
      <c r="S258" s="3934" t="n"/>
      <c r="T258" s="3934" t="n"/>
      <c r="U258" s="3934" t="n"/>
      <c r="V258" s="3934" t="n"/>
      <c r="W258" s="3934" t="n"/>
      <c r="X258" s="3934" t="n"/>
      <c r="Y258" s="3934" t="n"/>
      <c r="Z258" s="3934" t="n"/>
      <c r="AA258" s="3934" t="n"/>
      <c r="AB258" s="3934" t="n"/>
      <c r="AC258" s="3934" t="n"/>
      <c r="AD258" s="3934" t="n"/>
      <c r="AE258" s="3934" t="n"/>
      <c r="AF258" s="3934" t="n"/>
      <c r="AG258" s="3934" t="n"/>
      <c r="AH258" s="3934" t="n"/>
      <c r="AI258" s="3934" t="n"/>
      <c r="AJ258" s="3934" t="n"/>
      <c r="AK258" s="3934" t="n"/>
      <c r="AL258" s="3934" t="n"/>
      <c r="AM258" s="3934" t="n"/>
      <c r="AN258" s="3934" t="n"/>
      <c r="AO258" s="3934" t="n"/>
      <c r="AP258" s="3934" t="n"/>
      <c r="AQ258" s="3934" t="n"/>
      <c r="AR258" s="3934" t="n"/>
    </row>
    <row r="259">
      <c r="A259" s="3944" t="n"/>
      <c r="B259" s="3944" t="n"/>
      <c r="C259" s="3944" t="n"/>
      <c r="D259" s="3944" t="n"/>
      <c r="E259" s="3944" t="n"/>
      <c r="F259" s="3944" t="n"/>
      <c r="G259" s="3944" t="n"/>
      <c r="H259" s="3944" t="n"/>
      <c r="I259" s="3934" t="n"/>
      <c r="J259" s="3934" t="n"/>
      <c r="K259" s="3934" t="n"/>
      <c r="L259" s="3934" t="n"/>
      <c r="M259" s="3934" t="n"/>
      <c r="N259" s="3934" t="n"/>
      <c r="O259" s="3934" t="n"/>
      <c r="P259" s="3934" t="n"/>
      <c r="Q259" s="3934" t="n"/>
      <c r="R259" s="3934" t="n"/>
      <c r="S259" s="3934" t="n"/>
      <c r="T259" s="3934" t="n"/>
      <c r="U259" s="3934" t="n"/>
      <c r="V259" s="3934" t="n"/>
      <c r="W259" s="3934" t="n"/>
      <c r="X259" s="3934" t="n"/>
      <c r="Y259" s="3934" t="n"/>
      <c r="Z259" s="3934" t="n"/>
      <c r="AA259" s="3934" t="n"/>
      <c r="AB259" s="3934" t="n"/>
      <c r="AC259" s="3934" t="n"/>
      <c r="AD259" s="3934" t="n"/>
      <c r="AE259" s="3934" t="n"/>
      <c r="AF259" s="3934" t="n"/>
      <c r="AG259" s="3934" t="n"/>
      <c r="AH259" s="3934" t="n"/>
      <c r="AI259" s="3934" t="n"/>
      <c r="AJ259" s="3934" t="n"/>
      <c r="AK259" s="3934" t="n"/>
      <c r="AL259" s="3934" t="n"/>
      <c r="AM259" s="3934" t="n"/>
      <c r="AN259" s="3934" t="n"/>
      <c r="AO259" s="3934" t="n"/>
      <c r="AP259" s="3934" t="n"/>
      <c r="AQ259" s="3934" t="n"/>
      <c r="AR259" s="3934" t="n"/>
    </row>
    <row r="260">
      <c r="A260" s="3944" t="n"/>
      <c r="B260" s="3944" t="n"/>
      <c r="C260" s="3944" t="n"/>
      <c r="D260" s="3944" t="n"/>
      <c r="E260" s="3944" t="n"/>
      <c r="F260" s="3944" t="n"/>
      <c r="G260" s="3944" t="n"/>
      <c r="H260" s="3944" t="n"/>
      <c r="I260" s="3934" t="n"/>
      <c r="J260" s="3934" t="n"/>
      <c r="K260" s="3934" t="n"/>
      <c r="L260" s="3934" t="n"/>
      <c r="M260" s="3934" t="n"/>
      <c r="N260" s="3934" t="n"/>
      <c r="O260" s="3934" t="n"/>
      <c r="P260" s="3934" t="n"/>
      <c r="Q260" s="3934" t="n"/>
      <c r="R260" s="3934" t="n"/>
      <c r="S260" s="3934" t="n"/>
      <c r="T260" s="3934" t="n"/>
      <c r="U260" s="3934" t="n"/>
      <c r="V260" s="3934" t="n"/>
      <c r="W260" s="3934" t="n"/>
      <c r="X260" s="3934" t="n"/>
      <c r="Y260" s="3934" t="n"/>
      <c r="Z260" s="3934" t="n"/>
      <c r="AA260" s="3934" t="n"/>
      <c r="AB260" s="3934" t="n"/>
      <c r="AC260" s="3934" t="n"/>
      <c r="AD260" s="3934" t="n"/>
      <c r="AE260" s="3934" t="n"/>
      <c r="AF260" s="3934" t="n"/>
      <c r="AG260" s="3934" t="n"/>
      <c r="AH260" s="3934" t="n"/>
      <c r="AI260" s="3934" t="n"/>
      <c r="AJ260" s="3934" t="n"/>
      <c r="AK260" s="3934" t="n"/>
      <c r="AL260" s="3934" t="n"/>
      <c r="AM260" s="3934" t="n"/>
      <c r="AN260" s="3934" t="n"/>
      <c r="AO260" s="3934" t="n"/>
      <c r="AP260" s="3934" t="n"/>
      <c r="AQ260" s="3934" t="n"/>
      <c r="AR260" s="3934" t="n"/>
    </row>
    <row r="261">
      <c r="A261" s="3944" t="n"/>
      <c r="B261" s="3944" t="n"/>
      <c r="C261" s="3944" t="n"/>
      <c r="D261" s="3944" t="n"/>
      <c r="E261" s="3944" t="n"/>
      <c r="F261" s="3944" t="n"/>
      <c r="G261" s="3944" t="n"/>
      <c r="H261" s="3944" t="n"/>
      <c r="I261" s="3934" t="n"/>
      <c r="J261" s="3934" t="n"/>
      <c r="K261" s="3934" t="n"/>
      <c r="L261" s="3934" t="n"/>
      <c r="M261" s="3934" t="n"/>
      <c r="N261" s="3934" t="n"/>
      <c r="O261" s="3934" t="n"/>
      <c r="P261" s="3934" t="n"/>
      <c r="Q261" s="3934" t="n"/>
      <c r="R261" s="3934" t="n"/>
      <c r="S261" s="3934" t="n"/>
      <c r="T261" s="3934" t="n"/>
      <c r="U261" s="3934" t="n"/>
      <c r="V261" s="3934" t="n"/>
      <c r="W261" s="3934" t="n"/>
      <c r="X261" s="3934" t="n"/>
      <c r="Y261" s="3934" t="n"/>
      <c r="Z261" s="3934" t="n"/>
      <c r="AA261" s="3934" t="n"/>
      <c r="AB261" s="3934" t="n"/>
      <c r="AC261" s="3934" t="n"/>
      <c r="AD261" s="3934" t="n"/>
      <c r="AE261" s="3934" t="n"/>
      <c r="AF261" s="3934" t="n"/>
      <c r="AG261" s="3934" t="n"/>
      <c r="AH261" s="3934" t="n"/>
      <c r="AI261" s="3934" t="n"/>
      <c r="AJ261" s="3934" t="n"/>
      <c r="AK261" s="3934" t="n"/>
      <c r="AL261" s="3934" t="n"/>
      <c r="AM261" s="3934" t="n"/>
      <c r="AN261" s="3934" t="n"/>
      <c r="AO261" s="3934" t="n"/>
      <c r="AP261" s="3934" t="n"/>
      <c r="AQ261" s="3934" t="n"/>
      <c r="AR261" s="3934" t="n"/>
    </row>
    <row r="262">
      <c r="A262" s="3944" t="n"/>
      <c r="B262" s="3944" t="n"/>
      <c r="C262" s="3944" t="n"/>
      <c r="D262" s="3944" t="n"/>
      <c r="E262" s="3944" t="n"/>
      <c r="F262" s="3944" t="n"/>
      <c r="G262" s="3944" t="n"/>
      <c r="H262" s="3944" t="n"/>
      <c r="I262" s="3934" t="n"/>
      <c r="J262" s="3934" t="n"/>
      <c r="K262" s="3934" t="n"/>
      <c r="L262" s="3934" t="n"/>
      <c r="M262" s="3934" t="n"/>
      <c r="N262" s="3934" t="n"/>
      <c r="O262" s="3934" t="n"/>
      <c r="P262" s="3934" t="n"/>
      <c r="Q262" s="3934" t="n"/>
      <c r="R262" s="3934" t="n"/>
      <c r="S262" s="3934" t="n"/>
      <c r="T262" s="3934" t="n"/>
      <c r="U262" s="3934" t="n"/>
      <c r="V262" s="3934" t="n"/>
      <c r="W262" s="3934" t="n"/>
      <c r="X262" s="3934" t="n"/>
      <c r="Y262" s="3934" t="n"/>
      <c r="Z262" s="3934" t="n"/>
      <c r="AA262" s="3934" t="n"/>
      <c r="AB262" s="3934" t="n"/>
      <c r="AC262" s="3934" t="n"/>
      <c r="AD262" s="3934" t="n"/>
      <c r="AE262" s="3934" t="n"/>
      <c r="AF262" s="3934" t="n"/>
      <c r="AG262" s="3934" t="n"/>
      <c r="AH262" s="3934" t="n"/>
      <c r="AI262" s="3934" t="n"/>
      <c r="AJ262" s="3934" t="n"/>
      <c r="AK262" s="3934" t="n"/>
      <c r="AL262" s="3934" t="n"/>
      <c r="AM262" s="3934" t="n"/>
      <c r="AN262" s="3934" t="n"/>
      <c r="AO262" s="3934" t="n"/>
      <c r="AP262" s="3934" t="n"/>
      <c r="AQ262" s="3934" t="n"/>
      <c r="AR262" s="3934" t="n"/>
    </row>
    <row r="263">
      <c r="A263" s="3944" t="n"/>
      <c r="B263" s="3944" t="n"/>
      <c r="C263" s="3944" t="n"/>
      <c r="D263" s="3944" t="n"/>
      <c r="E263" s="3944" t="n"/>
      <c r="F263" s="3944" t="n"/>
      <c r="G263" s="3944" t="n"/>
      <c r="H263" s="3944" t="n"/>
      <c r="I263" s="3934" t="n"/>
      <c r="J263" s="3934" t="n"/>
      <c r="K263" s="3934" t="n"/>
      <c r="L263" s="3934" t="n"/>
      <c r="M263" s="3934" t="n"/>
      <c r="N263" s="3934" t="n"/>
      <c r="O263" s="3934" t="n"/>
      <c r="P263" s="3934" t="n"/>
      <c r="Q263" s="3934" t="n"/>
      <c r="R263" s="3934" t="n"/>
      <c r="S263" s="3934" t="n"/>
      <c r="T263" s="3934" t="n"/>
      <c r="U263" s="3934" t="n"/>
      <c r="V263" s="3934" t="n"/>
      <c r="W263" s="3934" t="n"/>
      <c r="X263" s="3934" t="n"/>
      <c r="Y263" s="3934" t="n"/>
      <c r="Z263" s="3934" t="n"/>
      <c r="AA263" s="3934" t="n"/>
      <c r="AB263" s="3934" t="n"/>
      <c r="AC263" s="3934" t="n"/>
      <c r="AD263" s="3934" t="n"/>
      <c r="AE263" s="3934" t="n"/>
      <c r="AF263" s="3934" t="n"/>
      <c r="AG263" s="3934" t="n"/>
      <c r="AH263" s="3934" t="n"/>
      <c r="AI263" s="3934" t="n"/>
      <c r="AJ263" s="3934" t="n"/>
      <c r="AK263" s="3934" t="n"/>
      <c r="AL263" s="3934" t="n"/>
      <c r="AM263" s="3934" t="n"/>
      <c r="AN263" s="3934" t="n"/>
      <c r="AO263" s="3934" t="n"/>
      <c r="AP263" s="3934" t="n"/>
      <c r="AQ263" s="3934" t="n"/>
      <c r="AR263" s="3934" t="n"/>
    </row>
    <row r="264">
      <c r="A264" s="3944" t="n"/>
      <c r="B264" s="3944" t="n"/>
      <c r="C264" s="3944" t="n"/>
      <c r="D264" s="3944" t="n"/>
      <c r="E264" s="3944" t="n"/>
      <c r="F264" s="3944" t="n"/>
      <c r="G264" s="3944" t="n"/>
      <c r="H264" s="3944" t="n"/>
      <c r="I264" s="3934" t="n"/>
      <c r="J264" s="3934" t="n"/>
      <c r="K264" s="3934" t="n"/>
      <c r="L264" s="3934" t="n"/>
      <c r="M264" s="3934" t="n"/>
      <c r="N264" s="3934" t="n"/>
      <c r="O264" s="3934" t="n"/>
      <c r="P264" s="3934" t="n"/>
      <c r="Q264" s="3934" t="n"/>
      <c r="R264" s="3934" t="n"/>
      <c r="S264" s="3934" t="n"/>
      <c r="T264" s="3934" t="n"/>
      <c r="U264" s="3934" t="n"/>
      <c r="V264" s="3934" t="n"/>
      <c r="W264" s="3934" t="n"/>
      <c r="X264" s="3934" t="n"/>
      <c r="Y264" s="3934" t="n"/>
      <c r="Z264" s="3934" t="n"/>
      <c r="AA264" s="3934" t="n"/>
      <c r="AB264" s="3934" t="n"/>
      <c r="AC264" s="3934" t="n"/>
      <c r="AD264" s="3934" t="n"/>
      <c r="AE264" s="3934" t="n"/>
      <c r="AF264" s="3934" t="n"/>
      <c r="AG264" s="3934" t="n"/>
      <c r="AH264" s="3934" t="n"/>
      <c r="AI264" s="3934" t="n"/>
      <c r="AJ264" s="3934" t="n"/>
      <c r="AK264" s="3934" t="n"/>
      <c r="AL264" s="3934" t="n"/>
      <c r="AM264" s="3934" t="n"/>
      <c r="AN264" s="3934" t="n"/>
      <c r="AO264" s="3934" t="n"/>
      <c r="AP264" s="3934" t="n"/>
      <c r="AQ264" s="3934" t="n"/>
      <c r="AR264" s="3934" t="n"/>
    </row>
    <row r="265">
      <c r="A265" s="3944" t="n"/>
      <c r="B265" s="3944" t="n"/>
      <c r="C265" s="3944" t="n"/>
      <c r="D265" s="3944" t="n"/>
      <c r="E265" s="3944" t="n"/>
      <c r="F265" s="3944" t="n"/>
      <c r="G265" s="3944" t="n"/>
      <c r="H265" s="3944" t="n"/>
      <c r="I265" s="3934" t="n"/>
      <c r="J265" s="3934" t="n"/>
      <c r="K265" s="3934" t="n"/>
      <c r="L265" s="3934" t="n"/>
      <c r="M265" s="3934" t="n"/>
      <c r="N265" s="3934" t="n"/>
      <c r="O265" s="3934" t="n"/>
      <c r="P265" s="3934" t="n"/>
      <c r="Q265" s="3934" t="n"/>
      <c r="R265" s="3934" t="n"/>
      <c r="S265" s="3934" t="n"/>
      <c r="T265" s="3934" t="n"/>
      <c r="U265" s="3934" t="n"/>
      <c r="V265" s="3934" t="n"/>
      <c r="W265" s="3934" t="n"/>
      <c r="X265" s="3934" t="n"/>
      <c r="Y265" s="3934" t="n"/>
      <c r="Z265" s="3934" t="n"/>
      <c r="AA265" s="3934" t="n"/>
      <c r="AB265" s="3934" t="n"/>
      <c r="AC265" s="3934" t="n"/>
      <c r="AD265" s="3934" t="n"/>
      <c r="AE265" s="3934" t="n"/>
      <c r="AF265" s="3934" t="n"/>
      <c r="AG265" s="3934" t="n"/>
      <c r="AH265" s="3934" t="n"/>
      <c r="AI265" s="3934" t="n"/>
      <c r="AJ265" s="3934" t="n"/>
      <c r="AK265" s="3934" t="n"/>
      <c r="AL265" s="3934" t="n"/>
      <c r="AM265" s="3934" t="n"/>
      <c r="AN265" s="3934" t="n"/>
      <c r="AO265" s="3934" t="n"/>
      <c r="AP265" s="3934" t="n"/>
      <c r="AQ265" s="3934" t="n"/>
      <c r="AR265" s="3934" t="n"/>
    </row>
    <row r="266">
      <c r="A266" s="3944" t="n"/>
      <c r="B266" s="3944" t="n"/>
      <c r="C266" s="3944" t="n"/>
      <c r="D266" s="3944" t="n"/>
      <c r="E266" s="3944" t="n"/>
      <c r="F266" s="3944" t="n"/>
      <c r="G266" s="3944" t="n"/>
      <c r="H266" s="3944" t="n"/>
      <c r="I266" s="3934" t="n"/>
      <c r="J266" s="3934" t="n"/>
      <c r="K266" s="3934" t="n"/>
      <c r="L266" s="3934" t="n"/>
      <c r="M266" s="3934" t="n"/>
      <c r="N266" s="3934" t="n"/>
      <c r="O266" s="3934" t="n"/>
      <c r="P266" s="3934" t="n"/>
      <c r="Q266" s="3934" t="n"/>
      <c r="R266" s="3934" t="n"/>
      <c r="S266" s="3934" t="n"/>
      <c r="T266" s="3934" t="n"/>
      <c r="U266" s="3934" t="n"/>
      <c r="V266" s="3934" t="n"/>
      <c r="W266" s="3934" t="n"/>
      <c r="X266" s="3934" t="n"/>
      <c r="Y266" s="3934" t="n"/>
      <c r="Z266" s="3934" t="n"/>
      <c r="AA266" s="3934" t="n"/>
      <c r="AB266" s="3934" t="n"/>
      <c r="AC266" s="3934" t="n"/>
      <c r="AD266" s="3934" t="n"/>
      <c r="AE266" s="3934" t="n"/>
      <c r="AF266" s="3934" t="n"/>
      <c r="AG266" s="3934" t="n"/>
      <c r="AH266" s="3934" t="n"/>
      <c r="AI266" s="3934" t="n"/>
      <c r="AJ266" s="3934" t="n"/>
      <c r="AK266" s="3934" t="n"/>
      <c r="AL266" s="3934" t="n"/>
      <c r="AM266" s="3934" t="n"/>
      <c r="AN266" s="3934" t="n"/>
      <c r="AO266" s="3934" t="n"/>
      <c r="AP266" s="3934" t="n"/>
      <c r="AQ266" s="3934" t="n"/>
      <c r="AR266" s="3934" t="n"/>
    </row>
    <row r="267">
      <c r="A267" s="3944" t="n"/>
      <c r="B267" s="3944" t="n"/>
      <c r="C267" s="3944" t="n"/>
      <c r="D267" s="3944" t="n"/>
      <c r="E267" s="3944" t="n"/>
      <c r="F267" s="3944" t="n"/>
      <c r="G267" s="3944" t="n"/>
      <c r="H267" s="3944" t="n"/>
      <c r="I267" s="3934" t="n"/>
      <c r="J267" s="3934" t="n"/>
      <c r="K267" s="3934" t="n"/>
      <c r="L267" s="3934" t="n"/>
      <c r="M267" s="3934" t="n"/>
      <c r="N267" s="3934" t="n"/>
      <c r="O267" s="3934" t="n"/>
      <c r="P267" s="3934" t="n"/>
      <c r="Q267" s="3934" t="n"/>
      <c r="R267" s="3934" t="n"/>
      <c r="S267" s="3934" t="n"/>
      <c r="T267" s="3934" t="n"/>
      <c r="U267" s="3934" t="n"/>
      <c r="V267" s="3934" t="n"/>
      <c r="W267" s="3934" t="n"/>
      <c r="X267" s="3934" t="n"/>
      <c r="Y267" s="3934" t="n"/>
      <c r="Z267" s="3934" t="n"/>
      <c r="AA267" s="3934" t="n"/>
      <c r="AB267" s="3934" t="n"/>
      <c r="AC267" s="3934" t="n"/>
      <c r="AD267" s="3934" t="n"/>
      <c r="AE267" s="3934" t="n"/>
      <c r="AF267" s="3934" t="n"/>
      <c r="AG267" s="3934" t="n"/>
      <c r="AH267" s="3934" t="n"/>
      <c r="AI267" s="3934" t="n"/>
      <c r="AJ267" s="3934" t="n"/>
      <c r="AK267" s="3934" t="n"/>
      <c r="AL267" s="3934" t="n"/>
      <c r="AM267" s="3934" t="n"/>
      <c r="AN267" s="3934" t="n"/>
      <c r="AO267" s="3934" t="n"/>
      <c r="AP267" s="3934" t="n"/>
      <c r="AQ267" s="3934" t="n"/>
      <c r="AR267" s="3934" t="n"/>
    </row>
    <row r="268">
      <c r="A268" s="3944" t="n"/>
      <c r="B268" s="3944" t="n"/>
      <c r="C268" s="3944" t="n"/>
      <c r="D268" s="3944" t="n"/>
      <c r="E268" s="3944" t="n"/>
      <c r="F268" s="3944" t="n"/>
      <c r="G268" s="3944" t="n"/>
      <c r="H268" s="3944" t="n"/>
      <c r="I268" s="3934" t="n"/>
      <c r="J268" s="3934" t="n"/>
      <c r="K268" s="3934" t="n"/>
      <c r="L268" s="3934" t="n"/>
      <c r="M268" s="3934" t="n"/>
      <c r="N268" s="3934" t="n"/>
      <c r="O268" s="3934" t="n"/>
      <c r="P268" s="3934" t="n"/>
      <c r="Q268" s="3934" t="n"/>
      <c r="R268" s="3934" t="n"/>
      <c r="S268" s="3934" t="n"/>
      <c r="T268" s="3934" t="n"/>
      <c r="U268" s="3934" t="n"/>
      <c r="V268" s="3934" t="n"/>
      <c r="W268" s="3934" t="n"/>
      <c r="X268" s="3934" t="n"/>
      <c r="Y268" s="3934" t="n"/>
      <c r="Z268" s="3934" t="n"/>
      <c r="AA268" s="3934" t="n"/>
      <c r="AB268" s="3934" t="n"/>
      <c r="AC268" s="3934" t="n"/>
      <c r="AD268" s="3934" t="n"/>
      <c r="AE268" s="3934" t="n"/>
      <c r="AF268" s="3934" t="n"/>
      <c r="AG268" s="3934" t="n"/>
      <c r="AH268" s="3934" t="n"/>
      <c r="AI268" s="3934" t="n"/>
      <c r="AJ268" s="3934" t="n"/>
      <c r="AK268" s="3934" t="n"/>
      <c r="AL268" s="3934" t="n"/>
      <c r="AM268" s="3934" t="n"/>
      <c r="AN268" s="3934" t="n"/>
      <c r="AO268" s="3934" t="n"/>
      <c r="AP268" s="3934" t="n"/>
      <c r="AQ268" s="3934" t="n"/>
      <c r="AR268" s="3934" t="n"/>
    </row>
    <row r="269">
      <c r="A269" s="3944" t="n"/>
      <c r="B269" s="3944" t="n"/>
      <c r="C269" s="3944" t="n"/>
      <c r="D269" s="3944" t="n"/>
      <c r="E269" s="3944" t="n"/>
      <c r="F269" s="3944" t="n"/>
      <c r="G269" s="3944" t="n"/>
      <c r="H269" s="3944" t="n"/>
      <c r="I269" s="3934" t="n"/>
      <c r="J269" s="3934" t="n"/>
      <c r="K269" s="3934" t="n"/>
      <c r="L269" s="3934" t="n"/>
      <c r="M269" s="3934" t="n"/>
      <c r="N269" s="3934" t="n"/>
      <c r="O269" s="3934" t="n"/>
      <c r="P269" s="3934" t="n"/>
      <c r="Q269" s="3934" t="n"/>
      <c r="R269" s="3934" t="n"/>
      <c r="S269" s="3934" t="n"/>
      <c r="T269" s="3934" t="n"/>
      <c r="U269" s="3934" t="n"/>
      <c r="V269" s="3934" t="n"/>
      <c r="W269" s="3934" t="n"/>
      <c r="X269" s="3934" t="n"/>
      <c r="Y269" s="3934" t="n"/>
      <c r="Z269" s="3934" t="n"/>
      <c r="AA269" s="3934" t="n"/>
      <c r="AB269" s="3934" t="n"/>
      <c r="AC269" s="3934" t="n"/>
      <c r="AD269" s="3934" t="n"/>
      <c r="AE269" s="3934" t="n"/>
      <c r="AF269" s="3934" t="n"/>
      <c r="AG269" s="3934" t="n"/>
      <c r="AH269" s="3934" t="n"/>
      <c r="AI269" s="3934" t="n"/>
      <c r="AJ269" s="3934" t="n"/>
      <c r="AK269" s="3934" t="n"/>
      <c r="AL269" s="3934" t="n"/>
      <c r="AM269" s="3934" t="n"/>
      <c r="AN269" s="3934" t="n"/>
      <c r="AO269" s="3934" t="n"/>
      <c r="AP269" s="3934" t="n"/>
      <c r="AQ269" s="3934" t="n"/>
      <c r="AR269" s="3934" t="n"/>
    </row>
    <row r="270">
      <c r="A270" s="3944" t="n"/>
      <c r="B270" s="3944" t="n"/>
      <c r="C270" s="3944" t="n"/>
      <c r="D270" s="3944" t="n"/>
      <c r="E270" s="3944" t="n"/>
      <c r="F270" s="3944" t="n"/>
      <c r="G270" s="3944" t="n"/>
      <c r="H270" s="3944" t="n"/>
      <c r="I270" s="3934" t="n"/>
      <c r="J270" s="3934" t="n"/>
      <c r="K270" s="3934" t="n"/>
      <c r="L270" s="3934" t="n"/>
      <c r="M270" s="3934" t="n"/>
      <c r="N270" s="3934" t="n"/>
      <c r="O270" s="3934" t="n"/>
      <c r="P270" s="3934" t="n"/>
      <c r="Q270" s="3934" t="n"/>
      <c r="R270" s="3934" t="n"/>
      <c r="S270" s="3934" t="n"/>
      <c r="T270" s="3934" t="n"/>
      <c r="U270" s="3934" t="n"/>
      <c r="V270" s="3934" t="n"/>
      <c r="W270" s="3934" t="n"/>
      <c r="X270" s="3934" t="n"/>
      <c r="Y270" s="3934" t="n"/>
      <c r="Z270" s="3934" t="n"/>
      <c r="AA270" s="3934" t="n"/>
      <c r="AB270" s="3934" t="n"/>
      <c r="AC270" s="3934" t="n"/>
      <c r="AD270" s="3934" t="n"/>
      <c r="AE270" s="3934" t="n"/>
      <c r="AF270" s="3934" t="n"/>
      <c r="AG270" s="3934" t="n"/>
      <c r="AH270" s="3934" t="n"/>
      <c r="AI270" s="3934" t="n"/>
      <c r="AJ270" s="3934" t="n"/>
      <c r="AK270" s="3934" t="n"/>
      <c r="AL270" s="3934" t="n"/>
      <c r="AM270" s="3934" t="n"/>
      <c r="AN270" s="3934" t="n"/>
      <c r="AO270" s="3934" t="n"/>
      <c r="AP270" s="3934" t="n"/>
      <c r="AQ270" s="3934" t="n"/>
      <c r="AR270" s="3934" t="n"/>
    </row>
    <row r="271">
      <c r="A271" s="3944" t="n"/>
      <c r="B271" s="3944" t="n"/>
      <c r="C271" s="3944" t="n"/>
      <c r="D271" s="3944" t="n"/>
      <c r="E271" s="3944" t="n"/>
      <c r="F271" s="3944" t="n"/>
      <c r="G271" s="3944" t="n"/>
      <c r="H271" s="3944" t="n"/>
      <c r="I271" s="3934" t="n"/>
      <c r="J271" s="3934" t="n"/>
      <c r="K271" s="3934" t="n"/>
      <c r="L271" s="3934" t="n"/>
      <c r="M271" s="3934" t="n"/>
      <c r="N271" s="3934" t="n"/>
      <c r="O271" s="3934" t="n"/>
      <c r="P271" s="3934" t="n"/>
      <c r="Q271" s="3934" t="n"/>
      <c r="R271" s="3934" t="n"/>
      <c r="S271" s="3934" t="n"/>
      <c r="T271" s="3934" t="n"/>
      <c r="U271" s="3934" t="n"/>
      <c r="V271" s="3934" t="n"/>
      <c r="W271" s="3934" t="n"/>
      <c r="X271" s="3934" t="n"/>
      <c r="Y271" s="3934" t="n"/>
      <c r="Z271" s="3934" t="n"/>
      <c r="AA271" s="3934" t="n"/>
      <c r="AB271" s="3934" t="n"/>
      <c r="AC271" s="3934" t="n"/>
      <c r="AD271" s="3934" t="n"/>
      <c r="AE271" s="3934" t="n"/>
      <c r="AF271" s="3934" t="n"/>
      <c r="AG271" s="3934" t="n"/>
      <c r="AH271" s="3934" t="n"/>
      <c r="AI271" s="3934" t="n"/>
      <c r="AJ271" s="3934" t="n"/>
      <c r="AK271" s="3934" t="n"/>
      <c r="AL271" s="3934" t="n"/>
      <c r="AM271" s="3934" t="n"/>
      <c r="AN271" s="3934" t="n"/>
      <c r="AO271" s="3934" t="n"/>
      <c r="AP271" s="3934" t="n"/>
      <c r="AQ271" s="3934" t="n"/>
      <c r="AR271" s="3934" t="n"/>
    </row>
    <row r="272">
      <c r="A272" s="3944" t="n"/>
      <c r="B272" s="3944" t="n"/>
      <c r="C272" s="3944" t="n"/>
      <c r="D272" s="3944" t="n"/>
      <c r="E272" s="3944" t="n"/>
      <c r="F272" s="3944" t="n"/>
      <c r="G272" s="3944" t="n"/>
      <c r="H272" s="3944" t="n"/>
      <c r="I272" s="3934" t="n"/>
      <c r="J272" s="3934" t="n"/>
      <c r="K272" s="3934" t="n"/>
      <c r="L272" s="3934" t="n"/>
      <c r="M272" s="3934" t="n"/>
      <c r="N272" s="3934" t="n"/>
      <c r="O272" s="3934" t="n"/>
      <c r="P272" s="3934" t="n"/>
      <c r="Q272" s="3934" t="n"/>
      <c r="R272" s="3934" t="n"/>
      <c r="S272" s="3934" t="n"/>
      <c r="T272" s="3934" t="n"/>
      <c r="U272" s="3934" t="n"/>
      <c r="V272" s="3934" t="n"/>
      <c r="W272" s="3934" t="n"/>
      <c r="X272" s="3934" t="n"/>
      <c r="Y272" s="3934" t="n"/>
      <c r="Z272" s="3934" t="n"/>
      <c r="AA272" s="3934" t="n"/>
      <c r="AB272" s="3934" t="n"/>
      <c r="AC272" s="3934" t="n"/>
      <c r="AD272" s="3934" t="n"/>
      <c r="AE272" s="3934" t="n"/>
      <c r="AF272" s="3934" t="n"/>
      <c r="AG272" s="3934" t="n"/>
      <c r="AH272" s="3934" t="n"/>
      <c r="AI272" s="3934" t="n"/>
      <c r="AJ272" s="3934" t="n"/>
      <c r="AK272" s="3934" t="n"/>
      <c r="AL272" s="3934" t="n"/>
      <c r="AM272" s="3934" t="n"/>
      <c r="AN272" s="3934" t="n"/>
      <c r="AO272" s="3934" t="n"/>
      <c r="AP272" s="3934" t="n"/>
      <c r="AQ272" s="3934" t="n"/>
      <c r="AR272" s="3934" t="n"/>
    </row>
    <row r="273">
      <c r="A273" s="3944" t="n"/>
      <c r="B273" s="3944" t="n"/>
      <c r="C273" s="3944" t="n"/>
      <c r="D273" s="3944" t="n"/>
      <c r="E273" s="3944" t="n"/>
      <c r="F273" s="3944" t="n"/>
      <c r="G273" s="3944" t="n"/>
      <c r="H273" s="3944" t="n"/>
      <c r="I273" s="3934" t="n"/>
      <c r="J273" s="3934" t="n"/>
      <c r="K273" s="3934" t="n"/>
      <c r="L273" s="3934" t="n"/>
      <c r="M273" s="3934" t="n"/>
      <c r="N273" s="3934" t="n"/>
      <c r="O273" s="3934" t="n"/>
      <c r="P273" s="3934" t="n"/>
      <c r="Q273" s="3934" t="n"/>
      <c r="R273" s="3934" t="n"/>
      <c r="S273" s="3934" t="n"/>
      <c r="T273" s="3934" t="n"/>
      <c r="U273" s="3934" t="n"/>
      <c r="V273" s="3934" t="n"/>
      <c r="W273" s="3934" t="n"/>
      <c r="X273" s="3934" t="n"/>
      <c r="Y273" s="3934" t="n"/>
      <c r="Z273" s="3934" t="n"/>
      <c r="AA273" s="3934" t="n"/>
      <c r="AB273" s="3934" t="n"/>
      <c r="AC273" s="3934" t="n"/>
      <c r="AD273" s="3934" t="n"/>
      <c r="AE273" s="3934" t="n"/>
      <c r="AF273" s="3934" t="n"/>
      <c r="AG273" s="3934" t="n"/>
      <c r="AH273" s="3934" t="n"/>
      <c r="AI273" s="3934" t="n"/>
      <c r="AJ273" s="3934" t="n"/>
      <c r="AK273" s="3934" t="n"/>
      <c r="AL273" s="3934" t="n"/>
      <c r="AM273" s="3934" t="n"/>
      <c r="AN273" s="3934" t="n"/>
      <c r="AO273" s="3934" t="n"/>
      <c r="AP273" s="3934" t="n"/>
      <c r="AQ273" s="3934" t="n"/>
      <c r="AR273" s="3934" t="n"/>
    </row>
    <row r="274">
      <c r="A274" s="3944" t="n"/>
      <c r="B274" s="3944" t="n"/>
      <c r="C274" s="3944" t="n"/>
      <c r="D274" s="3944" t="n"/>
      <c r="E274" s="3944" t="n"/>
      <c r="F274" s="3944" t="n"/>
      <c r="G274" s="3944" t="n"/>
      <c r="H274" s="3944" t="n"/>
      <c r="I274" s="3934" t="n"/>
      <c r="J274" s="3934" t="n"/>
      <c r="K274" s="3934" t="n"/>
      <c r="L274" s="3934" t="n"/>
      <c r="M274" s="3934" t="n"/>
      <c r="N274" s="3934" t="n"/>
      <c r="O274" s="3934" t="n"/>
      <c r="P274" s="3934" t="n"/>
      <c r="Q274" s="3934" t="n"/>
      <c r="R274" s="3934" t="n"/>
      <c r="S274" s="3934" t="n"/>
      <c r="T274" s="3934" t="n"/>
      <c r="U274" s="3934" t="n"/>
      <c r="V274" s="3934" t="n"/>
      <c r="W274" s="3934" t="n"/>
      <c r="X274" s="3934" t="n"/>
      <c r="Y274" s="3934" t="n"/>
      <c r="Z274" s="3934" t="n"/>
      <c r="AA274" s="3934" t="n"/>
      <c r="AB274" s="3934" t="n"/>
      <c r="AC274" s="3934" t="n"/>
      <c r="AD274" s="3934" t="n"/>
      <c r="AE274" s="3934" t="n"/>
      <c r="AF274" s="3934" t="n"/>
      <c r="AG274" s="3934" t="n"/>
      <c r="AH274" s="3934" t="n"/>
      <c r="AI274" s="3934" t="n"/>
      <c r="AJ274" s="3934" t="n"/>
      <c r="AK274" s="3934" t="n"/>
      <c r="AL274" s="3934" t="n"/>
      <c r="AM274" s="3934" t="n"/>
      <c r="AN274" s="3934" t="n"/>
      <c r="AO274" s="3934" t="n"/>
      <c r="AP274" s="3934" t="n"/>
      <c r="AQ274" s="3934" t="n"/>
      <c r="AR274" s="3934" t="n"/>
    </row>
    <row r="275">
      <c r="A275" s="3944" t="n"/>
      <c r="B275" s="3944" t="n"/>
      <c r="C275" s="3944" t="n"/>
      <c r="D275" s="3944" t="n"/>
      <c r="E275" s="3944" t="n"/>
      <c r="F275" s="3944" t="n"/>
      <c r="G275" s="3944" t="n"/>
      <c r="H275" s="3944" t="n"/>
      <c r="I275" s="3934" t="n"/>
      <c r="J275" s="3934" t="n"/>
      <c r="K275" s="3934" t="n"/>
      <c r="L275" s="3934" t="n"/>
      <c r="M275" s="3934" t="n"/>
      <c r="N275" s="3934" t="n"/>
      <c r="O275" s="3934" t="n"/>
      <c r="P275" s="3934" t="n"/>
      <c r="Q275" s="3934" t="n"/>
      <c r="R275" s="3934" t="n"/>
      <c r="S275" s="3934" t="n"/>
      <c r="T275" s="3934" t="n"/>
      <c r="U275" s="3934" t="n"/>
      <c r="V275" s="3934" t="n"/>
      <c r="W275" s="3934" t="n"/>
      <c r="X275" s="3934" t="n"/>
      <c r="Y275" s="3934" t="n"/>
      <c r="Z275" s="3934" t="n"/>
      <c r="AA275" s="3934" t="n"/>
      <c r="AB275" s="3934" t="n"/>
      <c r="AC275" s="3934" t="n"/>
      <c r="AD275" s="3934" t="n"/>
      <c r="AE275" s="3934" t="n"/>
      <c r="AF275" s="3934" t="n"/>
      <c r="AG275" s="3934" t="n"/>
      <c r="AH275" s="3934" t="n"/>
      <c r="AI275" s="3934" t="n"/>
      <c r="AJ275" s="3934" t="n"/>
      <c r="AK275" s="3934" t="n"/>
      <c r="AL275" s="3934" t="n"/>
      <c r="AM275" s="3934" t="n"/>
      <c r="AN275" s="3934" t="n"/>
      <c r="AO275" s="3934" t="n"/>
      <c r="AP275" s="3934" t="n"/>
      <c r="AQ275" s="3934" t="n"/>
      <c r="AR275" s="3934" t="n"/>
    </row>
    <row r="276">
      <c r="A276" s="3944" t="n"/>
      <c r="B276" s="3944" t="n"/>
      <c r="C276" s="3944" t="n"/>
      <c r="D276" s="3944" t="n"/>
      <c r="E276" s="3944" t="n"/>
      <c r="F276" s="3944" t="n"/>
      <c r="G276" s="3944" t="n"/>
      <c r="H276" s="3944" t="n"/>
      <c r="I276" s="3934" t="n"/>
      <c r="J276" s="3934" t="n"/>
      <c r="K276" s="3934" t="n"/>
      <c r="L276" s="3934" t="n"/>
      <c r="M276" s="3934" t="n"/>
      <c r="N276" s="3934" t="n"/>
      <c r="O276" s="3934" t="n"/>
      <c r="P276" s="3934" t="n"/>
      <c r="Q276" s="3934" t="n"/>
      <c r="R276" s="3934" t="n"/>
      <c r="S276" s="3934" t="n"/>
      <c r="T276" s="3934" t="n"/>
      <c r="U276" s="3934" t="n"/>
      <c r="V276" s="3934" t="n"/>
      <c r="W276" s="3934" t="n"/>
      <c r="X276" s="3934" t="n"/>
      <c r="Y276" s="3934" t="n"/>
      <c r="Z276" s="3934" t="n"/>
      <c r="AA276" s="3934" t="n"/>
      <c r="AB276" s="3934" t="n"/>
      <c r="AC276" s="3934" t="n"/>
      <c r="AD276" s="3934" t="n"/>
      <c r="AE276" s="3934" t="n"/>
      <c r="AF276" s="3934" t="n"/>
      <c r="AG276" s="3934" t="n"/>
      <c r="AH276" s="3934" t="n"/>
      <c r="AI276" s="3934" t="n"/>
      <c r="AJ276" s="3934" t="n"/>
      <c r="AK276" s="3934" t="n"/>
      <c r="AL276" s="3934" t="n"/>
      <c r="AM276" s="3934" t="n"/>
      <c r="AN276" s="3934" t="n"/>
      <c r="AO276" s="3934" t="n"/>
      <c r="AP276" s="3934" t="n"/>
      <c r="AQ276" s="3934" t="n"/>
      <c r="AR276" s="3934" t="n"/>
    </row>
    <row r="277">
      <c r="A277" s="3944" t="n"/>
      <c r="B277" s="3944" t="n"/>
      <c r="C277" s="3944" t="n"/>
      <c r="D277" s="3944" t="n"/>
      <c r="E277" s="3944" t="n"/>
      <c r="F277" s="3944" t="n"/>
      <c r="G277" s="3944" t="n"/>
      <c r="H277" s="3944" t="n"/>
      <c r="I277" s="3934" t="n"/>
      <c r="J277" s="3934" t="n"/>
      <c r="K277" s="3934" t="n"/>
      <c r="L277" s="3934" t="n"/>
      <c r="M277" s="3934" t="n"/>
      <c r="N277" s="3934" t="n"/>
      <c r="O277" s="3934" t="n"/>
      <c r="P277" s="3934" t="n"/>
      <c r="Q277" s="3934" t="n"/>
      <c r="R277" s="3934" t="n"/>
      <c r="S277" s="3934" t="n"/>
      <c r="T277" s="3934" t="n"/>
      <c r="U277" s="3934" t="n"/>
      <c r="V277" s="3934" t="n"/>
      <c r="W277" s="3934" t="n"/>
      <c r="X277" s="3934" t="n"/>
      <c r="Y277" s="3934" t="n"/>
      <c r="Z277" s="3934" t="n"/>
      <c r="AA277" s="3934" t="n"/>
      <c r="AB277" s="3934" t="n"/>
      <c r="AC277" s="3934" t="n"/>
      <c r="AD277" s="3934" t="n"/>
      <c r="AE277" s="3934" t="n"/>
      <c r="AF277" s="3934" t="n"/>
      <c r="AG277" s="3934" t="n"/>
      <c r="AH277" s="3934" t="n"/>
      <c r="AI277" s="3934" t="n"/>
      <c r="AJ277" s="3934" t="n"/>
      <c r="AK277" s="3934" t="n"/>
      <c r="AL277" s="3934" t="n"/>
      <c r="AM277" s="3934" t="n"/>
      <c r="AN277" s="3934" t="n"/>
      <c r="AO277" s="3934" t="n"/>
      <c r="AP277" s="3934" t="n"/>
      <c r="AQ277" s="3934" t="n"/>
      <c r="AR277" s="3934" t="n"/>
    </row>
    <row r="278">
      <c r="A278" s="3944" t="n"/>
      <c r="B278" s="3944" t="n"/>
      <c r="C278" s="3944" t="n"/>
      <c r="D278" s="3944" t="n"/>
      <c r="E278" s="3944" t="n"/>
      <c r="F278" s="3944" t="n"/>
      <c r="G278" s="3944" t="n"/>
      <c r="H278" s="3944" t="n"/>
      <c r="I278" s="3934" t="n"/>
      <c r="J278" s="3934" t="n"/>
      <c r="K278" s="3934" t="n"/>
      <c r="L278" s="3934" t="n"/>
      <c r="M278" s="3934" t="n"/>
      <c r="N278" s="3934" t="n"/>
      <c r="O278" s="3934" t="n"/>
      <c r="P278" s="3934" t="n"/>
      <c r="Q278" s="3934" t="n"/>
      <c r="R278" s="3934" t="n"/>
      <c r="S278" s="3934" t="n"/>
      <c r="T278" s="3934" t="n"/>
      <c r="U278" s="3934" t="n"/>
      <c r="V278" s="3934" t="n"/>
      <c r="W278" s="3934" t="n"/>
      <c r="X278" s="3934" t="n"/>
      <c r="Y278" s="3934" t="n"/>
      <c r="Z278" s="3934" t="n"/>
      <c r="AA278" s="3934" t="n"/>
      <c r="AB278" s="3934" t="n"/>
      <c r="AC278" s="3934" t="n"/>
      <c r="AD278" s="3934" t="n"/>
      <c r="AE278" s="3934" t="n"/>
      <c r="AF278" s="3934" t="n"/>
      <c r="AG278" s="3934" t="n"/>
      <c r="AH278" s="3934" t="n"/>
      <c r="AI278" s="3934" t="n"/>
      <c r="AJ278" s="3934" t="n"/>
      <c r="AK278" s="3934" t="n"/>
      <c r="AL278" s="3934" t="n"/>
      <c r="AM278" s="3934" t="n"/>
      <c r="AN278" s="3934" t="n"/>
      <c r="AO278" s="3934" t="n"/>
      <c r="AP278" s="3934" t="n"/>
      <c r="AQ278" s="3934" t="n"/>
      <c r="AR278" s="3934" t="n"/>
    </row>
    <row r="279">
      <c r="A279" s="3944" t="n"/>
      <c r="B279" s="3944" t="n"/>
      <c r="C279" s="3944" t="n"/>
      <c r="D279" s="3944" t="n"/>
      <c r="E279" s="3944" t="n"/>
      <c r="F279" s="3944" t="n"/>
      <c r="G279" s="3944" t="n"/>
      <c r="H279" s="3944" t="n"/>
      <c r="I279" s="3934" t="n"/>
      <c r="J279" s="3934" t="n"/>
      <c r="K279" s="3934" t="n"/>
      <c r="L279" s="3934" t="n"/>
      <c r="M279" s="3934" t="n"/>
      <c r="N279" s="3934" t="n"/>
      <c r="O279" s="3934" t="n"/>
      <c r="P279" s="3934" t="n"/>
      <c r="Q279" s="3934" t="n"/>
      <c r="R279" s="3934" t="n"/>
      <c r="S279" s="3934" t="n"/>
      <c r="T279" s="3934" t="n"/>
      <c r="U279" s="3934" t="n"/>
      <c r="V279" s="3934" t="n"/>
      <c r="W279" s="3934" t="n"/>
      <c r="X279" s="3934" t="n"/>
      <c r="Y279" s="3934" t="n"/>
      <c r="Z279" s="3934" t="n"/>
      <c r="AA279" s="3934" t="n"/>
      <c r="AB279" s="3934" t="n"/>
      <c r="AC279" s="3934" t="n"/>
      <c r="AD279" s="3934" t="n"/>
      <c r="AE279" s="3934" t="n"/>
      <c r="AF279" s="3934" t="n"/>
      <c r="AG279" s="3934" t="n"/>
      <c r="AH279" s="3934" t="n"/>
      <c r="AI279" s="3934" t="n"/>
      <c r="AJ279" s="3934" t="n"/>
      <c r="AK279" s="3934" t="n"/>
      <c r="AL279" s="3934" t="n"/>
      <c r="AM279" s="3934" t="n"/>
      <c r="AN279" s="3934" t="n"/>
      <c r="AO279" s="3934" t="n"/>
      <c r="AP279" s="3934" t="n"/>
      <c r="AQ279" s="3934" t="n"/>
      <c r="AR279" s="3934" t="n"/>
    </row>
    <row r="280">
      <c r="A280" s="3944" t="n"/>
      <c r="B280" s="3944" t="n"/>
      <c r="C280" s="3944" t="n"/>
      <c r="D280" s="3944" t="n"/>
      <c r="E280" s="3944" t="n"/>
      <c r="F280" s="3944" t="n"/>
      <c r="G280" s="3944" t="n"/>
      <c r="H280" s="3944" t="n"/>
      <c r="I280" s="3934" t="n"/>
      <c r="J280" s="3934" t="n"/>
      <c r="K280" s="3934" t="n"/>
      <c r="L280" s="3934" t="n"/>
      <c r="M280" s="3934" t="n"/>
      <c r="N280" s="3934" t="n"/>
      <c r="O280" s="3934" t="n"/>
      <c r="P280" s="3934" t="n"/>
      <c r="Q280" s="3934" t="n"/>
      <c r="R280" s="3934" t="n"/>
      <c r="S280" s="3934" t="n"/>
      <c r="T280" s="3934" t="n"/>
      <c r="U280" s="3934" t="n"/>
      <c r="V280" s="3934" t="n"/>
      <c r="W280" s="3934" t="n"/>
      <c r="X280" s="3934" t="n"/>
      <c r="Y280" s="3934" t="n"/>
      <c r="Z280" s="3934" t="n"/>
      <c r="AA280" s="3934" t="n"/>
      <c r="AB280" s="3934" t="n"/>
      <c r="AC280" s="3934" t="n"/>
      <c r="AD280" s="3934" t="n"/>
      <c r="AE280" s="3934" t="n"/>
      <c r="AF280" s="3934" t="n"/>
      <c r="AG280" s="3934" t="n"/>
      <c r="AH280" s="3934" t="n"/>
      <c r="AI280" s="3934" t="n"/>
      <c r="AJ280" s="3934" t="n"/>
      <c r="AK280" s="3934" t="n"/>
      <c r="AL280" s="3934" t="n"/>
      <c r="AM280" s="3934" t="n"/>
      <c r="AN280" s="3934" t="n"/>
      <c r="AO280" s="3934" t="n"/>
      <c r="AP280" s="3934" t="n"/>
      <c r="AQ280" s="3934" t="n"/>
      <c r="AR280" s="3934" t="n"/>
    </row>
    <row r="281">
      <c r="A281" s="3944" t="n"/>
      <c r="B281" s="3944" t="n"/>
      <c r="C281" s="3944" t="n"/>
      <c r="D281" s="3944" t="n"/>
      <c r="E281" s="3944" t="n"/>
      <c r="F281" s="3944" t="n"/>
      <c r="G281" s="3944" t="n"/>
      <c r="H281" s="3944" t="n"/>
      <c r="I281" s="3934" t="n"/>
      <c r="J281" s="3934" t="n"/>
      <c r="K281" s="3934" t="n"/>
      <c r="L281" s="3934" t="n"/>
      <c r="M281" s="3934" t="n"/>
      <c r="N281" s="3934" t="n"/>
      <c r="O281" s="3934" t="n"/>
      <c r="P281" s="3934" t="n"/>
      <c r="Q281" s="3934" t="n"/>
      <c r="R281" s="3934" t="n"/>
      <c r="S281" s="3934" t="n"/>
      <c r="T281" s="3934" t="n"/>
      <c r="U281" s="3934" t="n"/>
      <c r="V281" s="3934" t="n"/>
      <c r="W281" s="3934" t="n"/>
      <c r="X281" s="3934" t="n"/>
      <c r="Y281" s="3934" t="n"/>
      <c r="Z281" s="3934" t="n"/>
      <c r="AA281" s="3934" t="n"/>
      <c r="AB281" s="3934" t="n"/>
      <c r="AC281" s="3934" t="n"/>
      <c r="AD281" s="3934" t="n"/>
      <c r="AE281" s="3934" t="n"/>
      <c r="AF281" s="3934" t="n"/>
      <c r="AG281" s="3934" t="n"/>
      <c r="AH281" s="3934" t="n"/>
      <c r="AI281" s="3934" t="n"/>
      <c r="AJ281" s="3934" t="n"/>
      <c r="AK281" s="3934" t="n"/>
      <c r="AL281" s="3934" t="n"/>
      <c r="AM281" s="3934" t="n"/>
      <c r="AN281" s="3934" t="n"/>
      <c r="AO281" s="3934" t="n"/>
      <c r="AP281" s="3934" t="n"/>
      <c r="AQ281" s="3934" t="n"/>
      <c r="AR281" s="3934" t="n"/>
    </row>
    <row r="282">
      <c r="A282" s="3944" t="n"/>
      <c r="B282" s="3944" t="n"/>
      <c r="C282" s="3944" t="n"/>
      <c r="D282" s="3944" t="n"/>
      <c r="E282" s="3944" t="n"/>
      <c r="F282" s="3944" t="n"/>
      <c r="G282" s="3944" t="n"/>
      <c r="H282" s="3944" t="n"/>
      <c r="I282" s="3934" t="n"/>
      <c r="J282" s="3934" t="n"/>
      <c r="K282" s="3934" t="n"/>
      <c r="L282" s="3934" t="n"/>
      <c r="M282" s="3934" t="n"/>
      <c r="N282" s="3934" t="n"/>
      <c r="O282" s="3934" t="n"/>
      <c r="P282" s="3934" t="n"/>
      <c r="Q282" s="3934" t="n"/>
      <c r="R282" s="3934" t="n"/>
      <c r="S282" s="3934" t="n"/>
      <c r="T282" s="3934" t="n"/>
      <c r="U282" s="3934" t="n"/>
      <c r="V282" s="3934" t="n"/>
      <c r="W282" s="3934" t="n"/>
      <c r="X282" s="3934" t="n"/>
      <c r="Y282" s="3934" t="n"/>
      <c r="Z282" s="3934" t="n"/>
      <c r="AA282" s="3934" t="n"/>
      <c r="AB282" s="3934" t="n"/>
      <c r="AC282" s="3934" t="n"/>
      <c r="AD282" s="3934" t="n"/>
      <c r="AE282" s="3934" t="n"/>
      <c r="AF282" s="3934" t="n"/>
      <c r="AG282" s="3934" t="n"/>
      <c r="AH282" s="3934" t="n"/>
      <c r="AI282" s="3934" t="n"/>
      <c r="AJ282" s="3934" t="n"/>
      <c r="AK282" s="3934" t="n"/>
      <c r="AL282" s="3934" t="n"/>
      <c r="AM282" s="3934" t="n"/>
      <c r="AN282" s="3934" t="n"/>
      <c r="AO282" s="3934" t="n"/>
      <c r="AP282" s="3934" t="n"/>
      <c r="AQ282" s="3934" t="n"/>
      <c r="AR282" s="3934" t="n"/>
    </row>
    <row r="283">
      <c r="A283" s="3944" t="n"/>
      <c r="B283" s="3944" t="n"/>
      <c r="C283" s="3944" t="n"/>
      <c r="D283" s="3944" t="n"/>
      <c r="E283" s="3944" t="n"/>
      <c r="F283" s="3944" t="n"/>
      <c r="G283" s="3944" t="n"/>
      <c r="H283" s="3944" t="n"/>
      <c r="I283" s="3934" t="n"/>
      <c r="J283" s="3934" t="n"/>
      <c r="K283" s="3934" t="n"/>
      <c r="L283" s="3934" t="n"/>
      <c r="M283" s="3934" t="n"/>
      <c r="N283" s="3934" t="n"/>
      <c r="O283" s="3934" t="n"/>
      <c r="P283" s="3934" t="n"/>
      <c r="Q283" s="3934" t="n"/>
      <c r="R283" s="3934" t="n"/>
      <c r="S283" s="3934" t="n"/>
      <c r="T283" s="3934" t="n"/>
      <c r="U283" s="3934" t="n"/>
      <c r="V283" s="3934" t="n"/>
      <c r="W283" s="3934" t="n"/>
      <c r="X283" s="3934" t="n"/>
      <c r="Y283" s="3934" t="n"/>
      <c r="Z283" s="3934" t="n"/>
      <c r="AA283" s="3934" t="n"/>
      <c r="AB283" s="3934" t="n"/>
      <c r="AC283" s="3934" t="n"/>
      <c r="AD283" s="3934" t="n"/>
      <c r="AE283" s="3934" t="n"/>
      <c r="AF283" s="3934" t="n"/>
      <c r="AG283" s="3934" t="n"/>
      <c r="AH283" s="3934" t="n"/>
      <c r="AI283" s="3934" t="n"/>
      <c r="AJ283" s="3934" t="n"/>
      <c r="AK283" s="3934" t="n"/>
      <c r="AL283" s="3934" t="n"/>
      <c r="AM283" s="3934" t="n"/>
      <c r="AN283" s="3934" t="n"/>
      <c r="AO283" s="3934" t="n"/>
      <c r="AP283" s="3934" t="n"/>
      <c r="AQ283" s="3934" t="n"/>
      <c r="AR283" s="3934" t="n"/>
    </row>
    <row r="284">
      <c r="A284" s="3944" t="n"/>
      <c r="B284" s="3944" t="n"/>
      <c r="C284" s="3944" t="n"/>
      <c r="D284" s="3944" t="n"/>
      <c r="E284" s="3944" t="n"/>
      <c r="F284" s="3944" t="n"/>
      <c r="G284" s="3944" t="n"/>
      <c r="H284" s="3944" t="n"/>
      <c r="I284" s="3934" t="n"/>
      <c r="J284" s="3934" t="n"/>
      <c r="K284" s="3934" t="n"/>
      <c r="L284" s="3934" t="n"/>
      <c r="M284" s="3934" t="n"/>
      <c r="N284" s="3934" t="n"/>
      <c r="O284" s="3934" t="n"/>
      <c r="P284" s="3934" t="n"/>
      <c r="Q284" s="3934" t="n"/>
      <c r="R284" s="3934" t="n"/>
      <c r="S284" s="3934" t="n"/>
      <c r="T284" s="3934" t="n"/>
      <c r="U284" s="3934" t="n"/>
      <c r="V284" s="3934" t="n"/>
      <c r="W284" s="3934" t="n"/>
      <c r="X284" s="3934" t="n"/>
      <c r="Y284" s="3934" t="n"/>
      <c r="Z284" s="3934" t="n"/>
      <c r="AA284" s="3934" t="n"/>
      <c r="AB284" s="3934" t="n"/>
      <c r="AC284" s="3934" t="n"/>
      <c r="AD284" s="3934" t="n"/>
      <c r="AE284" s="3934" t="n"/>
      <c r="AF284" s="3934" t="n"/>
      <c r="AG284" s="3934" t="n"/>
      <c r="AH284" s="3934" t="n"/>
      <c r="AI284" s="3934" t="n"/>
      <c r="AJ284" s="3934" t="n"/>
      <c r="AK284" s="3934" t="n"/>
      <c r="AL284" s="3934" t="n"/>
      <c r="AM284" s="3934" t="n"/>
      <c r="AN284" s="3934" t="n"/>
      <c r="AO284" s="3934" t="n"/>
      <c r="AP284" s="3934" t="n"/>
      <c r="AQ284" s="3934" t="n"/>
      <c r="AR284" s="3934" t="n"/>
    </row>
    <row r="285">
      <c r="A285" s="3944" t="n"/>
      <c r="B285" s="3944" t="n"/>
      <c r="C285" s="3944" t="n"/>
      <c r="D285" s="3944" t="n"/>
      <c r="E285" s="3944" t="n"/>
      <c r="F285" s="3944" t="n"/>
      <c r="G285" s="3944" t="n"/>
      <c r="H285" s="3944" t="n"/>
      <c r="I285" s="3934" t="n"/>
      <c r="J285" s="3934" t="n"/>
      <c r="K285" s="3934" t="n"/>
      <c r="L285" s="3934" t="n"/>
      <c r="M285" s="3934" t="n"/>
      <c r="N285" s="3934" t="n"/>
      <c r="O285" s="3934" t="n"/>
      <c r="P285" s="3934" t="n"/>
      <c r="Q285" s="3934" t="n"/>
      <c r="R285" s="3934" t="n"/>
      <c r="S285" s="3934" t="n"/>
      <c r="T285" s="3934" t="n"/>
      <c r="U285" s="3934" t="n"/>
      <c r="V285" s="3934" t="n"/>
      <c r="W285" s="3934" t="n"/>
      <c r="X285" s="3934" t="n"/>
      <c r="Y285" s="3934" t="n"/>
      <c r="Z285" s="3934" t="n"/>
      <c r="AA285" s="3934" t="n"/>
      <c r="AB285" s="3934" t="n"/>
      <c r="AC285" s="3934" t="n"/>
      <c r="AD285" s="3934" t="n"/>
      <c r="AE285" s="3934" t="n"/>
      <c r="AF285" s="3934" t="n"/>
      <c r="AG285" s="3934" t="n"/>
      <c r="AH285" s="3934" t="n"/>
      <c r="AI285" s="3934" t="n"/>
      <c r="AJ285" s="3934" t="n"/>
      <c r="AK285" s="3934" t="n"/>
      <c r="AL285" s="3934" t="n"/>
      <c r="AM285" s="3934" t="n"/>
      <c r="AN285" s="3934" t="n"/>
      <c r="AO285" s="3934" t="n"/>
      <c r="AP285" s="3934" t="n"/>
      <c r="AQ285" s="3934" t="n"/>
      <c r="AR285" s="3934" t="n"/>
    </row>
    <row r="286">
      <c r="A286" s="3944" t="n"/>
      <c r="B286" s="3944" t="n"/>
      <c r="C286" s="3944" t="n"/>
      <c r="D286" s="3944" t="n"/>
      <c r="E286" s="3944" t="n"/>
      <c r="F286" s="3944" t="n"/>
      <c r="G286" s="3944" t="n"/>
      <c r="H286" s="3944" t="n"/>
      <c r="I286" s="3934" t="n"/>
      <c r="J286" s="3934" t="n"/>
      <c r="K286" s="3934" t="n"/>
      <c r="L286" s="3934" t="n"/>
      <c r="M286" s="3934" t="n"/>
      <c r="N286" s="3934" t="n"/>
      <c r="O286" s="3934" t="n"/>
      <c r="P286" s="3934" t="n"/>
      <c r="Q286" s="3934" t="n"/>
      <c r="R286" s="3934" t="n"/>
      <c r="S286" s="3934" t="n"/>
      <c r="T286" s="3934" t="n"/>
      <c r="U286" s="3934" t="n"/>
      <c r="V286" s="3934" t="n"/>
      <c r="W286" s="3934" t="n"/>
      <c r="X286" s="3934" t="n"/>
      <c r="Y286" s="3934" t="n"/>
      <c r="Z286" s="3934" t="n"/>
      <c r="AA286" s="3934" t="n"/>
      <c r="AB286" s="3934" t="n"/>
      <c r="AC286" s="3934" t="n"/>
      <c r="AD286" s="3934" t="n"/>
      <c r="AE286" s="3934" t="n"/>
      <c r="AF286" s="3934" t="n"/>
      <c r="AG286" s="3934" t="n"/>
      <c r="AH286" s="3934" t="n"/>
      <c r="AI286" s="3934" t="n"/>
      <c r="AJ286" s="3934" t="n"/>
      <c r="AK286" s="3934" t="n"/>
      <c r="AL286" s="3934" t="n"/>
      <c r="AM286" s="3934" t="n"/>
      <c r="AN286" s="3934" t="n"/>
      <c r="AO286" s="3934" t="n"/>
      <c r="AP286" s="3934" t="n"/>
      <c r="AQ286" s="3934" t="n"/>
      <c r="AR286" s="3934" t="n"/>
    </row>
    <row r="287">
      <c r="A287" s="3944" t="n"/>
      <c r="B287" s="3944" t="n"/>
      <c r="C287" s="3944" t="n"/>
      <c r="D287" s="3944" t="n"/>
      <c r="E287" s="3944" t="n"/>
      <c r="F287" s="3944" t="n"/>
      <c r="G287" s="3944" t="n"/>
      <c r="H287" s="3944" t="n"/>
      <c r="I287" s="3934" t="n"/>
      <c r="J287" s="3934" t="n"/>
      <c r="K287" s="3934" t="n"/>
      <c r="L287" s="3934" t="n"/>
      <c r="M287" s="3934" t="n"/>
      <c r="N287" s="3934" t="n"/>
      <c r="O287" s="3934" t="n"/>
      <c r="P287" s="3934" t="n"/>
      <c r="Q287" s="3934" t="n"/>
      <c r="R287" s="3934" t="n"/>
      <c r="S287" s="3934" t="n"/>
      <c r="T287" s="3934" t="n"/>
      <c r="U287" s="3934" t="n"/>
      <c r="V287" s="3934" t="n"/>
      <c r="W287" s="3934" t="n"/>
      <c r="X287" s="3934" t="n"/>
      <c r="Y287" s="3934" t="n"/>
      <c r="Z287" s="3934" t="n"/>
      <c r="AA287" s="3934" t="n"/>
      <c r="AB287" s="3934" t="n"/>
      <c r="AC287" s="3934" t="n"/>
      <c r="AD287" s="3934" t="n"/>
      <c r="AE287" s="3934" t="n"/>
      <c r="AF287" s="3934" t="n"/>
      <c r="AG287" s="3934" t="n"/>
      <c r="AH287" s="3934" t="n"/>
      <c r="AI287" s="3934" t="n"/>
      <c r="AJ287" s="3934" t="n"/>
      <c r="AK287" s="3934" t="n"/>
      <c r="AL287" s="3934" t="n"/>
      <c r="AM287" s="3934" t="n"/>
      <c r="AN287" s="3934" t="n"/>
      <c r="AO287" s="3934" t="n"/>
      <c r="AP287" s="3934" t="n"/>
      <c r="AQ287" s="3934" t="n"/>
      <c r="AR287" s="3934" t="n"/>
    </row>
    <row r="288">
      <c r="A288" s="3944" t="n"/>
      <c r="B288" s="3944" t="n"/>
      <c r="C288" s="3944" t="n"/>
      <c r="D288" s="3944" t="n"/>
      <c r="E288" s="3944" t="n"/>
      <c r="F288" s="3944" t="n"/>
      <c r="G288" s="3944" t="n"/>
      <c r="H288" s="3944" t="n"/>
      <c r="I288" s="3934" t="n"/>
      <c r="J288" s="3934" t="n"/>
      <c r="K288" s="3934" t="n"/>
      <c r="L288" s="3934" t="n"/>
      <c r="M288" s="3934" t="n"/>
      <c r="N288" s="3934" t="n"/>
      <c r="O288" s="3934" t="n"/>
      <c r="P288" s="3934" t="n"/>
      <c r="Q288" s="3934" t="n"/>
      <c r="R288" s="3934" t="n"/>
      <c r="S288" s="3934" t="n"/>
      <c r="T288" s="3934" t="n"/>
      <c r="U288" s="3934" t="n"/>
      <c r="V288" s="3934" t="n"/>
      <c r="W288" s="3934" t="n"/>
      <c r="X288" s="3934" t="n"/>
      <c r="Y288" s="3934" t="n"/>
      <c r="Z288" s="3934" t="n"/>
      <c r="AA288" s="3934" t="n"/>
      <c r="AB288" s="3934" t="n"/>
      <c r="AC288" s="3934" t="n"/>
      <c r="AD288" s="3934" t="n"/>
      <c r="AE288" s="3934" t="n"/>
      <c r="AF288" s="3934" t="n"/>
      <c r="AG288" s="3934" t="n"/>
      <c r="AH288" s="3934" t="n"/>
      <c r="AI288" s="3934" t="n"/>
      <c r="AJ288" s="3934" t="n"/>
      <c r="AK288" s="3934" t="n"/>
      <c r="AL288" s="3934" t="n"/>
      <c r="AM288" s="3934" t="n"/>
      <c r="AN288" s="3934" t="n"/>
      <c r="AO288" s="3934" t="n"/>
      <c r="AP288" s="3934" t="n"/>
      <c r="AQ288" s="3934" t="n"/>
      <c r="AR288" s="3934" t="n"/>
    </row>
    <row r="289">
      <c r="A289" s="3944" t="n"/>
      <c r="B289" s="3944" t="n"/>
      <c r="C289" s="3944" t="n"/>
      <c r="D289" s="3944" t="n"/>
      <c r="E289" s="3944" t="n"/>
      <c r="F289" s="3944" t="n"/>
      <c r="G289" s="3944" t="n"/>
      <c r="H289" s="3944" t="n"/>
      <c r="I289" s="3934" t="n"/>
      <c r="J289" s="3934" t="n"/>
      <c r="K289" s="3934" t="n"/>
      <c r="L289" s="3934" t="n"/>
      <c r="M289" s="3934" t="n"/>
      <c r="N289" s="3934" t="n"/>
      <c r="O289" s="3934" t="n"/>
      <c r="P289" s="3934" t="n"/>
      <c r="Q289" s="3934" t="n"/>
      <c r="R289" s="3934" t="n"/>
      <c r="S289" s="3934" t="n"/>
      <c r="T289" s="3934" t="n"/>
      <c r="U289" s="3934" t="n"/>
      <c r="V289" s="3934" t="n"/>
      <c r="W289" s="3934" t="n"/>
      <c r="X289" s="3934" t="n"/>
      <c r="Y289" s="3934" t="n"/>
      <c r="Z289" s="3934" t="n"/>
      <c r="AA289" s="3934" t="n"/>
      <c r="AB289" s="3934" t="n"/>
      <c r="AC289" s="3934" t="n"/>
      <c r="AD289" s="3934" t="n"/>
      <c r="AE289" s="3934" t="n"/>
      <c r="AF289" s="3934" t="n"/>
      <c r="AG289" s="3934" t="n"/>
      <c r="AH289" s="3934" t="n"/>
      <c r="AI289" s="3934" t="n"/>
      <c r="AJ289" s="3934" t="n"/>
      <c r="AK289" s="3934" t="n"/>
      <c r="AL289" s="3934" t="n"/>
      <c r="AM289" s="3934" t="n"/>
      <c r="AN289" s="3934" t="n"/>
      <c r="AO289" s="3934" t="n"/>
      <c r="AP289" s="3934" t="n"/>
      <c r="AQ289" s="3934" t="n"/>
      <c r="AR289" s="3934" t="n"/>
    </row>
    <row r="290">
      <c r="A290" s="3944" t="n"/>
      <c r="B290" s="3944" t="n"/>
      <c r="C290" s="3944" t="n"/>
      <c r="D290" s="3944" t="n"/>
      <c r="E290" s="3944" t="n"/>
      <c r="F290" s="3944" t="n"/>
      <c r="G290" s="3944" t="n"/>
      <c r="H290" s="3944" t="n"/>
      <c r="I290" s="3934" t="n"/>
      <c r="J290" s="3934" t="n"/>
      <c r="K290" s="3934" t="n"/>
      <c r="L290" s="3934" t="n"/>
      <c r="M290" s="3934" t="n"/>
      <c r="N290" s="3934" t="n"/>
      <c r="O290" s="3934" t="n"/>
      <c r="P290" s="3934" t="n"/>
      <c r="Q290" s="3934" t="n"/>
      <c r="R290" s="3934" t="n"/>
      <c r="S290" s="3934" t="n"/>
      <c r="T290" s="3934" t="n"/>
      <c r="U290" s="3934" t="n"/>
      <c r="V290" s="3934" t="n"/>
      <c r="W290" s="3934" t="n"/>
      <c r="X290" s="3934" t="n"/>
      <c r="Y290" s="3934" t="n"/>
      <c r="Z290" s="3934" t="n"/>
      <c r="AA290" s="3934" t="n"/>
      <c r="AB290" s="3934" t="n"/>
      <c r="AC290" s="3934" t="n"/>
      <c r="AD290" s="3934" t="n"/>
      <c r="AE290" s="3934" t="n"/>
      <c r="AF290" s="3934" t="n"/>
      <c r="AG290" s="3934" t="n"/>
      <c r="AH290" s="3934" t="n"/>
      <c r="AI290" s="3934" t="n"/>
      <c r="AJ290" s="3934" t="n"/>
      <c r="AK290" s="3934" t="n"/>
      <c r="AL290" s="3934" t="n"/>
      <c r="AM290" s="3934" t="n"/>
      <c r="AN290" s="3934" t="n"/>
      <c r="AO290" s="3934" t="n"/>
      <c r="AP290" s="3934" t="n"/>
      <c r="AQ290" s="3934" t="n"/>
      <c r="AR290" s="3934" t="n"/>
    </row>
    <row r="291">
      <c r="A291" s="3944" t="n"/>
      <c r="B291" s="3944" t="n"/>
      <c r="C291" s="3944" t="n"/>
      <c r="D291" s="3944" t="n"/>
      <c r="E291" s="3944" t="n"/>
      <c r="F291" s="3944" t="n"/>
      <c r="G291" s="3944" t="n"/>
      <c r="H291" s="3944" t="n"/>
      <c r="I291" s="3934" t="n"/>
      <c r="J291" s="3934" t="n"/>
      <c r="K291" s="3934" t="n"/>
      <c r="L291" s="3934" t="n"/>
      <c r="M291" s="3934" t="n"/>
      <c r="N291" s="3934" t="n"/>
      <c r="O291" s="3934" t="n"/>
      <c r="P291" s="3934" t="n"/>
      <c r="Q291" s="3934" t="n"/>
      <c r="R291" s="3934" t="n"/>
      <c r="S291" s="3934" t="n"/>
      <c r="T291" s="3934" t="n"/>
      <c r="U291" s="3934" t="n"/>
      <c r="V291" s="3934" t="n"/>
      <c r="W291" s="3934" t="n"/>
      <c r="X291" s="3934" t="n"/>
      <c r="Y291" s="3934" t="n"/>
      <c r="Z291" s="3934" t="n"/>
      <c r="AA291" s="3934" t="n"/>
      <c r="AB291" s="3934" t="n"/>
      <c r="AC291" s="3934" t="n"/>
      <c r="AD291" s="3934" t="n"/>
      <c r="AE291" s="3934" t="n"/>
      <c r="AF291" s="3934" t="n"/>
      <c r="AG291" s="3934" t="n"/>
      <c r="AH291" s="3934" t="n"/>
      <c r="AI291" s="3934" t="n"/>
      <c r="AJ291" s="3934" t="n"/>
      <c r="AK291" s="3934" t="n"/>
      <c r="AL291" s="3934" t="n"/>
      <c r="AM291" s="3934" t="n"/>
      <c r="AN291" s="3934" t="n"/>
      <c r="AO291" s="3934" t="n"/>
      <c r="AP291" s="3934" t="n"/>
      <c r="AQ291" s="3934" t="n"/>
      <c r="AR291" s="3934" t="n"/>
    </row>
    <row r="292">
      <c r="A292" s="3944" t="n"/>
      <c r="B292" s="3944" t="n"/>
      <c r="C292" s="3944" t="n"/>
      <c r="D292" s="3944" t="n"/>
      <c r="E292" s="3944" t="n"/>
      <c r="F292" s="3944" t="n"/>
      <c r="G292" s="3944" t="n"/>
      <c r="H292" s="3944" t="n"/>
      <c r="I292" s="3934" t="n"/>
      <c r="J292" s="3934" t="n"/>
      <c r="K292" s="3934" t="n"/>
      <c r="L292" s="3934" t="n"/>
      <c r="M292" s="3934" t="n"/>
      <c r="N292" s="3934" t="n"/>
      <c r="O292" s="3934" t="n"/>
      <c r="P292" s="3934" t="n"/>
      <c r="Q292" s="3934" t="n"/>
      <c r="R292" s="3934" t="n"/>
      <c r="S292" s="3934" t="n"/>
      <c r="T292" s="3934" t="n"/>
      <c r="U292" s="3934" t="n"/>
      <c r="V292" s="3934" t="n"/>
      <c r="W292" s="3934" t="n"/>
      <c r="X292" s="3934" t="n"/>
      <c r="Y292" s="3934" t="n"/>
      <c r="Z292" s="3934" t="n"/>
      <c r="AA292" s="3934" t="n"/>
      <c r="AB292" s="3934" t="n"/>
      <c r="AC292" s="3934" t="n"/>
      <c r="AD292" s="3934" t="n"/>
      <c r="AE292" s="3934" t="n"/>
      <c r="AF292" s="3934" t="n"/>
      <c r="AG292" s="3934" t="n"/>
      <c r="AH292" s="3934" t="n"/>
      <c r="AI292" s="3934" t="n"/>
      <c r="AJ292" s="3934" t="n"/>
      <c r="AK292" s="3934" t="n"/>
      <c r="AL292" s="3934" t="n"/>
      <c r="AM292" s="3934" t="n"/>
      <c r="AN292" s="3934" t="n"/>
      <c r="AO292" s="3934" t="n"/>
      <c r="AP292" s="3934" t="n"/>
      <c r="AQ292" s="3934" t="n"/>
      <c r="AR292" s="3934" t="n"/>
    </row>
    <row r="293">
      <c r="A293" s="3944" t="n"/>
      <c r="B293" s="3944" t="n"/>
      <c r="C293" s="3944" t="n"/>
      <c r="D293" s="3944" t="n"/>
      <c r="E293" s="3944" t="n"/>
      <c r="F293" s="3944" t="n"/>
      <c r="G293" s="3944" t="n"/>
      <c r="H293" s="3944" t="n"/>
      <c r="I293" s="3934" t="n"/>
      <c r="J293" s="3934" t="n"/>
      <c r="K293" s="3934" t="n"/>
      <c r="L293" s="3934" t="n"/>
      <c r="M293" s="3934" t="n"/>
      <c r="N293" s="3934" t="n"/>
      <c r="O293" s="3934" t="n"/>
      <c r="P293" s="3934" t="n"/>
      <c r="Q293" s="3934" t="n"/>
      <c r="R293" s="3934" t="n"/>
      <c r="S293" s="3934" t="n"/>
      <c r="T293" s="3934" t="n"/>
      <c r="U293" s="3934" t="n"/>
      <c r="V293" s="3934" t="n"/>
      <c r="W293" s="3934" t="n"/>
      <c r="X293" s="3934" t="n"/>
      <c r="Y293" s="3934" t="n"/>
      <c r="Z293" s="3934" t="n"/>
      <c r="AA293" s="3934" t="n"/>
      <c r="AB293" s="3934" t="n"/>
      <c r="AC293" s="3934" t="n"/>
      <c r="AD293" s="3934" t="n"/>
      <c r="AE293" s="3934" t="n"/>
      <c r="AF293" s="3934" t="n"/>
      <c r="AG293" s="3934" t="n"/>
      <c r="AH293" s="3934" t="n"/>
      <c r="AI293" s="3934" t="n"/>
      <c r="AJ293" s="3934" t="n"/>
      <c r="AK293" s="3934" t="n"/>
      <c r="AL293" s="3934" t="n"/>
      <c r="AM293" s="3934" t="n"/>
      <c r="AN293" s="3934" t="n"/>
      <c r="AO293" s="3934" t="n"/>
      <c r="AP293" s="3934" t="n"/>
      <c r="AQ293" s="3934" t="n"/>
      <c r="AR293" s="3934" t="n"/>
    </row>
    <row r="294">
      <c r="A294" s="3944" t="n"/>
      <c r="B294" s="3944" t="n"/>
      <c r="C294" s="3944" t="n"/>
      <c r="D294" s="3944" t="n"/>
      <c r="E294" s="3944" t="n"/>
      <c r="F294" s="3944" t="n"/>
      <c r="G294" s="3944" t="n"/>
      <c r="H294" s="3944" t="n"/>
      <c r="I294" s="3934" t="n"/>
      <c r="J294" s="3934" t="n"/>
      <c r="K294" s="3934" t="n"/>
      <c r="L294" s="3934" t="n"/>
      <c r="M294" s="3934" t="n"/>
      <c r="N294" s="3934" t="n"/>
      <c r="O294" s="3934" t="n"/>
      <c r="P294" s="3934" t="n"/>
      <c r="Q294" s="3934" t="n"/>
      <c r="R294" s="3934" t="n"/>
      <c r="S294" s="3934" t="n"/>
      <c r="T294" s="3934" t="n"/>
      <c r="U294" s="3934" t="n"/>
      <c r="V294" s="3934" t="n"/>
      <c r="W294" s="3934" t="n"/>
      <c r="X294" s="3934" t="n"/>
      <c r="Y294" s="3934" t="n"/>
      <c r="Z294" s="3934" t="n"/>
      <c r="AA294" s="3934" t="n"/>
      <c r="AB294" s="3934" t="n"/>
      <c r="AC294" s="3934" t="n"/>
      <c r="AD294" s="3934" t="n"/>
      <c r="AE294" s="3934" t="n"/>
      <c r="AF294" s="3934" t="n"/>
      <c r="AG294" s="3934" t="n"/>
      <c r="AH294" s="3934" t="n"/>
      <c r="AI294" s="3934" t="n"/>
      <c r="AJ294" s="3934" t="n"/>
      <c r="AK294" s="3934" t="n"/>
      <c r="AL294" s="3934" t="n"/>
      <c r="AM294" s="3934" t="n"/>
      <c r="AN294" s="3934" t="n"/>
      <c r="AO294" s="3934" t="n"/>
      <c r="AP294" s="3934" t="n"/>
      <c r="AQ294" s="3934" t="n"/>
      <c r="AR294" s="3934" t="n"/>
    </row>
    <row r="295">
      <c r="A295" s="3944" t="n"/>
      <c r="B295" s="3944" t="n"/>
      <c r="C295" s="3944" t="n"/>
      <c r="D295" s="3944" t="n"/>
      <c r="E295" s="3944" t="n"/>
      <c r="F295" s="3944" t="n"/>
      <c r="G295" s="3944" t="n"/>
      <c r="H295" s="3944" t="n"/>
      <c r="I295" s="3934" t="n"/>
      <c r="J295" s="3934" t="n"/>
      <c r="K295" s="3934" t="n"/>
      <c r="L295" s="3934" t="n"/>
      <c r="M295" s="3934" t="n"/>
      <c r="N295" s="3934" t="n"/>
      <c r="O295" s="3934" t="n"/>
      <c r="P295" s="3934" t="n"/>
      <c r="Q295" s="3934" t="n"/>
      <c r="R295" s="3934" t="n"/>
      <c r="S295" s="3934" t="n"/>
      <c r="T295" s="3934" t="n"/>
      <c r="U295" s="3934" t="n"/>
      <c r="V295" s="3934" t="n"/>
      <c r="W295" s="3934" t="n"/>
      <c r="X295" s="3934" t="n"/>
      <c r="Y295" s="3934" t="n"/>
      <c r="Z295" s="3934" t="n"/>
      <c r="AA295" s="3934" t="n"/>
      <c r="AB295" s="3934" t="n"/>
      <c r="AC295" s="3934" t="n"/>
      <c r="AD295" s="3934" t="n"/>
      <c r="AE295" s="3934" t="n"/>
      <c r="AF295" s="3934" t="n"/>
      <c r="AG295" s="3934" t="n"/>
      <c r="AH295" s="3934" t="n"/>
      <c r="AI295" s="3934" t="n"/>
      <c r="AJ295" s="3934" t="n"/>
      <c r="AK295" s="3934" t="n"/>
      <c r="AL295" s="3934" t="n"/>
      <c r="AM295" s="3934" t="n"/>
      <c r="AN295" s="3934" t="n"/>
      <c r="AO295" s="3934" t="n"/>
      <c r="AP295" s="3934" t="n"/>
      <c r="AQ295" s="3934" t="n"/>
      <c r="AR295" s="3934" t="n"/>
    </row>
    <row r="296">
      <c r="A296" s="3944" t="n"/>
      <c r="B296" s="3944" t="n"/>
      <c r="C296" s="3944" t="n"/>
      <c r="D296" s="3944" t="n"/>
      <c r="E296" s="3944" t="n"/>
      <c r="F296" s="3944" t="n"/>
      <c r="G296" s="3944" t="n"/>
      <c r="H296" s="3944" t="n"/>
      <c r="I296" s="3934" t="n"/>
      <c r="J296" s="3934" t="n"/>
      <c r="K296" s="3934" t="n"/>
      <c r="L296" s="3934" t="n"/>
      <c r="M296" s="3934" t="n"/>
      <c r="N296" s="3934" t="n"/>
      <c r="O296" s="3934" t="n"/>
      <c r="P296" s="3934" t="n"/>
      <c r="Q296" s="3934" t="n"/>
      <c r="R296" s="3934" t="n"/>
      <c r="S296" s="3934" t="n"/>
      <c r="T296" s="3934" t="n"/>
      <c r="U296" s="3934" t="n"/>
      <c r="V296" s="3934" t="n"/>
      <c r="W296" s="3934" t="n"/>
      <c r="X296" s="3934" t="n"/>
      <c r="Y296" s="3934" t="n"/>
      <c r="Z296" s="3934" t="n"/>
      <c r="AA296" s="3934" t="n"/>
      <c r="AB296" s="3934" t="n"/>
      <c r="AC296" s="3934" t="n"/>
      <c r="AD296" s="3934" t="n"/>
      <c r="AE296" s="3934" t="n"/>
      <c r="AF296" s="3934" t="n"/>
      <c r="AG296" s="3934" t="n"/>
      <c r="AH296" s="3934" t="n"/>
      <c r="AI296" s="3934" t="n"/>
      <c r="AJ296" s="3934" t="n"/>
      <c r="AK296" s="3934" t="n"/>
      <c r="AL296" s="3934" t="n"/>
      <c r="AM296" s="3934" t="n"/>
      <c r="AN296" s="3934" t="n"/>
      <c r="AO296" s="3934" t="n"/>
      <c r="AP296" s="3934" t="n"/>
      <c r="AQ296" s="3934" t="n"/>
      <c r="AR296" s="3934" t="n"/>
    </row>
    <row r="297">
      <c r="A297" s="3944" t="n"/>
      <c r="B297" s="3944" t="n"/>
      <c r="C297" s="3944" t="n"/>
      <c r="D297" s="3944" t="n"/>
      <c r="E297" s="3944" t="n"/>
      <c r="F297" s="3944" t="n"/>
      <c r="G297" s="3944" t="n"/>
      <c r="H297" s="3944" t="n"/>
      <c r="I297" s="3934" t="n"/>
      <c r="J297" s="3934" t="n"/>
      <c r="K297" s="3934" t="n"/>
      <c r="L297" s="3934" t="n"/>
      <c r="M297" s="3934" t="n"/>
      <c r="N297" s="3934" t="n"/>
      <c r="O297" s="3934" t="n"/>
      <c r="P297" s="3934" t="n"/>
      <c r="Q297" s="3934" t="n"/>
      <c r="R297" s="3934" t="n"/>
      <c r="S297" s="3934" t="n"/>
      <c r="T297" s="3934" t="n"/>
      <c r="U297" s="3934" t="n"/>
      <c r="V297" s="3934" t="n"/>
      <c r="W297" s="3934" t="n"/>
      <c r="X297" s="3934" t="n"/>
      <c r="Y297" s="3934" t="n"/>
      <c r="Z297" s="3934" t="n"/>
      <c r="AA297" s="3934" t="n"/>
      <c r="AB297" s="3934" t="n"/>
      <c r="AC297" s="3934" t="n"/>
      <c r="AD297" s="3934" t="n"/>
      <c r="AE297" s="3934" t="n"/>
      <c r="AF297" s="3934" t="n"/>
      <c r="AG297" s="3934" t="n"/>
      <c r="AH297" s="3934" t="n"/>
      <c r="AI297" s="3934" t="n"/>
      <c r="AJ297" s="3934" t="n"/>
      <c r="AK297" s="3934" t="n"/>
      <c r="AL297" s="3934" t="n"/>
      <c r="AM297" s="3934" t="n"/>
      <c r="AN297" s="3934" t="n"/>
      <c r="AO297" s="3934" t="n"/>
      <c r="AP297" s="3934" t="n"/>
      <c r="AQ297" s="3934" t="n"/>
      <c r="AR297" s="3934" t="n"/>
    </row>
    <row r="298">
      <c r="A298" s="3944" t="n"/>
      <c r="B298" s="3944" t="n"/>
      <c r="C298" s="3944" t="n"/>
      <c r="D298" s="3944" t="n"/>
      <c r="E298" s="3944" t="n"/>
      <c r="F298" s="3944" t="n"/>
      <c r="G298" s="3944" t="n"/>
      <c r="H298" s="3944" t="n"/>
      <c r="I298" s="3934" t="n"/>
      <c r="J298" s="3934" t="n"/>
      <c r="K298" s="3934" t="n"/>
      <c r="L298" s="3934" t="n"/>
      <c r="M298" s="3934" t="n"/>
      <c r="N298" s="3934" t="n"/>
      <c r="O298" s="3934" t="n"/>
      <c r="P298" s="3934" t="n"/>
      <c r="Q298" s="3934" t="n"/>
      <c r="R298" s="3934" t="n"/>
      <c r="S298" s="3934" t="n"/>
      <c r="T298" s="3934" t="n"/>
      <c r="U298" s="3934" t="n"/>
      <c r="V298" s="3934" t="n"/>
      <c r="W298" s="3934" t="n"/>
      <c r="X298" s="3934" t="n"/>
      <c r="Y298" s="3934" t="n"/>
      <c r="Z298" s="3934" t="n"/>
      <c r="AA298" s="3934" t="n"/>
      <c r="AB298" s="3934" t="n"/>
      <c r="AC298" s="3934" t="n"/>
      <c r="AD298" s="3934" t="n"/>
      <c r="AE298" s="3934" t="n"/>
      <c r="AF298" s="3934" t="n"/>
      <c r="AG298" s="3934" t="n"/>
      <c r="AH298" s="3934" t="n"/>
      <c r="AI298" s="3934" t="n"/>
      <c r="AJ298" s="3934" t="n"/>
      <c r="AK298" s="3934" t="n"/>
      <c r="AL298" s="3934" t="n"/>
      <c r="AM298" s="3934" t="n"/>
      <c r="AN298" s="3934" t="n"/>
      <c r="AO298" s="3934" t="n"/>
      <c r="AP298" s="3934" t="n"/>
      <c r="AQ298" s="3934" t="n"/>
      <c r="AR298" s="3934" t="n"/>
    </row>
    <row r="299">
      <c r="A299" s="3944" t="n"/>
      <c r="B299" s="3944" t="n"/>
      <c r="C299" s="3944" t="n"/>
      <c r="D299" s="3944" t="n"/>
      <c r="E299" s="3944" t="n"/>
      <c r="F299" s="3944" t="n"/>
      <c r="G299" s="3944" t="n"/>
      <c r="H299" s="3944" t="n"/>
      <c r="I299" s="3934" t="n"/>
      <c r="J299" s="3934" t="n"/>
      <c r="K299" s="3934" t="n"/>
      <c r="L299" s="3934" t="n"/>
      <c r="M299" s="3934" t="n"/>
      <c r="N299" s="3934" t="n"/>
      <c r="O299" s="3934" t="n"/>
      <c r="P299" s="3934" t="n"/>
      <c r="Q299" s="3934" t="n"/>
      <c r="R299" s="3934" t="n"/>
      <c r="S299" s="3934" t="n"/>
      <c r="T299" s="3934" t="n"/>
      <c r="U299" s="3934" t="n"/>
      <c r="V299" s="3934" t="n"/>
      <c r="W299" s="3934" t="n"/>
      <c r="X299" s="3934" t="n"/>
      <c r="Y299" s="3934" t="n"/>
      <c r="Z299" s="3934" t="n"/>
      <c r="AA299" s="3934" t="n"/>
      <c r="AB299" s="3934" t="n"/>
      <c r="AC299" s="3934" t="n"/>
      <c r="AD299" s="3934" t="n"/>
      <c r="AE299" s="3934" t="n"/>
      <c r="AF299" s="3934" t="n"/>
      <c r="AG299" s="3934" t="n"/>
      <c r="AH299" s="3934" t="n"/>
      <c r="AI299" s="3934" t="n"/>
      <c r="AJ299" s="3934" t="n"/>
      <c r="AK299" s="3934" t="n"/>
      <c r="AL299" s="3934" t="n"/>
      <c r="AM299" s="3934" t="n"/>
      <c r="AN299" s="3934" t="n"/>
      <c r="AO299" s="3934" t="n"/>
      <c r="AP299" s="3934" t="n"/>
      <c r="AQ299" s="3934" t="n"/>
      <c r="AR299" s="3934" t="n"/>
    </row>
    <row r="300">
      <c r="A300" s="3944" t="n"/>
      <c r="B300" s="3944" t="n"/>
      <c r="C300" s="3944" t="n"/>
      <c r="D300" s="3944" t="n"/>
      <c r="E300" s="3944" t="n"/>
      <c r="F300" s="3944" t="n"/>
      <c r="G300" s="3944" t="n"/>
      <c r="H300" s="3944" t="n"/>
      <c r="I300" s="3934" t="n"/>
      <c r="J300" s="3934" t="n"/>
      <c r="K300" s="3934" t="n"/>
      <c r="L300" s="3934" t="n"/>
      <c r="M300" s="3934" t="n"/>
      <c r="N300" s="3934" t="n"/>
      <c r="O300" s="3934" t="n"/>
      <c r="P300" s="3934" t="n"/>
      <c r="Q300" s="3934" t="n"/>
      <c r="R300" s="3934" t="n"/>
      <c r="S300" s="3934" t="n"/>
      <c r="T300" s="3934" t="n"/>
      <c r="U300" s="3934" t="n"/>
      <c r="V300" s="3934" t="n"/>
      <c r="W300" s="3934" t="n"/>
      <c r="X300" s="3934" t="n"/>
      <c r="Y300" s="3934" t="n"/>
      <c r="Z300" s="3934" t="n"/>
      <c r="AA300" s="3934" t="n"/>
      <c r="AB300" s="3934" t="n"/>
      <c r="AC300" s="3934" t="n"/>
      <c r="AD300" s="3934" t="n"/>
      <c r="AE300" s="3934" t="n"/>
      <c r="AF300" s="3934" t="n"/>
      <c r="AG300" s="3934" t="n"/>
      <c r="AH300" s="3934" t="n"/>
      <c r="AI300" s="3934" t="n"/>
      <c r="AJ300" s="3934" t="n"/>
      <c r="AK300" s="3934" t="n"/>
      <c r="AL300" s="3934" t="n"/>
      <c r="AM300" s="3934" t="n"/>
      <c r="AN300" s="3934" t="n"/>
      <c r="AO300" s="3934" t="n"/>
      <c r="AP300" s="3934" t="n"/>
      <c r="AQ300" s="3934" t="n"/>
      <c r="AR300" s="3934" t="n"/>
    </row>
    <row r="301">
      <c r="A301" s="3944" t="n"/>
      <c r="B301" s="3944" t="n"/>
      <c r="C301" s="3944" t="n"/>
      <c r="D301" s="3944" t="n"/>
      <c r="E301" s="3944" t="n"/>
      <c r="F301" s="3944" t="n"/>
      <c r="G301" s="3944" t="n"/>
      <c r="H301" s="3944" t="n"/>
      <c r="I301" s="3934" t="n"/>
      <c r="J301" s="3934" t="n"/>
      <c r="K301" s="3934" t="n"/>
      <c r="L301" s="3934" t="n"/>
      <c r="M301" s="3934" t="n"/>
      <c r="N301" s="3934" t="n"/>
      <c r="O301" s="3934" t="n"/>
      <c r="P301" s="3934" t="n"/>
      <c r="Q301" s="3934" t="n"/>
      <c r="R301" s="3934" t="n"/>
      <c r="S301" s="3934" t="n"/>
      <c r="T301" s="3934" t="n"/>
      <c r="U301" s="3934" t="n"/>
      <c r="V301" s="3934" t="n"/>
      <c r="W301" s="3934" t="n"/>
      <c r="X301" s="3934" t="n"/>
      <c r="Y301" s="3934" t="n"/>
      <c r="Z301" s="3934" t="n"/>
      <c r="AA301" s="3934" t="n"/>
      <c r="AB301" s="3934" t="n"/>
      <c r="AC301" s="3934" t="n"/>
      <c r="AD301" s="3934" t="n"/>
      <c r="AE301" s="3934" t="n"/>
      <c r="AF301" s="3934" t="n"/>
      <c r="AG301" s="3934" t="n"/>
      <c r="AH301" s="3934" t="n"/>
      <c r="AI301" s="3934" t="n"/>
      <c r="AJ301" s="3934" t="n"/>
      <c r="AK301" s="3934" t="n"/>
      <c r="AL301" s="3934" t="n"/>
      <c r="AM301" s="3934" t="n"/>
      <c r="AN301" s="3934" t="n"/>
      <c r="AO301" s="3934" t="n"/>
      <c r="AP301" s="3934" t="n"/>
      <c r="AQ301" s="3934" t="n"/>
      <c r="AR301" s="3934" t="n"/>
    </row>
    <row r="302">
      <c r="A302" s="3944" t="n"/>
      <c r="B302" s="3944" t="n"/>
      <c r="C302" s="3944" t="n"/>
      <c r="D302" s="3944" t="n"/>
      <c r="E302" s="3944" t="n"/>
      <c r="F302" s="3944" t="n"/>
      <c r="G302" s="3944" t="n"/>
      <c r="H302" s="3944" t="n"/>
      <c r="I302" s="3934" t="n"/>
      <c r="J302" s="3934" t="n"/>
      <c r="K302" s="3934" t="n"/>
      <c r="L302" s="3934" t="n"/>
      <c r="M302" s="3934" t="n"/>
      <c r="N302" s="3934" t="n"/>
      <c r="O302" s="3934" t="n"/>
      <c r="P302" s="3934" t="n"/>
      <c r="Q302" s="3934" t="n"/>
      <c r="R302" s="3934" t="n"/>
      <c r="S302" s="3934" t="n"/>
      <c r="T302" s="3934" t="n"/>
      <c r="U302" s="3934" t="n"/>
      <c r="V302" s="3934" t="n"/>
      <c r="W302" s="3934" t="n"/>
      <c r="X302" s="3934" t="n"/>
      <c r="Y302" s="3934" t="n"/>
      <c r="Z302" s="3934" t="n"/>
      <c r="AA302" s="3934" t="n"/>
      <c r="AB302" s="3934" t="n"/>
      <c r="AC302" s="3934" t="n"/>
      <c r="AD302" s="3934" t="n"/>
      <c r="AE302" s="3934" t="n"/>
      <c r="AF302" s="3934" t="n"/>
      <c r="AG302" s="3934" t="n"/>
      <c r="AH302" s="3934" t="n"/>
      <c r="AI302" s="3934" t="n"/>
      <c r="AJ302" s="3934" t="n"/>
      <c r="AK302" s="3934" t="n"/>
      <c r="AL302" s="3934" t="n"/>
      <c r="AM302" s="3934" t="n"/>
      <c r="AN302" s="3934" t="n"/>
      <c r="AO302" s="3934" t="n"/>
      <c r="AP302" s="3934" t="n"/>
      <c r="AQ302" s="3934" t="n"/>
      <c r="AR302" s="3934" t="n"/>
    </row>
    <row r="303">
      <c r="A303" s="3944" t="n"/>
      <c r="B303" s="3944" t="n"/>
      <c r="C303" s="3944" t="n"/>
      <c r="D303" s="3944" t="n"/>
      <c r="E303" s="3944" t="n"/>
      <c r="F303" s="3944" t="n"/>
      <c r="G303" s="3944" t="n"/>
      <c r="H303" s="3944" t="n"/>
      <c r="I303" s="3934" t="n"/>
      <c r="J303" s="3934" t="n"/>
      <c r="K303" s="3934" t="n"/>
      <c r="L303" s="3934" t="n"/>
      <c r="M303" s="3934" t="n"/>
      <c r="N303" s="3934" t="n"/>
      <c r="O303" s="3934" t="n"/>
      <c r="P303" s="3934" t="n"/>
      <c r="Q303" s="3934" t="n"/>
      <c r="R303" s="3934" t="n"/>
      <c r="S303" s="3934" t="n"/>
      <c r="T303" s="3934" t="n"/>
      <c r="U303" s="3934" t="n"/>
      <c r="V303" s="3934" t="n"/>
      <c r="W303" s="3934" t="n"/>
      <c r="X303" s="3934" t="n"/>
      <c r="Y303" s="3934" t="n"/>
      <c r="Z303" s="3934" t="n"/>
      <c r="AA303" s="3934" t="n"/>
      <c r="AB303" s="3934" t="n"/>
      <c r="AC303" s="3934" t="n"/>
      <c r="AD303" s="3934" t="n"/>
      <c r="AE303" s="3934" t="n"/>
      <c r="AF303" s="3934" t="n"/>
      <c r="AG303" s="3934" t="n"/>
      <c r="AH303" s="3934" t="n"/>
      <c r="AI303" s="3934" t="n"/>
      <c r="AJ303" s="3934" t="n"/>
      <c r="AK303" s="3934" t="n"/>
      <c r="AL303" s="3934" t="n"/>
      <c r="AM303" s="3934" t="n"/>
      <c r="AN303" s="3934" t="n"/>
      <c r="AO303" s="3934" t="n"/>
      <c r="AP303" s="3934" t="n"/>
      <c r="AQ303" s="3934" t="n"/>
      <c r="AR303" s="3934" t="n"/>
    </row>
    <row r="304">
      <c r="A304" s="3944" t="n"/>
      <c r="B304" s="3944" t="n"/>
      <c r="C304" s="3944" t="n"/>
      <c r="D304" s="3944" t="n"/>
      <c r="E304" s="3944" t="n"/>
      <c r="F304" s="3944" t="n"/>
      <c r="G304" s="3944" t="n"/>
      <c r="H304" s="3944" t="n"/>
      <c r="I304" s="3934" t="n"/>
      <c r="J304" s="3934" t="n"/>
      <c r="K304" s="3934" t="n"/>
      <c r="L304" s="3934" t="n"/>
      <c r="M304" s="3934" t="n"/>
      <c r="N304" s="3934" t="n"/>
      <c r="O304" s="3934" t="n"/>
      <c r="P304" s="3934" t="n"/>
      <c r="Q304" s="3934" t="n"/>
      <c r="R304" s="3934" t="n"/>
      <c r="S304" s="3934" t="n"/>
      <c r="T304" s="3934" t="n"/>
      <c r="U304" s="3934" t="n"/>
      <c r="V304" s="3934" t="n"/>
      <c r="W304" s="3934" t="n"/>
      <c r="X304" s="3934" t="n"/>
      <c r="Y304" s="3934" t="n"/>
      <c r="Z304" s="3934" t="n"/>
      <c r="AA304" s="3934" t="n"/>
      <c r="AB304" s="3934" t="n"/>
      <c r="AC304" s="3934" t="n"/>
      <c r="AD304" s="3934" t="n"/>
      <c r="AE304" s="3934" t="n"/>
      <c r="AF304" s="3934" t="n"/>
      <c r="AG304" s="3934" t="n"/>
      <c r="AH304" s="3934" t="n"/>
      <c r="AI304" s="3934" t="n"/>
      <c r="AJ304" s="3934" t="n"/>
      <c r="AK304" s="3934" t="n"/>
      <c r="AL304" s="3934" t="n"/>
      <c r="AM304" s="3934" t="n"/>
      <c r="AN304" s="3934" t="n"/>
      <c r="AO304" s="3934" t="n"/>
      <c r="AP304" s="3934" t="n"/>
      <c r="AQ304" s="3934" t="n"/>
      <c r="AR304" s="3934" t="n"/>
    </row>
    <row r="305">
      <c r="A305" s="3944" t="n"/>
      <c r="B305" s="3944" t="n"/>
      <c r="C305" s="3944" t="n"/>
      <c r="D305" s="3944" t="n"/>
      <c r="E305" s="3944" t="n"/>
      <c r="F305" s="3944" t="n"/>
      <c r="G305" s="3944" t="n"/>
      <c r="H305" s="3944" t="n"/>
      <c r="I305" s="3934" t="n"/>
      <c r="J305" s="3934" t="n"/>
      <c r="K305" s="3934" t="n"/>
      <c r="L305" s="3934" t="n"/>
      <c r="M305" s="3934" t="n"/>
      <c r="N305" s="3934" t="n"/>
      <c r="O305" s="3934" t="n"/>
      <c r="P305" s="3934" t="n"/>
      <c r="Q305" s="3934" t="n"/>
      <c r="R305" s="3934" t="n"/>
      <c r="S305" s="3934" t="n"/>
      <c r="T305" s="3934" t="n"/>
      <c r="U305" s="3934" t="n"/>
      <c r="V305" s="3934" t="n"/>
      <c r="W305" s="3934" t="n"/>
      <c r="X305" s="3934" t="n"/>
      <c r="Y305" s="3934" t="n"/>
      <c r="Z305" s="3934" t="n"/>
      <c r="AA305" s="3934" t="n"/>
      <c r="AB305" s="3934" t="n"/>
      <c r="AC305" s="3934" t="n"/>
      <c r="AD305" s="3934" t="n"/>
      <c r="AE305" s="3934" t="n"/>
      <c r="AF305" s="3934" t="n"/>
      <c r="AG305" s="3934" t="n"/>
      <c r="AH305" s="3934" t="n"/>
      <c r="AI305" s="3934" t="n"/>
      <c r="AJ305" s="3934" t="n"/>
      <c r="AK305" s="3934" t="n"/>
      <c r="AL305" s="3934" t="n"/>
      <c r="AM305" s="3934" t="n"/>
      <c r="AN305" s="3934" t="n"/>
      <c r="AO305" s="3934" t="n"/>
      <c r="AP305" s="3934" t="n"/>
      <c r="AQ305" s="3934" t="n"/>
      <c r="AR305" s="3934" t="n"/>
    </row>
    <row r="306">
      <c r="A306" s="3944" t="n"/>
      <c r="B306" s="3944" t="n"/>
      <c r="C306" s="3944" t="n"/>
      <c r="D306" s="3944" t="n"/>
      <c r="E306" s="3944" t="n"/>
      <c r="F306" s="3944" t="n"/>
      <c r="G306" s="3944" t="n"/>
      <c r="H306" s="3944" t="n"/>
      <c r="I306" s="3934" t="n"/>
      <c r="J306" s="3934" t="n"/>
      <c r="K306" s="3934" t="n"/>
      <c r="L306" s="3934" t="n"/>
      <c r="M306" s="3934" t="n"/>
      <c r="N306" s="3934" t="n"/>
      <c r="O306" s="3934" t="n"/>
      <c r="P306" s="3934" t="n"/>
      <c r="Q306" s="3934" t="n"/>
      <c r="R306" s="3934" t="n"/>
      <c r="S306" s="3934" t="n"/>
      <c r="T306" s="3934" t="n"/>
      <c r="U306" s="3934" t="n"/>
      <c r="V306" s="3934" t="n"/>
      <c r="W306" s="3934" t="n"/>
      <c r="X306" s="3934" t="n"/>
      <c r="Y306" s="3934" t="n"/>
      <c r="Z306" s="3934" t="n"/>
      <c r="AA306" s="3934" t="n"/>
      <c r="AB306" s="3934" t="n"/>
      <c r="AC306" s="3934" t="n"/>
      <c r="AD306" s="3934" t="n"/>
      <c r="AE306" s="3934" t="n"/>
      <c r="AF306" s="3934" t="n"/>
      <c r="AG306" s="3934" t="n"/>
      <c r="AH306" s="3934" t="n"/>
      <c r="AI306" s="3934" t="n"/>
      <c r="AJ306" s="3934" t="n"/>
      <c r="AK306" s="3934" t="n"/>
      <c r="AL306" s="3934" t="n"/>
      <c r="AM306" s="3934" t="n"/>
      <c r="AN306" s="3934" t="n"/>
      <c r="AO306" s="3934" t="n"/>
      <c r="AP306" s="3934" t="n"/>
      <c r="AQ306" s="3934" t="n"/>
      <c r="AR306" s="3934" t="n"/>
    </row>
    <row r="307">
      <c r="A307" s="3944" t="n"/>
      <c r="B307" s="3944" t="n"/>
      <c r="C307" s="3944" t="n"/>
      <c r="D307" s="3944" t="n"/>
      <c r="E307" s="3944" t="n"/>
      <c r="F307" s="3944" t="n"/>
      <c r="G307" s="3944" t="n"/>
      <c r="H307" s="3944" t="n"/>
      <c r="I307" s="3934" t="n"/>
      <c r="J307" s="3934" t="n"/>
      <c r="K307" s="3934" t="n"/>
      <c r="L307" s="3934" t="n"/>
      <c r="M307" s="3934" t="n"/>
      <c r="N307" s="3934" t="n"/>
      <c r="O307" s="3934" t="n"/>
      <c r="P307" s="3934" t="n"/>
      <c r="Q307" s="3934" t="n"/>
      <c r="R307" s="3934" t="n"/>
      <c r="S307" s="3934" t="n"/>
      <c r="T307" s="3934" t="n"/>
      <c r="U307" s="3934" t="n"/>
      <c r="V307" s="3934" t="n"/>
      <c r="W307" s="3934" t="n"/>
      <c r="X307" s="3934" t="n"/>
      <c r="Y307" s="3934" t="n"/>
      <c r="Z307" s="3934" t="n"/>
      <c r="AA307" s="3934" t="n"/>
      <c r="AB307" s="3934" t="n"/>
      <c r="AC307" s="3934" t="n"/>
      <c r="AD307" s="3934" t="n"/>
      <c r="AE307" s="3934" t="n"/>
      <c r="AF307" s="3934" t="n"/>
      <c r="AG307" s="3934" t="n"/>
      <c r="AH307" s="3934" t="n"/>
      <c r="AI307" s="3934" t="n"/>
      <c r="AJ307" s="3934" t="n"/>
      <c r="AK307" s="3934" t="n"/>
      <c r="AL307" s="3934" t="n"/>
      <c r="AM307" s="3934" t="n"/>
      <c r="AN307" s="3934" t="n"/>
      <c r="AO307" s="3934" t="n"/>
      <c r="AP307" s="3934" t="n"/>
      <c r="AQ307" s="3934" t="n"/>
      <c r="AR307" s="3934" t="n"/>
    </row>
    <row r="308">
      <c r="A308" s="3944" t="n"/>
      <c r="B308" s="3944" t="n"/>
      <c r="C308" s="3944" t="n"/>
      <c r="D308" s="3944" t="n"/>
      <c r="E308" s="3944" t="n"/>
      <c r="F308" s="3944" t="n"/>
      <c r="G308" s="3944" t="n"/>
      <c r="H308" s="3944" t="n"/>
      <c r="I308" s="3934" t="n"/>
      <c r="J308" s="3934" t="n"/>
      <c r="K308" s="3934" t="n"/>
      <c r="L308" s="3934" t="n"/>
      <c r="M308" s="3934" t="n"/>
      <c r="N308" s="3934" t="n"/>
      <c r="O308" s="3934" t="n"/>
      <c r="P308" s="3934" t="n"/>
      <c r="Q308" s="3934" t="n"/>
      <c r="R308" s="3934" t="n"/>
      <c r="S308" s="3934" t="n"/>
      <c r="T308" s="3934" t="n"/>
      <c r="U308" s="3934" t="n"/>
      <c r="V308" s="3934" t="n"/>
      <c r="W308" s="3934" t="n"/>
      <c r="X308" s="3934" t="n"/>
      <c r="Y308" s="3934" t="n"/>
      <c r="Z308" s="3934" t="n"/>
      <c r="AA308" s="3934" t="n"/>
      <c r="AB308" s="3934" t="n"/>
      <c r="AC308" s="3934" t="n"/>
      <c r="AD308" s="3934" t="n"/>
      <c r="AE308" s="3934" t="n"/>
      <c r="AF308" s="3934" t="n"/>
      <c r="AG308" s="3934" t="n"/>
      <c r="AH308" s="3934" t="n"/>
      <c r="AI308" s="3934" t="n"/>
      <c r="AJ308" s="3934" t="n"/>
      <c r="AK308" s="3934" t="n"/>
      <c r="AL308" s="3934" t="n"/>
      <c r="AM308" s="3934" t="n"/>
      <c r="AN308" s="3934" t="n"/>
      <c r="AO308" s="3934" t="n"/>
      <c r="AP308" s="3934" t="n"/>
      <c r="AQ308" s="3934" t="n"/>
      <c r="AR308" s="3934" t="n"/>
    </row>
    <row r="309">
      <c r="A309" s="3944" t="n"/>
      <c r="B309" s="3944" t="n"/>
      <c r="C309" s="3944" t="n"/>
      <c r="D309" s="3944" t="n"/>
      <c r="E309" s="3944" t="n"/>
      <c r="F309" s="3944" t="n"/>
      <c r="G309" s="3944" t="n"/>
      <c r="H309" s="3944" t="n"/>
      <c r="I309" s="3934" t="n"/>
      <c r="J309" s="3934" t="n"/>
      <c r="K309" s="3934" t="n"/>
      <c r="L309" s="3934" t="n"/>
      <c r="M309" s="3934" t="n"/>
      <c r="N309" s="3934" t="n"/>
      <c r="O309" s="3934" t="n"/>
      <c r="P309" s="3934" t="n"/>
      <c r="Q309" s="3934" t="n"/>
      <c r="R309" s="3934" t="n"/>
      <c r="S309" s="3934" t="n"/>
      <c r="T309" s="3934" t="n"/>
      <c r="U309" s="3934" t="n"/>
      <c r="V309" s="3934" t="n"/>
      <c r="W309" s="3934" t="n"/>
      <c r="X309" s="3934" t="n"/>
      <c r="Y309" s="3934" t="n"/>
      <c r="Z309" s="3934" t="n"/>
      <c r="AA309" s="3934" t="n"/>
      <c r="AB309" s="3934" t="n"/>
      <c r="AC309" s="3934" t="n"/>
      <c r="AD309" s="3934" t="n"/>
      <c r="AE309" s="3934" t="n"/>
      <c r="AF309" s="3934" t="n"/>
      <c r="AG309" s="3934" t="n"/>
      <c r="AH309" s="3934" t="n"/>
      <c r="AI309" s="3934" t="n"/>
      <c r="AJ309" s="3934" t="n"/>
      <c r="AK309" s="3934" t="n"/>
      <c r="AL309" s="3934" t="n"/>
      <c r="AM309" s="3934" t="n"/>
      <c r="AN309" s="3934" t="n"/>
      <c r="AO309" s="3934" t="n"/>
      <c r="AP309" s="3934" t="n"/>
      <c r="AQ309" s="3934" t="n"/>
      <c r="AR309" s="3934" t="n"/>
    </row>
    <row r="310">
      <c r="A310" s="3944" t="n"/>
      <c r="B310" s="3944" t="n"/>
      <c r="C310" s="3944" t="n"/>
      <c r="D310" s="3944" t="n"/>
      <c r="E310" s="3944" t="n"/>
      <c r="F310" s="3944" t="n"/>
      <c r="G310" s="3944" t="n"/>
      <c r="H310" s="3944" t="n"/>
      <c r="I310" s="3934" t="n"/>
      <c r="J310" s="3934" t="n"/>
      <c r="K310" s="3934" t="n"/>
      <c r="L310" s="3934" t="n"/>
      <c r="M310" s="3934" t="n"/>
      <c r="N310" s="3934" t="n"/>
      <c r="O310" s="3934" t="n"/>
      <c r="P310" s="3934" t="n"/>
      <c r="Q310" s="3934" t="n"/>
      <c r="R310" s="3934" t="n"/>
      <c r="S310" s="3934" t="n"/>
      <c r="T310" s="3934" t="n"/>
      <c r="U310" s="3934" t="n"/>
      <c r="V310" s="3934" t="n"/>
      <c r="W310" s="3934" t="n"/>
      <c r="X310" s="3934" t="n"/>
      <c r="Y310" s="3934" t="n"/>
      <c r="Z310" s="3934" t="n"/>
      <c r="AA310" s="3934" t="n"/>
      <c r="AB310" s="3934" t="n"/>
      <c r="AC310" s="3934" t="n"/>
      <c r="AD310" s="3934" t="n"/>
      <c r="AE310" s="3934" t="n"/>
      <c r="AF310" s="3934" t="n"/>
      <c r="AG310" s="3934" t="n"/>
      <c r="AH310" s="3934" t="n"/>
      <c r="AI310" s="3934" t="n"/>
      <c r="AJ310" s="3934" t="n"/>
      <c r="AK310" s="3934" t="n"/>
      <c r="AL310" s="3934" t="n"/>
      <c r="AM310" s="3934" t="n"/>
      <c r="AN310" s="3934" t="n"/>
      <c r="AO310" s="3934" t="n"/>
      <c r="AP310" s="3934" t="n"/>
      <c r="AQ310" s="3934" t="n"/>
      <c r="AR310" s="3934" t="n"/>
    </row>
    <row r="311">
      <c r="A311" s="3944" t="n"/>
      <c r="B311" s="3944" t="n"/>
      <c r="C311" s="3944" t="n"/>
      <c r="D311" s="3944" t="n"/>
      <c r="E311" s="3944" t="n"/>
      <c r="F311" s="3944" t="n"/>
      <c r="G311" s="3944" t="n"/>
      <c r="H311" s="3944" t="n"/>
      <c r="I311" s="3934" t="n"/>
      <c r="J311" s="3934" t="n"/>
      <c r="K311" s="3934" t="n"/>
      <c r="L311" s="3934" t="n"/>
      <c r="M311" s="3934" t="n"/>
      <c r="N311" s="3934" t="n"/>
      <c r="O311" s="3934" t="n"/>
      <c r="P311" s="3934" t="n"/>
      <c r="Q311" s="3934" t="n"/>
      <c r="R311" s="3934" t="n"/>
      <c r="S311" s="3934" t="n"/>
      <c r="T311" s="3934" t="n"/>
      <c r="U311" s="3934" t="n"/>
      <c r="V311" s="3934" t="n"/>
      <c r="W311" s="3934" t="n"/>
      <c r="X311" s="3934" t="n"/>
      <c r="Y311" s="3934" t="n"/>
      <c r="Z311" s="3934" t="n"/>
      <c r="AA311" s="3934" t="n"/>
      <c r="AB311" s="3934" t="n"/>
      <c r="AC311" s="3934" t="n"/>
      <c r="AD311" s="3934" t="n"/>
      <c r="AE311" s="3934" t="n"/>
      <c r="AF311" s="3934" t="n"/>
      <c r="AG311" s="3934" t="n"/>
      <c r="AH311" s="3934" t="n"/>
      <c r="AI311" s="3934" t="n"/>
      <c r="AJ311" s="3934" t="n"/>
      <c r="AK311" s="3934" t="n"/>
      <c r="AL311" s="3934" t="n"/>
      <c r="AM311" s="3934" t="n"/>
      <c r="AN311" s="3934" t="n"/>
      <c r="AO311" s="3934" t="n"/>
      <c r="AP311" s="3934" t="n"/>
      <c r="AQ311" s="3934" t="n"/>
      <c r="AR311" s="3934" t="n"/>
    </row>
    <row r="312">
      <c r="A312" s="3944" t="n"/>
      <c r="B312" s="3944" t="n"/>
      <c r="C312" s="3944" t="n"/>
      <c r="D312" s="3944" t="n"/>
      <c r="E312" s="3944" t="n"/>
      <c r="F312" s="3944" t="n"/>
      <c r="G312" s="3944" t="n"/>
      <c r="H312" s="3944" t="n"/>
      <c r="I312" s="3934" t="n"/>
      <c r="J312" s="3934" t="n"/>
      <c r="K312" s="3934" t="n"/>
      <c r="L312" s="3934" t="n"/>
      <c r="M312" s="3934" t="n"/>
      <c r="N312" s="3934" t="n"/>
      <c r="O312" s="3934" t="n"/>
      <c r="P312" s="3934" t="n"/>
      <c r="Q312" s="3934" t="n"/>
      <c r="R312" s="3934" t="n"/>
      <c r="S312" s="3934" t="n"/>
      <c r="T312" s="3934" t="n"/>
      <c r="U312" s="3934" t="n"/>
      <c r="V312" s="3934" t="n"/>
      <c r="W312" s="3934" t="n"/>
      <c r="X312" s="3934" t="n"/>
      <c r="Y312" s="3934" t="n"/>
      <c r="Z312" s="3934" t="n"/>
      <c r="AA312" s="3934" t="n"/>
      <c r="AB312" s="3934" t="n"/>
      <c r="AC312" s="3934" t="n"/>
      <c r="AD312" s="3934" t="n"/>
      <c r="AE312" s="3934" t="n"/>
      <c r="AF312" s="3934" t="n"/>
      <c r="AG312" s="3934" t="n"/>
      <c r="AH312" s="3934" t="n"/>
      <c r="AI312" s="3934" t="n"/>
      <c r="AJ312" s="3934" t="n"/>
      <c r="AK312" s="3934" t="n"/>
      <c r="AL312" s="3934" t="n"/>
      <c r="AM312" s="3934" t="n"/>
      <c r="AN312" s="3934" t="n"/>
      <c r="AO312" s="3934" t="n"/>
      <c r="AP312" s="3934" t="n"/>
      <c r="AQ312" s="3934" t="n"/>
      <c r="AR312" s="3934" t="n"/>
    </row>
    <row r="313">
      <c r="A313" s="3944" t="n"/>
      <c r="B313" s="3944" t="n"/>
      <c r="C313" s="3944" t="n"/>
      <c r="D313" s="3944" t="n"/>
      <c r="E313" s="3944" t="n"/>
      <c r="F313" s="3944" t="n"/>
      <c r="G313" s="3944" t="n"/>
      <c r="H313" s="3944" t="n"/>
      <c r="I313" s="3934" t="n"/>
      <c r="J313" s="3934" t="n"/>
      <c r="K313" s="3934" t="n"/>
      <c r="L313" s="3934" t="n"/>
      <c r="M313" s="3934" t="n"/>
      <c r="N313" s="3934" t="n"/>
      <c r="O313" s="3934" t="n"/>
      <c r="P313" s="3934" t="n"/>
      <c r="Q313" s="3934" t="n"/>
      <c r="R313" s="3934" t="n"/>
      <c r="S313" s="3934" t="n"/>
      <c r="T313" s="3934" t="n"/>
      <c r="U313" s="3934" t="n"/>
      <c r="V313" s="3934" t="n"/>
      <c r="W313" s="3934" t="n"/>
      <c r="X313" s="3934" t="n"/>
      <c r="Y313" s="3934" t="n"/>
      <c r="Z313" s="3934" t="n"/>
      <c r="AA313" s="3934" t="n"/>
      <c r="AB313" s="3934" t="n"/>
      <c r="AC313" s="3934" t="n"/>
      <c r="AD313" s="3934" t="n"/>
      <c r="AE313" s="3934" t="n"/>
      <c r="AF313" s="3934" t="n"/>
      <c r="AG313" s="3934" t="n"/>
      <c r="AH313" s="3934" t="n"/>
      <c r="AI313" s="3934" t="n"/>
      <c r="AJ313" s="3934" t="n"/>
      <c r="AK313" s="3934" t="n"/>
      <c r="AL313" s="3934" t="n"/>
      <c r="AM313" s="3934" t="n"/>
      <c r="AN313" s="3934" t="n"/>
      <c r="AO313" s="3934" t="n"/>
      <c r="AP313" s="3934" t="n"/>
      <c r="AQ313" s="3934" t="n"/>
      <c r="AR313" s="3934" t="n"/>
    </row>
    <row r="314">
      <c r="A314" s="3944" t="n"/>
      <c r="B314" s="3944" t="n"/>
      <c r="C314" s="3944" t="n"/>
      <c r="D314" s="3944" t="n"/>
      <c r="E314" s="3944" t="n"/>
      <c r="F314" s="3944" t="n"/>
      <c r="G314" s="3944" t="n"/>
      <c r="H314" s="3944" t="n"/>
      <c r="I314" s="3934" t="n"/>
      <c r="J314" s="3934" t="n"/>
      <c r="K314" s="3934" t="n"/>
      <c r="L314" s="3934" t="n"/>
      <c r="M314" s="3934" t="n"/>
      <c r="N314" s="3934" t="n"/>
      <c r="O314" s="3934" t="n"/>
      <c r="P314" s="3934" t="n"/>
      <c r="Q314" s="3934" t="n"/>
      <c r="R314" s="3934" t="n"/>
      <c r="S314" s="3934" t="n"/>
      <c r="T314" s="3934" t="n"/>
      <c r="U314" s="3934" t="n"/>
      <c r="V314" s="3934" t="n"/>
      <c r="W314" s="3934" t="n"/>
      <c r="X314" s="3934" t="n"/>
      <c r="Y314" s="3934" t="n"/>
      <c r="Z314" s="3934" t="n"/>
      <c r="AA314" s="3934" t="n"/>
      <c r="AB314" s="3934" t="n"/>
      <c r="AC314" s="3934" t="n"/>
      <c r="AD314" s="3934" t="n"/>
      <c r="AE314" s="3934" t="n"/>
      <c r="AF314" s="3934" t="n"/>
      <c r="AG314" s="3934" t="n"/>
      <c r="AH314" s="3934" t="n"/>
      <c r="AI314" s="3934" t="n"/>
      <c r="AJ314" s="3934" t="n"/>
      <c r="AK314" s="3934" t="n"/>
      <c r="AL314" s="3934" t="n"/>
      <c r="AM314" s="3934" t="n"/>
      <c r="AN314" s="3934" t="n"/>
      <c r="AO314" s="3934" t="n"/>
      <c r="AP314" s="3934" t="n"/>
      <c r="AQ314" s="3934" t="n"/>
      <c r="AR314" s="3934" t="n"/>
    </row>
    <row r="315">
      <c r="A315" s="3944" t="n"/>
      <c r="B315" s="3944" t="n"/>
      <c r="C315" s="3944" t="n"/>
      <c r="D315" s="3944" t="n"/>
      <c r="E315" s="3944" t="n"/>
      <c r="F315" s="3944" t="n"/>
      <c r="G315" s="3944" t="n"/>
      <c r="H315" s="3944" t="n"/>
      <c r="I315" s="3934" t="n"/>
      <c r="J315" s="3934" t="n"/>
      <c r="K315" s="3934" t="n"/>
      <c r="L315" s="3934" t="n"/>
      <c r="M315" s="3934" t="n"/>
      <c r="N315" s="3934" t="n"/>
      <c r="O315" s="3934" t="n"/>
      <c r="P315" s="3934" t="n"/>
      <c r="Q315" s="3934" t="n"/>
      <c r="R315" s="3934" t="n"/>
      <c r="S315" s="3934" t="n"/>
      <c r="T315" s="3934" t="n"/>
      <c r="U315" s="3934" t="n"/>
      <c r="V315" s="3934" t="n"/>
      <c r="W315" s="3934" t="n"/>
      <c r="X315" s="3934" t="n"/>
      <c r="Y315" s="3934" t="n"/>
      <c r="Z315" s="3934" t="n"/>
      <c r="AA315" s="3934" t="n"/>
      <c r="AB315" s="3934" t="n"/>
      <c r="AC315" s="3934" t="n"/>
      <c r="AD315" s="3934" t="n"/>
      <c r="AE315" s="3934" t="n"/>
      <c r="AF315" s="3934" t="n"/>
      <c r="AG315" s="3934" t="n"/>
      <c r="AH315" s="3934" t="n"/>
      <c r="AI315" s="3934" t="n"/>
      <c r="AJ315" s="3934" t="n"/>
      <c r="AK315" s="3934" t="n"/>
      <c r="AL315" s="3934" t="n"/>
      <c r="AM315" s="3934" t="n"/>
      <c r="AN315" s="3934" t="n"/>
      <c r="AO315" s="3934" t="n"/>
      <c r="AP315" s="3934" t="n"/>
      <c r="AQ315" s="3934" t="n"/>
      <c r="AR315" s="3934" t="n"/>
    </row>
    <row r="316">
      <c r="A316" s="3944" t="n"/>
      <c r="B316" s="3944" t="n"/>
      <c r="C316" s="3944" t="n"/>
      <c r="D316" s="3944" t="n"/>
      <c r="E316" s="3944" t="n"/>
      <c r="F316" s="3944" t="n"/>
      <c r="G316" s="3944" t="n"/>
      <c r="H316" s="3944" t="n"/>
      <c r="I316" s="3934" t="n"/>
      <c r="J316" s="3934" t="n"/>
      <c r="K316" s="3934" t="n"/>
      <c r="L316" s="3934" t="n"/>
      <c r="M316" s="3934" t="n"/>
      <c r="N316" s="3934" t="n"/>
      <c r="O316" s="3934" t="n"/>
      <c r="P316" s="3934" t="n"/>
      <c r="Q316" s="3934" t="n"/>
      <c r="R316" s="3934" t="n"/>
      <c r="S316" s="3934" t="n"/>
      <c r="T316" s="3934" t="n"/>
      <c r="U316" s="3934" t="n"/>
      <c r="V316" s="3934" t="n"/>
      <c r="W316" s="3934" t="n"/>
      <c r="X316" s="3934" t="n"/>
      <c r="Y316" s="3934" t="n"/>
      <c r="Z316" s="3934" t="n"/>
      <c r="AA316" s="3934" t="n"/>
      <c r="AB316" s="3934" t="n"/>
      <c r="AC316" s="3934" t="n"/>
      <c r="AD316" s="3934" t="n"/>
      <c r="AE316" s="3934" t="n"/>
      <c r="AF316" s="3934" t="n"/>
      <c r="AG316" s="3934" t="n"/>
      <c r="AH316" s="3934" t="n"/>
      <c r="AI316" s="3934" t="n"/>
      <c r="AJ316" s="3934" t="n"/>
      <c r="AK316" s="3934" t="n"/>
      <c r="AL316" s="3934" t="n"/>
      <c r="AM316" s="3934" t="n"/>
      <c r="AN316" s="3934" t="n"/>
      <c r="AO316" s="3934" t="n"/>
      <c r="AP316" s="3934" t="n"/>
      <c r="AQ316" s="3934" t="n"/>
      <c r="AR316" s="3934" t="n"/>
    </row>
    <row r="317">
      <c r="A317" s="3944" t="n"/>
      <c r="B317" s="3944" t="n"/>
      <c r="C317" s="3944" t="n"/>
      <c r="D317" s="3944" t="n"/>
      <c r="E317" s="3944" t="n"/>
      <c r="F317" s="3944" t="n"/>
      <c r="G317" s="3944" t="n"/>
      <c r="H317" s="3944" t="n"/>
      <c r="I317" s="3934" t="n"/>
      <c r="J317" s="3934" t="n"/>
      <c r="K317" s="3934" t="n"/>
      <c r="L317" s="3934" t="n"/>
      <c r="M317" s="3934" t="n"/>
      <c r="N317" s="3934" t="n"/>
      <c r="O317" s="3934" t="n"/>
      <c r="P317" s="3934" t="n"/>
      <c r="Q317" s="3934" t="n"/>
      <c r="R317" s="3934" t="n"/>
      <c r="S317" s="3934" t="n"/>
      <c r="T317" s="3934" t="n"/>
      <c r="U317" s="3934" t="n"/>
      <c r="V317" s="3934" t="n"/>
      <c r="W317" s="3934" t="n"/>
      <c r="X317" s="3934" t="n"/>
      <c r="Y317" s="3934" t="n"/>
      <c r="Z317" s="3934" t="n"/>
      <c r="AA317" s="3934" t="n"/>
      <c r="AB317" s="3934" t="n"/>
      <c r="AC317" s="3934" t="n"/>
      <c r="AD317" s="3934" t="n"/>
      <c r="AE317" s="3934" t="n"/>
      <c r="AF317" s="3934" t="n"/>
      <c r="AG317" s="3934" t="n"/>
      <c r="AH317" s="3934" t="n"/>
      <c r="AI317" s="3934" t="n"/>
      <c r="AJ317" s="3934" t="n"/>
      <c r="AK317" s="3934" t="n"/>
      <c r="AL317" s="3934" t="n"/>
      <c r="AM317" s="3934" t="n"/>
      <c r="AN317" s="3934" t="n"/>
      <c r="AO317" s="3934" t="n"/>
      <c r="AP317" s="3934" t="n"/>
      <c r="AQ317" s="3934" t="n"/>
      <c r="AR317" s="3934" t="n"/>
    </row>
    <row r="318">
      <c r="A318" s="3944" t="n"/>
      <c r="B318" s="3944" t="n"/>
      <c r="C318" s="3944" t="n"/>
      <c r="D318" s="3944" t="n"/>
      <c r="E318" s="3944" t="n"/>
      <c r="F318" s="3944" t="n"/>
      <c r="G318" s="3944" t="n"/>
      <c r="H318" s="3944" t="n"/>
      <c r="I318" s="3934" t="n"/>
      <c r="J318" s="3934" t="n"/>
      <c r="K318" s="3934" t="n"/>
      <c r="L318" s="3934" t="n"/>
      <c r="M318" s="3934" t="n"/>
      <c r="N318" s="3934" t="n"/>
      <c r="O318" s="3934" t="n"/>
      <c r="P318" s="3934" t="n"/>
      <c r="Q318" s="3934" t="n"/>
      <c r="R318" s="3934" t="n"/>
      <c r="S318" s="3934" t="n"/>
      <c r="T318" s="3934" t="n"/>
      <c r="U318" s="3934" t="n"/>
      <c r="V318" s="3934" t="n"/>
      <c r="W318" s="3934" t="n"/>
      <c r="X318" s="3934" t="n"/>
      <c r="Y318" s="3934" t="n"/>
      <c r="Z318" s="3934" t="n"/>
      <c r="AA318" s="3934" t="n"/>
      <c r="AB318" s="3934" t="n"/>
      <c r="AC318" s="3934" t="n"/>
      <c r="AD318" s="3934" t="n"/>
      <c r="AE318" s="3934" t="n"/>
      <c r="AF318" s="3934" t="n"/>
      <c r="AG318" s="3934" t="n"/>
      <c r="AH318" s="3934" t="n"/>
      <c r="AI318" s="3934" t="n"/>
      <c r="AJ318" s="3934" t="n"/>
      <c r="AK318" s="3934" t="n"/>
      <c r="AL318" s="3934" t="n"/>
      <c r="AM318" s="3934" t="n"/>
      <c r="AN318" s="3934" t="n"/>
      <c r="AO318" s="3934" t="n"/>
      <c r="AP318" s="3934" t="n"/>
      <c r="AQ318" s="3934" t="n"/>
      <c r="AR318" s="3934" t="n"/>
    </row>
    <row r="319">
      <c r="A319" s="3944" t="n"/>
      <c r="B319" s="3944" t="n"/>
      <c r="C319" s="3944" t="n"/>
      <c r="D319" s="3944" t="n"/>
      <c r="E319" s="3944" t="n"/>
      <c r="F319" s="3944" t="n"/>
      <c r="G319" s="3944" t="n"/>
      <c r="H319" s="3944" t="n"/>
      <c r="I319" s="3934" t="n"/>
      <c r="J319" s="3934" t="n"/>
      <c r="K319" s="3934" t="n"/>
      <c r="L319" s="3934" t="n"/>
      <c r="M319" s="3934" t="n"/>
      <c r="N319" s="3934" t="n"/>
      <c r="O319" s="3934" t="n"/>
      <c r="P319" s="3934" t="n"/>
      <c r="Q319" s="3934" t="n"/>
      <c r="R319" s="3934" t="n"/>
      <c r="S319" s="3934" t="n"/>
      <c r="T319" s="3934" t="n"/>
      <c r="U319" s="3934" t="n"/>
      <c r="V319" s="3934" t="n"/>
      <c r="W319" s="3934" t="n"/>
      <c r="X319" s="3934" t="n"/>
      <c r="Y319" s="3934" t="n"/>
      <c r="Z319" s="3934" t="n"/>
      <c r="AA319" s="3934" t="n"/>
      <c r="AB319" s="3934" t="n"/>
      <c r="AC319" s="3934" t="n"/>
      <c r="AD319" s="3934" t="n"/>
      <c r="AE319" s="3934" t="n"/>
      <c r="AF319" s="3934" t="n"/>
      <c r="AG319" s="3934" t="n"/>
      <c r="AH319" s="3934" t="n"/>
      <c r="AI319" s="3934" t="n"/>
      <c r="AJ319" s="3934" t="n"/>
      <c r="AK319" s="3934" t="n"/>
      <c r="AL319" s="3934" t="n"/>
      <c r="AM319" s="3934" t="n"/>
      <c r="AN319" s="3934" t="n"/>
      <c r="AO319" s="3934" t="n"/>
      <c r="AP319" s="3934" t="n"/>
      <c r="AQ319" s="3934" t="n"/>
      <c r="AR319" s="3934" t="n"/>
    </row>
    <row r="320">
      <c r="A320" s="3944" t="n"/>
      <c r="B320" s="3944" t="n"/>
      <c r="C320" s="3944" t="n"/>
      <c r="D320" s="3944" t="n"/>
      <c r="E320" s="3944" t="n"/>
      <c r="F320" s="3944" t="n"/>
      <c r="G320" s="3944" t="n"/>
      <c r="H320" s="3944" t="n"/>
      <c r="I320" s="3934" t="n"/>
      <c r="J320" s="3934" t="n"/>
      <c r="K320" s="3934" t="n"/>
      <c r="L320" s="3934" t="n"/>
      <c r="M320" s="3934" t="n"/>
      <c r="N320" s="3934" t="n"/>
      <c r="O320" s="3934" t="n"/>
      <c r="P320" s="3934" t="n"/>
      <c r="Q320" s="3934" t="n"/>
      <c r="R320" s="3934" t="n"/>
      <c r="S320" s="3934" t="n"/>
      <c r="T320" s="3934" t="n"/>
      <c r="U320" s="3934" t="n"/>
      <c r="V320" s="3934" t="n"/>
      <c r="W320" s="3934" t="n"/>
      <c r="X320" s="3934" t="n"/>
      <c r="Y320" s="3934" t="n"/>
      <c r="Z320" s="3934" t="n"/>
      <c r="AA320" s="3934" t="n"/>
      <c r="AB320" s="3934" t="n"/>
      <c r="AC320" s="3934" t="n"/>
      <c r="AD320" s="3934" t="n"/>
      <c r="AE320" s="3934" t="n"/>
      <c r="AF320" s="3934" t="n"/>
      <c r="AG320" s="3934" t="n"/>
      <c r="AH320" s="3934" t="n"/>
      <c r="AI320" s="3934" t="n"/>
      <c r="AJ320" s="3934" t="n"/>
      <c r="AK320" s="3934" t="n"/>
      <c r="AL320" s="3934" t="n"/>
      <c r="AM320" s="3934" t="n"/>
      <c r="AN320" s="3934" t="n"/>
      <c r="AO320" s="3934" t="n"/>
      <c r="AP320" s="3934" t="n"/>
      <c r="AQ320" s="3934" t="n"/>
      <c r="AR320" s="3934" t="n"/>
    </row>
    <row r="321">
      <c r="A321" s="3944" t="n"/>
      <c r="B321" s="3944" t="n"/>
      <c r="C321" s="3944" t="n"/>
      <c r="D321" s="3944" t="n"/>
      <c r="E321" s="3944" t="n"/>
      <c r="F321" s="3944" t="n"/>
      <c r="G321" s="3944" t="n"/>
      <c r="H321" s="3944" t="n"/>
      <c r="I321" s="3934" t="n"/>
      <c r="J321" s="3934" t="n"/>
      <c r="K321" s="3934" t="n"/>
      <c r="L321" s="3934" t="n"/>
      <c r="M321" s="3934" t="n"/>
      <c r="N321" s="3934" t="n"/>
      <c r="O321" s="3934" t="n"/>
      <c r="P321" s="3934" t="n"/>
      <c r="Q321" s="3934" t="n"/>
      <c r="R321" s="3934" t="n"/>
      <c r="S321" s="3934" t="n"/>
      <c r="T321" s="3934" t="n"/>
      <c r="U321" s="3934" t="n"/>
      <c r="V321" s="3934" t="n"/>
      <c r="W321" s="3934" t="n"/>
      <c r="X321" s="3934" t="n"/>
      <c r="Y321" s="3934" t="n"/>
      <c r="Z321" s="3934" t="n"/>
      <c r="AA321" s="3934" t="n"/>
      <c r="AB321" s="3934" t="n"/>
      <c r="AC321" s="3934" t="n"/>
      <c r="AD321" s="3934" t="n"/>
      <c r="AE321" s="3934" t="n"/>
      <c r="AF321" s="3934" t="n"/>
      <c r="AG321" s="3934" t="n"/>
      <c r="AH321" s="3934" t="n"/>
      <c r="AI321" s="3934" t="n"/>
      <c r="AJ321" s="3934" t="n"/>
      <c r="AK321" s="3934" t="n"/>
      <c r="AL321" s="3934" t="n"/>
      <c r="AM321" s="3934" t="n"/>
      <c r="AN321" s="3934" t="n"/>
      <c r="AO321" s="3934" t="n"/>
      <c r="AP321" s="3934" t="n"/>
      <c r="AQ321" s="3934" t="n"/>
      <c r="AR321" s="3934" t="n"/>
    </row>
    <row r="322">
      <c r="A322" s="3944" t="n"/>
      <c r="B322" s="3944" t="n"/>
      <c r="C322" s="3944" t="n"/>
      <c r="D322" s="3944" t="n"/>
      <c r="E322" s="3944" t="n"/>
      <c r="F322" s="3944" t="n"/>
      <c r="G322" s="3944" t="n"/>
      <c r="H322" s="3944" t="n"/>
      <c r="I322" s="3934" t="n"/>
      <c r="J322" s="3934" t="n"/>
      <c r="K322" s="3934" t="n"/>
      <c r="L322" s="3934" t="n"/>
      <c r="M322" s="3934" t="n"/>
      <c r="N322" s="3934" t="n"/>
      <c r="O322" s="3934" t="n"/>
      <c r="P322" s="3934" t="n"/>
      <c r="Q322" s="3934" t="n"/>
      <c r="R322" s="3934" t="n"/>
      <c r="S322" s="3934" t="n"/>
      <c r="T322" s="3934" t="n"/>
      <c r="U322" s="3934" t="n"/>
      <c r="V322" s="3934" t="n"/>
      <c r="W322" s="3934" t="n"/>
      <c r="X322" s="3934" t="n"/>
      <c r="Y322" s="3934" t="n"/>
      <c r="Z322" s="3934" t="n"/>
      <c r="AA322" s="3934" t="n"/>
      <c r="AB322" s="3934" t="n"/>
      <c r="AC322" s="3934" t="n"/>
      <c r="AD322" s="3934" t="n"/>
      <c r="AE322" s="3934" t="n"/>
      <c r="AF322" s="3934" t="n"/>
      <c r="AG322" s="3934" t="n"/>
      <c r="AH322" s="3934" t="n"/>
      <c r="AI322" s="3934" t="n"/>
      <c r="AJ322" s="3934" t="n"/>
      <c r="AK322" s="3934" t="n"/>
      <c r="AL322" s="3934" t="n"/>
      <c r="AM322" s="3934" t="n"/>
      <c r="AN322" s="3934" t="n"/>
      <c r="AO322" s="3934" t="n"/>
      <c r="AP322" s="3934" t="n"/>
      <c r="AQ322" s="3934" t="n"/>
      <c r="AR322" s="3934" t="n"/>
    </row>
    <row r="323">
      <c r="A323" s="3944" t="n"/>
      <c r="B323" s="3944" t="n"/>
      <c r="C323" s="3944" t="n"/>
      <c r="D323" s="3944" t="n"/>
      <c r="E323" s="3944" t="n"/>
      <c r="F323" s="3944" t="n"/>
      <c r="G323" s="3944" t="n"/>
      <c r="H323" s="3944" t="n"/>
      <c r="I323" s="3934" t="n"/>
      <c r="J323" s="3934" t="n"/>
      <c r="K323" s="3934" t="n"/>
      <c r="L323" s="3934" t="n"/>
      <c r="M323" s="3934" t="n"/>
      <c r="N323" s="3934" t="n"/>
      <c r="O323" s="3934" t="n"/>
      <c r="P323" s="3934" t="n"/>
      <c r="Q323" s="3934" t="n"/>
      <c r="R323" s="3934" t="n"/>
      <c r="S323" s="3934" t="n"/>
      <c r="T323" s="3934" t="n"/>
      <c r="U323" s="3934" t="n"/>
      <c r="V323" s="3934" t="n"/>
      <c r="W323" s="3934" t="n"/>
      <c r="X323" s="3934" t="n"/>
      <c r="Y323" s="3934" t="n"/>
      <c r="Z323" s="3934" t="n"/>
      <c r="AA323" s="3934" t="n"/>
      <c r="AB323" s="3934" t="n"/>
      <c r="AC323" s="3934" t="n"/>
      <c r="AD323" s="3934" t="n"/>
      <c r="AE323" s="3934" t="n"/>
      <c r="AF323" s="3934" t="n"/>
      <c r="AG323" s="3934" t="n"/>
      <c r="AH323" s="3934" t="n"/>
      <c r="AI323" s="3934" t="n"/>
      <c r="AJ323" s="3934" t="n"/>
      <c r="AK323" s="3934" t="n"/>
      <c r="AL323" s="3934" t="n"/>
      <c r="AM323" s="3934" t="n"/>
      <c r="AN323" s="3934" t="n"/>
      <c r="AO323" s="3934" t="n"/>
      <c r="AP323" s="3934" t="n"/>
      <c r="AQ323" s="3934" t="n"/>
      <c r="AR323" s="3934" t="n"/>
    </row>
    <row r="324">
      <c r="A324" s="3944" t="n"/>
      <c r="B324" s="3944" t="n"/>
      <c r="C324" s="3944" t="n"/>
      <c r="D324" s="3944" t="n"/>
      <c r="E324" s="3944" t="n"/>
      <c r="F324" s="3944" t="n"/>
      <c r="G324" s="3944" t="n"/>
      <c r="H324" s="3944" t="n"/>
      <c r="I324" s="3934" t="n"/>
      <c r="J324" s="3934" t="n"/>
      <c r="K324" s="3934" t="n"/>
      <c r="L324" s="3934" t="n"/>
      <c r="M324" s="3934" t="n"/>
      <c r="N324" s="3934" t="n"/>
      <c r="O324" s="3934" t="n"/>
      <c r="P324" s="3934" t="n"/>
      <c r="Q324" s="3934" t="n"/>
      <c r="R324" s="3934" t="n"/>
      <c r="S324" s="3934" t="n"/>
      <c r="T324" s="3934" t="n"/>
      <c r="U324" s="3934" t="n"/>
      <c r="V324" s="3934" t="n"/>
      <c r="W324" s="3934" t="n"/>
      <c r="X324" s="3934" t="n"/>
      <c r="Y324" s="3934" t="n"/>
      <c r="Z324" s="3934" t="n"/>
      <c r="AA324" s="3934" t="n"/>
      <c r="AB324" s="3934" t="n"/>
      <c r="AC324" s="3934" t="n"/>
      <c r="AD324" s="3934" t="n"/>
      <c r="AE324" s="3934" t="n"/>
      <c r="AF324" s="3934" t="n"/>
      <c r="AG324" s="3934" t="n"/>
      <c r="AH324" s="3934" t="n"/>
      <c r="AI324" s="3934" t="n"/>
      <c r="AJ324" s="3934" t="n"/>
      <c r="AK324" s="3934" t="n"/>
      <c r="AL324" s="3934" t="n"/>
      <c r="AM324" s="3934" t="n"/>
      <c r="AN324" s="3934" t="n"/>
      <c r="AO324" s="3934" t="n"/>
      <c r="AP324" s="3934" t="n"/>
      <c r="AQ324" s="3934" t="n"/>
      <c r="AR324" s="3934" t="n"/>
    </row>
    <row r="325">
      <c r="A325" s="3944" t="n"/>
      <c r="B325" s="3944" t="n"/>
      <c r="C325" s="3944" t="n"/>
      <c r="D325" s="3944" t="n"/>
      <c r="E325" s="3944" t="n"/>
      <c r="F325" s="3944" t="n"/>
      <c r="G325" s="3944" t="n"/>
      <c r="H325" s="3944" t="n"/>
      <c r="I325" s="3934" t="n"/>
      <c r="J325" s="3934" t="n"/>
      <c r="K325" s="3934" t="n"/>
      <c r="L325" s="3934" t="n"/>
      <c r="M325" s="3934" t="n"/>
      <c r="N325" s="3934" t="n"/>
      <c r="O325" s="3934" t="n"/>
      <c r="P325" s="3934" t="n"/>
      <c r="Q325" s="3934" t="n"/>
      <c r="R325" s="3934" t="n"/>
      <c r="S325" s="3934" t="n"/>
      <c r="T325" s="3934" t="n"/>
      <c r="U325" s="3934" t="n"/>
      <c r="V325" s="3934" t="n"/>
      <c r="W325" s="3934" t="n"/>
      <c r="X325" s="3934" t="n"/>
      <c r="Y325" s="3934" t="n"/>
      <c r="Z325" s="3934" t="n"/>
      <c r="AA325" s="3934" t="n"/>
      <c r="AB325" s="3934" t="n"/>
      <c r="AC325" s="3934" t="n"/>
      <c r="AD325" s="3934" t="n"/>
      <c r="AE325" s="3934" t="n"/>
      <c r="AF325" s="3934" t="n"/>
      <c r="AG325" s="3934" t="n"/>
      <c r="AH325" s="3934" t="n"/>
      <c r="AI325" s="3934" t="n"/>
      <c r="AJ325" s="3934" t="n"/>
      <c r="AK325" s="3934" t="n"/>
      <c r="AL325" s="3934" t="n"/>
      <c r="AM325" s="3934" t="n"/>
      <c r="AN325" s="3934" t="n"/>
      <c r="AO325" s="3934" t="n"/>
      <c r="AP325" s="3934" t="n"/>
      <c r="AQ325" s="3934" t="n"/>
      <c r="AR325" s="3934" t="n"/>
    </row>
    <row r="326">
      <c r="A326" s="3944" t="n"/>
      <c r="B326" s="3944" t="n"/>
      <c r="C326" s="3944" t="n"/>
      <c r="D326" s="3944" t="n"/>
      <c r="E326" s="3944" t="n"/>
      <c r="F326" s="3944" t="n"/>
      <c r="G326" s="3944" t="n"/>
      <c r="H326" s="3944" t="n"/>
      <c r="I326" s="3934" t="n"/>
      <c r="J326" s="3934" t="n"/>
      <c r="K326" s="3934" t="n"/>
      <c r="L326" s="3934" t="n"/>
      <c r="M326" s="3934" t="n"/>
      <c r="N326" s="3934" t="n"/>
      <c r="O326" s="3934" t="n"/>
      <c r="P326" s="3934" t="n"/>
      <c r="Q326" s="3934" t="n"/>
      <c r="R326" s="3934" t="n"/>
      <c r="S326" s="3934" t="n"/>
      <c r="T326" s="3934" t="n"/>
      <c r="U326" s="3934" t="n"/>
      <c r="V326" s="3934" t="n"/>
      <c r="W326" s="3934" t="n"/>
      <c r="X326" s="3934" t="n"/>
      <c r="Y326" s="3934" t="n"/>
      <c r="Z326" s="3934" t="n"/>
      <c r="AA326" s="3934" t="n"/>
      <c r="AB326" s="3934" t="n"/>
      <c r="AC326" s="3934" t="n"/>
      <c r="AD326" s="3934" t="n"/>
      <c r="AE326" s="3934" t="n"/>
      <c r="AF326" s="3934" t="n"/>
      <c r="AG326" s="3934" t="n"/>
      <c r="AH326" s="3934" t="n"/>
      <c r="AI326" s="3934" t="n"/>
      <c r="AJ326" s="3934" t="n"/>
      <c r="AK326" s="3934" t="n"/>
      <c r="AL326" s="3934" t="n"/>
      <c r="AM326" s="3934" t="n"/>
      <c r="AN326" s="3934" t="n"/>
      <c r="AO326" s="3934" t="n"/>
      <c r="AP326" s="3934" t="n"/>
      <c r="AQ326" s="3934" t="n"/>
      <c r="AR326" s="3934" t="n"/>
    </row>
    <row r="327">
      <c r="A327" s="3944" t="n"/>
      <c r="B327" s="3944" t="n"/>
      <c r="C327" s="3944" t="n"/>
      <c r="D327" s="3944" t="n"/>
      <c r="E327" s="3944" t="n"/>
      <c r="F327" s="3944" t="n"/>
      <c r="G327" s="3944" t="n"/>
      <c r="H327" s="3944" t="n"/>
      <c r="I327" s="3934" t="n"/>
      <c r="J327" s="3934" t="n"/>
      <c r="K327" s="3934" t="n"/>
      <c r="L327" s="3934" t="n"/>
      <c r="M327" s="3934" t="n"/>
      <c r="N327" s="3934" t="n"/>
      <c r="O327" s="3934" t="n"/>
      <c r="P327" s="3934" t="n"/>
      <c r="Q327" s="3934" t="n"/>
      <c r="R327" s="3934" t="n"/>
      <c r="S327" s="3934" t="n"/>
      <c r="T327" s="3934" t="n"/>
      <c r="U327" s="3934" t="n"/>
      <c r="V327" s="3934" t="n"/>
      <c r="W327" s="3934" t="n"/>
      <c r="X327" s="3934" t="n"/>
      <c r="Y327" s="3934" t="n"/>
      <c r="Z327" s="3934" t="n"/>
      <c r="AA327" s="3934" t="n"/>
      <c r="AB327" s="3934" t="n"/>
      <c r="AC327" s="3934" t="n"/>
      <c r="AD327" s="3934" t="n"/>
      <c r="AE327" s="3934" t="n"/>
      <c r="AF327" s="3934" t="n"/>
      <c r="AG327" s="3934" t="n"/>
      <c r="AH327" s="3934" t="n"/>
      <c r="AI327" s="3934" t="n"/>
      <c r="AJ327" s="3934" t="n"/>
      <c r="AK327" s="3934" t="n"/>
      <c r="AL327" s="3934" t="n"/>
      <c r="AM327" s="3934" t="n"/>
      <c r="AN327" s="3934" t="n"/>
      <c r="AO327" s="3934" t="n"/>
      <c r="AP327" s="3934" t="n"/>
      <c r="AQ327" s="3934" t="n"/>
      <c r="AR327" s="3934" t="n"/>
    </row>
    <row r="328">
      <c r="A328" s="3944" t="n"/>
      <c r="B328" s="3944" t="n"/>
      <c r="C328" s="3944" t="n"/>
      <c r="D328" s="3944" t="n"/>
      <c r="E328" s="3944" t="n"/>
      <c r="F328" s="3944" t="n"/>
      <c r="G328" s="3944" t="n"/>
      <c r="H328" s="3944" t="n"/>
      <c r="I328" s="3934" t="n"/>
      <c r="J328" s="3934" t="n"/>
      <c r="K328" s="3934" t="n"/>
      <c r="L328" s="3934" t="n"/>
      <c r="M328" s="3934" t="n"/>
      <c r="N328" s="3934" t="n"/>
      <c r="O328" s="3934" t="n"/>
      <c r="P328" s="3934" t="n"/>
      <c r="Q328" s="3934" t="n"/>
      <c r="R328" s="3934" t="n"/>
      <c r="S328" s="3934" t="n"/>
      <c r="T328" s="3934" t="n"/>
      <c r="U328" s="3934" t="n"/>
      <c r="V328" s="3934" t="n"/>
      <c r="W328" s="3934" t="n"/>
      <c r="X328" s="3934" t="n"/>
      <c r="Y328" s="3934" t="n"/>
      <c r="Z328" s="3934" t="n"/>
      <c r="AA328" s="3934" t="n"/>
      <c r="AB328" s="3934" t="n"/>
      <c r="AC328" s="3934" t="n"/>
      <c r="AD328" s="3934" t="n"/>
      <c r="AE328" s="3934" t="n"/>
      <c r="AF328" s="3934" t="n"/>
      <c r="AG328" s="3934" t="n"/>
      <c r="AH328" s="3934" t="n"/>
      <c r="AI328" s="3934" t="n"/>
      <c r="AJ328" s="3934" t="n"/>
      <c r="AK328" s="3934" t="n"/>
      <c r="AL328" s="3934" t="n"/>
      <c r="AM328" s="3934" t="n"/>
      <c r="AN328" s="3934" t="n"/>
      <c r="AO328" s="3934" t="n"/>
      <c r="AP328" s="3934" t="n"/>
      <c r="AQ328" s="3934" t="n"/>
      <c r="AR328" s="3934" t="n"/>
    </row>
    <row r="329">
      <c r="A329" s="3944" t="n"/>
      <c r="B329" s="3944" t="n"/>
      <c r="C329" s="3944" t="n"/>
      <c r="D329" s="3944" t="n"/>
      <c r="E329" s="3944" t="n"/>
      <c r="F329" s="3944" t="n"/>
      <c r="G329" s="3944" t="n"/>
      <c r="H329" s="3944" t="n"/>
      <c r="I329" s="3934" t="n"/>
      <c r="J329" s="3934" t="n"/>
      <c r="K329" s="3934" t="n"/>
      <c r="L329" s="3934" t="n"/>
      <c r="M329" s="3934" t="n"/>
      <c r="N329" s="3934" t="n"/>
      <c r="O329" s="3934" t="n"/>
      <c r="P329" s="3934" t="n"/>
      <c r="Q329" s="3934" t="n"/>
      <c r="R329" s="3934" t="n"/>
      <c r="S329" s="3934" t="n"/>
      <c r="T329" s="3934" t="n"/>
      <c r="U329" s="3934" t="n"/>
      <c r="V329" s="3934" t="n"/>
      <c r="W329" s="3934" t="n"/>
      <c r="X329" s="3934" t="n"/>
      <c r="Y329" s="3934" t="n"/>
      <c r="Z329" s="3934" t="n"/>
      <c r="AA329" s="3934" t="n"/>
      <c r="AB329" s="3934" t="n"/>
      <c r="AC329" s="3934" t="n"/>
      <c r="AD329" s="3934" t="n"/>
      <c r="AE329" s="3934" t="n"/>
      <c r="AF329" s="3934" t="n"/>
      <c r="AG329" s="3934" t="n"/>
      <c r="AH329" s="3934" t="n"/>
      <c r="AI329" s="3934" t="n"/>
      <c r="AJ329" s="3934" t="n"/>
      <c r="AK329" s="3934" t="n"/>
      <c r="AL329" s="3934" t="n"/>
      <c r="AM329" s="3934" t="n"/>
      <c r="AN329" s="3934" t="n"/>
      <c r="AO329" s="3934" t="n"/>
      <c r="AP329" s="3934" t="n"/>
      <c r="AQ329" s="3934" t="n"/>
      <c r="AR329" s="3934" t="n"/>
    </row>
    <row r="330">
      <c r="A330" s="3944" t="n"/>
      <c r="B330" s="3944" t="n"/>
      <c r="C330" s="3944" t="n"/>
      <c r="D330" s="3944" t="n"/>
      <c r="E330" s="3944" t="n"/>
      <c r="F330" s="3944" t="n"/>
      <c r="G330" s="3944" t="n"/>
      <c r="H330" s="3944" t="n"/>
      <c r="I330" s="3934" t="n"/>
      <c r="J330" s="3934" t="n"/>
      <c r="K330" s="3934" t="n"/>
      <c r="L330" s="3934" t="n"/>
      <c r="M330" s="3934" t="n"/>
      <c r="N330" s="3934" t="n"/>
      <c r="O330" s="3934" t="n"/>
      <c r="P330" s="3934" t="n"/>
      <c r="Q330" s="3934" t="n"/>
      <c r="R330" s="3934" t="n"/>
      <c r="S330" s="3934" t="n"/>
      <c r="T330" s="3934" t="n"/>
      <c r="U330" s="3934" t="n"/>
      <c r="V330" s="3934" t="n"/>
      <c r="W330" s="3934" t="n"/>
      <c r="X330" s="3934" t="n"/>
      <c r="Y330" s="3934" t="n"/>
      <c r="Z330" s="3934" t="n"/>
      <c r="AA330" s="3934" t="n"/>
      <c r="AB330" s="3934" t="n"/>
      <c r="AC330" s="3934" t="n"/>
      <c r="AD330" s="3934" t="n"/>
      <c r="AE330" s="3934" t="n"/>
      <c r="AF330" s="3934" t="n"/>
      <c r="AG330" s="3934" t="n"/>
      <c r="AH330" s="3934" t="n"/>
      <c r="AI330" s="3934" t="n"/>
      <c r="AJ330" s="3934" t="n"/>
      <c r="AK330" s="3934" t="n"/>
      <c r="AL330" s="3934" t="n"/>
      <c r="AM330" s="3934" t="n"/>
      <c r="AN330" s="3934" t="n"/>
      <c r="AO330" s="3934" t="n"/>
      <c r="AP330" s="3934" t="n"/>
      <c r="AQ330" s="3934" t="n"/>
      <c r="AR330" s="3934" t="n"/>
    </row>
    <row r="331">
      <c r="A331" s="3944" t="n"/>
      <c r="B331" s="3944" t="n"/>
      <c r="C331" s="3944" t="n"/>
      <c r="D331" s="3944" t="n"/>
      <c r="E331" s="3944" t="n"/>
      <c r="F331" s="3944" t="n"/>
      <c r="G331" s="3944" t="n"/>
      <c r="H331" s="3944" t="n"/>
      <c r="I331" s="3934" t="n"/>
      <c r="J331" s="3934" t="n"/>
      <c r="K331" s="3934" t="n"/>
      <c r="L331" s="3934" t="n"/>
      <c r="M331" s="3934" t="n"/>
      <c r="N331" s="3934" t="n"/>
      <c r="O331" s="3934" t="n"/>
      <c r="P331" s="3934" t="n"/>
      <c r="Q331" s="3934" t="n"/>
      <c r="R331" s="3934" t="n"/>
      <c r="S331" s="3934" t="n"/>
      <c r="T331" s="3934" t="n"/>
      <c r="U331" s="3934" t="n"/>
      <c r="V331" s="3934" t="n"/>
      <c r="W331" s="3934" t="n"/>
      <c r="X331" s="3934" t="n"/>
      <c r="Y331" s="3934" t="n"/>
      <c r="Z331" s="3934" t="n"/>
      <c r="AA331" s="3934" t="n"/>
      <c r="AB331" s="3934" t="n"/>
      <c r="AC331" s="3934" t="n"/>
      <c r="AD331" s="3934" t="n"/>
      <c r="AE331" s="3934" t="n"/>
      <c r="AF331" s="3934" t="n"/>
      <c r="AG331" s="3934" t="n"/>
      <c r="AH331" s="3934" t="n"/>
      <c r="AI331" s="3934" t="n"/>
      <c r="AJ331" s="3934" t="n"/>
      <c r="AK331" s="3934" t="n"/>
      <c r="AL331" s="3934" t="n"/>
      <c r="AM331" s="3934" t="n"/>
      <c r="AN331" s="3934" t="n"/>
      <c r="AO331" s="3934" t="n"/>
      <c r="AP331" s="3934" t="n"/>
      <c r="AQ331" s="3934" t="n"/>
      <c r="AR331" s="3934" t="n"/>
    </row>
    <row r="332">
      <c r="A332" s="3944" t="n"/>
      <c r="B332" s="3944" t="n"/>
      <c r="C332" s="3944" t="n"/>
      <c r="D332" s="3944" t="n"/>
      <c r="E332" s="3944" t="n"/>
      <c r="F332" s="3944" t="n"/>
      <c r="G332" s="3944" t="n"/>
      <c r="H332" s="3944" t="n"/>
      <c r="I332" s="3934" t="n"/>
      <c r="J332" s="3934" t="n"/>
      <c r="K332" s="3934" t="n"/>
      <c r="L332" s="3934" t="n"/>
      <c r="M332" s="3934" t="n"/>
      <c r="N332" s="3934" t="n"/>
      <c r="O332" s="3934" t="n"/>
      <c r="P332" s="3934" t="n"/>
      <c r="Q332" s="3934" t="n"/>
      <c r="R332" s="3934" t="n"/>
      <c r="S332" s="3934" t="n"/>
      <c r="T332" s="3934" t="n"/>
      <c r="U332" s="3934" t="n"/>
      <c r="V332" s="3934" t="n"/>
      <c r="W332" s="3934" t="n"/>
      <c r="X332" s="3934" t="n"/>
      <c r="Y332" s="3934" t="n"/>
      <c r="Z332" s="3934" t="n"/>
      <c r="AA332" s="3934" t="n"/>
      <c r="AB332" s="3934" t="n"/>
      <c r="AC332" s="3934" t="n"/>
      <c r="AD332" s="3934" t="n"/>
      <c r="AE332" s="3934" t="n"/>
      <c r="AF332" s="3934" t="n"/>
      <c r="AG332" s="3934" t="n"/>
      <c r="AH332" s="3934" t="n"/>
      <c r="AI332" s="3934" t="n"/>
      <c r="AJ332" s="3934" t="n"/>
      <c r="AK332" s="3934" t="n"/>
      <c r="AL332" s="3934" t="n"/>
      <c r="AM332" s="3934" t="n"/>
      <c r="AN332" s="3934" t="n"/>
      <c r="AO332" s="3934" t="n"/>
      <c r="AP332" s="3934" t="n"/>
      <c r="AQ332" s="3934" t="n"/>
      <c r="AR332" s="3934" t="n"/>
    </row>
    <row r="333">
      <c r="A333" s="3944" t="n"/>
      <c r="B333" s="3944" t="n"/>
      <c r="C333" s="3944" t="n"/>
      <c r="D333" s="3944" t="n"/>
      <c r="E333" s="3944" t="n"/>
      <c r="F333" s="3944" t="n"/>
      <c r="G333" s="3944" t="n"/>
      <c r="H333" s="3944" t="n"/>
      <c r="I333" s="3934" t="n"/>
      <c r="J333" s="3934" t="n"/>
      <c r="K333" s="3934" t="n"/>
      <c r="L333" s="3934" t="n"/>
      <c r="M333" s="3934" t="n"/>
      <c r="N333" s="3934" t="n"/>
      <c r="O333" s="3934" t="n"/>
      <c r="P333" s="3934" t="n"/>
      <c r="Q333" s="3934" t="n"/>
      <c r="R333" s="3934" t="n"/>
      <c r="S333" s="3934" t="n"/>
      <c r="T333" s="3934" t="n"/>
      <c r="U333" s="3934" t="n"/>
      <c r="V333" s="3934" t="n"/>
      <c r="W333" s="3934" t="n"/>
      <c r="X333" s="3934" t="n"/>
      <c r="Y333" s="3934" t="n"/>
      <c r="Z333" s="3934" t="n"/>
      <c r="AA333" s="3934" t="n"/>
      <c r="AB333" s="3934" t="n"/>
      <c r="AC333" s="3934" t="n"/>
      <c r="AD333" s="3934" t="n"/>
      <c r="AE333" s="3934" t="n"/>
      <c r="AF333" s="3934" t="n"/>
      <c r="AG333" s="3934" t="n"/>
      <c r="AH333" s="3934" t="n"/>
      <c r="AI333" s="3934" t="n"/>
      <c r="AJ333" s="3934" t="n"/>
      <c r="AK333" s="3934" t="n"/>
      <c r="AL333" s="3934" t="n"/>
      <c r="AM333" s="3934" t="n"/>
      <c r="AN333" s="3934" t="n"/>
      <c r="AO333" s="3934" t="n"/>
      <c r="AP333" s="3934" t="n"/>
      <c r="AQ333" s="3934" t="n"/>
      <c r="AR333" s="3934" t="n"/>
    </row>
    <row r="334">
      <c r="A334" s="3944" t="n"/>
      <c r="B334" s="3944" t="n"/>
      <c r="C334" s="3944" t="n"/>
      <c r="D334" s="3944" t="n"/>
      <c r="E334" s="3944" t="n"/>
      <c r="F334" s="3944" t="n"/>
      <c r="G334" s="3944" t="n"/>
      <c r="H334" s="3944" t="n"/>
      <c r="I334" s="3934" t="n"/>
      <c r="J334" s="3934" t="n"/>
      <c r="K334" s="3934" t="n"/>
      <c r="L334" s="3934" t="n"/>
      <c r="M334" s="3934" t="n"/>
      <c r="N334" s="3934" t="n"/>
      <c r="O334" s="3934" t="n"/>
      <c r="P334" s="3934" t="n"/>
      <c r="Q334" s="3934" t="n"/>
      <c r="R334" s="3934" t="n"/>
      <c r="S334" s="3934" t="n"/>
      <c r="T334" s="3934" t="n"/>
      <c r="U334" s="3934" t="n"/>
      <c r="V334" s="3934" t="n"/>
      <c r="W334" s="3934" t="n"/>
      <c r="X334" s="3934" t="n"/>
      <c r="Y334" s="3934" t="n"/>
      <c r="Z334" s="3934" t="n"/>
      <c r="AA334" s="3934" t="n"/>
      <c r="AB334" s="3934" t="n"/>
      <c r="AC334" s="3934" t="n"/>
      <c r="AD334" s="3934" t="n"/>
      <c r="AE334" s="3934" t="n"/>
      <c r="AF334" s="3934" t="n"/>
      <c r="AG334" s="3934" t="n"/>
      <c r="AH334" s="3934" t="n"/>
      <c r="AI334" s="3934" t="n"/>
      <c r="AJ334" s="3934" t="n"/>
      <c r="AK334" s="3934" t="n"/>
      <c r="AL334" s="3934" t="n"/>
      <c r="AM334" s="3934" t="n"/>
      <c r="AN334" s="3934" t="n"/>
      <c r="AO334" s="3934" t="n"/>
      <c r="AP334" s="3934" t="n"/>
      <c r="AQ334" s="3934" t="n"/>
      <c r="AR334" s="3934" t="n"/>
    </row>
    <row r="335">
      <c r="A335" s="3944" t="n"/>
      <c r="B335" s="3944" t="n"/>
      <c r="C335" s="3944" t="n"/>
      <c r="D335" s="3944" t="n"/>
      <c r="E335" s="3944" t="n"/>
      <c r="F335" s="3944" t="n"/>
      <c r="G335" s="3944" t="n"/>
      <c r="H335" s="3944" t="n"/>
      <c r="I335" s="3934" t="n"/>
      <c r="J335" s="3934" t="n"/>
      <c r="K335" s="3934" t="n"/>
      <c r="L335" s="3934" t="n"/>
      <c r="M335" s="3934" t="n"/>
      <c r="N335" s="3934" t="n"/>
      <c r="O335" s="3934" t="n"/>
      <c r="P335" s="3934" t="n"/>
      <c r="Q335" s="3934" t="n"/>
      <c r="R335" s="3934" t="n"/>
      <c r="S335" s="3934" t="n"/>
      <c r="T335" s="3934" t="n"/>
      <c r="U335" s="3934" t="n"/>
      <c r="V335" s="3934" t="n"/>
      <c r="W335" s="3934" t="n"/>
      <c r="X335" s="3934" t="n"/>
      <c r="Y335" s="3934" t="n"/>
      <c r="Z335" s="3934" t="n"/>
      <c r="AA335" s="3934" t="n"/>
      <c r="AB335" s="3934" t="n"/>
      <c r="AC335" s="3934" t="n"/>
      <c r="AD335" s="3934" t="n"/>
      <c r="AE335" s="3934" t="n"/>
      <c r="AF335" s="3934" t="n"/>
      <c r="AG335" s="3934" t="n"/>
      <c r="AH335" s="3934" t="n"/>
      <c r="AI335" s="3934" t="n"/>
      <c r="AJ335" s="3934" t="n"/>
      <c r="AK335" s="3934" t="n"/>
      <c r="AL335" s="3934" t="n"/>
      <c r="AM335" s="3934" t="n"/>
      <c r="AN335" s="3934" t="n"/>
      <c r="AO335" s="3934" t="n"/>
      <c r="AP335" s="3934" t="n"/>
      <c r="AQ335" s="3934" t="n"/>
      <c r="AR335" s="3934" t="n"/>
    </row>
    <row r="336">
      <c r="A336" s="3944" t="n"/>
      <c r="B336" s="3944" t="n"/>
      <c r="C336" s="3944" t="n"/>
      <c r="D336" s="3944" t="n"/>
      <c r="E336" s="3944" t="n"/>
      <c r="F336" s="3944" t="n"/>
      <c r="G336" s="3944" t="n"/>
      <c r="H336" s="3944" t="n"/>
      <c r="I336" s="3934" t="n"/>
      <c r="J336" s="3934" t="n"/>
      <c r="K336" s="3934" t="n"/>
      <c r="L336" s="3934" t="n"/>
      <c r="M336" s="3934" t="n"/>
      <c r="N336" s="3934" t="n"/>
      <c r="O336" s="3934" t="n"/>
      <c r="P336" s="3934" t="n"/>
      <c r="Q336" s="3934" t="n"/>
      <c r="R336" s="3934" t="n"/>
      <c r="S336" s="3934" t="n"/>
      <c r="T336" s="3934" t="n"/>
      <c r="U336" s="3934" t="n"/>
      <c r="V336" s="3934" t="n"/>
      <c r="W336" s="3934" t="n"/>
      <c r="X336" s="3934" t="n"/>
      <c r="Y336" s="3934" t="n"/>
      <c r="Z336" s="3934" t="n"/>
      <c r="AA336" s="3934" t="n"/>
      <c r="AB336" s="3934" t="n"/>
      <c r="AC336" s="3934" t="n"/>
      <c r="AD336" s="3934" t="n"/>
      <c r="AE336" s="3934" t="n"/>
      <c r="AF336" s="3934" t="n"/>
      <c r="AG336" s="3934" t="n"/>
      <c r="AH336" s="3934" t="n"/>
      <c r="AI336" s="3934" t="n"/>
      <c r="AJ336" s="3934" t="n"/>
      <c r="AK336" s="3934" t="n"/>
      <c r="AL336" s="3934" t="n"/>
      <c r="AM336" s="3934" t="n"/>
      <c r="AN336" s="3934" t="n"/>
      <c r="AO336" s="3934" t="n"/>
      <c r="AP336" s="3934" t="n"/>
      <c r="AQ336" s="3934" t="n"/>
      <c r="AR336" s="3934" t="n"/>
    </row>
    <row r="337">
      <c r="A337" s="3944" t="n"/>
      <c r="B337" s="3944" t="n"/>
      <c r="C337" s="3944" t="n"/>
      <c r="D337" s="3944" t="n"/>
      <c r="E337" s="3944" t="n"/>
      <c r="F337" s="3944" t="n"/>
      <c r="G337" s="3944" t="n"/>
      <c r="H337" s="3944" t="n"/>
      <c r="I337" s="3934" t="n"/>
      <c r="J337" s="3934" t="n"/>
      <c r="K337" s="3934" t="n"/>
      <c r="L337" s="3934" t="n"/>
      <c r="M337" s="3934" t="n"/>
      <c r="N337" s="3934" t="n"/>
      <c r="O337" s="3934" t="n"/>
      <c r="P337" s="3934" t="n"/>
      <c r="Q337" s="3934" t="n"/>
      <c r="R337" s="3934" t="n"/>
      <c r="S337" s="3934" t="n"/>
      <c r="T337" s="3934" t="n"/>
      <c r="U337" s="3934" t="n"/>
      <c r="V337" s="3934" t="n"/>
      <c r="W337" s="3934" t="n"/>
      <c r="X337" s="3934" t="n"/>
      <c r="Y337" s="3934" t="n"/>
      <c r="Z337" s="3934" t="n"/>
      <c r="AA337" s="3934" t="n"/>
      <c r="AB337" s="3934" t="n"/>
      <c r="AC337" s="3934" t="n"/>
      <c r="AD337" s="3934" t="n"/>
      <c r="AE337" s="3934" t="n"/>
      <c r="AF337" s="3934" t="n"/>
      <c r="AG337" s="3934" t="n"/>
      <c r="AH337" s="3934" t="n"/>
      <c r="AI337" s="3934" t="n"/>
      <c r="AJ337" s="3934" t="n"/>
      <c r="AK337" s="3934" t="n"/>
      <c r="AL337" s="3934" t="n"/>
      <c r="AM337" s="3934" t="n"/>
      <c r="AN337" s="3934" t="n"/>
      <c r="AO337" s="3934" t="n"/>
      <c r="AP337" s="3934" t="n"/>
      <c r="AQ337" s="3934" t="n"/>
      <c r="AR337" s="3934" t="n"/>
    </row>
    <row r="338">
      <c r="A338" s="3944" t="n"/>
      <c r="B338" s="3944" t="n"/>
      <c r="C338" s="3944" t="n"/>
      <c r="D338" s="3944" t="n"/>
      <c r="E338" s="3944" t="n"/>
      <c r="F338" s="3944" t="n"/>
      <c r="G338" s="3944" t="n"/>
      <c r="H338" s="3944" t="n"/>
      <c r="I338" s="3934" t="n"/>
      <c r="J338" s="3934" t="n"/>
      <c r="K338" s="3934" t="n"/>
      <c r="L338" s="3934" t="n"/>
      <c r="M338" s="3934" t="n"/>
      <c r="N338" s="3934" t="n"/>
      <c r="O338" s="3934" t="n"/>
      <c r="P338" s="3934" t="n"/>
      <c r="Q338" s="3934" t="n"/>
      <c r="R338" s="3934" t="n"/>
      <c r="S338" s="3934" t="n"/>
      <c r="T338" s="3934" t="n"/>
      <c r="U338" s="3934" t="n"/>
      <c r="V338" s="3934" t="n"/>
      <c r="W338" s="3934" t="n"/>
      <c r="X338" s="3934" t="n"/>
      <c r="Y338" s="3934" t="n"/>
      <c r="Z338" s="3934" t="n"/>
      <c r="AA338" s="3934" t="n"/>
      <c r="AB338" s="3934" t="n"/>
      <c r="AC338" s="3934" t="n"/>
      <c r="AD338" s="3934" t="n"/>
      <c r="AE338" s="3934" t="n"/>
      <c r="AF338" s="3934" t="n"/>
      <c r="AG338" s="3934" t="n"/>
      <c r="AH338" s="3934" t="n"/>
      <c r="AI338" s="3934" t="n"/>
      <c r="AJ338" s="3934" t="n"/>
      <c r="AK338" s="3934" t="n"/>
      <c r="AL338" s="3934" t="n"/>
      <c r="AM338" s="3934" t="n"/>
      <c r="AN338" s="3934" t="n"/>
      <c r="AO338" s="3934" t="n"/>
      <c r="AP338" s="3934" t="n"/>
      <c r="AQ338" s="3934" t="n"/>
      <c r="AR338" s="3934" t="n"/>
    </row>
    <row r="339">
      <c r="A339" s="3944" t="n"/>
      <c r="B339" s="3944" t="n"/>
      <c r="C339" s="3944" t="n"/>
      <c r="D339" s="3944" t="n"/>
      <c r="E339" s="3944" t="n"/>
      <c r="F339" s="3944" t="n"/>
      <c r="G339" s="3944" t="n"/>
      <c r="H339" s="3944" t="n"/>
      <c r="I339" s="3934" t="n"/>
      <c r="J339" s="3934" t="n"/>
      <c r="K339" s="3934" t="n"/>
      <c r="L339" s="3934" t="n"/>
      <c r="M339" s="3934" t="n"/>
      <c r="N339" s="3934" t="n"/>
      <c r="O339" s="3934" t="n"/>
      <c r="P339" s="3934" t="n"/>
      <c r="Q339" s="3934" t="n"/>
      <c r="R339" s="3934" t="n"/>
      <c r="S339" s="3934" t="n"/>
      <c r="T339" s="3934" t="n"/>
      <c r="U339" s="3934" t="n"/>
      <c r="V339" s="3934" t="n"/>
      <c r="W339" s="3934" t="n"/>
      <c r="X339" s="3934" t="n"/>
      <c r="Y339" s="3934" t="n"/>
      <c r="Z339" s="3934" t="n"/>
      <c r="AA339" s="3934" t="n"/>
      <c r="AB339" s="3934" t="n"/>
      <c r="AC339" s="3934" t="n"/>
      <c r="AD339" s="3934" t="n"/>
      <c r="AE339" s="3934" t="n"/>
      <c r="AF339" s="3934" t="n"/>
      <c r="AG339" s="3934" t="n"/>
      <c r="AH339" s="3934" t="n"/>
      <c r="AI339" s="3934" t="n"/>
      <c r="AJ339" s="3934" t="n"/>
      <c r="AK339" s="3934" t="n"/>
      <c r="AL339" s="3934" t="n"/>
      <c r="AM339" s="3934" t="n"/>
      <c r="AN339" s="3934" t="n"/>
      <c r="AO339" s="3934" t="n"/>
      <c r="AP339" s="3934" t="n"/>
      <c r="AQ339" s="3934" t="n"/>
      <c r="AR339" s="3934" t="n"/>
    </row>
    <row r="340">
      <c r="A340" s="3944" t="n"/>
      <c r="B340" s="3944" t="n"/>
      <c r="C340" s="3944" t="n"/>
      <c r="D340" s="3944" t="n"/>
      <c r="E340" s="3944" t="n"/>
      <c r="F340" s="3944" t="n"/>
      <c r="G340" s="3944" t="n"/>
      <c r="H340" s="3944" t="n"/>
      <c r="I340" s="3934" t="n"/>
      <c r="J340" s="3934" t="n"/>
      <c r="K340" s="3934" t="n"/>
      <c r="L340" s="3934" t="n"/>
      <c r="M340" s="3934" t="n"/>
      <c r="N340" s="3934" t="n"/>
      <c r="O340" s="3934" t="n"/>
      <c r="P340" s="3934" t="n"/>
      <c r="Q340" s="3934" t="n"/>
      <c r="R340" s="3934" t="n"/>
      <c r="S340" s="3934" t="n"/>
      <c r="T340" s="3934" t="n"/>
      <c r="U340" s="3934" t="n"/>
      <c r="V340" s="3934" t="n"/>
      <c r="W340" s="3934" t="n"/>
      <c r="X340" s="3934" t="n"/>
      <c r="Y340" s="3934" t="n"/>
      <c r="Z340" s="3934" t="n"/>
      <c r="AA340" s="3934" t="n"/>
      <c r="AB340" s="3934" t="n"/>
      <c r="AC340" s="3934" t="n"/>
      <c r="AD340" s="3934" t="n"/>
      <c r="AE340" s="3934" t="n"/>
      <c r="AF340" s="3934" t="n"/>
      <c r="AG340" s="3934" t="n"/>
      <c r="AH340" s="3934" t="n"/>
      <c r="AI340" s="3934" t="n"/>
      <c r="AJ340" s="3934" t="n"/>
      <c r="AK340" s="3934" t="n"/>
      <c r="AL340" s="3934" t="n"/>
      <c r="AM340" s="3934" t="n"/>
      <c r="AN340" s="3934" t="n"/>
      <c r="AO340" s="3934" t="n"/>
      <c r="AP340" s="3934" t="n"/>
      <c r="AQ340" s="3934" t="n"/>
      <c r="AR340" s="3934" t="n"/>
    </row>
    <row r="341">
      <c r="A341" s="3944" t="n"/>
      <c r="B341" s="3944" t="n"/>
      <c r="C341" s="3944" t="n"/>
      <c r="D341" s="3944" t="n"/>
      <c r="E341" s="3944" t="n"/>
      <c r="F341" s="3944" t="n"/>
      <c r="G341" s="3944" t="n"/>
      <c r="H341" s="3944" t="n"/>
      <c r="I341" s="3934" t="n"/>
      <c r="J341" s="3934" t="n"/>
      <c r="K341" s="3934" t="n"/>
      <c r="L341" s="3934" t="n"/>
      <c r="M341" s="3934" t="n"/>
      <c r="N341" s="3934" t="n"/>
      <c r="O341" s="3934" t="n"/>
      <c r="P341" s="3934" t="n"/>
      <c r="Q341" s="3934" t="n"/>
      <c r="R341" s="3934" t="n"/>
      <c r="S341" s="3934" t="n"/>
      <c r="T341" s="3934" t="n"/>
      <c r="U341" s="3934" t="n"/>
      <c r="V341" s="3934" t="n"/>
      <c r="W341" s="3934" t="n"/>
      <c r="X341" s="3934" t="n"/>
      <c r="Y341" s="3934" t="n"/>
      <c r="Z341" s="3934" t="n"/>
      <c r="AA341" s="3934" t="n"/>
      <c r="AB341" s="3934" t="n"/>
      <c r="AC341" s="3934" t="n"/>
      <c r="AD341" s="3934" t="n"/>
      <c r="AE341" s="3934" t="n"/>
      <c r="AF341" s="3934" t="n"/>
      <c r="AG341" s="3934" t="n"/>
      <c r="AH341" s="3934" t="n"/>
      <c r="AI341" s="3934" t="n"/>
      <c r="AJ341" s="3934" t="n"/>
      <c r="AK341" s="3934" t="n"/>
      <c r="AL341" s="3934" t="n"/>
      <c r="AM341" s="3934" t="n"/>
      <c r="AN341" s="3934" t="n"/>
      <c r="AO341" s="3934" t="n"/>
      <c r="AP341" s="3934" t="n"/>
      <c r="AQ341" s="3934" t="n"/>
      <c r="AR341" s="3934" t="n"/>
    </row>
    <row r="342">
      <c r="A342" s="3944" t="n"/>
      <c r="B342" s="3944" t="n"/>
      <c r="C342" s="3944" t="n"/>
      <c r="D342" s="3944" t="n"/>
      <c r="E342" s="3944" t="n"/>
      <c r="F342" s="3944" t="n"/>
      <c r="G342" s="3944" t="n"/>
      <c r="H342" s="3944" t="n"/>
      <c r="I342" s="3934" t="n"/>
      <c r="J342" s="3934" t="n"/>
      <c r="K342" s="3934" t="n"/>
      <c r="L342" s="3934" t="n"/>
      <c r="M342" s="3934" t="n"/>
      <c r="N342" s="3934" t="n"/>
      <c r="O342" s="3934" t="n"/>
      <c r="P342" s="3934" t="n"/>
      <c r="Q342" s="3934" t="n"/>
      <c r="R342" s="3934" t="n"/>
      <c r="S342" s="3934" t="n"/>
      <c r="T342" s="3934" t="n"/>
      <c r="U342" s="3934" t="n"/>
      <c r="V342" s="3934" t="n"/>
      <c r="W342" s="3934" t="n"/>
      <c r="X342" s="3934" t="n"/>
      <c r="Y342" s="3934" t="n"/>
      <c r="Z342" s="3934" t="n"/>
      <c r="AA342" s="3934" t="n"/>
      <c r="AB342" s="3934" t="n"/>
      <c r="AC342" s="3934" t="n"/>
      <c r="AD342" s="3934" t="n"/>
      <c r="AE342" s="3934" t="n"/>
      <c r="AF342" s="3934" t="n"/>
      <c r="AG342" s="3934" t="n"/>
      <c r="AH342" s="3934" t="n"/>
      <c r="AI342" s="3934" t="n"/>
      <c r="AJ342" s="3934" t="n"/>
      <c r="AK342" s="3934" t="n"/>
      <c r="AL342" s="3934" t="n"/>
      <c r="AM342" s="3934" t="n"/>
      <c r="AN342" s="3934" t="n"/>
      <c r="AO342" s="3934" t="n"/>
      <c r="AP342" s="3934" t="n"/>
      <c r="AQ342" s="3934" t="n"/>
      <c r="AR342" s="3934" t="n"/>
    </row>
    <row r="343">
      <c r="A343" s="3944" t="n"/>
      <c r="B343" s="3944" t="n"/>
      <c r="C343" s="3944" t="n"/>
      <c r="D343" s="3944" t="n"/>
      <c r="E343" s="3944" t="n"/>
      <c r="F343" s="3944" t="n"/>
      <c r="G343" s="3944" t="n"/>
      <c r="H343" s="3944" t="n"/>
      <c r="I343" s="3934" t="n"/>
      <c r="J343" s="3934" t="n"/>
      <c r="K343" s="3934" t="n"/>
      <c r="L343" s="3934" t="n"/>
      <c r="M343" s="3934" t="n"/>
      <c r="N343" s="3934" t="n"/>
      <c r="O343" s="3934" t="n"/>
      <c r="P343" s="3934" t="n"/>
      <c r="Q343" s="3934" t="n"/>
      <c r="R343" s="3934" t="n"/>
      <c r="S343" s="3934" t="n"/>
      <c r="T343" s="3934" t="n"/>
      <c r="U343" s="3934" t="n"/>
      <c r="V343" s="3934" t="n"/>
      <c r="W343" s="3934" t="n"/>
      <c r="X343" s="3934" t="n"/>
      <c r="Y343" s="3934" t="n"/>
      <c r="Z343" s="3934" t="n"/>
      <c r="AA343" s="3934" t="n"/>
      <c r="AB343" s="3934" t="n"/>
      <c r="AC343" s="3934" t="n"/>
      <c r="AD343" s="3934" t="n"/>
      <c r="AE343" s="3934" t="n"/>
      <c r="AF343" s="3934" t="n"/>
      <c r="AG343" s="3934" t="n"/>
      <c r="AH343" s="3934" t="n"/>
      <c r="AI343" s="3934" t="n"/>
      <c r="AJ343" s="3934" t="n"/>
      <c r="AK343" s="3934" t="n"/>
      <c r="AL343" s="3934" t="n"/>
      <c r="AM343" s="3934" t="n"/>
      <c r="AN343" s="3934" t="n"/>
      <c r="AO343" s="3934" t="n"/>
      <c r="AP343" s="3934" t="n"/>
      <c r="AQ343" s="3934" t="n"/>
      <c r="AR343" s="3934" t="n"/>
    </row>
    <row r="344">
      <c r="A344" s="3944" t="n"/>
      <c r="B344" s="3944" t="n"/>
      <c r="C344" s="3944" t="n"/>
      <c r="D344" s="3944" t="n"/>
      <c r="E344" s="3944" t="n"/>
      <c r="F344" s="3944" t="n"/>
      <c r="G344" s="3944" t="n"/>
      <c r="H344" s="3944" t="n"/>
      <c r="I344" s="3934" t="n"/>
      <c r="J344" s="3934" t="n"/>
      <c r="K344" s="3934" t="n"/>
      <c r="L344" s="3934" t="n"/>
      <c r="M344" s="3934" t="n"/>
      <c r="N344" s="3934" t="n"/>
      <c r="O344" s="3934" t="n"/>
      <c r="P344" s="3934" t="n"/>
      <c r="Q344" s="3934" t="n"/>
      <c r="R344" s="3934" t="n"/>
      <c r="S344" s="3934" t="n"/>
      <c r="T344" s="3934" t="n"/>
      <c r="U344" s="3934" t="n"/>
      <c r="V344" s="3934" t="n"/>
      <c r="W344" s="3934" t="n"/>
      <c r="X344" s="3934" t="n"/>
      <c r="Y344" s="3934" t="n"/>
      <c r="Z344" s="3934" t="n"/>
      <c r="AA344" s="3934" t="n"/>
      <c r="AB344" s="3934" t="n"/>
      <c r="AC344" s="3934" t="n"/>
      <c r="AD344" s="3934" t="n"/>
      <c r="AE344" s="3934" t="n"/>
      <c r="AF344" s="3934" t="n"/>
      <c r="AG344" s="3934" t="n"/>
      <c r="AH344" s="3934" t="n"/>
      <c r="AI344" s="3934" t="n"/>
      <c r="AJ344" s="3934" t="n"/>
      <c r="AK344" s="3934" t="n"/>
      <c r="AL344" s="3934" t="n"/>
      <c r="AM344" s="3934" t="n"/>
      <c r="AN344" s="3934" t="n"/>
      <c r="AO344" s="3934" t="n"/>
      <c r="AP344" s="3934" t="n"/>
      <c r="AQ344" s="3934" t="n"/>
      <c r="AR344" s="3934" t="n"/>
    </row>
    <row r="345">
      <c r="A345" s="3944" t="n"/>
      <c r="B345" s="3944" t="n"/>
      <c r="C345" s="3944" t="n"/>
      <c r="D345" s="3944" t="n"/>
      <c r="E345" s="3944" t="n"/>
      <c r="F345" s="3944" t="n"/>
      <c r="G345" s="3944" t="n"/>
      <c r="H345" s="3944" t="n"/>
      <c r="I345" s="3934" t="n"/>
      <c r="J345" s="3934" t="n"/>
      <c r="K345" s="3934" t="n"/>
      <c r="L345" s="3934" t="n"/>
      <c r="M345" s="3934" t="n"/>
      <c r="N345" s="3934" t="n"/>
      <c r="O345" s="3934" t="n"/>
      <c r="P345" s="3934" t="n"/>
      <c r="Q345" s="3934" t="n"/>
      <c r="R345" s="3934" t="n"/>
      <c r="S345" s="3934" t="n"/>
      <c r="T345" s="3934" t="n"/>
      <c r="U345" s="3934" t="n"/>
      <c r="V345" s="3934" t="n"/>
      <c r="W345" s="3934" t="n"/>
      <c r="X345" s="3934" t="n"/>
      <c r="Y345" s="3934" t="n"/>
      <c r="Z345" s="3934" t="n"/>
      <c r="AA345" s="3934" t="n"/>
      <c r="AB345" s="3934" t="n"/>
      <c r="AC345" s="3934" t="n"/>
      <c r="AD345" s="3934" t="n"/>
      <c r="AE345" s="3934" t="n"/>
      <c r="AF345" s="3934" t="n"/>
      <c r="AG345" s="3934" t="n"/>
      <c r="AH345" s="3934" t="n"/>
      <c r="AI345" s="3934" t="n"/>
      <c r="AJ345" s="3934" t="n"/>
      <c r="AK345" s="3934" t="n"/>
      <c r="AL345" s="3934" t="n"/>
      <c r="AM345" s="3934" t="n"/>
      <c r="AN345" s="3934" t="n"/>
      <c r="AO345" s="3934" t="n"/>
      <c r="AP345" s="3934" t="n"/>
      <c r="AQ345" s="3934" t="n"/>
      <c r="AR345" s="3934" t="n"/>
    </row>
    <row r="346">
      <c r="A346" s="3944" t="n"/>
      <c r="B346" s="3944" t="n"/>
      <c r="C346" s="3944" t="n"/>
      <c r="D346" s="3944" t="n"/>
      <c r="E346" s="3944" t="n"/>
      <c r="F346" s="3944" t="n"/>
      <c r="G346" s="3944" t="n"/>
      <c r="H346" s="3944" t="n"/>
      <c r="I346" s="3934" t="n"/>
      <c r="J346" s="3934" t="n"/>
      <c r="K346" s="3934" t="n"/>
      <c r="L346" s="3934" t="n"/>
      <c r="M346" s="3934" t="n"/>
      <c r="N346" s="3934" t="n"/>
      <c r="O346" s="3934" t="n"/>
      <c r="P346" s="3934" t="n"/>
      <c r="Q346" s="3934" t="n"/>
      <c r="R346" s="3934" t="n"/>
      <c r="S346" s="3934" t="n"/>
      <c r="T346" s="3934" t="n"/>
      <c r="U346" s="3934" t="n"/>
      <c r="V346" s="3934" t="n"/>
      <c r="W346" s="3934" t="n"/>
      <c r="X346" s="3934" t="n"/>
      <c r="Y346" s="3934" t="n"/>
      <c r="Z346" s="3934" t="n"/>
      <c r="AA346" s="3934" t="n"/>
      <c r="AB346" s="3934" t="n"/>
      <c r="AC346" s="3934" t="n"/>
      <c r="AD346" s="3934" t="n"/>
      <c r="AE346" s="3934" t="n"/>
      <c r="AF346" s="3934" t="n"/>
      <c r="AG346" s="3934" t="n"/>
      <c r="AH346" s="3934" t="n"/>
      <c r="AI346" s="3934" t="n"/>
      <c r="AJ346" s="3934" t="n"/>
      <c r="AK346" s="3934" t="n"/>
      <c r="AL346" s="3934" t="n"/>
      <c r="AM346" s="3934" t="n"/>
      <c r="AN346" s="3934" t="n"/>
      <c r="AO346" s="3934" t="n"/>
      <c r="AP346" s="3934" t="n"/>
      <c r="AQ346" s="3934" t="n"/>
      <c r="AR346" s="3934" t="n"/>
    </row>
    <row r="347">
      <c r="A347" s="3944" t="n"/>
      <c r="B347" s="3944" t="n"/>
      <c r="C347" s="3944" t="n"/>
      <c r="D347" s="3944" t="n"/>
      <c r="E347" s="3944" t="n"/>
      <c r="F347" s="3944" t="n"/>
      <c r="G347" s="3944" t="n"/>
      <c r="H347" s="3944" t="n"/>
      <c r="I347" s="3934" t="n"/>
      <c r="J347" s="3934" t="n"/>
      <c r="K347" s="3934" t="n"/>
      <c r="L347" s="3934" t="n"/>
      <c r="M347" s="3934" t="n"/>
      <c r="N347" s="3934" t="n"/>
      <c r="O347" s="3934" t="n"/>
      <c r="P347" s="3934" t="n"/>
      <c r="Q347" s="3934" t="n"/>
      <c r="R347" s="3934" t="n"/>
      <c r="S347" s="3934" t="n"/>
      <c r="T347" s="3934" t="n"/>
      <c r="U347" s="3934" t="n"/>
      <c r="V347" s="3934" t="n"/>
      <c r="W347" s="3934" t="n"/>
      <c r="X347" s="3934" t="n"/>
      <c r="Y347" s="3934" t="n"/>
      <c r="Z347" s="3934" t="n"/>
      <c r="AA347" s="3934" t="n"/>
      <c r="AB347" s="3934" t="n"/>
      <c r="AC347" s="3934" t="n"/>
      <c r="AD347" s="3934" t="n"/>
      <c r="AE347" s="3934" t="n"/>
      <c r="AF347" s="3934" t="n"/>
      <c r="AG347" s="3934" t="n"/>
      <c r="AH347" s="3934" t="n"/>
      <c r="AI347" s="3934" t="n"/>
      <c r="AJ347" s="3934" t="n"/>
      <c r="AK347" s="3934" t="n"/>
      <c r="AL347" s="3934" t="n"/>
      <c r="AM347" s="3934" t="n"/>
      <c r="AN347" s="3934" t="n"/>
      <c r="AO347" s="3934" t="n"/>
      <c r="AP347" s="3934" t="n"/>
      <c r="AQ347" s="3934" t="n"/>
      <c r="AR347" s="3934" t="n"/>
    </row>
    <row r="348">
      <c r="A348" s="3944" t="n"/>
      <c r="B348" s="3944" t="n"/>
      <c r="C348" s="3944" t="n"/>
      <c r="D348" s="3944" t="n"/>
      <c r="E348" s="3944" t="n"/>
      <c r="F348" s="3944" t="n"/>
      <c r="G348" s="3944" t="n"/>
      <c r="H348" s="3944" t="n"/>
      <c r="I348" s="3934" t="n"/>
      <c r="J348" s="3934" t="n"/>
      <c r="K348" s="3934" t="n"/>
      <c r="L348" s="3934" t="n"/>
      <c r="M348" s="3934" t="n"/>
      <c r="N348" s="3934" t="n"/>
      <c r="O348" s="3934" t="n"/>
      <c r="P348" s="3934" t="n"/>
      <c r="Q348" s="3934" t="n"/>
      <c r="R348" s="3934" t="n"/>
      <c r="S348" s="3934" t="n"/>
      <c r="T348" s="3934" t="n"/>
      <c r="U348" s="3934" t="n"/>
      <c r="V348" s="3934" t="n"/>
      <c r="W348" s="3934" t="n"/>
      <c r="X348" s="3934" t="n"/>
      <c r="Y348" s="3934" t="n"/>
      <c r="Z348" s="3934" t="n"/>
      <c r="AA348" s="3934" t="n"/>
      <c r="AB348" s="3934" t="n"/>
      <c r="AC348" s="3934" t="n"/>
      <c r="AD348" s="3934" t="n"/>
      <c r="AE348" s="3934" t="n"/>
      <c r="AF348" s="3934" t="n"/>
      <c r="AG348" s="3934" t="n"/>
      <c r="AH348" s="3934" t="n"/>
      <c r="AI348" s="3934" t="n"/>
      <c r="AJ348" s="3934" t="n"/>
      <c r="AK348" s="3934" t="n"/>
      <c r="AL348" s="3934" t="n"/>
      <c r="AM348" s="3934" t="n"/>
      <c r="AN348" s="3934" t="n"/>
      <c r="AO348" s="3934" t="n"/>
      <c r="AP348" s="3934" t="n"/>
      <c r="AQ348" s="3934" t="n"/>
      <c r="AR348" s="3934" t="n"/>
    </row>
    <row r="349">
      <c r="A349" s="3944" t="n"/>
      <c r="B349" s="3944" t="n"/>
      <c r="C349" s="3944" t="n"/>
      <c r="D349" s="3944" t="n"/>
      <c r="E349" s="3944" t="n"/>
      <c r="F349" s="3944" t="n"/>
      <c r="G349" s="3944" t="n"/>
      <c r="H349" s="3944" t="n"/>
      <c r="I349" s="3934" t="n"/>
      <c r="J349" s="3934" t="n"/>
      <c r="K349" s="3934" t="n"/>
      <c r="L349" s="3934" t="n"/>
      <c r="M349" s="3934" t="n"/>
      <c r="N349" s="3934" t="n"/>
      <c r="O349" s="3934" t="n"/>
      <c r="P349" s="3934" t="n"/>
      <c r="Q349" s="3934" t="n"/>
      <c r="R349" s="3934" t="n"/>
      <c r="S349" s="3934" t="n"/>
      <c r="T349" s="3934" t="n"/>
      <c r="U349" s="3934" t="n"/>
      <c r="V349" s="3934" t="n"/>
      <c r="W349" s="3934" t="n"/>
      <c r="X349" s="3934" t="n"/>
      <c r="Y349" s="3934" t="n"/>
      <c r="Z349" s="3934" t="n"/>
      <c r="AA349" s="3934" t="n"/>
      <c r="AB349" s="3934" t="n"/>
      <c r="AC349" s="3934" t="n"/>
      <c r="AD349" s="3934" t="n"/>
      <c r="AE349" s="3934" t="n"/>
      <c r="AF349" s="3934" t="n"/>
      <c r="AG349" s="3934" t="n"/>
      <c r="AH349" s="3934" t="n"/>
      <c r="AI349" s="3934" t="n"/>
      <c r="AJ349" s="3934" t="n"/>
      <c r="AK349" s="3934" t="n"/>
      <c r="AL349" s="3934" t="n"/>
      <c r="AM349" s="3934" t="n"/>
      <c r="AN349" s="3934" t="n"/>
      <c r="AO349" s="3934" t="n"/>
      <c r="AP349" s="3934" t="n"/>
      <c r="AQ349" s="3934" t="n"/>
      <c r="AR349" s="3934" t="n"/>
    </row>
    <row r="350">
      <c r="A350" s="3944" t="n"/>
      <c r="B350" s="3944" t="n"/>
      <c r="C350" s="3944" t="n"/>
      <c r="D350" s="3944" t="n"/>
      <c r="E350" s="3944" t="n"/>
      <c r="F350" s="3944" t="n"/>
      <c r="G350" s="3944" t="n"/>
      <c r="H350" s="3944" t="n"/>
      <c r="I350" s="3934" t="n"/>
      <c r="J350" s="3934" t="n"/>
      <c r="K350" s="3934" t="n"/>
      <c r="L350" s="3934" t="n"/>
      <c r="M350" s="3934" t="n"/>
      <c r="N350" s="3934" t="n"/>
      <c r="O350" s="3934" t="n"/>
      <c r="P350" s="3934" t="n"/>
      <c r="Q350" s="3934" t="n"/>
      <c r="R350" s="3934" t="n"/>
      <c r="S350" s="3934" t="n"/>
      <c r="T350" s="3934" t="n"/>
      <c r="U350" s="3934" t="n"/>
      <c r="V350" s="3934" t="n"/>
      <c r="W350" s="3934" t="n"/>
      <c r="X350" s="3934" t="n"/>
      <c r="Y350" s="3934" t="n"/>
      <c r="Z350" s="3934" t="n"/>
      <c r="AA350" s="3934" t="n"/>
      <c r="AB350" s="3934" t="n"/>
      <c r="AC350" s="3934" t="n"/>
      <c r="AD350" s="3934" t="n"/>
      <c r="AE350" s="3934" t="n"/>
      <c r="AF350" s="3934" t="n"/>
      <c r="AG350" s="3934" t="n"/>
      <c r="AH350" s="3934" t="n"/>
      <c r="AI350" s="3934" t="n"/>
      <c r="AJ350" s="3934" t="n"/>
      <c r="AK350" s="3934" t="n"/>
      <c r="AL350" s="3934" t="n"/>
      <c r="AM350" s="3934" t="n"/>
      <c r="AN350" s="3934" t="n"/>
      <c r="AO350" s="3934" t="n"/>
      <c r="AP350" s="3934" t="n"/>
      <c r="AQ350" s="3934" t="n"/>
      <c r="AR350" s="3934" t="n"/>
    </row>
    <row r="351">
      <c r="A351" s="3944" t="n"/>
      <c r="B351" s="3944" t="n"/>
      <c r="C351" s="3944" t="n"/>
      <c r="D351" s="3944" t="n"/>
      <c r="E351" s="3944" t="n"/>
      <c r="F351" s="3944" t="n"/>
      <c r="G351" s="3944" t="n"/>
      <c r="H351" s="3944" t="n"/>
      <c r="I351" s="3934" t="n"/>
      <c r="J351" s="3934" t="n"/>
      <c r="K351" s="3934" t="n"/>
      <c r="L351" s="3934" t="n"/>
      <c r="M351" s="3934" t="n"/>
      <c r="N351" s="3934" t="n"/>
      <c r="O351" s="3934" t="n"/>
      <c r="P351" s="3934" t="n"/>
      <c r="Q351" s="3934" t="n"/>
      <c r="R351" s="3934" t="n"/>
      <c r="S351" s="3934" t="n"/>
      <c r="T351" s="3934" t="n"/>
      <c r="U351" s="3934" t="n"/>
      <c r="V351" s="3934" t="n"/>
      <c r="W351" s="3934" t="n"/>
      <c r="X351" s="3934" t="n"/>
      <c r="Y351" s="3934" t="n"/>
      <c r="Z351" s="3934" t="n"/>
      <c r="AA351" s="3934" t="n"/>
      <c r="AB351" s="3934" t="n"/>
      <c r="AC351" s="3934" t="n"/>
      <c r="AD351" s="3934" t="n"/>
      <c r="AE351" s="3934" t="n"/>
      <c r="AF351" s="3934" t="n"/>
      <c r="AG351" s="3934" t="n"/>
      <c r="AH351" s="3934" t="n"/>
      <c r="AI351" s="3934" t="n"/>
      <c r="AJ351" s="3934" t="n"/>
      <c r="AK351" s="3934" t="n"/>
      <c r="AL351" s="3934" t="n"/>
      <c r="AM351" s="3934" t="n"/>
      <c r="AN351" s="3934" t="n"/>
      <c r="AO351" s="3934" t="n"/>
      <c r="AP351" s="3934" t="n"/>
      <c r="AQ351" s="3934" t="n"/>
      <c r="AR351" s="3934" t="n"/>
    </row>
    <row r="352">
      <c r="A352" s="3944" t="n"/>
      <c r="B352" s="3944" t="n"/>
      <c r="C352" s="3944" t="n"/>
      <c r="D352" s="3944" t="n"/>
      <c r="E352" s="3944" t="n"/>
      <c r="F352" s="3944" t="n"/>
      <c r="G352" s="3944" t="n"/>
      <c r="H352" s="3944" t="n"/>
      <c r="I352" s="3934" t="n"/>
      <c r="J352" s="3934" t="n"/>
      <c r="K352" s="3934" t="n"/>
      <c r="L352" s="3934" t="n"/>
      <c r="M352" s="3934" t="n"/>
      <c r="N352" s="3934" t="n"/>
      <c r="O352" s="3934" t="n"/>
      <c r="P352" s="3934" t="n"/>
      <c r="Q352" s="3934" t="n"/>
      <c r="R352" s="3934" t="n"/>
      <c r="S352" s="3934" t="n"/>
      <c r="T352" s="3934" t="n"/>
      <c r="U352" s="3934" t="n"/>
      <c r="V352" s="3934" t="n"/>
      <c r="W352" s="3934" t="n"/>
      <c r="X352" s="3934" t="n"/>
      <c r="Y352" s="3934" t="n"/>
      <c r="Z352" s="3934" t="n"/>
      <c r="AA352" s="3934" t="n"/>
      <c r="AB352" s="3934" t="n"/>
      <c r="AC352" s="3934" t="n"/>
      <c r="AD352" s="3934" t="n"/>
      <c r="AE352" s="3934" t="n"/>
      <c r="AF352" s="3934" t="n"/>
      <c r="AG352" s="3934" t="n"/>
      <c r="AH352" s="3934" t="n"/>
      <c r="AI352" s="3934" t="n"/>
      <c r="AJ352" s="3934" t="n"/>
      <c r="AK352" s="3934" t="n"/>
      <c r="AL352" s="3934" t="n"/>
      <c r="AM352" s="3934" t="n"/>
      <c r="AN352" s="3934" t="n"/>
      <c r="AO352" s="3934" t="n"/>
      <c r="AP352" s="3934" t="n"/>
      <c r="AQ352" s="3934" t="n"/>
      <c r="AR352" s="3934" t="n"/>
    </row>
    <row r="353">
      <c r="A353" s="3944" t="n"/>
      <c r="B353" s="3944" t="n"/>
      <c r="C353" s="3944" t="n"/>
      <c r="D353" s="3944" t="n"/>
      <c r="E353" s="3944" t="n"/>
      <c r="F353" s="3944" t="n"/>
      <c r="G353" s="3944" t="n"/>
      <c r="H353" s="3944" t="n"/>
      <c r="I353" s="3934" t="n"/>
      <c r="J353" s="3934" t="n"/>
      <c r="K353" s="3934" t="n"/>
      <c r="L353" s="3934" t="n"/>
      <c r="M353" s="3934" t="n"/>
      <c r="N353" s="3934" t="n"/>
      <c r="O353" s="3934" t="n"/>
      <c r="P353" s="3934" t="n"/>
      <c r="Q353" s="3934" t="n"/>
      <c r="R353" s="3934" t="n"/>
      <c r="S353" s="3934" t="n"/>
      <c r="T353" s="3934" t="n"/>
      <c r="U353" s="3934" t="n"/>
      <c r="V353" s="3934" t="n"/>
      <c r="W353" s="3934" t="n"/>
      <c r="X353" s="3934" t="n"/>
      <c r="Y353" s="3934" t="n"/>
      <c r="Z353" s="3934" t="n"/>
      <c r="AA353" s="3934" t="n"/>
      <c r="AB353" s="3934" t="n"/>
      <c r="AC353" s="3934" t="n"/>
      <c r="AD353" s="3934" t="n"/>
      <c r="AE353" s="3934" t="n"/>
      <c r="AF353" s="3934" t="n"/>
      <c r="AG353" s="3934" t="n"/>
      <c r="AH353" s="3934" t="n"/>
      <c r="AI353" s="3934" t="n"/>
      <c r="AJ353" s="3934" t="n"/>
      <c r="AK353" s="3934" t="n"/>
      <c r="AL353" s="3934" t="n"/>
      <c r="AM353" s="3934" t="n"/>
      <c r="AN353" s="3934" t="n"/>
      <c r="AO353" s="3934" t="n"/>
      <c r="AP353" s="3934" t="n"/>
      <c r="AQ353" s="3934" t="n"/>
      <c r="AR353" s="3934" t="n"/>
    </row>
    <row r="354">
      <c r="A354" s="3944" t="n"/>
      <c r="B354" s="3944" t="n"/>
      <c r="C354" s="3944" t="n"/>
      <c r="D354" s="3944" t="n"/>
      <c r="E354" s="3944" t="n"/>
      <c r="F354" s="3944" t="n"/>
      <c r="G354" s="3944" t="n"/>
      <c r="H354" s="3944" t="n"/>
      <c r="I354" s="3934" t="n"/>
      <c r="J354" s="3934" t="n"/>
      <c r="K354" s="3934" t="n"/>
      <c r="L354" s="3934" t="n"/>
      <c r="M354" s="3934" t="n"/>
      <c r="N354" s="3934" t="n"/>
      <c r="O354" s="3934" t="n"/>
      <c r="P354" s="3934" t="n"/>
      <c r="Q354" s="3934" t="n"/>
      <c r="R354" s="3934" t="n"/>
      <c r="S354" s="3934" t="n"/>
      <c r="T354" s="3934" t="n"/>
      <c r="U354" s="3934" t="n"/>
      <c r="V354" s="3934" t="n"/>
      <c r="W354" s="3934" t="n"/>
      <c r="X354" s="3934" t="n"/>
      <c r="Y354" s="3934" t="n"/>
      <c r="Z354" s="3934" t="n"/>
      <c r="AA354" s="3934" t="n"/>
      <c r="AB354" s="3934" t="n"/>
      <c r="AC354" s="3934" t="n"/>
      <c r="AD354" s="3934" t="n"/>
      <c r="AE354" s="3934" t="n"/>
      <c r="AF354" s="3934" t="n"/>
      <c r="AG354" s="3934" t="n"/>
      <c r="AH354" s="3934" t="n"/>
      <c r="AI354" s="3934" t="n"/>
      <c r="AJ354" s="3934" t="n"/>
      <c r="AK354" s="3934" t="n"/>
      <c r="AL354" s="3934" t="n"/>
      <c r="AM354" s="3934" t="n"/>
      <c r="AN354" s="3934" t="n"/>
      <c r="AO354" s="3934" t="n"/>
      <c r="AP354" s="3934" t="n"/>
      <c r="AQ354" s="3934" t="n"/>
      <c r="AR354" s="3934" t="n"/>
    </row>
    <row r="355">
      <c r="A355" s="3944" t="n"/>
      <c r="B355" s="3944" t="n"/>
      <c r="C355" s="3944" t="n"/>
      <c r="D355" s="3944" t="n"/>
      <c r="E355" s="3944" t="n"/>
      <c r="F355" s="3944" t="n"/>
      <c r="G355" s="3944" t="n"/>
      <c r="H355" s="3944" t="n"/>
      <c r="I355" s="3934" t="n"/>
      <c r="J355" s="3934" t="n"/>
      <c r="K355" s="3934" t="n"/>
      <c r="L355" s="3934" t="n"/>
      <c r="M355" s="3934" t="n"/>
      <c r="N355" s="3934" t="n"/>
      <c r="O355" s="3934" t="n"/>
      <c r="P355" s="3934" t="n"/>
      <c r="Q355" s="3934" t="n"/>
      <c r="R355" s="3934" t="n"/>
      <c r="S355" s="3934" t="n"/>
      <c r="T355" s="3934" t="n"/>
      <c r="U355" s="3934" t="n"/>
      <c r="V355" s="3934" t="n"/>
      <c r="W355" s="3934" t="n"/>
      <c r="X355" s="3934" t="n"/>
      <c r="Y355" s="3934" t="n"/>
      <c r="Z355" s="3934" t="n"/>
      <c r="AA355" s="3934" t="n"/>
      <c r="AB355" s="3934" t="n"/>
      <c r="AC355" s="3934" t="n"/>
      <c r="AD355" s="3934" t="n"/>
      <c r="AE355" s="3934" t="n"/>
      <c r="AF355" s="3934" t="n"/>
      <c r="AG355" s="3934" t="n"/>
      <c r="AH355" s="3934" t="n"/>
      <c r="AI355" s="3934" t="n"/>
      <c r="AJ355" s="3934" t="n"/>
      <c r="AK355" s="3934" t="n"/>
      <c r="AL355" s="3934" t="n"/>
      <c r="AM355" s="3934" t="n"/>
      <c r="AN355" s="3934" t="n"/>
      <c r="AO355" s="3934" t="n"/>
      <c r="AP355" s="3934" t="n"/>
      <c r="AQ355" s="3934" t="n"/>
      <c r="AR355" s="3934" t="n"/>
    </row>
    <row r="356">
      <c r="A356" s="3944" t="n"/>
      <c r="B356" s="3944" t="n"/>
      <c r="C356" s="3944" t="n"/>
      <c r="D356" s="3944" t="n"/>
      <c r="E356" s="3944" t="n"/>
      <c r="F356" s="3944" t="n"/>
      <c r="G356" s="3944" t="n"/>
      <c r="H356" s="3944" t="n"/>
      <c r="I356" s="3934" t="n"/>
      <c r="J356" s="3934" t="n"/>
      <c r="K356" s="3934" t="n"/>
      <c r="L356" s="3934" t="n"/>
      <c r="M356" s="3934" t="n"/>
      <c r="N356" s="3934" t="n"/>
      <c r="O356" s="3934" t="n"/>
      <c r="P356" s="3934" t="n"/>
      <c r="Q356" s="3934" t="n"/>
      <c r="R356" s="3934" t="n"/>
      <c r="S356" s="3934" t="n"/>
      <c r="T356" s="3934" t="n"/>
      <c r="U356" s="3934" t="n"/>
      <c r="V356" s="3934" t="n"/>
      <c r="W356" s="3934" t="n"/>
      <c r="X356" s="3934" t="n"/>
      <c r="Y356" s="3934" t="n"/>
      <c r="Z356" s="3934" t="n"/>
      <c r="AA356" s="3934" t="n"/>
      <c r="AB356" s="3934" t="n"/>
      <c r="AC356" s="3934" t="n"/>
      <c r="AD356" s="3934" t="n"/>
      <c r="AE356" s="3934" t="n"/>
      <c r="AF356" s="3934" t="n"/>
      <c r="AG356" s="3934" t="n"/>
      <c r="AH356" s="3934" t="n"/>
      <c r="AI356" s="3934" t="n"/>
      <c r="AJ356" s="3934" t="n"/>
      <c r="AK356" s="3934" t="n"/>
      <c r="AL356" s="3934" t="n"/>
      <c r="AM356" s="3934" t="n"/>
      <c r="AN356" s="3934" t="n"/>
      <c r="AO356" s="3934" t="n"/>
      <c r="AP356" s="3934" t="n"/>
      <c r="AQ356" s="3934" t="n"/>
      <c r="AR356" s="3934" t="n"/>
    </row>
    <row r="357">
      <c r="A357" s="3944" t="n"/>
      <c r="B357" s="3944" t="n"/>
      <c r="C357" s="3944" t="n"/>
      <c r="D357" s="3944" t="n"/>
      <c r="E357" s="3944" t="n"/>
      <c r="F357" s="3944" t="n"/>
      <c r="G357" s="3944" t="n"/>
      <c r="H357" s="3944" t="n"/>
      <c r="I357" s="3934" t="n"/>
      <c r="J357" s="3934" t="n"/>
      <c r="K357" s="3934" t="n"/>
      <c r="L357" s="3934" t="n"/>
      <c r="M357" s="3934" t="n"/>
      <c r="N357" s="3934" t="n"/>
      <c r="O357" s="3934" t="n"/>
      <c r="P357" s="3934" t="n"/>
      <c r="Q357" s="3934" t="n"/>
      <c r="R357" s="3934" t="n"/>
      <c r="S357" s="3934" t="n"/>
      <c r="T357" s="3934" t="n"/>
      <c r="U357" s="3934" t="n"/>
      <c r="V357" s="3934" t="n"/>
      <c r="W357" s="3934" t="n"/>
      <c r="X357" s="3934" t="n"/>
      <c r="Y357" s="3934" t="n"/>
      <c r="Z357" s="3934" t="n"/>
      <c r="AA357" s="3934" t="n"/>
      <c r="AB357" s="3934" t="n"/>
      <c r="AC357" s="3934" t="n"/>
      <c r="AD357" s="3934" t="n"/>
      <c r="AE357" s="3934" t="n"/>
      <c r="AF357" s="3934" t="n"/>
      <c r="AG357" s="3934" t="n"/>
      <c r="AH357" s="3934" t="n"/>
      <c r="AI357" s="3934" t="n"/>
      <c r="AJ357" s="3934" t="n"/>
      <c r="AK357" s="3934" t="n"/>
      <c r="AL357" s="3934" t="n"/>
      <c r="AM357" s="3934" t="n"/>
      <c r="AN357" s="3934" t="n"/>
      <c r="AO357" s="3934" t="n"/>
      <c r="AP357" s="3934" t="n"/>
      <c r="AQ357" s="3934" t="n"/>
      <c r="AR357" s="3934" t="n"/>
    </row>
    <row r="358">
      <c r="A358" s="3944" t="n"/>
      <c r="B358" s="3944" t="n"/>
      <c r="C358" s="3944" t="n"/>
      <c r="D358" s="3944" t="n"/>
      <c r="E358" s="3944" t="n"/>
      <c r="F358" s="3944" t="n"/>
      <c r="G358" s="3944" t="n"/>
      <c r="H358" s="3944" t="n"/>
      <c r="I358" s="3934" t="n"/>
      <c r="J358" s="3934" t="n"/>
      <c r="K358" s="3934" t="n"/>
      <c r="L358" s="3934" t="n"/>
      <c r="M358" s="3934" t="n"/>
      <c r="N358" s="3934" t="n"/>
      <c r="O358" s="3934" t="n"/>
      <c r="P358" s="3934" t="n"/>
      <c r="Q358" s="3934" t="n"/>
      <c r="R358" s="3934" t="n"/>
      <c r="S358" s="3934" t="n"/>
      <c r="T358" s="3934" t="n"/>
      <c r="U358" s="3934" t="n"/>
      <c r="V358" s="3934" t="n"/>
      <c r="W358" s="3934" t="n"/>
      <c r="X358" s="3934" t="n"/>
      <c r="Y358" s="3934" t="n"/>
      <c r="Z358" s="3934" t="n"/>
      <c r="AA358" s="3934" t="n"/>
      <c r="AB358" s="3934" t="n"/>
      <c r="AC358" s="3934" t="n"/>
      <c r="AD358" s="3934" t="n"/>
      <c r="AE358" s="3934" t="n"/>
      <c r="AF358" s="3934" t="n"/>
      <c r="AG358" s="3934" t="n"/>
      <c r="AH358" s="3934" t="n"/>
      <c r="AI358" s="3934" t="n"/>
      <c r="AJ358" s="3934" t="n"/>
      <c r="AK358" s="3934" t="n"/>
      <c r="AL358" s="3934" t="n"/>
      <c r="AM358" s="3934" t="n"/>
      <c r="AN358" s="3934" t="n"/>
      <c r="AO358" s="3934" t="n"/>
      <c r="AP358" s="3934" t="n"/>
      <c r="AQ358" s="3934" t="n"/>
      <c r="AR358" s="3934" t="n"/>
    </row>
    <row r="359">
      <c r="A359" s="3944" t="n"/>
      <c r="B359" s="3944" t="n"/>
      <c r="C359" s="3944" t="n"/>
      <c r="D359" s="3944" t="n"/>
      <c r="E359" s="3944" t="n"/>
      <c r="F359" s="3944" t="n"/>
      <c r="G359" s="3944" t="n"/>
      <c r="H359" s="3944" t="n"/>
      <c r="I359" s="3934" t="n"/>
      <c r="J359" s="3934" t="n"/>
      <c r="K359" s="3934" t="n"/>
      <c r="L359" s="3934" t="n"/>
      <c r="M359" s="3934" t="n"/>
      <c r="N359" s="3934" t="n"/>
      <c r="O359" s="3934" t="n"/>
      <c r="P359" s="3934" t="n"/>
      <c r="Q359" s="3934" t="n"/>
      <c r="R359" s="3934" t="n"/>
      <c r="S359" s="3934" t="n"/>
      <c r="T359" s="3934" t="n"/>
      <c r="U359" s="3934" t="n"/>
      <c r="V359" s="3934" t="n"/>
      <c r="W359" s="3934" t="n"/>
      <c r="X359" s="3934" t="n"/>
      <c r="Y359" s="3934" t="n"/>
      <c r="Z359" s="3934" t="n"/>
      <c r="AA359" s="3934" t="n"/>
      <c r="AB359" s="3934" t="n"/>
      <c r="AC359" s="3934" t="n"/>
      <c r="AD359" s="3934" t="n"/>
      <c r="AE359" s="3934" t="n"/>
      <c r="AF359" s="3934" t="n"/>
      <c r="AG359" s="3934" t="n"/>
      <c r="AH359" s="3934" t="n"/>
      <c r="AI359" s="3934" t="n"/>
      <c r="AJ359" s="3934" t="n"/>
      <c r="AK359" s="3934" t="n"/>
      <c r="AL359" s="3934" t="n"/>
      <c r="AM359" s="3934" t="n"/>
      <c r="AN359" s="3934" t="n"/>
      <c r="AO359" s="3934" t="n"/>
      <c r="AP359" s="3934" t="n"/>
      <c r="AQ359" s="3934" t="n"/>
      <c r="AR359" s="3934" t="n"/>
    </row>
    <row r="360">
      <c r="A360" s="3944" t="n"/>
      <c r="B360" s="3944" t="n"/>
      <c r="C360" s="3944" t="n"/>
      <c r="D360" s="3944" t="n"/>
      <c r="E360" s="3944" t="n"/>
      <c r="F360" s="3944" t="n"/>
      <c r="G360" s="3944" t="n"/>
      <c r="H360" s="3944" t="n"/>
      <c r="I360" s="3934" t="n"/>
      <c r="J360" s="3934" t="n"/>
      <c r="K360" s="3934" t="n"/>
      <c r="L360" s="3934" t="n"/>
      <c r="M360" s="3934" t="n"/>
      <c r="N360" s="3934" t="n"/>
      <c r="O360" s="3934" t="n"/>
      <c r="P360" s="3934" t="n"/>
      <c r="Q360" s="3934" t="n"/>
      <c r="R360" s="3934" t="n"/>
      <c r="S360" s="3934" t="n"/>
      <c r="T360" s="3934" t="n"/>
      <c r="U360" s="3934" t="n"/>
      <c r="V360" s="3934" t="n"/>
      <c r="W360" s="3934" t="n"/>
      <c r="X360" s="3934" t="n"/>
      <c r="Y360" s="3934" t="n"/>
      <c r="Z360" s="3934" t="n"/>
      <c r="AA360" s="3934" t="n"/>
      <c r="AB360" s="3934" t="n"/>
      <c r="AC360" s="3934" t="n"/>
      <c r="AD360" s="3934" t="n"/>
      <c r="AE360" s="3934" t="n"/>
      <c r="AF360" s="3934" t="n"/>
      <c r="AG360" s="3934" t="n"/>
      <c r="AH360" s="3934" t="n"/>
      <c r="AI360" s="3934" t="n"/>
      <c r="AJ360" s="3934" t="n"/>
      <c r="AK360" s="3934" t="n"/>
      <c r="AL360" s="3934" t="n"/>
      <c r="AM360" s="3934" t="n"/>
      <c r="AN360" s="3934" t="n"/>
      <c r="AO360" s="3934" t="n"/>
      <c r="AP360" s="3934" t="n"/>
      <c r="AQ360" s="3934" t="n"/>
      <c r="AR360" s="3934" t="n"/>
    </row>
    <row r="361">
      <c r="A361" s="3944" t="n"/>
      <c r="B361" s="3944" t="n"/>
      <c r="C361" s="3944" t="n"/>
      <c r="D361" s="3944" t="n"/>
      <c r="E361" s="3944" t="n"/>
      <c r="F361" s="3944" t="n"/>
      <c r="G361" s="3944" t="n"/>
      <c r="H361" s="3944" t="n"/>
      <c r="I361" s="3934" t="n"/>
      <c r="J361" s="3934" t="n"/>
      <c r="K361" s="3934" t="n"/>
      <c r="L361" s="3934" t="n"/>
      <c r="M361" s="3934" t="n"/>
      <c r="N361" s="3934" t="n"/>
      <c r="O361" s="3934" t="n"/>
      <c r="P361" s="3934" t="n"/>
      <c r="Q361" s="3934" t="n"/>
      <c r="R361" s="3934" t="n"/>
      <c r="S361" s="3934" t="n"/>
      <c r="T361" s="3934" t="n"/>
      <c r="U361" s="3934" t="n"/>
      <c r="V361" s="3934" t="n"/>
      <c r="W361" s="3934" t="n"/>
      <c r="X361" s="3934" t="n"/>
      <c r="Y361" s="3934" t="n"/>
      <c r="Z361" s="3934" t="n"/>
      <c r="AA361" s="3934" t="n"/>
      <c r="AB361" s="3934" t="n"/>
      <c r="AC361" s="3934" t="n"/>
      <c r="AD361" s="3934" t="n"/>
      <c r="AE361" s="3934" t="n"/>
      <c r="AF361" s="3934" t="n"/>
      <c r="AG361" s="3934" t="n"/>
      <c r="AH361" s="3934" t="n"/>
      <c r="AI361" s="3934" t="n"/>
      <c r="AJ361" s="3934" t="n"/>
      <c r="AK361" s="3934" t="n"/>
      <c r="AL361" s="3934" t="n"/>
      <c r="AM361" s="3934" t="n"/>
      <c r="AN361" s="3934" t="n"/>
      <c r="AO361" s="3934" t="n"/>
      <c r="AP361" s="3934" t="n"/>
      <c r="AQ361" s="3934" t="n"/>
      <c r="AR361" s="3934" t="n"/>
    </row>
    <row r="362">
      <c r="A362" s="3944" t="n"/>
      <c r="B362" s="3944" t="n"/>
      <c r="C362" s="3944" t="n"/>
      <c r="D362" s="3944" t="n"/>
      <c r="E362" s="3944" t="n"/>
      <c r="F362" s="3944" t="n"/>
      <c r="G362" s="3944" t="n"/>
      <c r="H362" s="3944" t="n"/>
      <c r="I362" s="3934" t="n"/>
      <c r="J362" s="3934" t="n"/>
      <c r="K362" s="3934" t="n"/>
      <c r="L362" s="3934" t="n"/>
      <c r="M362" s="3934" t="n"/>
      <c r="N362" s="3934" t="n"/>
      <c r="O362" s="3934" t="n"/>
      <c r="P362" s="3934" t="n"/>
      <c r="Q362" s="3934" t="n"/>
      <c r="R362" s="3934" t="n"/>
      <c r="S362" s="3934" t="n"/>
      <c r="T362" s="3934" t="n"/>
      <c r="U362" s="3934" t="n"/>
      <c r="V362" s="3934" t="n"/>
      <c r="W362" s="3934" t="n"/>
      <c r="X362" s="3934" t="n"/>
      <c r="Y362" s="3934" t="n"/>
      <c r="Z362" s="3934" t="n"/>
      <c r="AA362" s="3934" t="n"/>
      <c r="AB362" s="3934" t="n"/>
      <c r="AC362" s="3934" t="n"/>
      <c r="AD362" s="3934" t="n"/>
      <c r="AE362" s="3934" t="n"/>
      <c r="AF362" s="3934" t="n"/>
      <c r="AG362" s="3934" t="n"/>
      <c r="AH362" s="3934" t="n"/>
      <c r="AI362" s="3934" t="n"/>
      <c r="AJ362" s="3934" t="n"/>
      <c r="AK362" s="3934" t="n"/>
      <c r="AL362" s="3934" t="n"/>
      <c r="AM362" s="3934" t="n"/>
      <c r="AN362" s="3934" t="n"/>
      <c r="AO362" s="3934" t="n"/>
      <c r="AP362" s="3934" t="n"/>
      <c r="AQ362" s="3934" t="n"/>
      <c r="AR362" s="3934" t="n"/>
    </row>
    <row r="363">
      <c r="A363" s="3944" t="n"/>
      <c r="B363" s="3944" t="n"/>
      <c r="C363" s="3944" t="n"/>
      <c r="D363" s="3944" t="n"/>
      <c r="E363" s="3944" t="n"/>
      <c r="F363" s="3944" t="n"/>
      <c r="G363" s="3944" t="n"/>
      <c r="H363" s="3944" t="n"/>
      <c r="I363" s="3934" t="n"/>
      <c r="J363" s="3934" t="n"/>
      <c r="K363" s="3934" t="n"/>
      <c r="L363" s="3934" t="n"/>
      <c r="M363" s="3934" t="n"/>
      <c r="N363" s="3934" t="n"/>
      <c r="O363" s="3934" t="n"/>
      <c r="P363" s="3934" t="n"/>
      <c r="Q363" s="3934" t="n"/>
      <c r="R363" s="3934" t="n"/>
      <c r="S363" s="3934" t="n"/>
      <c r="T363" s="3934" t="n"/>
      <c r="U363" s="3934" t="n"/>
      <c r="V363" s="3934" t="n"/>
      <c r="W363" s="3934" t="n"/>
      <c r="X363" s="3934" t="n"/>
      <c r="Y363" s="3934" t="n"/>
      <c r="Z363" s="3934" t="n"/>
      <c r="AA363" s="3934" t="n"/>
      <c r="AB363" s="3934" t="n"/>
      <c r="AC363" s="3934" t="n"/>
      <c r="AD363" s="3934" t="n"/>
      <c r="AE363" s="3934" t="n"/>
      <c r="AF363" s="3934" t="n"/>
      <c r="AG363" s="3934" t="n"/>
      <c r="AH363" s="3934" t="n"/>
      <c r="AI363" s="3934" t="n"/>
      <c r="AJ363" s="3934" t="n"/>
      <c r="AK363" s="3934" t="n"/>
      <c r="AL363" s="3934" t="n"/>
      <c r="AM363" s="3934" t="n"/>
      <c r="AN363" s="3934" t="n"/>
      <c r="AO363" s="3934" t="n"/>
      <c r="AP363" s="3934" t="n"/>
      <c r="AQ363" s="3934" t="n"/>
      <c r="AR363" s="3934" t="n"/>
    </row>
    <row r="364">
      <c r="A364" s="3944" t="n"/>
      <c r="B364" s="3944" t="n"/>
      <c r="C364" s="3944" t="n"/>
      <c r="D364" s="3944" t="n"/>
      <c r="E364" s="3944" t="n"/>
      <c r="F364" s="3944" t="n"/>
      <c r="G364" s="3944" t="n"/>
      <c r="H364" s="3944" t="n"/>
      <c r="I364" s="3934" t="n"/>
      <c r="J364" s="3934" t="n"/>
      <c r="K364" s="3934" t="n"/>
      <c r="L364" s="3934" t="n"/>
      <c r="M364" s="3934" t="n"/>
      <c r="N364" s="3934" t="n"/>
      <c r="O364" s="3934" t="n"/>
      <c r="P364" s="3934" t="n"/>
      <c r="Q364" s="3934" t="n"/>
      <c r="R364" s="3934" t="n"/>
      <c r="S364" s="3934" t="n"/>
      <c r="T364" s="3934" t="n"/>
      <c r="U364" s="3934" t="n"/>
      <c r="V364" s="3934" t="n"/>
      <c r="W364" s="3934" t="n"/>
      <c r="X364" s="3934" t="n"/>
      <c r="Y364" s="3934" t="n"/>
      <c r="Z364" s="3934" t="n"/>
      <c r="AA364" s="3934" t="n"/>
      <c r="AB364" s="3934" t="n"/>
      <c r="AC364" s="3934" t="n"/>
      <c r="AD364" s="3934" t="n"/>
      <c r="AE364" s="3934" t="n"/>
      <c r="AF364" s="3934" t="n"/>
      <c r="AG364" s="3934" t="n"/>
      <c r="AH364" s="3934" t="n"/>
      <c r="AI364" s="3934" t="n"/>
      <c r="AJ364" s="3934" t="n"/>
      <c r="AK364" s="3934" t="n"/>
      <c r="AL364" s="3934" t="n"/>
      <c r="AM364" s="3934" t="n"/>
      <c r="AN364" s="3934" t="n"/>
      <c r="AO364" s="3934" t="n"/>
      <c r="AP364" s="3934" t="n"/>
      <c r="AQ364" s="3934" t="n"/>
      <c r="AR364" s="3934" t="n"/>
    </row>
    <row r="365">
      <c r="A365" s="3944" t="n"/>
      <c r="B365" s="3944" t="n"/>
      <c r="C365" s="3944" t="n"/>
      <c r="D365" s="3944" t="n"/>
      <c r="E365" s="3944" t="n"/>
      <c r="F365" s="3944" t="n"/>
      <c r="G365" s="3944" t="n"/>
      <c r="H365" s="3944" t="n"/>
      <c r="I365" s="3934" t="n"/>
      <c r="J365" s="3934" t="n"/>
      <c r="K365" s="3934" t="n"/>
      <c r="L365" s="3934" t="n"/>
      <c r="M365" s="3934" t="n"/>
      <c r="N365" s="3934" t="n"/>
      <c r="O365" s="3934" t="n"/>
      <c r="P365" s="3934" t="n"/>
      <c r="Q365" s="3934" t="n"/>
      <c r="R365" s="3934" t="n"/>
      <c r="S365" s="3934" t="n"/>
      <c r="T365" s="3934" t="n"/>
      <c r="U365" s="3934" t="n"/>
      <c r="V365" s="3934" t="n"/>
      <c r="W365" s="3934" t="n"/>
      <c r="X365" s="3934" t="n"/>
      <c r="Y365" s="3934" t="n"/>
      <c r="Z365" s="3934" t="n"/>
      <c r="AA365" s="3934" t="n"/>
      <c r="AB365" s="3934" t="n"/>
      <c r="AC365" s="3934" t="n"/>
      <c r="AD365" s="3934" t="n"/>
      <c r="AE365" s="3934" t="n"/>
      <c r="AF365" s="3934" t="n"/>
      <c r="AG365" s="3934" t="n"/>
      <c r="AH365" s="3934" t="n"/>
      <c r="AI365" s="3934" t="n"/>
      <c r="AJ365" s="3934" t="n"/>
      <c r="AK365" s="3934" t="n"/>
      <c r="AL365" s="3934" t="n"/>
      <c r="AM365" s="3934" t="n"/>
      <c r="AN365" s="3934" t="n"/>
      <c r="AO365" s="3934" t="n"/>
      <c r="AP365" s="3934" t="n"/>
      <c r="AQ365" s="3934" t="n"/>
      <c r="AR365" s="3934" t="n"/>
    </row>
    <row r="366">
      <c r="A366" s="3944" t="n"/>
      <c r="B366" s="3944" t="n"/>
      <c r="C366" s="3944" t="n"/>
      <c r="D366" s="3944" t="n"/>
      <c r="E366" s="3944" t="n"/>
      <c r="F366" s="3944" t="n"/>
      <c r="G366" s="3944" t="n"/>
      <c r="H366" s="3944" t="n"/>
      <c r="I366" s="3934" t="n"/>
      <c r="J366" s="3934" t="n"/>
      <c r="K366" s="3934" t="n"/>
      <c r="L366" s="3934" t="n"/>
      <c r="M366" s="3934" t="n"/>
      <c r="N366" s="3934" t="n"/>
      <c r="O366" s="3934" t="n"/>
      <c r="P366" s="3934" t="n"/>
      <c r="Q366" s="3934" t="n"/>
      <c r="R366" s="3934" t="n"/>
      <c r="S366" s="3934" t="n"/>
      <c r="T366" s="3934" t="n"/>
      <c r="U366" s="3934" t="n"/>
      <c r="V366" s="3934" t="n"/>
      <c r="W366" s="3934" t="n"/>
      <c r="X366" s="3934" t="n"/>
      <c r="Y366" s="3934" t="n"/>
      <c r="Z366" s="3934" t="n"/>
      <c r="AA366" s="3934" t="n"/>
      <c r="AB366" s="3934" t="n"/>
      <c r="AC366" s="3934" t="n"/>
      <c r="AD366" s="3934" t="n"/>
      <c r="AE366" s="3934" t="n"/>
      <c r="AF366" s="3934" t="n"/>
      <c r="AG366" s="3934" t="n"/>
      <c r="AH366" s="3934" t="n"/>
      <c r="AI366" s="3934" t="n"/>
      <c r="AJ366" s="3934" t="n"/>
      <c r="AK366" s="3934" t="n"/>
      <c r="AL366" s="3934" t="n"/>
      <c r="AM366" s="3934" t="n"/>
      <c r="AN366" s="3934" t="n"/>
      <c r="AO366" s="3934" t="n"/>
      <c r="AP366" s="3934" t="n"/>
      <c r="AQ366" s="3934" t="n"/>
      <c r="AR366" s="3934" t="n"/>
    </row>
    <row r="367">
      <c r="A367" s="3944" t="n"/>
      <c r="B367" s="3944" t="n"/>
      <c r="C367" s="3944" t="n"/>
      <c r="D367" s="3944" t="n"/>
      <c r="E367" s="3944" t="n"/>
      <c r="F367" s="3944" t="n"/>
      <c r="G367" s="3944" t="n"/>
      <c r="H367" s="3944" t="n"/>
      <c r="I367" s="3934" t="n"/>
      <c r="J367" s="3934" t="n"/>
      <c r="K367" s="3934" t="n"/>
      <c r="L367" s="3934" t="n"/>
      <c r="M367" s="3934" t="n"/>
      <c r="N367" s="3934" t="n"/>
      <c r="O367" s="3934" t="n"/>
      <c r="P367" s="3934" t="n"/>
      <c r="Q367" s="3934" t="n"/>
      <c r="R367" s="3934" t="n"/>
      <c r="S367" s="3934" t="n"/>
      <c r="T367" s="3934" t="n"/>
      <c r="U367" s="3934" t="n"/>
      <c r="V367" s="3934" t="n"/>
      <c r="W367" s="3934" t="n"/>
      <c r="X367" s="3934" t="n"/>
      <c r="Y367" s="3934" t="n"/>
      <c r="Z367" s="3934" t="n"/>
      <c r="AA367" s="3934" t="n"/>
      <c r="AB367" s="3934" t="n"/>
      <c r="AC367" s="3934" t="n"/>
      <c r="AD367" s="3934" t="n"/>
      <c r="AE367" s="3934" t="n"/>
      <c r="AF367" s="3934" t="n"/>
      <c r="AG367" s="3934" t="n"/>
      <c r="AH367" s="3934" t="n"/>
      <c r="AI367" s="3934" t="n"/>
      <c r="AJ367" s="3934" t="n"/>
      <c r="AK367" s="3934" t="n"/>
      <c r="AL367" s="3934" t="n"/>
      <c r="AM367" s="3934" t="n"/>
      <c r="AN367" s="3934" t="n"/>
      <c r="AO367" s="3934" t="n"/>
      <c r="AP367" s="3934" t="n"/>
      <c r="AQ367" s="3934" t="n"/>
      <c r="AR367" s="3934" t="n"/>
    </row>
    <row r="368">
      <c r="A368" s="3944" t="n"/>
      <c r="B368" s="3944" t="n"/>
      <c r="C368" s="3944" t="n"/>
      <c r="D368" s="3944" t="n"/>
      <c r="E368" s="3944" t="n"/>
      <c r="F368" s="3944" t="n"/>
      <c r="G368" s="3944" t="n"/>
      <c r="H368" s="3944" t="n"/>
      <c r="I368" s="3934" t="n"/>
      <c r="J368" s="3934" t="n"/>
      <c r="K368" s="3934" t="n"/>
      <c r="L368" s="3934" t="n"/>
      <c r="M368" s="3934" t="n"/>
      <c r="N368" s="3934" t="n"/>
      <c r="O368" s="3934" t="n"/>
      <c r="P368" s="3934" t="n"/>
      <c r="Q368" s="3934" t="n"/>
      <c r="R368" s="3934" t="n"/>
      <c r="S368" s="3934" t="n"/>
      <c r="T368" s="3934" t="n"/>
      <c r="U368" s="3934" t="n"/>
      <c r="V368" s="3934" t="n"/>
      <c r="W368" s="3934" t="n"/>
      <c r="X368" s="3934" t="n"/>
      <c r="Y368" s="3934" t="n"/>
      <c r="Z368" s="3934" t="n"/>
      <c r="AA368" s="3934" t="n"/>
      <c r="AB368" s="3934" t="n"/>
      <c r="AC368" s="3934" t="n"/>
      <c r="AD368" s="3934" t="n"/>
      <c r="AE368" s="3934" t="n"/>
      <c r="AF368" s="3934" t="n"/>
      <c r="AG368" s="3934" t="n"/>
      <c r="AH368" s="3934" t="n"/>
      <c r="AI368" s="3934" t="n"/>
      <c r="AJ368" s="3934" t="n"/>
      <c r="AK368" s="3934" t="n"/>
      <c r="AL368" s="3934" t="n"/>
      <c r="AM368" s="3934" t="n"/>
      <c r="AN368" s="3934" t="n"/>
      <c r="AO368" s="3934" t="n"/>
      <c r="AP368" s="3934" t="n"/>
      <c r="AQ368" s="3934" t="n"/>
      <c r="AR368" s="3934" t="n"/>
    </row>
    <row r="369">
      <c r="A369" s="3944" t="n"/>
      <c r="B369" s="3944" t="n"/>
      <c r="C369" s="3944" t="n"/>
      <c r="D369" s="3944" t="n"/>
      <c r="E369" s="3944" t="n"/>
      <c r="F369" s="3944" t="n"/>
      <c r="G369" s="3944" t="n"/>
      <c r="H369" s="3944" t="n"/>
      <c r="I369" s="3934" t="n"/>
      <c r="J369" s="3934" t="n"/>
      <c r="K369" s="3934" t="n"/>
      <c r="L369" s="3934" t="n"/>
      <c r="M369" s="3934" t="n"/>
      <c r="N369" s="3934" t="n"/>
      <c r="O369" s="3934" t="n"/>
      <c r="P369" s="3934" t="n"/>
      <c r="Q369" s="3934" t="n"/>
      <c r="R369" s="3934" t="n"/>
      <c r="S369" s="3934" t="n"/>
      <c r="T369" s="3934" t="n"/>
      <c r="U369" s="3934" t="n"/>
      <c r="V369" s="3934" t="n"/>
      <c r="W369" s="3934" t="n"/>
      <c r="X369" s="3934" t="n"/>
      <c r="Y369" s="3934" t="n"/>
      <c r="Z369" s="3934" t="n"/>
      <c r="AA369" s="3934" t="n"/>
      <c r="AB369" s="3934" t="n"/>
      <c r="AC369" s="3934" t="n"/>
      <c r="AD369" s="3934" t="n"/>
      <c r="AE369" s="3934" t="n"/>
      <c r="AF369" s="3934" t="n"/>
      <c r="AG369" s="3934" t="n"/>
      <c r="AH369" s="3934" t="n"/>
      <c r="AI369" s="3934" t="n"/>
      <c r="AJ369" s="3934" t="n"/>
      <c r="AK369" s="3934" t="n"/>
      <c r="AL369" s="3934" t="n"/>
      <c r="AM369" s="3934" t="n"/>
      <c r="AN369" s="3934" t="n"/>
      <c r="AO369" s="3934" t="n"/>
      <c r="AP369" s="3934" t="n"/>
      <c r="AQ369" s="3934" t="n"/>
      <c r="AR369" s="3934" t="n"/>
    </row>
    <row r="370">
      <c r="A370" s="3944" t="n"/>
      <c r="B370" s="3944" t="n"/>
      <c r="C370" s="3944" t="n"/>
      <c r="D370" s="3944" t="n"/>
      <c r="E370" s="3944" t="n"/>
      <c r="F370" s="3944" t="n"/>
      <c r="G370" s="3944" t="n"/>
      <c r="H370" s="3944" t="n"/>
      <c r="I370" s="3934" t="n"/>
      <c r="J370" s="3934" t="n"/>
      <c r="K370" s="3934" t="n"/>
      <c r="L370" s="3934" t="n"/>
      <c r="M370" s="3934" t="n"/>
      <c r="N370" s="3934" t="n"/>
      <c r="O370" s="3934" t="n"/>
      <c r="P370" s="3934" t="n"/>
      <c r="Q370" s="3934" t="n"/>
      <c r="R370" s="3934" t="n"/>
      <c r="S370" s="3934" t="n"/>
      <c r="T370" s="3934" t="n"/>
      <c r="U370" s="3934" t="n"/>
      <c r="V370" s="3934" t="n"/>
      <c r="W370" s="3934" t="n"/>
      <c r="X370" s="3934" t="n"/>
      <c r="Y370" s="3934" t="n"/>
      <c r="Z370" s="3934" t="n"/>
      <c r="AA370" s="3934" t="n"/>
      <c r="AB370" s="3934" t="n"/>
      <c r="AC370" s="3934" t="n"/>
      <c r="AD370" s="3934" t="n"/>
      <c r="AE370" s="3934" t="n"/>
      <c r="AF370" s="3934" t="n"/>
      <c r="AG370" s="3934" t="n"/>
      <c r="AH370" s="3934" t="n"/>
      <c r="AI370" s="3934" t="n"/>
      <c r="AJ370" s="3934" t="n"/>
      <c r="AK370" s="3934" t="n"/>
      <c r="AL370" s="3934" t="n"/>
      <c r="AM370" s="3934" t="n"/>
      <c r="AN370" s="3934" t="n"/>
      <c r="AO370" s="3934" t="n"/>
      <c r="AP370" s="3934" t="n"/>
      <c r="AQ370" s="3934" t="n"/>
      <c r="AR370" s="3934" t="n"/>
    </row>
    <row r="371">
      <c r="A371" s="3944" t="n"/>
      <c r="B371" s="3944" t="n"/>
      <c r="C371" s="3944" t="n"/>
      <c r="D371" s="3944" t="n"/>
      <c r="E371" s="3944" t="n"/>
      <c r="F371" s="3944" t="n"/>
      <c r="G371" s="3944" t="n"/>
      <c r="H371" s="3944" t="n"/>
      <c r="I371" s="3934" t="n"/>
      <c r="J371" s="3934" t="n"/>
      <c r="K371" s="3934" t="n"/>
      <c r="L371" s="3934" t="n"/>
      <c r="M371" s="3934" t="n"/>
      <c r="N371" s="3934" t="n"/>
      <c r="O371" s="3934" t="n"/>
      <c r="P371" s="3934" t="n"/>
      <c r="Q371" s="3934" t="n"/>
      <c r="R371" s="3934" t="n"/>
      <c r="S371" s="3934" t="n"/>
      <c r="T371" s="3934" t="n"/>
      <c r="U371" s="3934" t="n"/>
      <c r="V371" s="3934" t="n"/>
      <c r="W371" s="3934" t="n"/>
      <c r="X371" s="3934" t="n"/>
      <c r="Y371" s="3934" t="n"/>
      <c r="Z371" s="3934" t="n"/>
      <c r="AA371" s="3934" t="n"/>
      <c r="AB371" s="3934" t="n"/>
      <c r="AC371" s="3934" t="n"/>
      <c r="AD371" s="3934" t="n"/>
      <c r="AE371" s="3934" t="n"/>
      <c r="AF371" s="3934" t="n"/>
      <c r="AG371" s="3934" t="n"/>
      <c r="AH371" s="3934" t="n"/>
      <c r="AI371" s="3934" t="n"/>
      <c r="AJ371" s="3934" t="n"/>
      <c r="AK371" s="3934" t="n"/>
      <c r="AL371" s="3934" t="n"/>
      <c r="AM371" s="3934" t="n"/>
      <c r="AN371" s="3934" t="n"/>
      <c r="AO371" s="3934" t="n"/>
      <c r="AP371" s="3934" t="n"/>
      <c r="AQ371" s="3934" t="n"/>
      <c r="AR371" s="3934" t="n"/>
    </row>
    <row r="372">
      <c r="A372" s="3944" t="n"/>
      <c r="B372" s="3944" t="n"/>
      <c r="C372" s="3944" t="n"/>
      <c r="D372" s="3944" t="n"/>
      <c r="E372" s="3944" t="n"/>
      <c r="F372" s="3944" t="n"/>
      <c r="G372" s="3944" t="n"/>
      <c r="H372" s="3944" t="n"/>
      <c r="I372" s="3934" t="n"/>
      <c r="J372" s="3934" t="n"/>
      <c r="K372" s="3934" t="n"/>
      <c r="L372" s="3934" t="n"/>
      <c r="M372" s="3934" t="n"/>
      <c r="N372" s="3934" t="n"/>
      <c r="O372" s="3934" t="n"/>
      <c r="P372" s="3934" t="n"/>
      <c r="Q372" s="3934" t="n"/>
      <c r="R372" s="3934" t="n"/>
      <c r="S372" s="3934" t="n"/>
      <c r="T372" s="3934" t="n"/>
      <c r="U372" s="3934" t="n"/>
      <c r="V372" s="3934" t="n"/>
      <c r="W372" s="3934" t="n"/>
      <c r="X372" s="3934" t="n"/>
      <c r="Y372" s="3934" t="n"/>
      <c r="Z372" s="3934" t="n"/>
      <c r="AA372" s="3934" t="n"/>
      <c r="AB372" s="3934" t="n"/>
      <c r="AC372" s="3934" t="n"/>
      <c r="AD372" s="3934" t="n"/>
      <c r="AE372" s="3934" t="n"/>
      <c r="AF372" s="3934" t="n"/>
      <c r="AG372" s="3934" t="n"/>
      <c r="AH372" s="3934" t="n"/>
      <c r="AI372" s="3934" t="n"/>
      <c r="AJ372" s="3934" t="n"/>
      <c r="AK372" s="3934" t="n"/>
      <c r="AL372" s="3934" t="n"/>
      <c r="AM372" s="3934" t="n"/>
      <c r="AN372" s="3934" t="n"/>
      <c r="AO372" s="3934" t="n"/>
      <c r="AP372" s="3934" t="n"/>
      <c r="AQ372" s="3934" t="n"/>
      <c r="AR372" s="3934" t="n"/>
    </row>
    <row r="373">
      <c r="A373" s="3944" t="n"/>
      <c r="B373" s="3944" t="n"/>
      <c r="C373" s="3944" t="n"/>
      <c r="D373" s="3944" t="n"/>
      <c r="E373" s="3944" t="n"/>
      <c r="F373" s="3944" t="n"/>
      <c r="G373" s="3944" t="n"/>
      <c r="H373" s="3944" t="n"/>
      <c r="I373" s="3934" t="n"/>
      <c r="J373" s="3934" t="n"/>
      <c r="K373" s="3934" t="n"/>
      <c r="L373" s="3934" t="n"/>
      <c r="M373" s="3934" t="n"/>
      <c r="N373" s="3934" t="n"/>
      <c r="O373" s="3934" t="n"/>
      <c r="P373" s="3934" t="n"/>
      <c r="Q373" s="3934" t="n"/>
      <c r="R373" s="3934" t="n"/>
      <c r="S373" s="3934" t="n"/>
      <c r="T373" s="3934" t="n"/>
      <c r="U373" s="3934" t="n"/>
      <c r="V373" s="3934" t="n"/>
      <c r="W373" s="3934" t="n"/>
      <c r="X373" s="3934" t="n"/>
      <c r="Y373" s="3934" t="n"/>
      <c r="Z373" s="3934" t="n"/>
      <c r="AA373" s="3934" t="n"/>
      <c r="AB373" s="3934" t="n"/>
      <c r="AC373" s="3934" t="n"/>
      <c r="AD373" s="3934" t="n"/>
      <c r="AE373" s="3934" t="n"/>
      <c r="AF373" s="3934" t="n"/>
      <c r="AG373" s="3934" t="n"/>
      <c r="AH373" s="3934" t="n"/>
      <c r="AI373" s="3934" t="n"/>
      <c r="AJ373" s="3934" t="n"/>
      <c r="AK373" s="3934" t="n"/>
      <c r="AL373" s="3934" t="n"/>
      <c r="AM373" s="3934" t="n"/>
      <c r="AN373" s="3934" t="n"/>
      <c r="AO373" s="3934" t="n"/>
      <c r="AP373" s="3934" t="n"/>
      <c r="AQ373" s="3934" t="n"/>
      <c r="AR373" s="3934" t="n"/>
    </row>
    <row r="374">
      <c r="A374" s="3944" t="n"/>
      <c r="B374" s="3944" t="n"/>
      <c r="C374" s="3944" t="n"/>
      <c r="D374" s="3944" t="n"/>
      <c r="E374" s="3944" t="n"/>
      <c r="F374" s="3944" t="n"/>
      <c r="G374" s="3944" t="n"/>
      <c r="H374" s="3944" t="n"/>
      <c r="I374" s="3934" t="n"/>
      <c r="J374" s="3934" t="n"/>
      <c r="K374" s="3934" t="n"/>
      <c r="L374" s="3934" t="n"/>
      <c r="M374" s="3934" t="n"/>
      <c r="N374" s="3934" t="n"/>
      <c r="O374" s="3934" t="n"/>
      <c r="P374" s="3934" t="n"/>
      <c r="Q374" s="3934" t="n"/>
      <c r="R374" s="3934" t="n"/>
      <c r="S374" s="3934" t="n"/>
      <c r="T374" s="3934" t="n"/>
      <c r="U374" s="3934" t="n"/>
      <c r="V374" s="3934" t="n"/>
      <c r="W374" s="3934" t="n"/>
      <c r="X374" s="3934" t="n"/>
      <c r="Y374" s="3934" t="n"/>
      <c r="Z374" s="3934" t="n"/>
      <c r="AA374" s="3934" t="n"/>
      <c r="AB374" s="3934" t="n"/>
      <c r="AC374" s="3934" t="n"/>
      <c r="AD374" s="3934" t="n"/>
      <c r="AE374" s="3934" t="n"/>
      <c r="AF374" s="3934" t="n"/>
      <c r="AG374" s="3934" t="n"/>
      <c r="AH374" s="3934" t="n"/>
      <c r="AI374" s="3934" t="n"/>
      <c r="AJ374" s="3934" t="n"/>
      <c r="AK374" s="3934" t="n"/>
      <c r="AL374" s="3934" t="n"/>
      <c r="AM374" s="3934" t="n"/>
      <c r="AN374" s="3934" t="n"/>
      <c r="AO374" s="3934" t="n"/>
      <c r="AP374" s="3934" t="n"/>
      <c r="AQ374" s="3934" t="n"/>
      <c r="AR374" s="3934" t="n"/>
    </row>
    <row r="375">
      <c r="A375" s="3944" t="n"/>
      <c r="B375" s="3944" t="n"/>
      <c r="C375" s="3944" t="n"/>
      <c r="D375" s="3944" t="n"/>
      <c r="E375" s="3944" t="n"/>
      <c r="F375" s="3944" t="n"/>
      <c r="G375" s="3944" t="n"/>
      <c r="H375" s="3944" t="n"/>
      <c r="I375" s="3934" t="n"/>
      <c r="J375" s="3934" t="n"/>
      <c r="K375" s="3934" t="n"/>
      <c r="L375" s="3934" t="n"/>
      <c r="M375" s="3934" t="n"/>
      <c r="N375" s="3934" t="n"/>
      <c r="O375" s="3934" t="n"/>
      <c r="P375" s="3934" t="n"/>
      <c r="Q375" s="3934" t="n"/>
      <c r="R375" s="3934" t="n"/>
      <c r="S375" s="3934" t="n"/>
      <c r="T375" s="3934" t="n"/>
      <c r="U375" s="3934" t="n"/>
      <c r="V375" s="3934" t="n"/>
      <c r="W375" s="3934" t="n"/>
      <c r="X375" s="3934" t="n"/>
      <c r="Y375" s="3934" t="n"/>
      <c r="Z375" s="3934" t="n"/>
      <c r="AA375" s="3934" t="n"/>
      <c r="AB375" s="3934" t="n"/>
      <c r="AC375" s="3934" t="n"/>
      <c r="AD375" s="3934" t="n"/>
      <c r="AE375" s="3934" t="n"/>
      <c r="AF375" s="3934" t="n"/>
      <c r="AG375" s="3934" t="n"/>
      <c r="AH375" s="3934" t="n"/>
      <c r="AI375" s="3934" t="n"/>
      <c r="AJ375" s="3934" t="n"/>
      <c r="AK375" s="3934" t="n"/>
      <c r="AL375" s="3934" t="n"/>
      <c r="AM375" s="3934" t="n"/>
      <c r="AN375" s="3934" t="n"/>
      <c r="AO375" s="3934" t="n"/>
      <c r="AP375" s="3934" t="n"/>
      <c r="AQ375" s="3934" t="n"/>
      <c r="AR375" s="3934" t="n"/>
    </row>
    <row r="376">
      <c r="A376" s="3944" t="n"/>
      <c r="B376" s="3944" t="n"/>
      <c r="C376" s="3944" t="n"/>
      <c r="D376" s="3944" t="n"/>
      <c r="E376" s="3944" t="n"/>
      <c r="F376" s="3944" t="n"/>
      <c r="G376" s="3944" t="n"/>
      <c r="H376" s="3944" t="n"/>
      <c r="I376" s="3934" t="n"/>
      <c r="J376" s="3934" t="n"/>
      <c r="K376" s="3934" t="n"/>
      <c r="L376" s="3934" t="n"/>
      <c r="M376" s="3934" t="n"/>
      <c r="N376" s="3934" t="n"/>
      <c r="O376" s="3934" t="n"/>
      <c r="P376" s="3934" t="n"/>
      <c r="Q376" s="3934" t="n"/>
      <c r="R376" s="3934" t="n"/>
      <c r="S376" s="3934" t="n"/>
      <c r="T376" s="3934" t="n"/>
      <c r="U376" s="3934" t="n"/>
      <c r="V376" s="3934" t="n"/>
      <c r="W376" s="3934" t="n"/>
      <c r="X376" s="3934" t="n"/>
      <c r="Y376" s="3934" t="n"/>
      <c r="Z376" s="3934" t="n"/>
      <c r="AA376" s="3934" t="n"/>
      <c r="AB376" s="3934" t="n"/>
      <c r="AC376" s="3934" t="n"/>
      <c r="AD376" s="3934" t="n"/>
      <c r="AE376" s="3934" t="n"/>
      <c r="AF376" s="3934" t="n"/>
      <c r="AG376" s="3934" t="n"/>
      <c r="AH376" s="3934" t="n"/>
      <c r="AI376" s="3934" t="n"/>
      <c r="AJ376" s="3934" t="n"/>
      <c r="AK376" s="3934" t="n"/>
      <c r="AL376" s="3934" t="n"/>
      <c r="AM376" s="3934" t="n"/>
      <c r="AN376" s="3934" t="n"/>
      <c r="AO376" s="3934" t="n"/>
      <c r="AP376" s="3934" t="n"/>
      <c r="AQ376" s="3934" t="n"/>
      <c r="AR376" s="3934" t="n"/>
    </row>
    <row r="377">
      <c r="A377" s="3944" t="n"/>
      <c r="B377" s="3944" t="n"/>
      <c r="C377" s="3944" t="n"/>
      <c r="D377" s="3944" t="n"/>
      <c r="E377" s="3944" t="n"/>
      <c r="F377" s="3944" t="n"/>
      <c r="G377" s="3944" t="n"/>
      <c r="H377" s="3944" t="n"/>
      <c r="I377" s="3934" t="n"/>
      <c r="J377" s="3934" t="n"/>
      <c r="K377" s="3934" t="n"/>
      <c r="L377" s="3934" t="n"/>
      <c r="M377" s="3934" t="n"/>
      <c r="N377" s="3934" t="n"/>
      <c r="O377" s="3934" t="n"/>
      <c r="P377" s="3934" t="n"/>
      <c r="Q377" s="3934" t="n"/>
      <c r="R377" s="3934" t="n"/>
      <c r="S377" s="3934" t="n"/>
      <c r="T377" s="3934" t="n"/>
      <c r="U377" s="3934" t="n"/>
      <c r="V377" s="3934" t="n"/>
      <c r="W377" s="3934" t="n"/>
      <c r="X377" s="3934" t="n"/>
      <c r="Y377" s="3934" t="n"/>
      <c r="Z377" s="3934" t="n"/>
      <c r="AA377" s="3934" t="n"/>
      <c r="AB377" s="3934" t="n"/>
      <c r="AC377" s="3934" t="n"/>
      <c r="AD377" s="3934" t="n"/>
      <c r="AE377" s="3934" t="n"/>
      <c r="AF377" s="3934" t="n"/>
      <c r="AG377" s="3934" t="n"/>
      <c r="AH377" s="3934" t="n"/>
      <c r="AI377" s="3934" t="n"/>
      <c r="AJ377" s="3934" t="n"/>
      <c r="AK377" s="3934" t="n"/>
      <c r="AL377" s="3934" t="n"/>
      <c r="AM377" s="3934" t="n"/>
      <c r="AN377" s="3934" t="n"/>
      <c r="AO377" s="3934" t="n"/>
      <c r="AP377" s="3934" t="n"/>
      <c r="AQ377" s="3934" t="n"/>
      <c r="AR377" s="3934" t="n"/>
    </row>
    <row r="378">
      <c r="A378" s="3944" t="n"/>
      <c r="B378" s="3944" t="n"/>
      <c r="C378" s="3944" t="n"/>
      <c r="D378" s="3944" t="n"/>
      <c r="E378" s="3944" t="n"/>
      <c r="F378" s="3944" t="n"/>
      <c r="G378" s="3944" t="n"/>
      <c r="H378" s="3944" t="n"/>
      <c r="I378" s="3934" t="n"/>
      <c r="J378" s="3934" t="n"/>
      <c r="K378" s="3934" t="n"/>
      <c r="L378" s="3934" t="n"/>
      <c r="M378" s="3934" t="n"/>
      <c r="N378" s="3934" t="n"/>
      <c r="O378" s="3934" t="n"/>
      <c r="P378" s="3934" t="n"/>
      <c r="Q378" s="3934" t="n"/>
      <c r="R378" s="3934" t="n"/>
      <c r="S378" s="3934" t="n"/>
      <c r="T378" s="3934" t="n"/>
      <c r="U378" s="3934" t="n"/>
      <c r="V378" s="3934" t="n"/>
      <c r="W378" s="3934" t="n"/>
      <c r="X378" s="3934" t="n"/>
      <c r="Y378" s="3934" t="n"/>
      <c r="Z378" s="3934" t="n"/>
      <c r="AA378" s="3934" t="n"/>
      <c r="AB378" s="3934" t="n"/>
      <c r="AC378" s="3934" t="n"/>
      <c r="AD378" s="3934" t="n"/>
      <c r="AE378" s="3934" t="n"/>
      <c r="AF378" s="3934" t="n"/>
      <c r="AG378" s="3934" t="n"/>
      <c r="AH378" s="3934" t="n"/>
      <c r="AI378" s="3934" t="n"/>
      <c r="AJ378" s="3934" t="n"/>
      <c r="AK378" s="3934" t="n"/>
      <c r="AL378" s="3934" t="n"/>
      <c r="AM378" s="3934" t="n"/>
      <c r="AN378" s="3934" t="n"/>
      <c r="AO378" s="3934" t="n"/>
      <c r="AP378" s="3934" t="n"/>
      <c r="AQ378" s="3934" t="n"/>
      <c r="AR378" s="3934" t="n"/>
    </row>
    <row r="379">
      <c r="A379" s="3944" t="n"/>
      <c r="B379" s="3944" t="n"/>
      <c r="C379" s="3944" t="n"/>
      <c r="D379" s="3944" t="n"/>
      <c r="E379" s="3944" t="n"/>
      <c r="F379" s="3944" t="n"/>
      <c r="G379" s="3944" t="n"/>
      <c r="H379" s="3944" t="n"/>
      <c r="I379" s="3934" t="n"/>
      <c r="J379" s="3934" t="n"/>
      <c r="K379" s="3934" t="n"/>
      <c r="L379" s="3934" t="n"/>
      <c r="M379" s="3934" t="n"/>
      <c r="N379" s="3934" t="n"/>
      <c r="O379" s="3934" t="n"/>
      <c r="P379" s="3934" t="n"/>
      <c r="Q379" s="3934" t="n"/>
      <c r="R379" s="3934" t="n"/>
      <c r="S379" s="3934" t="n"/>
      <c r="T379" s="3934" t="n"/>
      <c r="U379" s="3934" t="n"/>
      <c r="V379" s="3934" t="n"/>
      <c r="W379" s="3934" t="n"/>
      <c r="X379" s="3934" t="n"/>
      <c r="Y379" s="3934" t="n"/>
      <c r="Z379" s="3934" t="n"/>
      <c r="AA379" s="3934" t="n"/>
      <c r="AB379" s="3934" t="n"/>
      <c r="AC379" s="3934" t="n"/>
      <c r="AD379" s="3934" t="n"/>
      <c r="AE379" s="3934" t="n"/>
      <c r="AF379" s="3934" t="n"/>
      <c r="AG379" s="3934" t="n"/>
      <c r="AH379" s="3934" t="n"/>
      <c r="AI379" s="3934" t="n"/>
      <c r="AJ379" s="3934" t="n"/>
      <c r="AK379" s="3934" t="n"/>
      <c r="AL379" s="3934" t="n"/>
      <c r="AM379" s="3934" t="n"/>
      <c r="AN379" s="3934" t="n"/>
      <c r="AO379" s="3934" t="n"/>
      <c r="AP379" s="3934" t="n"/>
      <c r="AQ379" s="3934" t="n"/>
      <c r="AR379" s="3934" t="n"/>
    </row>
    <row r="380">
      <c r="A380" s="3944" t="n"/>
      <c r="B380" s="3944" t="n"/>
      <c r="C380" s="3944" t="n"/>
      <c r="D380" s="3944" t="n"/>
      <c r="E380" s="3944" t="n"/>
      <c r="F380" s="3944" t="n"/>
      <c r="G380" s="3944" t="n"/>
      <c r="H380" s="3944" t="n"/>
      <c r="I380" s="3934" t="n"/>
      <c r="J380" s="3934" t="n"/>
      <c r="K380" s="3934" t="n"/>
      <c r="L380" s="3934" t="n"/>
      <c r="M380" s="3934" t="n"/>
      <c r="N380" s="3934" t="n"/>
      <c r="O380" s="3934" t="n"/>
      <c r="P380" s="3934" t="n"/>
      <c r="Q380" s="3934" t="n"/>
      <c r="R380" s="3934" t="n"/>
      <c r="S380" s="3934" t="n"/>
      <c r="T380" s="3934" t="n"/>
      <c r="U380" s="3934" t="n"/>
      <c r="V380" s="3934" t="n"/>
      <c r="W380" s="3934" t="n"/>
      <c r="X380" s="3934" t="n"/>
      <c r="Y380" s="3934" t="n"/>
      <c r="Z380" s="3934" t="n"/>
      <c r="AA380" s="3934" t="n"/>
      <c r="AB380" s="3934" t="n"/>
      <c r="AC380" s="3934" t="n"/>
      <c r="AD380" s="3934" t="n"/>
      <c r="AE380" s="3934" t="n"/>
      <c r="AF380" s="3934" t="n"/>
      <c r="AG380" s="3934" t="n"/>
      <c r="AH380" s="3934" t="n"/>
      <c r="AI380" s="3934" t="n"/>
      <c r="AJ380" s="3934" t="n"/>
      <c r="AK380" s="3934" t="n"/>
      <c r="AL380" s="3934" t="n"/>
      <c r="AM380" s="3934" t="n"/>
      <c r="AN380" s="3934" t="n"/>
      <c r="AO380" s="3934" t="n"/>
      <c r="AP380" s="3934" t="n"/>
      <c r="AQ380" s="3934" t="n"/>
      <c r="AR380" s="3934" t="n"/>
    </row>
    <row r="381">
      <c r="A381" s="3944" t="n"/>
      <c r="B381" s="3944" t="n"/>
      <c r="C381" s="3944" t="n"/>
      <c r="D381" s="3944" t="n"/>
      <c r="E381" s="3944" t="n"/>
      <c r="F381" s="3944" t="n"/>
      <c r="G381" s="3944" t="n"/>
      <c r="H381" s="3944" t="n"/>
      <c r="I381" s="3934" t="n"/>
      <c r="J381" s="3934" t="n"/>
      <c r="K381" s="3934" t="n"/>
      <c r="L381" s="3934" t="n"/>
      <c r="M381" s="3934" t="n"/>
      <c r="N381" s="3934" t="n"/>
      <c r="O381" s="3934" t="n"/>
      <c r="P381" s="3934" t="n"/>
      <c r="Q381" s="3934" t="n"/>
      <c r="R381" s="3934" t="n"/>
      <c r="S381" s="3934" t="n"/>
      <c r="T381" s="3934" t="n"/>
      <c r="U381" s="3934" t="n"/>
      <c r="V381" s="3934" t="n"/>
      <c r="W381" s="3934" t="n"/>
      <c r="X381" s="3934" t="n"/>
      <c r="Y381" s="3934" t="n"/>
      <c r="Z381" s="3934" t="n"/>
      <c r="AA381" s="3934" t="n"/>
      <c r="AB381" s="3934" t="n"/>
      <c r="AC381" s="3934" t="n"/>
      <c r="AD381" s="3934" t="n"/>
      <c r="AE381" s="3934" t="n"/>
      <c r="AF381" s="3934" t="n"/>
      <c r="AG381" s="3934" t="n"/>
      <c r="AH381" s="3934" t="n"/>
      <c r="AI381" s="3934" t="n"/>
      <c r="AJ381" s="3934" t="n"/>
      <c r="AK381" s="3934" t="n"/>
      <c r="AL381" s="3934" t="n"/>
      <c r="AM381" s="3934" t="n"/>
      <c r="AN381" s="3934" t="n"/>
      <c r="AO381" s="3934" t="n"/>
      <c r="AP381" s="3934" t="n"/>
      <c r="AQ381" s="3934" t="n"/>
      <c r="AR381" s="3934" t="n"/>
    </row>
    <row r="382">
      <c r="A382" s="3944" t="n"/>
      <c r="B382" s="3944" t="n"/>
      <c r="C382" s="3944" t="n"/>
      <c r="D382" s="3944" t="n"/>
      <c r="E382" s="3944" t="n"/>
      <c r="F382" s="3944" t="n"/>
      <c r="G382" s="3944" t="n"/>
      <c r="H382" s="3944" t="n"/>
      <c r="I382" s="3934" t="n"/>
      <c r="J382" s="3934" t="n"/>
      <c r="K382" s="3934" t="n"/>
      <c r="L382" s="3934" t="n"/>
      <c r="M382" s="3934" t="n"/>
      <c r="N382" s="3934" t="n"/>
      <c r="O382" s="3934" t="n"/>
      <c r="P382" s="3934" t="n"/>
      <c r="Q382" s="3934" t="n"/>
      <c r="R382" s="3934" t="n"/>
      <c r="S382" s="3934" t="n"/>
      <c r="T382" s="3934" t="n"/>
      <c r="U382" s="3934" t="n"/>
      <c r="V382" s="3934" t="n"/>
      <c r="W382" s="3934" t="n"/>
      <c r="X382" s="3934" t="n"/>
      <c r="Y382" s="3934" t="n"/>
      <c r="Z382" s="3934" t="n"/>
      <c r="AA382" s="3934" t="n"/>
      <c r="AB382" s="3934" t="n"/>
      <c r="AC382" s="3934" t="n"/>
      <c r="AD382" s="3934" t="n"/>
      <c r="AE382" s="3934" t="n"/>
      <c r="AF382" s="3934" t="n"/>
      <c r="AG382" s="3934" t="n"/>
      <c r="AH382" s="3934" t="n"/>
      <c r="AI382" s="3934" t="n"/>
      <c r="AJ382" s="3934" t="n"/>
      <c r="AK382" s="3934" t="n"/>
      <c r="AL382" s="3934" t="n"/>
      <c r="AM382" s="3934" t="n"/>
      <c r="AN382" s="3934" t="n"/>
      <c r="AO382" s="3934" t="n"/>
      <c r="AP382" s="3934" t="n"/>
      <c r="AQ382" s="3934" t="n"/>
      <c r="AR382" s="3934" t="n"/>
    </row>
    <row r="383">
      <c r="A383" s="3944" t="n"/>
      <c r="B383" s="3944" t="n"/>
      <c r="C383" s="3944" t="n"/>
      <c r="D383" s="3944" t="n"/>
      <c r="E383" s="3944" t="n"/>
      <c r="F383" s="3944" t="n"/>
      <c r="G383" s="3944" t="n"/>
      <c r="H383" s="3944" t="n"/>
      <c r="I383" s="3934" t="n"/>
      <c r="J383" s="3934" t="n"/>
      <c r="K383" s="3934" t="n"/>
      <c r="L383" s="3934" t="n"/>
      <c r="M383" s="3934" t="n"/>
      <c r="N383" s="3934" t="n"/>
      <c r="O383" s="3934" t="n"/>
      <c r="P383" s="3934" t="n"/>
      <c r="Q383" s="3934" t="n"/>
      <c r="R383" s="3934" t="n"/>
      <c r="S383" s="3934" t="n"/>
      <c r="T383" s="3934" t="n"/>
      <c r="U383" s="3934" t="n"/>
      <c r="V383" s="3934" t="n"/>
      <c r="W383" s="3934" t="n"/>
      <c r="X383" s="3934" t="n"/>
      <c r="Y383" s="3934" t="n"/>
      <c r="Z383" s="3934" t="n"/>
      <c r="AA383" s="3934" t="n"/>
      <c r="AB383" s="3934" t="n"/>
      <c r="AC383" s="3934" t="n"/>
      <c r="AD383" s="3934" t="n"/>
      <c r="AE383" s="3934" t="n"/>
      <c r="AF383" s="3934" t="n"/>
      <c r="AG383" s="3934" t="n"/>
      <c r="AH383" s="3934" t="n"/>
      <c r="AI383" s="3934" t="n"/>
      <c r="AJ383" s="3934" t="n"/>
      <c r="AK383" s="3934" t="n"/>
      <c r="AL383" s="3934" t="n"/>
      <c r="AM383" s="3934" t="n"/>
      <c r="AN383" s="3934" t="n"/>
      <c r="AO383" s="3934" t="n"/>
      <c r="AP383" s="3934" t="n"/>
      <c r="AQ383" s="3934" t="n"/>
      <c r="AR383" s="3934" t="n"/>
    </row>
    <row r="384">
      <c r="A384" s="3944" t="n"/>
      <c r="B384" s="3944" t="n"/>
      <c r="C384" s="3944" t="n"/>
      <c r="D384" s="3944" t="n"/>
      <c r="E384" s="3944" t="n"/>
      <c r="F384" s="3944" t="n"/>
      <c r="G384" s="3944" t="n"/>
      <c r="H384" s="3944" t="n"/>
      <c r="I384" s="3934" t="n"/>
      <c r="J384" s="3934" t="n"/>
      <c r="K384" s="3934" t="n"/>
      <c r="L384" s="3934" t="n"/>
      <c r="M384" s="3934" t="n"/>
      <c r="N384" s="3934" t="n"/>
      <c r="O384" s="3934" t="n"/>
      <c r="P384" s="3934" t="n"/>
      <c r="Q384" s="3934" t="n"/>
      <c r="R384" s="3934" t="n"/>
      <c r="S384" s="3934" t="n"/>
      <c r="T384" s="3934" t="n"/>
      <c r="U384" s="3934" t="n"/>
      <c r="V384" s="3934" t="n"/>
      <c r="W384" s="3934" t="n"/>
      <c r="X384" s="3934" t="n"/>
      <c r="Y384" s="3934" t="n"/>
      <c r="Z384" s="3934" t="n"/>
      <c r="AA384" s="3934" t="n"/>
      <c r="AB384" s="3934" t="n"/>
      <c r="AC384" s="3934" t="n"/>
      <c r="AD384" s="3934" t="n"/>
      <c r="AE384" s="3934" t="n"/>
      <c r="AF384" s="3934" t="n"/>
      <c r="AG384" s="3934" t="n"/>
      <c r="AH384" s="3934" t="n"/>
      <c r="AI384" s="3934" t="n"/>
      <c r="AJ384" s="3934" t="n"/>
      <c r="AK384" s="3934" t="n"/>
      <c r="AL384" s="3934" t="n"/>
      <c r="AM384" s="3934" t="n"/>
      <c r="AN384" s="3934" t="n"/>
      <c r="AO384" s="3934" t="n"/>
      <c r="AP384" s="3934" t="n"/>
      <c r="AQ384" s="3934" t="n"/>
      <c r="AR384" s="3934" t="n"/>
    </row>
    <row r="385">
      <c r="A385" s="3944" t="n"/>
      <c r="B385" s="3944" t="n"/>
      <c r="C385" s="3944" t="n"/>
      <c r="D385" s="3944" t="n"/>
      <c r="E385" s="3944" t="n"/>
      <c r="F385" s="3944" t="n"/>
      <c r="G385" s="3944" t="n"/>
      <c r="H385" s="3944" t="n"/>
      <c r="I385" s="3934" t="n"/>
      <c r="J385" s="3934" t="n"/>
      <c r="K385" s="3934" t="n"/>
      <c r="L385" s="3934" t="n"/>
      <c r="M385" s="3934" t="n"/>
      <c r="N385" s="3934" t="n"/>
      <c r="O385" s="3934" t="n"/>
      <c r="P385" s="3934" t="n"/>
      <c r="Q385" s="3934" t="n"/>
      <c r="R385" s="3934" t="n"/>
      <c r="S385" s="3934" t="n"/>
      <c r="T385" s="3934" t="n"/>
      <c r="U385" s="3934" t="n"/>
      <c r="V385" s="3934" t="n"/>
      <c r="W385" s="3934" t="n"/>
      <c r="X385" s="3934" t="n"/>
      <c r="Y385" s="3934" t="n"/>
      <c r="Z385" s="3934" t="n"/>
      <c r="AA385" s="3934" t="n"/>
      <c r="AB385" s="3934" t="n"/>
      <c r="AC385" s="3934" t="n"/>
      <c r="AD385" s="3934" t="n"/>
      <c r="AE385" s="3934" t="n"/>
      <c r="AF385" s="3934" t="n"/>
      <c r="AG385" s="3934" t="n"/>
      <c r="AH385" s="3934" t="n"/>
      <c r="AI385" s="3934" t="n"/>
      <c r="AJ385" s="3934" t="n"/>
      <c r="AK385" s="3934" t="n"/>
      <c r="AL385" s="3934" t="n"/>
      <c r="AM385" s="3934" t="n"/>
      <c r="AN385" s="3934" t="n"/>
      <c r="AO385" s="3934" t="n"/>
      <c r="AP385" s="3934" t="n"/>
      <c r="AQ385" s="3934" t="n"/>
      <c r="AR385" s="3934" t="n"/>
    </row>
    <row r="386">
      <c r="A386" s="3944" t="n"/>
      <c r="B386" s="3944" t="n"/>
      <c r="C386" s="3944" t="n"/>
      <c r="D386" s="3944" t="n"/>
      <c r="E386" s="3944" t="n"/>
      <c r="F386" s="3944" t="n"/>
      <c r="G386" s="3944" t="n"/>
      <c r="H386" s="3944" t="n"/>
      <c r="I386" s="3934" t="n"/>
      <c r="J386" s="3934" t="n"/>
      <c r="K386" s="3934" t="n"/>
      <c r="L386" s="3934" t="n"/>
      <c r="M386" s="3934" t="n"/>
      <c r="N386" s="3934" t="n"/>
      <c r="O386" s="3934" t="n"/>
      <c r="P386" s="3934" t="n"/>
      <c r="Q386" s="3934" t="n"/>
      <c r="R386" s="3934" t="n"/>
      <c r="S386" s="3934" t="n"/>
      <c r="T386" s="3934" t="n"/>
      <c r="U386" s="3934" t="n"/>
      <c r="V386" s="3934" t="n"/>
      <c r="W386" s="3934" t="n"/>
      <c r="X386" s="3934" t="n"/>
      <c r="Y386" s="3934" t="n"/>
      <c r="Z386" s="3934" t="n"/>
      <c r="AA386" s="3934" t="n"/>
      <c r="AB386" s="3934" t="n"/>
      <c r="AC386" s="3934" t="n"/>
      <c r="AD386" s="3934" t="n"/>
      <c r="AE386" s="3934" t="n"/>
      <c r="AF386" s="3934" t="n"/>
      <c r="AG386" s="3934" t="n"/>
      <c r="AH386" s="3934" t="n"/>
      <c r="AI386" s="3934" t="n"/>
      <c r="AJ386" s="3934" t="n"/>
      <c r="AK386" s="3934" t="n"/>
      <c r="AL386" s="3934" t="n"/>
      <c r="AM386" s="3934" t="n"/>
      <c r="AN386" s="3934" t="n"/>
      <c r="AO386" s="3934" t="n"/>
      <c r="AP386" s="3934" t="n"/>
      <c r="AQ386" s="3934" t="n"/>
      <c r="AR386" s="3934" t="n"/>
    </row>
    <row r="387">
      <c r="A387" s="3944" t="n"/>
      <c r="B387" s="3944" t="n"/>
      <c r="C387" s="3944" t="n"/>
      <c r="D387" s="3944" t="n"/>
      <c r="E387" s="3944" t="n"/>
      <c r="F387" s="3944" t="n"/>
      <c r="G387" s="3944" t="n"/>
      <c r="H387" s="3944" t="n"/>
      <c r="I387" s="3934" t="n"/>
      <c r="J387" s="3934" t="n"/>
      <c r="K387" s="3934" t="n"/>
      <c r="L387" s="3934" t="n"/>
      <c r="M387" s="3934" t="n"/>
      <c r="N387" s="3934" t="n"/>
      <c r="O387" s="3934" t="n"/>
      <c r="P387" s="3934" t="n"/>
      <c r="Q387" s="3934" t="n"/>
      <c r="R387" s="3934" t="n"/>
      <c r="S387" s="3934" t="n"/>
      <c r="T387" s="3934" t="n"/>
      <c r="U387" s="3934" t="n"/>
      <c r="V387" s="3934" t="n"/>
      <c r="W387" s="3934" t="n"/>
      <c r="X387" s="3934" t="n"/>
      <c r="Y387" s="3934" t="n"/>
      <c r="Z387" s="3934" t="n"/>
      <c r="AA387" s="3934" t="n"/>
      <c r="AB387" s="3934" t="n"/>
      <c r="AC387" s="3934" t="n"/>
      <c r="AD387" s="3934" t="n"/>
      <c r="AE387" s="3934" t="n"/>
      <c r="AF387" s="3934" t="n"/>
      <c r="AG387" s="3934" t="n"/>
      <c r="AH387" s="3934" t="n"/>
      <c r="AI387" s="3934" t="n"/>
      <c r="AJ387" s="3934" t="n"/>
      <c r="AK387" s="3934" t="n"/>
      <c r="AL387" s="3934" t="n"/>
      <c r="AM387" s="3934" t="n"/>
      <c r="AN387" s="3934" t="n"/>
      <c r="AO387" s="3934" t="n"/>
      <c r="AP387" s="3934" t="n"/>
      <c r="AQ387" s="3934" t="n"/>
      <c r="AR387" s="3934" t="n"/>
    </row>
    <row r="388">
      <c r="A388" s="3944" t="n"/>
      <c r="B388" s="3944" t="n"/>
      <c r="C388" s="3944" t="n"/>
      <c r="D388" s="3944" t="n"/>
      <c r="E388" s="3944" t="n"/>
      <c r="F388" s="3944" t="n"/>
      <c r="G388" s="3944" t="n"/>
      <c r="H388" s="3944" t="n"/>
      <c r="I388" s="3934" t="n"/>
      <c r="J388" s="3934" t="n"/>
      <c r="K388" s="3934" t="n"/>
      <c r="L388" s="3934" t="n"/>
      <c r="M388" s="3934" t="n"/>
      <c r="N388" s="3934" t="n"/>
      <c r="O388" s="3934" t="n"/>
      <c r="P388" s="3934" t="n"/>
      <c r="Q388" s="3934" t="n"/>
      <c r="R388" s="3934" t="n"/>
      <c r="S388" s="3934" t="n"/>
      <c r="T388" s="3934" t="n"/>
      <c r="U388" s="3934" t="n"/>
      <c r="V388" s="3934" t="n"/>
      <c r="W388" s="3934" t="n"/>
      <c r="X388" s="3934" t="n"/>
      <c r="Y388" s="3934" t="n"/>
      <c r="Z388" s="3934" t="n"/>
      <c r="AA388" s="3934" t="n"/>
      <c r="AB388" s="3934" t="n"/>
      <c r="AC388" s="3934" t="n"/>
      <c r="AD388" s="3934" t="n"/>
      <c r="AE388" s="3934" t="n"/>
      <c r="AF388" s="3934" t="n"/>
      <c r="AG388" s="3934" t="n"/>
      <c r="AH388" s="3934" t="n"/>
      <c r="AI388" s="3934" t="n"/>
      <c r="AJ388" s="3934" t="n"/>
      <c r="AK388" s="3934" t="n"/>
      <c r="AL388" s="3934" t="n"/>
      <c r="AM388" s="3934" t="n"/>
      <c r="AN388" s="3934" t="n"/>
      <c r="AO388" s="3934" t="n"/>
      <c r="AP388" s="3934" t="n"/>
      <c r="AQ388" s="3934" t="n"/>
      <c r="AR388" s="3934" t="n"/>
    </row>
    <row r="389">
      <c r="A389" s="3944" t="n"/>
      <c r="B389" s="3944" t="n"/>
      <c r="C389" s="3944" t="n"/>
      <c r="D389" s="3944" t="n"/>
      <c r="E389" s="3944" t="n"/>
      <c r="F389" s="3944" t="n"/>
      <c r="G389" s="3944" t="n"/>
      <c r="H389" s="3944" t="n"/>
      <c r="I389" s="3934" t="n"/>
      <c r="J389" s="3934" t="n"/>
      <c r="K389" s="3934" t="n"/>
      <c r="L389" s="3934" t="n"/>
      <c r="M389" s="3934" t="n"/>
      <c r="N389" s="3934" t="n"/>
      <c r="O389" s="3934" t="n"/>
      <c r="P389" s="3934" t="n"/>
      <c r="Q389" s="3934" t="n"/>
      <c r="R389" s="3934" t="n"/>
      <c r="S389" s="3934" t="n"/>
      <c r="T389" s="3934" t="n"/>
      <c r="U389" s="3934" t="n"/>
      <c r="V389" s="3934" t="n"/>
      <c r="W389" s="3934" t="n"/>
      <c r="X389" s="3934" t="n"/>
      <c r="Y389" s="3934" t="n"/>
      <c r="Z389" s="3934" t="n"/>
      <c r="AA389" s="3934" t="n"/>
      <c r="AB389" s="3934" t="n"/>
      <c r="AC389" s="3934" t="n"/>
      <c r="AD389" s="3934" t="n"/>
      <c r="AE389" s="3934" t="n"/>
      <c r="AF389" s="3934" t="n"/>
      <c r="AG389" s="3934" t="n"/>
      <c r="AH389" s="3934" t="n"/>
      <c r="AI389" s="3934" t="n"/>
      <c r="AJ389" s="3934" t="n"/>
      <c r="AK389" s="3934" t="n"/>
      <c r="AL389" s="3934" t="n"/>
      <c r="AM389" s="3934" t="n"/>
      <c r="AN389" s="3934" t="n"/>
      <c r="AO389" s="3934" t="n"/>
      <c r="AP389" s="3934" t="n"/>
      <c r="AQ389" s="3934" t="n"/>
      <c r="AR389" s="3934" t="n"/>
    </row>
    <row r="390">
      <c r="A390" s="3944" t="n"/>
      <c r="B390" s="3944" t="n"/>
      <c r="C390" s="3944" t="n"/>
      <c r="D390" s="3944" t="n"/>
      <c r="E390" s="3944" t="n"/>
      <c r="F390" s="3944" t="n"/>
      <c r="G390" s="3944" t="n"/>
      <c r="H390" s="3944" t="n"/>
      <c r="I390" s="3934" t="n"/>
      <c r="J390" s="3934" t="n"/>
      <c r="K390" s="3934" t="n"/>
      <c r="L390" s="3934" t="n"/>
      <c r="M390" s="3934" t="n"/>
      <c r="N390" s="3934" t="n"/>
      <c r="O390" s="3934" t="n"/>
      <c r="P390" s="3934" t="n"/>
      <c r="Q390" s="3934" t="n"/>
      <c r="R390" s="3934" t="n"/>
      <c r="S390" s="3934" t="n"/>
      <c r="T390" s="3934" t="n"/>
      <c r="U390" s="3934" t="n"/>
      <c r="V390" s="3934" t="n"/>
      <c r="W390" s="3934" t="n"/>
      <c r="X390" s="3934" t="n"/>
      <c r="Y390" s="3934" t="n"/>
      <c r="Z390" s="3934" t="n"/>
      <c r="AA390" s="3934" t="n"/>
      <c r="AB390" s="3934" t="n"/>
      <c r="AC390" s="3934" t="n"/>
      <c r="AD390" s="3934" t="n"/>
      <c r="AE390" s="3934" t="n"/>
      <c r="AF390" s="3934" t="n"/>
      <c r="AG390" s="3934" t="n"/>
      <c r="AH390" s="3934" t="n"/>
      <c r="AI390" s="3934" t="n"/>
      <c r="AJ390" s="3934" t="n"/>
      <c r="AK390" s="3934" t="n"/>
      <c r="AL390" s="3934" t="n"/>
      <c r="AM390" s="3934" t="n"/>
      <c r="AN390" s="3934" t="n"/>
      <c r="AO390" s="3934" t="n"/>
      <c r="AP390" s="3934" t="n"/>
      <c r="AQ390" s="3934" t="n"/>
      <c r="AR390" s="3934" t="n"/>
    </row>
    <row r="391">
      <c r="A391" s="3944" t="n"/>
      <c r="B391" s="3944" t="n"/>
      <c r="C391" s="3944" t="n"/>
      <c r="D391" s="3944" t="n"/>
      <c r="E391" s="3944" t="n"/>
      <c r="F391" s="3944" t="n"/>
      <c r="G391" s="3944" t="n"/>
      <c r="H391" s="3944" t="n"/>
      <c r="I391" s="3934" t="n"/>
      <c r="J391" s="3934" t="n"/>
      <c r="K391" s="3934" t="n"/>
      <c r="L391" s="3934" t="n"/>
      <c r="M391" s="3934" t="n"/>
      <c r="N391" s="3934" t="n"/>
      <c r="O391" s="3934" t="n"/>
      <c r="P391" s="3934" t="n"/>
      <c r="Q391" s="3934" t="n"/>
      <c r="R391" s="3934" t="n"/>
      <c r="S391" s="3934" t="n"/>
      <c r="T391" s="3934" t="n"/>
      <c r="U391" s="3934" t="n"/>
      <c r="V391" s="3934" t="n"/>
      <c r="W391" s="3934" t="n"/>
      <c r="X391" s="3934" t="n"/>
      <c r="Y391" s="3934" t="n"/>
      <c r="Z391" s="3934" t="n"/>
      <c r="AA391" s="3934" t="n"/>
      <c r="AB391" s="3934" t="n"/>
      <c r="AC391" s="3934" t="n"/>
      <c r="AD391" s="3934" t="n"/>
      <c r="AE391" s="3934" t="n"/>
      <c r="AF391" s="3934" t="n"/>
      <c r="AG391" s="3934" t="n"/>
      <c r="AH391" s="3934" t="n"/>
      <c r="AI391" s="3934" t="n"/>
      <c r="AJ391" s="3934" t="n"/>
      <c r="AK391" s="3934" t="n"/>
      <c r="AL391" s="3934" t="n"/>
      <c r="AM391" s="3934" t="n"/>
      <c r="AN391" s="3934" t="n"/>
      <c r="AO391" s="3934" t="n"/>
      <c r="AP391" s="3934" t="n"/>
      <c r="AQ391" s="3934" t="n"/>
      <c r="AR391" s="3934" t="n"/>
    </row>
    <row r="392">
      <c r="A392" s="3944" t="n"/>
      <c r="B392" s="3944" t="n"/>
      <c r="C392" s="3944" t="n"/>
      <c r="D392" s="3944" t="n"/>
      <c r="E392" s="3944" t="n"/>
      <c r="F392" s="3944" t="n"/>
      <c r="G392" s="3944" t="n"/>
      <c r="H392" s="3944" t="n"/>
      <c r="I392" s="3934" t="n"/>
      <c r="J392" s="3934" t="n"/>
      <c r="K392" s="3934" t="n"/>
      <c r="L392" s="3934" t="n"/>
      <c r="M392" s="3934" t="n"/>
      <c r="N392" s="3934" t="n"/>
      <c r="O392" s="3934" t="n"/>
      <c r="P392" s="3934" t="n"/>
      <c r="Q392" s="3934" t="n"/>
      <c r="R392" s="3934" t="n"/>
      <c r="S392" s="3934" t="n"/>
      <c r="T392" s="3934" t="n"/>
      <c r="U392" s="3934" t="n"/>
      <c r="V392" s="3934" t="n"/>
      <c r="W392" s="3934" t="n"/>
      <c r="X392" s="3934" t="n"/>
      <c r="Y392" s="3934" t="n"/>
      <c r="Z392" s="3934" t="n"/>
      <c r="AA392" s="3934" t="n"/>
      <c r="AB392" s="3934" t="n"/>
      <c r="AC392" s="3934" t="n"/>
      <c r="AD392" s="3934" t="n"/>
      <c r="AE392" s="3934" t="n"/>
      <c r="AF392" s="3934" t="n"/>
      <c r="AG392" s="3934" t="n"/>
      <c r="AH392" s="3934" t="n"/>
      <c r="AI392" s="3934" t="n"/>
      <c r="AJ392" s="3934" t="n"/>
      <c r="AK392" s="3934" t="n"/>
      <c r="AL392" s="3934" t="n"/>
      <c r="AM392" s="3934" t="n"/>
      <c r="AN392" s="3934" t="n"/>
      <c r="AO392" s="3934" t="n"/>
      <c r="AP392" s="3934" t="n"/>
      <c r="AQ392" s="3934" t="n"/>
      <c r="AR392" s="3934" t="n"/>
    </row>
    <row r="393">
      <c r="A393" s="3944" t="n"/>
      <c r="B393" s="3944" t="n"/>
      <c r="C393" s="3944" t="n"/>
      <c r="D393" s="3944" t="n"/>
      <c r="E393" s="3944" t="n"/>
      <c r="F393" s="3944" t="n"/>
      <c r="G393" s="3944" t="n"/>
      <c r="H393" s="3944" t="n"/>
      <c r="I393" s="3934" t="n"/>
      <c r="J393" s="3934" t="n"/>
      <c r="K393" s="3934" t="n"/>
      <c r="L393" s="3934" t="n"/>
      <c r="M393" s="3934" t="n"/>
      <c r="N393" s="3934" t="n"/>
      <c r="O393" s="3934" t="n"/>
      <c r="P393" s="3934" t="n"/>
      <c r="Q393" s="3934" t="n"/>
      <c r="R393" s="3934" t="n"/>
      <c r="S393" s="3934" t="n"/>
      <c r="T393" s="3934" t="n"/>
      <c r="U393" s="3934" t="n"/>
      <c r="V393" s="3934" t="n"/>
      <c r="W393" s="3934" t="n"/>
      <c r="X393" s="3934" t="n"/>
      <c r="Y393" s="3934" t="n"/>
      <c r="Z393" s="3934" t="n"/>
      <c r="AA393" s="3934" t="n"/>
      <c r="AB393" s="3934" t="n"/>
      <c r="AC393" s="3934" t="n"/>
      <c r="AD393" s="3934" t="n"/>
      <c r="AE393" s="3934" t="n"/>
      <c r="AF393" s="3934" t="n"/>
      <c r="AG393" s="3934" t="n"/>
      <c r="AH393" s="3934" t="n"/>
      <c r="AI393" s="3934" t="n"/>
      <c r="AJ393" s="3934" t="n"/>
      <c r="AK393" s="3934" t="n"/>
      <c r="AL393" s="3934" t="n"/>
      <c r="AM393" s="3934" t="n"/>
      <c r="AN393" s="3934" t="n"/>
      <c r="AO393" s="3934" t="n"/>
      <c r="AP393" s="3934" t="n"/>
      <c r="AQ393" s="3934" t="n"/>
      <c r="AR393" s="3934" t="n"/>
    </row>
    <row r="394">
      <c r="A394" s="3944" t="n"/>
      <c r="B394" s="3944" t="n"/>
      <c r="C394" s="3944" t="n"/>
      <c r="D394" s="3944" t="n"/>
      <c r="E394" s="3944" t="n"/>
      <c r="F394" s="3944" t="n"/>
      <c r="G394" s="3944" t="n"/>
      <c r="H394" s="3944" t="n"/>
      <c r="I394" s="3934" t="n"/>
      <c r="J394" s="3934" t="n"/>
      <c r="K394" s="3934" t="n"/>
      <c r="L394" s="3934" t="n"/>
      <c r="M394" s="3934" t="n"/>
      <c r="N394" s="3934" t="n"/>
      <c r="O394" s="3934" t="n"/>
      <c r="P394" s="3934" t="n"/>
      <c r="Q394" s="3934" t="n"/>
      <c r="R394" s="3934" t="n"/>
      <c r="S394" s="3934" t="n"/>
      <c r="T394" s="3934" t="n"/>
      <c r="U394" s="3934" t="n"/>
      <c r="V394" s="3934" t="n"/>
      <c r="W394" s="3934" t="n"/>
      <c r="X394" s="3934" t="n"/>
      <c r="Y394" s="3934" t="n"/>
      <c r="Z394" s="3934" t="n"/>
      <c r="AA394" s="3934" t="n"/>
      <c r="AB394" s="3934" t="n"/>
      <c r="AC394" s="3934" t="n"/>
      <c r="AD394" s="3934" t="n"/>
      <c r="AE394" s="3934" t="n"/>
      <c r="AF394" s="3934" t="n"/>
      <c r="AG394" s="3934" t="n"/>
      <c r="AH394" s="3934" t="n"/>
      <c r="AI394" s="3934" t="n"/>
      <c r="AJ394" s="3934" t="n"/>
      <c r="AK394" s="3934" t="n"/>
      <c r="AL394" s="3934" t="n"/>
      <c r="AM394" s="3934" t="n"/>
      <c r="AN394" s="3934" t="n"/>
      <c r="AO394" s="3934" t="n"/>
      <c r="AP394" s="3934" t="n"/>
      <c r="AQ394" s="3934" t="n"/>
      <c r="AR394" s="3934" t="n"/>
    </row>
    <row r="395">
      <c r="A395" s="3944" t="n"/>
      <c r="B395" s="3944" t="n"/>
      <c r="C395" s="3944" t="n"/>
      <c r="D395" s="3944" t="n"/>
      <c r="E395" s="3944" t="n"/>
      <c r="F395" s="3944" t="n"/>
      <c r="G395" s="3944" t="n"/>
      <c r="H395" s="3944" t="n"/>
      <c r="I395" s="3934" t="n"/>
      <c r="J395" s="3934" t="n"/>
      <c r="K395" s="3934" t="n"/>
      <c r="L395" s="3934" t="n"/>
      <c r="M395" s="3934" t="n"/>
      <c r="N395" s="3934" t="n"/>
      <c r="O395" s="3934" t="n"/>
      <c r="P395" s="3934" t="n"/>
      <c r="Q395" s="3934" t="n"/>
      <c r="R395" s="3934" t="n"/>
      <c r="S395" s="3934" t="n"/>
      <c r="T395" s="3934" t="n"/>
      <c r="U395" s="3934" t="n"/>
      <c r="V395" s="3934" t="n"/>
      <c r="W395" s="3934" t="n"/>
      <c r="X395" s="3934" t="n"/>
      <c r="Y395" s="3934" t="n"/>
      <c r="Z395" s="3934" t="n"/>
      <c r="AA395" s="3934" t="n"/>
      <c r="AB395" s="3934" t="n"/>
      <c r="AC395" s="3934" t="n"/>
      <c r="AD395" s="3934" t="n"/>
      <c r="AE395" s="3934" t="n"/>
      <c r="AF395" s="3934" t="n"/>
      <c r="AG395" s="3934" t="n"/>
      <c r="AH395" s="3934" t="n"/>
      <c r="AI395" s="3934" t="n"/>
      <c r="AJ395" s="3934" t="n"/>
      <c r="AK395" s="3934" t="n"/>
      <c r="AL395" s="3934" t="n"/>
      <c r="AM395" s="3934" t="n"/>
      <c r="AN395" s="3934" t="n"/>
      <c r="AO395" s="3934" t="n"/>
      <c r="AP395" s="3934" t="n"/>
      <c r="AQ395" s="3934" t="n"/>
      <c r="AR395" s="3934" t="n"/>
    </row>
    <row r="396">
      <c r="A396" s="3944" t="n"/>
      <c r="B396" s="3944" t="n"/>
      <c r="C396" s="3944" t="n"/>
      <c r="D396" s="3944" t="n"/>
      <c r="E396" s="3944" t="n"/>
      <c r="F396" s="3944" t="n"/>
      <c r="G396" s="3944" t="n"/>
      <c r="H396" s="3944" t="n"/>
      <c r="I396" s="3934" t="n"/>
      <c r="J396" s="3934" t="n"/>
      <c r="K396" s="3934" t="n"/>
      <c r="L396" s="3934" t="n"/>
      <c r="M396" s="3934" t="n"/>
      <c r="N396" s="3934" t="n"/>
      <c r="O396" s="3934" t="n"/>
      <c r="P396" s="3934" t="n"/>
      <c r="Q396" s="3934" t="n"/>
      <c r="R396" s="3934" t="n"/>
      <c r="S396" s="3934" t="n"/>
      <c r="T396" s="3934" t="n"/>
      <c r="U396" s="3934" t="n"/>
      <c r="V396" s="3934" t="n"/>
      <c r="W396" s="3934" t="n"/>
      <c r="X396" s="3934" t="n"/>
      <c r="Y396" s="3934" t="n"/>
      <c r="Z396" s="3934" t="n"/>
      <c r="AA396" s="3934" t="n"/>
      <c r="AB396" s="3934" t="n"/>
      <c r="AC396" s="3934" t="n"/>
      <c r="AD396" s="3934" t="n"/>
      <c r="AE396" s="3934" t="n"/>
      <c r="AF396" s="3934" t="n"/>
      <c r="AG396" s="3934" t="n"/>
      <c r="AH396" s="3934" t="n"/>
      <c r="AI396" s="3934" t="n"/>
      <c r="AJ396" s="3934" t="n"/>
      <c r="AK396" s="3934" t="n"/>
      <c r="AL396" s="3934" t="n"/>
      <c r="AM396" s="3934" t="n"/>
      <c r="AN396" s="3934" t="n"/>
      <c r="AO396" s="3934" t="n"/>
      <c r="AP396" s="3934" t="n"/>
      <c r="AQ396" s="3934" t="n"/>
      <c r="AR396" s="3934" t="n"/>
    </row>
    <row r="397">
      <c r="A397" s="3944" t="n"/>
      <c r="B397" s="3944" t="n"/>
      <c r="C397" s="3944" t="n"/>
      <c r="D397" s="3944" t="n"/>
      <c r="E397" s="3944" t="n"/>
      <c r="F397" s="3944" t="n"/>
      <c r="G397" s="3944" t="n"/>
      <c r="H397" s="3944" t="n"/>
      <c r="I397" s="3934" t="n"/>
      <c r="J397" s="3934" t="n"/>
      <c r="K397" s="3934" t="n"/>
      <c r="L397" s="3934" t="n"/>
      <c r="M397" s="3934" t="n"/>
      <c r="N397" s="3934" t="n"/>
      <c r="O397" s="3934" t="n"/>
      <c r="P397" s="3934" t="n"/>
      <c r="Q397" s="3934" t="n"/>
      <c r="R397" s="3934" t="n"/>
      <c r="S397" s="3934" t="n"/>
      <c r="T397" s="3934" t="n"/>
      <c r="U397" s="3934" t="n"/>
      <c r="V397" s="3934" t="n"/>
      <c r="W397" s="3934" t="n"/>
      <c r="X397" s="3934" t="n"/>
      <c r="Y397" s="3934" t="n"/>
      <c r="Z397" s="3934" t="n"/>
      <c r="AA397" s="3934" t="n"/>
      <c r="AB397" s="3934" t="n"/>
      <c r="AC397" s="3934" t="n"/>
      <c r="AD397" s="3934" t="n"/>
      <c r="AE397" s="3934" t="n"/>
      <c r="AF397" s="3934" t="n"/>
      <c r="AG397" s="3934" t="n"/>
      <c r="AH397" s="3934" t="n"/>
      <c r="AI397" s="3934" t="n"/>
      <c r="AJ397" s="3934" t="n"/>
      <c r="AK397" s="3934" t="n"/>
      <c r="AL397" s="3934" t="n"/>
      <c r="AM397" s="3934" t="n"/>
      <c r="AN397" s="3934" t="n"/>
      <c r="AO397" s="3934" t="n"/>
      <c r="AP397" s="3934" t="n"/>
      <c r="AQ397" s="3934" t="n"/>
      <c r="AR397" s="3934" t="n"/>
    </row>
    <row r="398">
      <c r="A398" s="3944" t="n"/>
      <c r="B398" s="3944" t="n"/>
      <c r="C398" s="3944" t="n"/>
      <c r="D398" s="3944" t="n"/>
      <c r="E398" s="3944" t="n"/>
      <c r="F398" s="3944" t="n"/>
      <c r="G398" s="3944" t="n"/>
      <c r="H398" s="3944" t="n"/>
      <c r="I398" s="3934" t="n"/>
      <c r="J398" s="3934" t="n"/>
      <c r="K398" s="3934" t="n"/>
      <c r="L398" s="3934" t="n"/>
      <c r="M398" s="3934" t="n"/>
      <c r="N398" s="3934" t="n"/>
      <c r="O398" s="3934" t="n"/>
      <c r="P398" s="3934" t="n"/>
      <c r="Q398" s="3934" t="n"/>
      <c r="R398" s="3934" t="n"/>
      <c r="S398" s="3934" t="n"/>
      <c r="T398" s="3934" t="n"/>
      <c r="U398" s="3934" t="n"/>
      <c r="V398" s="3934" t="n"/>
      <c r="W398" s="3934" t="n"/>
      <c r="X398" s="3934" t="n"/>
      <c r="Y398" s="3934" t="n"/>
      <c r="Z398" s="3934" t="n"/>
      <c r="AA398" s="3934" t="n"/>
      <c r="AB398" s="3934" t="n"/>
      <c r="AC398" s="3934" t="n"/>
      <c r="AD398" s="3934" t="n"/>
      <c r="AE398" s="3934" t="n"/>
      <c r="AF398" s="3934" t="n"/>
      <c r="AG398" s="3934" t="n"/>
      <c r="AH398" s="3934" t="n"/>
      <c r="AI398" s="3934" t="n"/>
      <c r="AJ398" s="3934" t="n"/>
      <c r="AK398" s="3934" t="n"/>
      <c r="AL398" s="3934" t="n"/>
      <c r="AM398" s="3934" t="n"/>
      <c r="AN398" s="3934" t="n"/>
      <c r="AO398" s="3934" t="n"/>
      <c r="AP398" s="3934" t="n"/>
      <c r="AQ398" s="3934" t="n"/>
      <c r="AR398" s="3934" t="n"/>
    </row>
    <row r="399">
      <c r="A399" s="3944" t="n"/>
      <c r="B399" s="3944" t="n"/>
      <c r="C399" s="3944" t="n"/>
      <c r="D399" s="3944" t="n"/>
      <c r="E399" s="3944" t="n"/>
      <c r="F399" s="3944" t="n"/>
      <c r="G399" s="3944" t="n"/>
      <c r="H399" s="3944" t="n"/>
      <c r="I399" s="3934" t="n"/>
      <c r="J399" s="3934" t="n"/>
      <c r="K399" s="3934" t="n"/>
      <c r="L399" s="3934" t="n"/>
      <c r="M399" s="3934" t="n"/>
      <c r="N399" s="3934" t="n"/>
      <c r="O399" s="3934" t="n"/>
      <c r="P399" s="3934" t="n"/>
      <c r="Q399" s="3934" t="n"/>
      <c r="R399" s="3934" t="n"/>
      <c r="S399" s="3934" t="n"/>
      <c r="T399" s="3934" t="n"/>
      <c r="U399" s="3934" t="n"/>
      <c r="V399" s="3934" t="n"/>
      <c r="W399" s="3934" t="n"/>
      <c r="X399" s="3934" t="n"/>
      <c r="Y399" s="3934" t="n"/>
      <c r="Z399" s="3934" t="n"/>
      <c r="AA399" s="3934" t="n"/>
      <c r="AB399" s="3934" t="n"/>
      <c r="AC399" s="3934" t="n"/>
      <c r="AD399" s="3934" t="n"/>
      <c r="AE399" s="3934" t="n"/>
      <c r="AF399" s="3934" t="n"/>
      <c r="AG399" s="3934" t="n"/>
      <c r="AH399" s="3934" t="n"/>
      <c r="AI399" s="3934" t="n"/>
      <c r="AJ399" s="3934" t="n"/>
      <c r="AK399" s="3934" t="n"/>
      <c r="AL399" s="3934" t="n"/>
      <c r="AM399" s="3934" t="n"/>
      <c r="AN399" s="3934" t="n"/>
      <c r="AO399" s="3934" t="n"/>
      <c r="AP399" s="3934" t="n"/>
      <c r="AQ399" s="3934" t="n"/>
      <c r="AR399" s="3934" t="n"/>
    </row>
    <row r="400">
      <c r="A400" s="3944" t="n"/>
      <c r="B400" s="3944" t="n"/>
      <c r="C400" s="3944" t="n"/>
      <c r="D400" s="3944" t="n"/>
      <c r="E400" s="3944" t="n"/>
      <c r="F400" s="3944" t="n"/>
      <c r="G400" s="3944" t="n"/>
      <c r="H400" s="3944" t="n"/>
      <c r="I400" s="3934" t="n"/>
      <c r="J400" s="3934" t="n"/>
      <c r="K400" s="3934" t="n"/>
      <c r="L400" s="3934" t="n"/>
      <c r="M400" s="3934" t="n"/>
      <c r="N400" s="3934" t="n"/>
      <c r="O400" s="3934" t="n"/>
      <c r="P400" s="3934" t="n"/>
      <c r="Q400" s="3934" t="n"/>
      <c r="R400" s="3934" t="n"/>
      <c r="S400" s="3934" t="n"/>
      <c r="T400" s="3934" t="n"/>
      <c r="U400" s="3934" t="n"/>
      <c r="V400" s="3934" t="n"/>
      <c r="W400" s="3934" t="n"/>
      <c r="X400" s="3934" t="n"/>
      <c r="Y400" s="3934" t="n"/>
      <c r="Z400" s="3934" t="n"/>
      <c r="AA400" s="3934" t="n"/>
      <c r="AB400" s="3934" t="n"/>
      <c r="AC400" s="3934" t="n"/>
      <c r="AD400" s="3934" t="n"/>
      <c r="AE400" s="3934" t="n"/>
      <c r="AF400" s="3934" t="n"/>
      <c r="AG400" s="3934" t="n"/>
      <c r="AH400" s="3934" t="n"/>
      <c r="AI400" s="3934" t="n"/>
      <c r="AJ400" s="3934" t="n"/>
      <c r="AK400" s="3934" t="n"/>
      <c r="AL400" s="3934" t="n"/>
      <c r="AM400" s="3934" t="n"/>
      <c r="AN400" s="3934" t="n"/>
      <c r="AO400" s="3934" t="n"/>
      <c r="AP400" s="3934" t="n"/>
      <c r="AQ400" s="3934" t="n"/>
      <c r="AR400" s="3934" t="n"/>
    </row>
    <row r="401">
      <c r="A401" s="3944" t="n"/>
      <c r="B401" s="3944" t="n"/>
      <c r="C401" s="3944" t="n"/>
      <c r="D401" s="3944" t="n"/>
      <c r="E401" s="3944" t="n"/>
      <c r="F401" s="3944" t="n"/>
      <c r="G401" s="3944" t="n"/>
      <c r="H401" s="3944" t="n"/>
      <c r="I401" s="3934" t="n"/>
      <c r="J401" s="3934" t="n"/>
      <c r="K401" s="3934" t="n"/>
      <c r="L401" s="3934" t="n"/>
      <c r="M401" s="3934" t="n"/>
      <c r="N401" s="3934" t="n"/>
      <c r="O401" s="3934" t="n"/>
      <c r="P401" s="3934" t="n"/>
      <c r="Q401" s="3934" t="n"/>
      <c r="R401" s="3934" t="n"/>
      <c r="S401" s="3934" t="n"/>
      <c r="T401" s="3934" t="n"/>
      <c r="U401" s="3934" t="n"/>
      <c r="V401" s="3934" t="n"/>
      <c r="W401" s="3934" t="n"/>
      <c r="X401" s="3934" t="n"/>
      <c r="Y401" s="3934" t="n"/>
      <c r="Z401" s="3934" t="n"/>
      <c r="AA401" s="3934" t="n"/>
      <c r="AB401" s="3934" t="n"/>
      <c r="AC401" s="3934" t="n"/>
      <c r="AD401" s="3934" t="n"/>
      <c r="AE401" s="3934" t="n"/>
      <c r="AF401" s="3934" t="n"/>
      <c r="AG401" s="3934" t="n"/>
      <c r="AH401" s="3934" t="n"/>
      <c r="AI401" s="3934" t="n"/>
      <c r="AJ401" s="3934" t="n"/>
      <c r="AK401" s="3934" t="n"/>
      <c r="AL401" s="3934" t="n"/>
      <c r="AM401" s="3934" t="n"/>
      <c r="AN401" s="3934" t="n"/>
      <c r="AO401" s="3934" t="n"/>
      <c r="AP401" s="3934" t="n"/>
      <c r="AQ401" s="3934" t="n"/>
      <c r="AR401" s="3934" t="n"/>
    </row>
    <row r="402">
      <c r="A402" s="3944" t="n"/>
      <c r="B402" s="3944" t="n"/>
      <c r="C402" s="3944" t="n"/>
      <c r="D402" s="3944" t="n"/>
      <c r="E402" s="3944" t="n"/>
      <c r="F402" s="3944" t="n"/>
      <c r="G402" s="3944" t="n"/>
      <c r="H402" s="3944" t="n"/>
      <c r="I402" s="3934" t="n"/>
      <c r="J402" s="3934" t="n"/>
      <c r="K402" s="3934" t="n"/>
      <c r="L402" s="3934" t="n"/>
      <c r="M402" s="3934" t="n"/>
      <c r="N402" s="3934" t="n"/>
      <c r="O402" s="3934" t="n"/>
      <c r="P402" s="3934" t="n"/>
      <c r="Q402" s="3934" t="n"/>
      <c r="R402" s="3934" t="n"/>
      <c r="S402" s="3934" t="n"/>
      <c r="T402" s="3934" t="n"/>
      <c r="U402" s="3934" t="n"/>
      <c r="V402" s="3934" t="n"/>
      <c r="W402" s="3934" t="n"/>
      <c r="X402" s="3934" t="n"/>
      <c r="Y402" s="3934" t="n"/>
      <c r="Z402" s="3934" t="n"/>
      <c r="AA402" s="3934" t="n"/>
      <c r="AB402" s="3934" t="n"/>
      <c r="AC402" s="3934" t="n"/>
      <c r="AD402" s="3934" t="n"/>
      <c r="AE402" s="3934" t="n"/>
      <c r="AF402" s="3934" t="n"/>
      <c r="AG402" s="3934" t="n"/>
      <c r="AH402" s="3934" t="n"/>
      <c r="AI402" s="3934" t="n"/>
      <c r="AJ402" s="3934" t="n"/>
      <c r="AK402" s="3934" t="n"/>
      <c r="AL402" s="3934" t="n"/>
      <c r="AM402" s="3934" t="n"/>
      <c r="AN402" s="3934" t="n"/>
      <c r="AO402" s="3934" t="n"/>
      <c r="AP402" s="3934" t="n"/>
      <c r="AQ402" s="3934" t="n"/>
      <c r="AR402" s="3934" t="n"/>
    </row>
    <row r="403">
      <c r="A403" s="3944" t="n"/>
      <c r="B403" s="3944" t="n"/>
      <c r="C403" s="3944" t="n"/>
      <c r="D403" s="3944" t="n"/>
      <c r="E403" s="3944" t="n"/>
      <c r="F403" s="3944" t="n"/>
      <c r="G403" s="3944" t="n"/>
      <c r="H403" s="3944" t="n"/>
      <c r="I403" s="3934" t="n"/>
      <c r="J403" s="3934" t="n"/>
      <c r="K403" s="3934" t="n"/>
      <c r="L403" s="3934" t="n"/>
      <c r="M403" s="3934" t="n"/>
      <c r="N403" s="3934" t="n"/>
      <c r="O403" s="3934" t="n"/>
      <c r="P403" s="3934" t="n"/>
      <c r="Q403" s="3934" t="n"/>
      <c r="R403" s="3934" t="n"/>
      <c r="S403" s="3934" t="n"/>
      <c r="T403" s="3934" t="n"/>
      <c r="U403" s="3934" t="n"/>
      <c r="V403" s="3934" t="n"/>
      <c r="W403" s="3934" t="n"/>
      <c r="X403" s="3934" t="n"/>
      <c r="Y403" s="3934" t="n"/>
      <c r="Z403" s="3934" t="n"/>
      <c r="AA403" s="3934" t="n"/>
      <c r="AB403" s="3934" t="n"/>
      <c r="AC403" s="3934" t="n"/>
      <c r="AD403" s="3934" t="n"/>
      <c r="AE403" s="3934" t="n"/>
      <c r="AF403" s="3934" t="n"/>
      <c r="AG403" s="3934" t="n"/>
      <c r="AH403" s="3934" t="n"/>
      <c r="AI403" s="3934" t="n"/>
      <c r="AJ403" s="3934" t="n"/>
      <c r="AK403" s="3934" t="n"/>
      <c r="AL403" s="3934" t="n"/>
      <c r="AM403" s="3934" t="n"/>
      <c r="AN403" s="3934" t="n"/>
      <c r="AO403" s="3934" t="n"/>
      <c r="AP403" s="3934" t="n"/>
      <c r="AQ403" s="3934" t="n"/>
      <c r="AR403" s="3934" t="n"/>
    </row>
    <row r="404">
      <c r="A404" s="3944" t="n"/>
      <c r="B404" s="3944" t="n"/>
      <c r="C404" s="3944" t="n"/>
      <c r="D404" s="3944" t="n"/>
      <c r="E404" s="3944" t="n"/>
      <c r="F404" s="3944" t="n"/>
      <c r="G404" s="3944" t="n"/>
      <c r="H404" s="3944" t="n"/>
      <c r="I404" s="3934" t="n"/>
      <c r="J404" s="3934" t="n"/>
      <c r="K404" s="3934" t="n"/>
      <c r="L404" s="3934" t="n"/>
      <c r="M404" s="3934" t="n"/>
      <c r="N404" s="3934" t="n"/>
      <c r="O404" s="3934" t="n"/>
      <c r="P404" s="3934" t="n"/>
      <c r="Q404" s="3934" t="n"/>
      <c r="R404" s="3934" t="n"/>
      <c r="S404" s="3934" t="n"/>
      <c r="T404" s="3934" t="n"/>
      <c r="U404" s="3934" t="n"/>
      <c r="V404" s="3934" t="n"/>
      <c r="W404" s="3934" t="n"/>
      <c r="X404" s="3934" t="n"/>
      <c r="Y404" s="3934" t="n"/>
      <c r="Z404" s="3934" t="n"/>
      <c r="AA404" s="3934" t="n"/>
      <c r="AB404" s="3934" t="n"/>
      <c r="AC404" s="3934" t="n"/>
      <c r="AD404" s="3934" t="n"/>
      <c r="AE404" s="3934" t="n"/>
      <c r="AF404" s="3934" t="n"/>
      <c r="AG404" s="3934" t="n"/>
      <c r="AH404" s="3934" t="n"/>
      <c r="AI404" s="3934" t="n"/>
      <c r="AJ404" s="3934" t="n"/>
      <c r="AK404" s="3934" t="n"/>
      <c r="AL404" s="3934" t="n"/>
      <c r="AM404" s="3934" t="n"/>
      <c r="AN404" s="3934" t="n"/>
      <c r="AO404" s="3934" t="n"/>
      <c r="AP404" s="3934" t="n"/>
      <c r="AQ404" s="3934" t="n"/>
      <c r="AR404" s="3934" t="n"/>
    </row>
    <row r="405">
      <c r="A405" s="3944" t="n"/>
      <c r="B405" s="3944" t="n"/>
      <c r="C405" s="3944" t="n"/>
      <c r="D405" s="3944" t="n"/>
      <c r="E405" s="3944" t="n"/>
      <c r="F405" s="3944" t="n"/>
      <c r="G405" s="3944" t="n"/>
      <c r="H405" s="3944" t="n"/>
      <c r="I405" s="3934" t="n"/>
      <c r="J405" s="3934" t="n"/>
      <c r="K405" s="3934" t="n"/>
      <c r="L405" s="3934" t="n"/>
      <c r="M405" s="3934" t="n"/>
      <c r="N405" s="3934" t="n"/>
      <c r="O405" s="3934" t="n"/>
      <c r="P405" s="3934" t="n"/>
      <c r="Q405" s="3934" t="n"/>
      <c r="R405" s="3934" t="n"/>
      <c r="S405" s="3934" t="n"/>
      <c r="T405" s="3934" t="n"/>
      <c r="U405" s="3934" t="n"/>
      <c r="V405" s="3934" t="n"/>
      <c r="W405" s="3934" t="n"/>
      <c r="X405" s="3934" t="n"/>
      <c r="Y405" s="3934" t="n"/>
      <c r="Z405" s="3934" t="n"/>
      <c r="AA405" s="3934" t="n"/>
      <c r="AB405" s="3934" t="n"/>
      <c r="AC405" s="3934" t="n"/>
      <c r="AD405" s="3934" t="n"/>
      <c r="AE405" s="3934" t="n"/>
      <c r="AF405" s="3934" t="n"/>
      <c r="AG405" s="3934" t="n"/>
      <c r="AH405" s="3934" t="n"/>
      <c r="AI405" s="3934" t="n"/>
      <c r="AJ405" s="3934" t="n"/>
      <c r="AK405" s="3934" t="n"/>
      <c r="AL405" s="3934" t="n"/>
      <c r="AM405" s="3934" t="n"/>
      <c r="AN405" s="3934" t="n"/>
      <c r="AO405" s="3934" t="n"/>
      <c r="AP405" s="3934" t="n"/>
      <c r="AQ405" s="3934" t="n"/>
      <c r="AR405" s="3934" t="n"/>
    </row>
    <row r="406">
      <c r="A406" s="3944" t="n"/>
      <c r="B406" s="3944" t="n"/>
      <c r="C406" s="3944" t="n"/>
      <c r="D406" s="3944" t="n"/>
      <c r="E406" s="3944" t="n"/>
      <c r="F406" s="3944" t="n"/>
      <c r="G406" s="3944" t="n"/>
      <c r="H406" s="3944" t="n"/>
      <c r="I406" s="3934" t="n"/>
      <c r="J406" s="3934" t="n"/>
      <c r="K406" s="3934" t="n"/>
      <c r="L406" s="3934" t="n"/>
      <c r="M406" s="3934" t="n"/>
      <c r="N406" s="3934" t="n"/>
      <c r="O406" s="3934" t="n"/>
      <c r="P406" s="3934" t="n"/>
      <c r="Q406" s="3934" t="n"/>
      <c r="R406" s="3934" t="n"/>
      <c r="S406" s="3934" t="n"/>
      <c r="T406" s="3934" t="n"/>
      <c r="U406" s="3934" t="n"/>
      <c r="V406" s="3934" t="n"/>
      <c r="W406" s="3934" t="n"/>
      <c r="X406" s="3934" t="n"/>
      <c r="Y406" s="3934" t="n"/>
      <c r="Z406" s="3934" t="n"/>
      <c r="AA406" s="3934" t="n"/>
      <c r="AB406" s="3934" t="n"/>
      <c r="AC406" s="3934" t="n"/>
      <c r="AD406" s="3934" t="n"/>
      <c r="AE406" s="3934" t="n"/>
      <c r="AF406" s="3934" t="n"/>
      <c r="AG406" s="3934" t="n"/>
      <c r="AH406" s="3934" t="n"/>
      <c r="AI406" s="3934" t="n"/>
      <c r="AJ406" s="3934" t="n"/>
      <c r="AK406" s="3934" t="n"/>
      <c r="AL406" s="3934" t="n"/>
      <c r="AM406" s="3934" t="n"/>
      <c r="AN406" s="3934" t="n"/>
      <c r="AO406" s="3934" t="n"/>
      <c r="AP406" s="3934" t="n"/>
      <c r="AQ406" s="3934" t="n"/>
      <c r="AR406" s="3934" t="n"/>
    </row>
    <row r="407">
      <c r="A407" s="3944" t="n"/>
      <c r="B407" s="3944" t="n"/>
      <c r="C407" s="3944" t="n"/>
      <c r="D407" s="3944" t="n"/>
      <c r="E407" s="3944" t="n"/>
      <c r="F407" s="3944" t="n"/>
      <c r="G407" s="3944" t="n"/>
      <c r="H407" s="3944" t="n"/>
      <c r="I407" s="3934" t="n"/>
      <c r="J407" s="3934" t="n"/>
      <c r="K407" s="3934" t="n"/>
      <c r="L407" s="3934" t="n"/>
      <c r="M407" s="3934" t="n"/>
      <c r="N407" s="3934" t="n"/>
      <c r="O407" s="3934" t="n"/>
      <c r="P407" s="3934" t="n"/>
      <c r="Q407" s="3934" t="n"/>
      <c r="R407" s="3934" t="n"/>
      <c r="S407" s="3934" t="n"/>
      <c r="T407" s="3934" t="n"/>
      <c r="U407" s="3934" t="n"/>
      <c r="V407" s="3934" t="n"/>
      <c r="W407" s="3934" t="n"/>
      <c r="X407" s="3934" t="n"/>
      <c r="Y407" s="3934" t="n"/>
      <c r="Z407" s="3934" t="n"/>
      <c r="AA407" s="3934" t="n"/>
      <c r="AB407" s="3934" t="n"/>
      <c r="AC407" s="3934" t="n"/>
      <c r="AD407" s="3934" t="n"/>
      <c r="AE407" s="3934" t="n"/>
      <c r="AF407" s="3934" t="n"/>
      <c r="AG407" s="3934" t="n"/>
      <c r="AH407" s="3934" t="n"/>
      <c r="AI407" s="3934" t="n"/>
      <c r="AJ407" s="3934" t="n"/>
      <c r="AK407" s="3934" t="n"/>
      <c r="AL407" s="3934" t="n"/>
      <c r="AM407" s="3934" t="n"/>
      <c r="AN407" s="3934" t="n"/>
      <c r="AO407" s="3934" t="n"/>
      <c r="AP407" s="3934" t="n"/>
      <c r="AQ407" s="3934" t="n"/>
      <c r="AR407" s="3934" t="n"/>
    </row>
    <row r="408">
      <c r="A408" s="3944" t="n"/>
      <c r="B408" s="3944" t="n"/>
      <c r="C408" s="3944" t="n"/>
      <c r="D408" s="3944" t="n"/>
      <c r="E408" s="3944" t="n"/>
      <c r="F408" s="3944" t="n"/>
      <c r="G408" s="3944" t="n"/>
      <c r="H408" s="3944" t="n"/>
      <c r="I408" s="3934" t="n"/>
      <c r="J408" s="3934" t="n"/>
      <c r="K408" s="3934" t="n"/>
      <c r="L408" s="3934" t="n"/>
      <c r="M408" s="3934" t="n"/>
      <c r="N408" s="3934" t="n"/>
      <c r="O408" s="3934" t="n"/>
      <c r="P408" s="3934" t="n"/>
      <c r="Q408" s="3934" t="n"/>
      <c r="R408" s="3934" t="n"/>
      <c r="S408" s="3934" t="n"/>
      <c r="T408" s="3934" t="n"/>
      <c r="U408" s="3934" t="n"/>
      <c r="V408" s="3934" t="n"/>
      <c r="W408" s="3934" t="n"/>
      <c r="X408" s="3934" t="n"/>
      <c r="Y408" s="3934" t="n"/>
      <c r="Z408" s="3934" t="n"/>
      <c r="AA408" s="3934" t="n"/>
      <c r="AB408" s="3934" t="n"/>
      <c r="AC408" s="3934" t="n"/>
      <c r="AD408" s="3934" t="n"/>
      <c r="AE408" s="3934" t="n"/>
      <c r="AF408" s="3934" t="n"/>
      <c r="AG408" s="3934" t="n"/>
      <c r="AH408" s="3934" t="n"/>
      <c r="AI408" s="3934" t="n"/>
      <c r="AJ408" s="3934" t="n"/>
      <c r="AK408" s="3934" t="n"/>
      <c r="AL408" s="3934" t="n"/>
      <c r="AM408" s="3934" t="n"/>
      <c r="AN408" s="3934" t="n"/>
      <c r="AO408" s="3934" t="n"/>
      <c r="AP408" s="3934" t="n"/>
      <c r="AQ408" s="3934" t="n"/>
      <c r="AR408" s="3934" t="n"/>
    </row>
    <row r="409">
      <c r="A409" s="3944" t="n"/>
      <c r="B409" s="3944" t="n"/>
      <c r="C409" s="3944" t="n"/>
      <c r="D409" s="3944" t="n"/>
      <c r="E409" s="3944" t="n"/>
      <c r="F409" s="3944" t="n"/>
      <c r="G409" s="3944" t="n"/>
      <c r="H409" s="3944" t="n"/>
      <c r="I409" s="3934" t="n"/>
      <c r="J409" s="3934" t="n"/>
      <c r="K409" s="3934" t="n"/>
      <c r="L409" s="3934" t="n"/>
      <c r="M409" s="3934" t="n"/>
      <c r="N409" s="3934" t="n"/>
      <c r="O409" s="3934" t="n"/>
      <c r="P409" s="3934" t="n"/>
      <c r="Q409" s="3934" t="n"/>
      <c r="R409" s="3934" t="n"/>
      <c r="S409" s="3934" t="n"/>
      <c r="T409" s="3934" t="n"/>
      <c r="U409" s="3934" t="n"/>
      <c r="V409" s="3934" t="n"/>
      <c r="W409" s="3934" t="n"/>
      <c r="X409" s="3934" t="n"/>
      <c r="Y409" s="3934" t="n"/>
      <c r="Z409" s="3934" t="n"/>
      <c r="AA409" s="3934" t="n"/>
      <c r="AB409" s="3934" t="n"/>
      <c r="AC409" s="3934" t="n"/>
      <c r="AD409" s="3934" t="n"/>
      <c r="AE409" s="3934" t="n"/>
      <c r="AF409" s="3934" t="n"/>
      <c r="AG409" s="3934" t="n"/>
      <c r="AH409" s="3934" t="n"/>
      <c r="AI409" s="3934" t="n"/>
      <c r="AJ409" s="3934" t="n"/>
      <c r="AK409" s="3934" t="n"/>
      <c r="AL409" s="3934" t="n"/>
      <c r="AM409" s="3934" t="n"/>
      <c r="AN409" s="3934" t="n"/>
      <c r="AO409" s="3934" t="n"/>
      <c r="AP409" s="3934" t="n"/>
      <c r="AQ409" s="3934" t="n"/>
      <c r="AR409" s="3934" t="n"/>
    </row>
    <row r="410">
      <c r="A410" s="3944" t="n"/>
      <c r="B410" s="3944" t="n"/>
      <c r="C410" s="3944" t="n"/>
      <c r="D410" s="3944" t="n"/>
      <c r="E410" s="3944" t="n"/>
      <c r="F410" s="3944" t="n"/>
      <c r="G410" s="3944" t="n"/>
      <c r="H410" s="3944" t="n"/>
      <c r="I410" s="3934" t="n"/>
      <c r="J410" s="3934" t="n"/>
      <c r="K410" s="3934" t="n"/>
      <c r="L410" s="3934" t="n"/>
      <c r="M410" s="3934" t="n"/>
      <c r="N410" s="3934" t="n"/>
      <c r="O410" s="3934" t="n"/>
      <c r="P410" s="3934" t="n"/>
      <c r="Q410" s="3934" t="n"/>
      <c r="R410" s="3934" t="n"/>
      <c r="S410" s="3934" t="n"/>
      <c r="T410" s="3934" t="n"/>
      <c r="U410" s="3934" t="n"/>
      <c r="V410" s="3934" t="n"/>
      <c r="W410" s="3934" t="n"/>
      <c r="X410" s="3934" t="n"/>
      <c r="Y410" s="3934" t="n"/>
      <c r="Z410" s="3934" t="n"/>
      <c r="AA410" s="3934" t="n"/>
      <c r="AB410" s="3934" t="n"/>
      <c r="AC410" s="3934" t="n"/>
      <c r="AD410" s="3934" t="n"/>
      <c r="AE410" s="3934" t="n"/>
      <c r="AF410" s="3934" t="n"/>
      <c r="AG410" s="3934" t="n"/>
      <c r="AH410" s="3934" t="n"/>
      <c r="AI410" s="3934" t="n"/>
      <c r="AJ410" s="3934" t="n"/>
      <c r="AK410" s="3934" t="n"/>
      <c r="AL410" s="3934" t="n"/>
      <c r="AM410" s="3934" t="n"/>
      <c r="AN410" s="3934" t="n"/>
      <c r="AO410" s="3934" t="n"/>
      <c r="AP410" s="3934" t="n"/>
      <c r="AQ410" s="3934" t="n"/>
      <c r="AR410" s="3934" t="n"/>
    </row>
    <row r="411">
      <c r="A411" s="3944" t="n"/>
      <c r="B411" s="3944" t="n"/>
      <c r="C411" s="3944" t="n"/>
      <c r="D411" s="3944" t="n"/>
      <c r="E411" s="3944" t="n"/>
      <c r="F411" s="3944" t="n"/>
      <c r="G411" s="3944" t="n"/>
      <c r="H411" s="3944" t="n"/>
      <c r="I411" s="3934" t="n"/>
      <c r="J411" s="3934" t="n"/>
      <c r="K411" s="3934" t="n"/>
      <c r="L411" s="3934" t="n"/>
      <c r="M411" s="3934" t="n"/>
      <c r="N411" s="3934" t="n"/>
      <c r="O411" s="3934" t="n"/>
      <c r="P411" s="3934" t="n"/>
      <c r="Q411" s="3934" t="n"/>
      <c r="R411" s="3934" t="n"/>
      <c r="S411" s="3934" t="n"/>
      <c r="T411" s="3934" t="n"/>
      <c r="U411" s="3934" t="n"/>
      <c r="V411" s="3934" t="n"/>
      <c r="W411" s="3934" t="n"/>
      <c r="X411" s="3934" t="n"/>
      <c r="Y411" s="3934" t="n"/>
      <c r="Z411" s="3934" t="n"/>
      <c r="AA411" s="3934" t="n"/>
      <c r="AB411" s="3934" t="n"/>
      <c r="AC411" s="3934" t="n"/>
      <c r="AD411" s="3934" t="n"/>
      <c r="AE411" s="3934" t="n"/>
      <c r="AF411" s="3934" t="n"/>
      <c r="AG411" s="3934" t="n"/>
      <c r="AH411" s="3934" t="n"/>
      <c r="AI411" s="3934" t="n"/>
      <c r="AJ411" s="3934" t="n"/>
      <c r="AK411" s="3934" t="n"/>
      <c r="AL411" s="3934" t="n"/>
      <c r="AM411" s="3934" t="n"/>
      <c r="AN411" s="3934" t="n"/>
      <c r="AO411" s="3934" t="n"/>
      <c r="AP411" s="3934" t="n"/>
      <c r="AQ411" s="3934" t="n"/>
      <c r="AR411" s="3934" t="n"/>
    </row>
    <row r="412">
      <c r="A412" s="3944" t="n"/>
      <c r="B412" s="3944" t="n"/>
      <c r="C412" s="3944" t="n"/>
      <c r="D412" s="3944" t="n"/>
      <c r="E412" s="3944" t="n"/>
      <c r="F412" s="3944" t="n"/>
      <c r="G412" s="3944" t="n"/>
      <c r="H412" s="3944" t="n"/>
      <c r="I412" s="3934" t="n"/>
      <c r="J412" s="3934" t="n"/>
      <c r="K412" s="3934" t="n"/>
      <c r="L412" s="3934" t="n"/>
      <c r="M412" s="3934" t="n"/>
      <c r="N412" s="3934" t="n"/>
      <c r="O412" s="3934" t="n"/>
      <c r="P412" s="3934" t="n"/>
      <c r="Q412" s="3934" t="n"/>
      <c r="R412" s="3934" t="n"/>
      <c r="S412" s="3934" t="n"/>
      <c r="T412" s="3934" t="n"/>
      <c r="U412" s="3934" t="n"/>
      <c r="V412" s="3934" t="n"/>
      <c r="W412" s="3934" t="n"/>
      <c r="X412" s="3934" t="n"/>
      <c r="Y412" s="3934" t="n"/>
      <c r="Z412" s="3934" t="n"/>
      <c r="AA412" s="3934" t="n"/>
      <c r="AB412" s="3934" t="n"/>
      <c r="AC412" s="3934" t="n"/>
      <c r="AD412" s="3934" t="n"/>
      <c r="AE412" s="3934" t="n"/>
      <c r="AF412" s="3934" t="n"/>
      <c r="AG412" s="3934" t="n"/>
      <c r="AH412" s="3934" t="n"/>
      <c r="AI412" s="3934" t="n"/>
      <c r="AJ412" s="3934" t="n"/>
      <c r="AK412" s="3934" t="n"/>
      <c r="AL412" s="3934" t="n"/>
      <c r="AM412" s="3934" t="n"/>
      <c r="AN412" s="3934" t="n"/>
      <c r="AO412" s="3934" t="n"/>
      <c r="AP412" s="3934" t="n"/>
      <c r="AQ412" s="3934" t="n"/>
      <c r="AR412" s="3934" t="n"/>
    </row>
    <row r="413">
      <c r="A413" s="3944" t="n"/>
      <c r="B413" s="3944" t="n"/>
      <c r="C413" s="3944" t="n"/>
      <c r="D413" s="3944" t="n"/>
      <c r="E413" s="3944" t="n"/>
      <c r="F413" s="3944" t="n"/>
      <c r="G413" s="3944" t="n"/>
      <c r="H413" s="3944" t="n"/>
      <c r="I413" s="3934" t="n"/>
      <c r="J413" s="3934" t="n"/>
      <c r="K413" s="3934" t="n"/>
      <c r="L413" s="3934" t="n"/>
      <c r="M413" s="3934" t="n"/>
      <c r="N413" s="3934" t="n"/>
      <c r="O413" s="3934" t="n"/>
      <c r="P413" s="3934" t="n"/>
      <c r="Q413" s="3934" t="n"/>
      <c r="R413" s="3934" t="n"/>
      <c r="S413" s="3934" t="n"/>
      <c r="T413" s="3934" t="n"/>
      <c r="U413" s="3934" t="n"/>
      <c r="V413" s="3934" t="n"/>
      <c r="W413" s="3934" t="n"/>
      <c r="X413" s="3934" t="n"/>
      <c r="Y413" s="3934" t="n"/>
      <c r="Z413" s="3934" t="n"/>
      <c r="AA413" s="3934" t="n"/>
      <c r="AB413" s="3934" t="n"/>
      <c r="AC413" s="3934" t="n"/>
      <c r="AD413" s="3934" t="n"/>
      <c r="AE413" s="3934" t="n"/>
      <c r="AF413" s="3934" t="n"/>
      <c r="AG413" s="3934" t="n"/>
      <c r="AH413" s="3934" t="n"/>
      <c r="AI413" s="3934" t="n"/>
      <c r="AJ413" s="3934" t="n"/>
      <c r="AK413" s="3934" t="n"/>
      <c r="AL413" s="3934" t="n"/>
      <c r="AM413" s="3934" t="n"/>
      <c r="AN413" s="3934" t="n"/>
      <c r="AO413" s="3934" t="n"/>
      <c r="AP413" s="3934" t="n"/>
      <c r="AQ413" s="3934" t="n"/>
      <c r="AR413" s="3934" t="n"/>
    </row>
    <row r="414">
      <c r="A414" s="3944" t="n"/>
      <c r="B414" s="3944" t="n"/>
      <c r="C414" s="3944" t="n"/>
      <c r="D414" s="3944" t="n"/>
      <c r="E414" s="3944" t="n"/>
      <c r="F414" s="3944" t="n"/>
      <c r="G414" s="3944" t="n"/>
      <c r="H414" s="3944" t="n"/>
      <c r="I414" s="3934" t="n"/>
      <c r="J414" s="3934" t="n"/>
      <c r="K414" s="3934" t="n"/>
      <c r="L414" s="3934" t="n"/>
      <c r="M414" s="3934" t="n"/>
      <c r="N414" s="3934" t="n"/>
      <c r="O414" s="3934" t="n"/>
      <c r="P414" s="3934" t="n"/>
      <c r="Q414" s="3934" t="n"/>
      <c r="R414" s="3934" t="n"/>
      <c r="S414" s="3934" t="n"/>
      <c r="T414" s="3934" t="n"/>
      <c r="U414" s="3934" t="n"/>
      <c r="V414" s="3934" t="n"/>
      <c r="W414" s="3934" t="n"/>
      <c r="X414" s="3934" t="n"/>
      <c r="Y414" s="3934" t="n"/>
      <c r="Z414" s="3934" t="n"/>
      <c r="AA414" s="3934" t="n"/>
      <c r="AB414" s="3934" t="n"/>
      <c r="AC414" s="3934" t="n"/>
      <c r="AD414" s="3934" t="n"/>
      <c r="AE414" s="3934" t="n"/>
      <c r="AF414" s="3934" t="n"/>
      <c r="AG414" s="3934" t="n"/>
      <c r="AH414" s="3934" t="n"/>
      <c r="AI414" s="3934" t="n"/>
      <c r="AJ414" s="3934" t="n"/>
      <c r="AK414" s="3934" t="n"/>
      <c r="AL414" s="3934" t="n"/>
      <c r="AM414" s="3934" t="n"/>
      <c r="AN414" s="3934" t="n"/>
      <c r="AO414" s="3934" t="n"/>
      <c r="AP414" s="3934" t="n"/>
      <c r="AQ414" s="3934" t="n"/>
      <c r="AR414" s="3934" t="n"/>
    </row>
    <row r="415">
      <c r="A415" s="3944" t="n"/>
      <c r="B415" s="3944" t="n"/>
      <c r="C415" s="3944" t="n"/>
      <c r="D415" s="3944" t="n"/>
      <c r="E415" s="3944" t="n"/>
      <c r="F415" s="3944" t="n"/>
      <c r="G415" s="3944" t="n"/>
      <c r="H415" s="3944" t="n"/>
      <c r="I415" s="3934" t="n"/>
      <c r="J415" s="3934" t="n"/>
      <c r="K415" s="3934" t="n"/>
      <c r="L415" s="3934" t="n"/>
      <c r="M415" s="3934" t="n"/>
      <c r="N415" s="3934" t="n"/>
      <c r="O415" s="3934" t="n"/>
      <c r="P415" s="3934" t="n"/>
      <c r="Q415" s="3934" t="n"/>
      <c r="R415" s="3934" t="n"/>
      <c r="S415" s="3934" t="n"/>
      <c r="T415" s="3934" t="n"/>
      <c r="U415" s="3934" t="n"/>
      <c r="V415" s="3934" t="n"/>
      <c r="W415" s="3934" t="n"/>
      <c r="X415" s="3934" t="n"/>
      <c r="Y415" s="3934" t="n"/>
      <c r="Z415" s="3934" t="n"/>
      <c r="AA415" s="3934" t="n"/>
      <c r="AB415" s="3934" t="n"/>
      <c r="AC415" s="3934" t="n"/>
      <c r="AD415" s="3934" t="n"/>
      <c r="AE415" s="3934" t="n"/>
      <c r="AF415" s="3934" t="n"/>
      <c r="AG415" s="3934" t="n"/>
      <c r="AH415" s="3934" t="n"/>
      <c r="AI415" s="3934" t="n"/>
      <c r="AJ415" s="3934" t="n"/>
      <c r="AK415" s="3934" t="n"/>
      <c r="AL415" s="3934" t="n"/>
      <c r="AM415" s="3934" t="n"/>
      <c r="AN415" s="3934" t="n"/>
      <c r="AO415" s="3934" t="n"/>
      <c r="AP415" s="3934" t="n"/>
      <c r="AQ415" s="3934" t="n"/>
      <c r="AR415" s="3934" t="n"/>
    </row>
    <row r="416">
      <c r="A416" s="3944" t="n"/>
      <c r="B416" s="3944" t="n"/>
      <c r="C416" s="3944" t="n"/>
      <c r="D416" s="3944" t="n"/>
      <c r="E416" s="3944" t="n"/>
      <c r="F416" s="3944" t="n"/>
      <c r="G416" s="3944" t="n"/>
      <c r="H416" s="3944" t="n"/>
      <c r="I416" s="3934" t="n"/>
      <c r="J416" s="3934" t="n"/>
      <c r="K416" s="3934" t="n"/>
      <c r="L416" s="3934" t="n"/>
      <c r="M416" s="3934" t="n"/>
      <c r="N416" s="3934" t="n"/>
      <c r="O416" s="3934" t="n"/>
      <c r="P416" s="3934" t="n"/>
      <c r="Q416" s="3934" t="n"/>
      <c r="R416" s="3934" t="n"/>
      <c r="S416" s="3934" t="n"/>
      <c r="T416" s="3934" t="n"/>
      <c r="U416" s="3934" t="n"/>
      <c r="V416" s="3934" t="n"/>
      <c r="W416" s="3934" t="n"/>
      <c r="X416" s="3934" t="n"/>
      <c r="Y416" s="3934" t="n"/>
      <c r="Z416" s="3934" t="n"/>
      <c r="AA416" s="3934" t="n"/>
      <c r="AB416" s="3934" t="n"/>
      <c r="AC416" s="3934" t="n"/>
      <c r="AD416" s="3934" t="n"/>
      <c r="AE416" s="3934" t="n"/>
      <c r="AF416" s="3934" t="n"/>
      <c r="AG416" s="3934" t="n"/>
      <c r="AH416" s="3934" t="n"/>
      <c r="AI416" s="3934" t="n"/>
      <c r="AJ416" s="3934" t="n"/>
      <c r="AK416" s="3934" t="n"/>
      <c r="AL416" s="3934" t="n"/>
      <c r="AM416" s="3934" t="n"/>
      <c r="AN416" s="3934" t="n"/>
      <c r="AO416" s="3934" t="n"/>
      <c r="AP416" s="3934" t="n"/>
      <c r="AQ416" s="3934" t="n"/>
      <c r="AR416" s="3934" t="n"/>
    </row>
    <row r="417">
      <c r="A417" s="3944" t="n"/>
      <c r="B417" s="3944" t="n"/>
      <c r="C417" s="3944" t="n"/>
      <c r="D417" s="3944" t="n"/>
      <c r="E417" s="3944" t="n"/>
      <c r="F417" s="3944" t="n"/>
      <c r="G417" s="3944" t="n"/>
      <c r="H417" s="3944" t="n"/>
      <c r="I417" s="3934" t="n"/>
      <c r="J417" s="3934" t="n"/>
      <c r="K417" s="3934" t="n"/>
      <c r="L417" s="3934" t="n"/>
      <c r="M417" s="3934" t="n"/>
      <c r="N417" s="3934" t="n"/>
      <c r="O417" s="3934" t="n"/>
      <c r="P417" s="3934" t="n"/>
      <c r="Q417" s="3934" t="n"/>
      <c r="R417" s="3934" t="n"/>
      <c r="S417" s="3934" t="n"/>
      <c r="T417" s="3934" t="n"/>
      <c r="U417" s="3934" t="n"/>
      <c r="V417" s="3934" t="n"/>
      <c r="W417" s="3934" t="n"/>
      <c r="X417" s="3934" t="n"/>
      <c r="Y417" s="3934" t="n"/>
      <c r="Z417" s="3934" t="n"/>
      <c r="AA417" s="3934" t="n"/>
      <c r="AB417" s="3934" t="n"/>
      <c r="AC417" s="3934" t="n"/>
      <c r="AD417" s="3934" t="n"/>
      <c r="AE417" s="3934" t="n"/>
      <c r="AF417" s="3934" t="n"/>
      <c r="AG417" s="3934" t="n"/>
      <c r="AH417" s="3934" t="n"/>
      <c r="AI417" s="3934" t="n"/>
      <c r="AJ417" s="3934" t="n"/>
      <c r="AK417" s="3934" t="n"/>
      <c r="AL417" s="3934" t="n"/>
      <c r="AM417" s="3934" t="n"/>
      <c r="AN417" s="3934" t="n"/>
      <c r="AO417" s="3934" t="n"/>
      <c r="AP417" s="3934" t="n"/>
      <c r="AQ417" s="3934" t="n"/>
      <c r="AR417" s="3934" t="n"/>
    </row>
    <row r="418">
      <c r="A418" s="3944" t="n"/>
      <c r="B418" s="3944" t="n"/>
      <c r="C418" s="3944" t="n"/>
      <c r="D418" s="3944" t="n"/>
      <c r="E418" s="3944" t="n"/>
      <c r="F418" s="3944" t="n"/>
      <c r="G418" s="3944" t="n"/>
      <c r="H418" s="3944" t="n"/>
      <c r="I418" s="3934" t="n"/>
      <c r="J418" s="3934" t="n"/>
      <c r="K418" s="3934" t="n"/>
      <c r="L418" s="3934" t="n"/>
      <c r="M418" s="3934" t="n"/>
      <c r="N418" s="3934" t="n"/>
      <c r="O418" s="3934" t="n"/>
      <c r="P418" s="3934" t="n"/>
      <c r="Q418" s="3934" t="n"/>
      <c r="R418" s="3934" t="n"/>
      <c r="S418" s="3934" t="n"/>
      <c r="T418" s="3934" t="n"/>
      <c r="U418" s="3934" t="n"/>
      <c r="V418" s="3934" t="n"/>
      <c r="W418" s="3934" t="n"/>
      <c r="X418" s="3934" t="n"/>
      <c r="Y418" s="3934" t="n"/>
      <c r="Z418" s="3934" t="n"/>
      <c r="AA418" s="3934" t="n"/>
      <c r="AB418" s="3934" t="n"/>
      <c r="AC418" s="3934" t="n"/>
      <c r="AD418" s="3934" t="n"/>
      <c r="AE418" s="3934" t="n"/>
      <c r="AF418" s="3934" t="n"/>
      <c r="AG418" s="3934" t="n"/>
      <c r="AH418" s="3934" t="n"/>
      <c r="AI418" s="3934" t="n"/>
      <c r="AJ418" s="3934" t="n"/>
      <c r="AK418" s="3934" t="n"/>
      <c r="AL418" s="3934" t="n"/>
      <c r="AM418" s="3934" t="n"/>
      <c r="AN418" s="3934" t="n"/>
      <c r="AO418" s="3934" t="n"/>
      <c r="AP418" s="3934" t="n"/>
      <c r="AQ418" s="3934" t="n"/>
      <c r="AR418" s="3934" t="n"/>
    </row>
    <row r="419">
      <c r="A419" s="3944" t="n"/>
      <c r="B419" s="3944" t="n"/>
      <c r="C419" s="3944" t="n"/>
      <c r="D419" s="3944" t="n"/>
      <c r="E419" s="3944" t="n"/>
      <c r="F419" s="3944" t="n"/>
      <c r="G419" s="3944" t="n"/>
      <c r="H419" s="3944" t="n"/>
      <c r="I419" s="3934" t="n"/>
      <c r="J419" s="3934" t="n"/>
      <c r="K419" s="3934" t="n"/>
      <c r="L419" s="3934" t="n"/>
      <c r="M419" s="3934" t="n"/>
      <c r="N419" s="3934" t="n"/>
      <c r="O419" s="3934" t="n"/>
      <c r="P419" s="3934" t="n"/>
      <c r="Q419" s="3934" t="n"/>
      <c r="R419" s="3934" t="n"/>
      <c r="S419" s="3934" t="n"/>
      <c r="T419" s="3934" t="n"/>
      <c r="U419" s="3934" t="n"/>
      <c r="V419" s="3934" t="n"/>
      <c r="W419" s="3934" t="n"/>
      <c r="X419" s="3934" t="n"/>
      <c r="Y419" s="3934" t="n"/>
      <c r="Z419" s="3934" t="n"/>
      <c r="AA419" s="3934" t="n"/>
      <c r="AB419" s="3934" t="n"/>
      <c r="AC419" s="3934" t="n"/>
      <c r="AD419" s="3934" t="n"/>
      <c r="AE419" s="3934" t="n"/>
      <c r="AF419" s="3934" t="n"/>
      <c r="AG419" s="3934" t="n"/>
      <c r="AH419" s="3934" t="n"/>
      <c r="AI419" s="3934" t="n"/>
      <c r="AJ419" s="3934" t="n"/>
      <c r="AK419" s="3934" t="n"/>
      <c r="AL419" s="3934" t="n"/>
      <c r="AM419" s="3934" t="n"/>
      <c r="AN419" s="3934" t="n"/>
      <c r="AO419" s="3934" t="n"/>
      <c r="AP419" s="3934" t="n"/>
      <c r="AQ419" s="3934" t="n"/>
      <c r="AR419" s="3934" t="n"/>
    </row>
    <row r="420">
      <c r="A420" s="3944" t="n"/>
      <c r="B420" s="3944" t="n"/>
      <c r="C420" s="3944" t="n"/>
      <c r="D420" s="3944" t="n"/>
      <c r="E420" s="3944" t="n"/>
      <c r="F420" s="3944" t="n"/>
      <c r="G420" s="3944" t="n"/>
      <c r="H420" s="3944" t="n"/>
      <c r="I420" s="3934" t="n"/>
      <c r="J420" s="3934" t="n"/>
      <c r="K420" s="3934" t="n"/>
      <c r="L420" s="3934" t="n"/>
      <c r="M420" s="3934" t="n"/>
      <c r="N420" s="3934" t="n"/>
      <c r="O420" s="3934" t="n"/>
      <c r="P420" s="3934" t="n"/>
      <c r="Q420" s="3934" t="n"/>
      <c r="R420" s="3934" t="n"/>
      <c r="S420" s="3934" t="n"/>
      <c r="T420" s="3934" t="n"/>
      <c r="U420" s="3934" t="n"/>
      <c r="V420" s="3934" t="n"/>
      <c r="W420" s="3934" t="n"/>
      <c r="X420" s="3934" t="n"/>
      <c r="Y420" s="3934" t="n"/>
      <c r="Z420" s="3934" t="n"/>
      <c r="AA420" s="3934" t="n"/>
      <c r="AB420" s="3934" t="n"/>
      <c r="AC420" s="3934" t="n"/>
      <c r="AD420" s="3934" t="n"/>
      <c r="AE420" s="3934" t="n"/>
      <c r="AF420" s="3934" t="n"/>
      <c r="AG420" s="3934" t="n"/>
      <c r="AH420" s="3934" t="n"/>
      <c r="AI420" s="3934" t="n"/>
      <c r="AJ420" s="3934" t="n"/>
      <c r="AK420" s="3934" t="n"/>
      <c r="AL420" s="3934" t="n"/>
      <c r="AM420" s="3934" t="n"/>
      <c r="AN420" s="3934" t="n"/>
      <c r="AO420" s="3934" t="n"/>
      <c r="AP420" s="3934" t="n"/>
      <c r="AQ420" s="3934" t="n"/>
      <c r="AR420" s="3934" t="n"/>
    </row>
    <row r="421">
      <c r="A421" s="3944" t="n"/>
      <c r="B421" s="3944" t="n"/>
      <c r="C421" s="3944" t="n"/>
      <c r="D421" s="3944" t="n"/>
      <c r="E421" s="3944" t="n"/>
      <c r="F421" s="3944" t="n"/>
      <c r="G421" s="3944" t="n"/>
      <c r="H421" s="3944" t="n"/>
      <c r="I421" s="3934" t="n"/>
      <c r="J421" s="3934" t="n"/>
      <c r="K421" s="3934" t="n"/>
      <c r="L421" s="3934" t="n"/>
      <c r="M421" s="3934" t="n"/>
      <c r="N421" s="3934" t="n"/>
      <c r="O421" s="3934" t="n"/>
      <c r="P421" s="3934" t="n"/>
      <c r="Q421" s="3934" t="n"/>
      <c r="R421" s="3934" t="n"/>
      <c r="S421" s="3934" t="n"/>
      <c r="T421" s="3934" t="n"/>
      <c r="U421" s="3934" t="n"/>
      <c r="V421" s="3934" t="n"/>
      <c r="W421" s="3934" t="n"/>
      <c r="X421" s="3934" t="n"/>
      <c r="Y421" s="3934" t="n"/>
      <c r="Z421" s="3934" t="n"/>
      <c r="AA421" s="3934" t="n"/>
      <c r="AB421" s="3934" t="n"/>
      <c r="AC421" s="3934" t="n"/>
      <c r="AD421" s="3934" t="n"/>
      <c r="AE421" s="3934" t="n"/>
      <c r="AF421" s="3934" t="n"/>
      <c r="AG421" s="3934" t="n"/>
      <c r="AH421" s="3934" t="n"/>
      <c r="AI421" s="3934" t="n"/>
      <c r="AJ421" s="3934" t="n"/>
      <c r="AK421" s="3934" t="n"/>
      <c r="AL421" s="3934" t="n"/>
      <c r="AM421" s="3934" t="n"/>
      <c r="AN421" s="3934" t="n"/>
      <c r="AO421" s="3934" t="n"/>
      <c r="AP421" s="3934" t="n"/>
      <c r="AQ421" s="3934" t="n"/>
      <c r="AR421" s="3934" t="n"/>
    </row>
    <row r="422">
      <c r="A422" s="3944" t="n"/>
      <c r="B422" s="3944" t="n"/>
      <c r="C422" s="3944" t="n"/>
      <c r="D422" s="3944" t="n"/>
      <c r="E422" s="3944" t="n"/>
      <c r="F422" s="3944" t="n"/>
      <c r="G422" s="3944" t="n"/>
      <c r="H422" s="3944" t="n"/>
      <c r="I422" s="3934" t="n"/>
      <c r="J422" s="3934" t="n"/>
      <c r="K422" s="3934" t="n"/>
      <c r="L422" s="3934" t="n"/>
      <c r="M422" s="3934" t="n"/>
      <c r="N422" s="3934" t="n"/>
      <c r="O422" s="3934" t="n"/>
      <c r="P422" s="3934" t="n"/>
      <c r="Q422" s="3934" t="n"/>
      <c r="R422" s="3934" t="n"/>
      <c r="S422" s="3934" t="n"/>
      <c r="T422" s="3934" t="n"/>
      <c r="U422" s="3934" t="n"/>
      <c r="V422" s="3934" t="n"/>
      <c r="W422" s="3934" t="n"/>
      <c r="X422" s="3934" t="n"/>
      <c r="Y422" s="3934" t="n"/>
      <c r="Z422" s="3934" t="n"/>
      <c r="AA422" s="3934" t="n"/>
      <c r="AB422" s="3934" t="n"/>
      <c r="AC422" s="3934" t="n"/>
      <c r="AD422" s="3934" t="n"/>
      <c r="AE422" s="3934" t="n"/>
      <c r="AF422" s="3934" t="n"/>
      <c r="AG422" s="3934" t="n"/>
      <c r="AH422" s="3934" t="n"/>
      <c r="AI422" s="3934" t="n"/>
      <c r="AJ422" s="3934" t="n"/>
      <c r="AK422" s="3934" t="n"/>
      <c r="AL422" s="3934" t="n"/>
      <c r="AM422" s="3934" t="n"/>
      <c r="AN422" s="3934" t="n"/>
      <c r="AO422" s="3934" t="n"/>
      <c r="AP422" s="3934" t="n"/>
      <c r="AQ422" s="3934" t="n"/>
      <c r="AR422" s="3934" t="n"/>
    </row>
    <row r="423">
      <c r="A423" s="3944" t="n"/>
      <c r="B423" s="3944" t="n"/>
      <c r="C423" s="3944" t="n"/>
      <c r="D423" s="3944" t="n"/>
      <c r="E423" s="3944" t="n"/>
      <c r="F423" s="3944" t="n"/>
      <c r="G423" s="3944" t="n"/>
      <c r="H423" s="3944" t="n"/>
      <c r="I423" s="3934" t="n"/>
      <c r="J423" s="3934" t="n"/>
      <c r="K423" s="3934" t="n"/>
      <c r="L423" s="3934" t="n"/>
      <c r="M423" s="3934" t="n"/>
      <c r="N423" s="3934" t="n"/>
      <c r="O423" s="3934" t="n"/>
      <c r="P423" s="3934" t="n"/>
      <c r="Q423" s="3934" t="n"/>
      <c r="R423" s="3934" t="n"/>
      <c r="S423" s="3934" t="n"/>
      <c r="T423" s="3934" t="n"/>
      <c r="U423" s="3934" t="n"/>
      <c r="V423" s="3934" t="n"/>
      <c r="W423" s="3934" t="n"/>
      <c r="X423" s="3934" t="n"/>
      <c r="Y423" s="3934" t="n"/>
      <c r="Z423" s="3934" t="n"/>
      <c r="AA423" s="3934" t="n"/>
      <c r="AB423" s="3934" t="n"/>
      <c r="AC423" s="3934" t="n"/>
      <c r="AD423" s="3934" t="n"/>
      <c r="AE423" s="3934" t="n"/>
      <c r="AF423" s="3934" t="n"/>
      <c r="AG423" s="3934" t="n"/>
      <c r="AH423" s="3934" t="n"/>
      <c r="AI423" s="3934" t="n"/>
      <c r="AJ423" s="3934" t="n"/>
      <c r="AK423" s="3934" t="n"/>
      <c r="AL423" s="3934" t="n"/>
      <c r="AM423" s="3934" t="n"/>
      <c r="AN423" s="3934" t="n"/>
      <c r="AO423" s="3934" t="n"/>
      <c r="AP423" s="3934" t="n"/>
      <c r="AQ423" s="3934" t="n"/>
      <c r="AR423" s="3934" t="n"/>
    </row>
    <row r="424">
      <c r="A424" s="3944" t="n"/>
      <c r="B424" s="3944" t="n"/>
      <c r="C424" s="3944" t="n"/>
      <c r="D424" s="3944" t="n"/>
      <c r="E424" s="3944" t="n"/>
      <c r="F424" s="3944" t="n"/>
      <c r="G424" s="3944" t="n"/>
      <c r="H424" s="3944" t="n"/>
      <c r="I424" s="3934" t="n"/>
      <c r="J424" s="3934" t="n"/>
      <c r="K424" s="3934" t="n"/>
      <c r="L424" s="3934" t="n"/>
      <c r="M424" s="3934" t="n"/>
      <c r="N424" s="3934" t="n"/>
      <c r="O424" s="3934" t="n"/>
      <c r="P424" s="3934" t="n"/>
      <c r="Q424" s="3934" t="n"/>
      <c r="R424" s="3934" t="n"/>
      <c r="S424" s="3934" t="n"/>
      <c r="T424" s="3934" t="n"/>
      <c r="U424" s="3934" t="n"/>
      <c r="V424" s="3934" t="n"/>
      <c r="W424" s="3934" t="n"/>
      <c r="X424" s="3934" t="n"/>
      <c r="Y424" s="3934" t="n"/>
      <c r="Z424" s="3934" t="n"/>
      <c r="AA424" s="3934" t="n"/>
      <c r="AB424" s="3934" t="n"/>
      <c r="AC424" s="3934" t="n"/>
      <c r="AD424" s="3934" t="n"/>
      <c r="AE424" s="3934" t="n"/>
      <c r="AF424" s="3934" t="n"/>
      <c r="AG424" s="3934" t="n"/>
      <c r="AH424" s="3934" t="n"/>
      <c r="AI424" s="3934" t="n"/>
      <c r="AJ424" s="3934" t="n"/>
      <c r="AK424" s="3934" t="n"/>
      <c r="AL424" s="3934" t="n"/>
      <c r="AM424" s="3934" t="n"/>
      <c r="AN424" s="3934" t="n"/>
      <c r="AO424" s="3934" t="n"/>
      <c r="AP424" s="3934" t="n"/>
      <c r="AQ424" s="3934" t="n"/>
      <c r="AR424" s="3934" t="n"/>
    </row>
    <row r="425">
      <c r="A425" s="3944" t="n"/>
      <c r="B425" s="3944" t="n"/>
      <c r="C425" s="3944" t="n"/>
      <c r="D425" s="3944" t="n"/>
      <c r="E425" s="3944" t="n"/>
      <c r="F425" s="3944" t="n"/>
      <c r="G425" s="3944" t="n"/>
      <c r="H425" s="3944" t="n"/>
      <c r="I425" s="3934" t="n"/>
      <c r="J425" s="3934" t="n"/>
      <c r="K425" s="3934" t="n"/>
      <c r="L425" s="3934" t="n"/>
      <c r="M425" s="3934" t="n"/>
      <c r="N425" s="3934" t="n"/>
      <c r="O425" s="3934" t="n"/>
      <c r="P425" s="3934" t="n"/>
      <c r="Q425" s="3934" t="n"/>
      <c r="R425" s="3934" t="n"/>
      <c r="S425" s="3934" t="n"/>
      <c r="T425" s="3934" t="n"/>
      <c r="U425" s="3934" t="n"/>
      <c r="V425" s="3934" t="n"/>
      <c r="W425" s="3934" t="n"/>
      <c r="X425" s="3934" t="n"/>
      <c r="Y425" s="3934" t="n"/>
      <c r="Z425" s="3934" t="n"/>
      <c r="AA425" s="3934" t="n"/>
      <c r="AB425" s="3934" t="n"/>
      <c r="AC425" s="3934" t="n"/>
      <c r="AD425" s="3934" t="n"/>
      <c r="AE425" s="3934" t="n"/>
      <c r="AF425" s="3934" t="n"/>
      <c r="AG425" s="3934" t="n"/>
      <c r="AH425" s="3934" t="n"/>
      <c r="AI425" s="3934" t="n"/>
      <c r="AJ425" s="3934" t="n"/>
      <c r="AK425" s="3934" t="n"/>
      <c r="AL425" s="3934" t="n"/>
      <c r="AM425" s="3934" t="n"/>
      <c r="AN425" s="3934" t="n"/>
      <c r="AO425" s="3934" t="n"/>
      <c r="AP425" s="3934" t="n"/>
      <c r="AQ425" s="3934" t="n"/>
      <c r="AR425" s="3934" t="n"/>
    </row>
    <row r="426">
      <c r="A426" s="3944" t="n"/>
      <c r="B426" s="3944" t="n"/>
      <c r="C426" s="3944" t="n"/>
      <c r="D426" s="3944" t="n"/>
      <c r="E426" s="3944" t="n"/>
      <c r="F426" s="3944" t="n"/>
      <c r="G426" s="3944" t="n"/>
      <c r="H426" s="3944" t="n"/>
      <c r="I426" s="3934" t="n"/>
      <c r="J426" s="3934" t="n"/>
      <c r="K426" s="3934" t="n"/>
      <c r="L426" s="3934" t="n"/>
      <c r="M426" s="3934" t="n"/>
      <c r="N426" s="3934" t="n"/>
      <c r="O426" s="3934" t="n"/>
      <c r="P426" s="3934" t="n"/>
      <c r="Q426" s="3934" t="n"/>
      <c r="R426" s="3934" t="n"/>
      <c r="S426" s="3934" t="n"/>
      <c r="T426" s="3934" t="n"/>
      <c r="U426" s="3934" t="n"/>
      <c r="V426" s="3934" t="n"/>
      <c r="W426" s="3934" t="n"/>
      <c r="X426" s="3934" t="n"/>
      <c r="Y426" s="3934" t="n"/>
      <c r="Z426" s="3934" t="n"/>
      <c r="AA426" s="3934" t="n"/>
      <c r="AB426" s="3934" t="n"/>
      <c r="AC426" s="3934" t="n"/>
      <c r="AD426" s="3934" t="n"/>
      <c r="AE426" s="3934" t="n"/>
      <c r="AF426" s="3934" t="n"/>
      <c r="AG426" s="3934" t="n"/>
      <c r="AH426" s="3934" t="n"/>
      <c r="AI426" s="3934" t="n"/>
      <c r="AJ426" s="3934" t="n"/>
      <c r="AK426" s="3934" t="n"/>
      <c r="AL426" s="3934" t="n"/>
      <c r="AM426" s="3934" t="n"/>
      <c r="AN426" s="3934" t="n"/>
      <c r="AO426" s="3934" t="n"/>
      <c r="AP426" s="3934" t="n"/>
      <c r="AQ426" s="3934" t="n"/>
      <c r="AR426" s="3934" t="n"/>
    </row>
    <row r="427">
      <c r="A427" s="3944" t="n"/>
      <c r="B427" s="3944" t="n"/>
      <c r="C427" s="3944" t="n"/>
      <c r="D427" s="3944" t="n"/>
      <c r="E427" s="3944" t="n"/>
      <c r="F427" s="3944" t="n"/>
      <c r="G427" s="3944" t="n"/>
      <c r="H427" s="3944" t="n"/>
      <c r="I427" s="3934" t="n"/>
      <c r="J427" s="3934" t="n"/>
      <c r="K427" s="3934" t="n"/>
      <c r="L427" s="3934" t="n"/>
      <c r="M427" s="3934" t="n"/>
      <c r="N427" s="3934" t="n"/>
      <c r="O427" s="3934" t="n"/>
      <c r="P427" s="3934" t="n"/>
      <c r="Q427" s="3934" t="n"/>
      <c r="R427" s="3934" t="n"/>
      <c r="S427" s="3934" t="n"/>
      <c r="T427" s="3934" t="n"/>
      <c r="U427" s="3934" t="n"/>
      <c r="V427" s="3934" t="n"/>
      <c r="W427" s="3934" t="n"/>
      <c r="X427" s="3934" t="n"/>
      <c r="Y427" s="3934" t="n"/>
      <c r="Z427" s="3934" t="n"/>
      <c r="AA427" s="3934" t="n"/>
      <c r="AB427" s="3934" t="n"/>
      <c r="AC427" s="3934" t="n"/>
      <c r="AD427" s="3934" t="n"/>
      <c r="AE427" s="3934" t="n"/>
      <c r="AF427" s="3934" t="n"/>
      <c r="AG427" s="3934" t="n"/>
      <c r="AH427" s="3934" t="n"/>
      <c r="AI427" s="3934" t="n"/>
      <c r="AJ427" s="3934" t="n"/>
      <c r="AK427" s="3934" t="n"/>
      <c r="AL427" s="3934" t="n"/>
      <c r="AM427" s="3934" t="n"/>
      <c r="AN427" s="3934" t="n"/>
      <c r="AO427" s="3934" t="n"/>
      <c r="AP427" s="3934" t="n"/>
      <c r="AQ427" s="3934" t="n"/>
      <c r="AR427" s="3934" t="n"/>
    </row>
    <row r="428">
      <c r="A428" s="3944" t="n"/>
      <c r="B428" s="3944" t="n"/>
      <c r="C428" s="3944" t="n"/>
      <c r="D428" s="3944" t="n"/>
      <c r="E428" s="3944" t="n"/>
      <c r="F428" s="3944" t="n"/>
      <c r="G428" s="3944" t="n"/>
      <c r="H428" s="3944" t="n"/>
      <c r="I428" s="3934" t="n"/>
      <c r="J428" s="3934" t="n"/>
      <c r="K428" s="3934" t="n"/>
      <c r="L428" s="3934" t="n"/>
      <c r="M428" s="3934" t="n"/>
      <c r="N428" s="3934" t="n"/>
      <c r="O428" s="3934" t="n"/>
      <c r="P428" s="3934" t="n"/>
      <c r="Q428" s="3934" t="n"/>
      <c r="R428" s="3934" t="n"/>
      <c r="S428" s="3934" t="n"/>
      <c r="T428" s="3934" t="n"/>
      <c r="U428" s="3934" t="n"/>
      <c r="V428" s="3934" t="n"/>
      <c r="W428" s="3934" t="n"/>
      <c r="X428" s="3934" t="n"/>
      <c r="Y428" s="3934" t="n"/>
      <c r="Z428" s="3934" t="n"/>
      <c r="AA428" s="3934" t="n"/>
      <c r="AB428" s="3934" t="n"/>
      <c r="AC428" s="3934" t="n"/>
      <c r="AD428" s="3934" t="n"/>
      <c r="AE428" s="3934" t="n"/>
      <c r="AF428" s="3934" t="n"/>
      <c r="AG428" s="3934" t="n"/>
      <c r="AH428" s="3934" t="n"/>
      <c r="AI428" s="3934" t="n"/>
      <c r="AJ428" s="3934" t="n"/>
      <c r="AK428" s="3934" t="n"/>
      <c r="AL428" s="3934" t="n"/>
      <c r="AM428" s="3934" t="n"/>
      <c r="AN428" s="3934" t="n"/>
      <c r="AO428" s="3934" t="n"/>
      <c r="AP428" s="3934" t="n"/>
      <c r="AQ428" s="3934" t="n"/>
      <c r="AR428" s="3934" t="n"/>
    </row>
    <row r="429">
      <c r="A429" s="3944" t="n"/>
      <c r="B429" s="3944" t="n"/>
      <c r="C429" s="3944" t="n"/>
      <c r="D429" s="3944" t="n"/>
      <c r="E429" s="3944" t="n"/>
      <c r="F429" s="3944" t="n"/>
      <c r="G429" s="3944" t="n"/>
      <c r="H429" s="3944" t="n"/>
      <c r="I429" s="3934" t="n"/>
      <c r="J429" s="3934" t="n"/>
      <c r="K429" s="3934" t="n"/>
      <c r="L429" s="3934" t="n"/>
      <c r="M429" s="3934" t="n"/>
      <c r="N429" s="3934" t="n"/>
      <c r="O429" s="3934" t="n"/>
      <c r="P429" s="3934" t="n"/>
      <c r="Q429" s="3934" t="n"/>
      <c r="R429" s="3934" t="n"/>
      <c r="S429" s="3934" t="n"/>
      <c r="T429" s="3934" t="n"/>
      <c r="U429" s="3934" t="n"/>
      <c r="V429" s="3934" t="n"/>
      <c r="W429" s="3934" t="n"/>
      <c r="X429" s="3934" t="n"/>
      <c r="Y429" s="3934" t="n"/>
      <c r="Z429" s="3934" t="n"/>
      <c r="AA429" s="3934" t="n"/>
      <c r="AB429" s="3934" t="n"/>
      <c r="AC429" s="3934" t="n"/>
      <c r="AD429" s="3934" t="n"/>
      <c r="AE429" s="3934" t="n"/>
      <c r="AF429" s="3934" t="n"/>
      <c r="AG429" s="3934" t="n"/>
      <c r="AH429" s="3934" t="n"/>
      <c r="AI429" s="3934" t="n"/>
      <c r="AJ429" s="3934" t="n"/>
      <c r="AK429" s="3934" t="n"/>
      <c r="AL429" s="3934" t="n"/>
      <c r="AM429" s="3934" t="n"/>
      <c r="AN429" s="3934" t="n"/>
      <c r="AO429" s="3934" t="n"/>
      <c r="AP429" s="3934" t="n"/>
      <c r="AQ429" s="3934" t="n"/>
      <c r="AR429" s="3934" t="n"/>
    </row>
    <row r="430">
      <c r="A430" s="3944" t="n"/>
      <c r="B430" s="3944" t="n"/>
      <c r="C430" s="3944" t="n"/>
      <c r="D430" s="3944" t="n"/>
      <c r="E430" s="3944" t="n"/>
      <c r="F430" s="3944" t="n"/>
      <c r="G430" s="3944" t="n"/>
      <c r="H430" s="3944" t="n"/>
      <c r="I430" s="3934" t="n"/>
      <c r="J430" s="3934" t="n"/>
      <c r="K430" s="3934" t="n"/>
      <c r="L430" s="3934" t="n"/>
      <c r="M430" s="3934" t="n"/>
      <c r="N430" s="3934" t="n"/>
      <c r="O430" s="3934" t="n"/>
      <c r="P430" s="3934" t="n"/>
      <c r="Q430" s="3934" t="n"/>
      <c r="R430" s="3934" t="n"/>
      <c r="S430" s="3934" t="n"/>
      <c r="T430" s="3934" t="n"/>
      <c r="U430" s="3934" t="n"/>
      <c r="V430" s="3934" t="n"/>
      <c r="W430" s="3934" t="n"/>
      <c r="X430" s="3934" t="n"/>
      <c r="Y430" s="3934" t="n"/>
      <c r="Z430" s="3934" t="n"/>
      <c r="AA430" s="3934" t="n"/>
      <c r="AB430" s="3934" t="n"/>
      <c r="AC430" s="3934" t="n"/>
      <c r="AD430" s="3934" t="n"/>
      <c r="AE430" s="3934" t="n"/>
      <c r="AF430" s="3934" t="n"/>
      <c r="AG430" s="3934" t="n"/>
      <c r="AH430" s="3934" t="n"/>
      <c r="AI430" s="3934" t="n"/>
      <c r="AJ430" s="3934" t="n"/>
      <c r="AK430" s="3934" t="n"/>
      <c r="AL430" s="3934" t="n"/>
      <c r="AM430" s="3934" t="n"/>
      <c r="AN430" s="3934" t="n"/>
      <c r="AO430" s="3934" t="n"/>
      <c r="AP430" s="3934" t="n"/>
      <c r="AQ430" s="3934" t="n"/>
      <c r="AR430" s="3934" t="n"/>
    </row>
    <row r="431">
      <c r="A431" s="3944" t="n"/>
      <c r="B431" s="3944" t="n"/>
      <c r="C431" s="3944" t="n"/>
      <c r="D431" s="3944" t="n"/>
      <c r="E431" s="3944" t="n"/>
      <c r="F431" s="3944" t="n"/>
      <c r="G431" s="3944" t="n"/>
      <c r="H431" s="3944" t="n"/>
      <c r="I431" s="3934" t="n"/>
      <c r="J431" s="3934" t="n"/>
      <c r="K431" s="3934" t="n"/>
      <c r="L431" s="3934" t="n"/>
      <c r="M431" s="3934" t="n"/>
      <c r="N431" s="3934" t="n"/>
      <c r="O431" s="3934" t="n"/>
      <c r="P431" s="3934" t="n"/>
      <c r="Q431" s="3934" t="n"/>
      <c r="R431" s="3934" t="n"/>
      <c r="S431" s="3934" t="n"/>
      <c r="T431" s="3934" t="n"/>
      <c r="U431" s="3934" t="n"/>
      <c r="V431" s="3934" t="n"/>
      <c r="W431" s="3934" t="n"/>
      <c r="X431" s="3934" t="n"/>
      <c r="Y431" s="3934" t="n"/>
      <c r="Z431" s="3934" t="n"/>
      <c r="AA431" s="3934" t="n"/>
      <c r="AB431" s="3934" t="n"/>
      <c r="AC431" s="3934" t="n"/>
      <c r="AD431" s="3934" t="n"/>
      <c r="AE431" s="3934" t="n"/>
      <c r="AF431" s="3934" t="n"/>
      <c r="AG431" s="3934" t="n"/>
      <c r="AH431" s="3934" t="n"/>
      <c r="AI431" s="3934" t="n"/>
      <c r="AJ431" s="3934" t="n"/>
      <c r="AK431" s="3934" t="n"/>
      <c r="AL431" s="3934" t="n"/>
      <c r="AM431" s="3934" t="n"/>
      <c r="AN431" s="3934" t="n"/>
      <c r="AO431" s="3934" t="n"/>
      <c r="AP431" s="3934" t="n"/>
      <c r="AQ431" s="3934" t="n"/>
      <c r="AR431" s="3934" t="n"/>
    </row>
    <row r="432">
      <c r="A432" s="3944" t="n"/>
      <c r="B432" s="3944" t="n"/>
      <c r="C432" s="3944" t="n"/>
      <c r="D432" s="3944" t="n"/>
      <c r="E432" s="3944" t="n"/>
      <c r="F432" s="3944" t="n"/>
      <c r="G432" s="3944" t="n"/>
      <c r="H432" s="3944" t="n"/>
      <c r="I432" s="3934" t="n"/>
      <c r="J432" s="3934" t="n"/>
      <c r="K432" s="3934" t="n"/>
      <c r="L432" s="3934" t="n"/>
      <c r="M432" s="3934" t="n"/>
      <c r="N432" s="3934" t="n"/>
      <c r="O432" s="3934" t="n"/>
      <c r="P432" s="3934" t="n"/>
      <c r="Q432" s="3934" t="n"/>
      <c r="R432" s="3934" t="n"/>
      <c r="S432" s="3934" t="n"/>
      <c r="T432" s="3934" t="n"/>
      <c r="U432" s="3934" t="n"/>
      <c r="V432" s="3934" t="n"/>
      <c r="W432" s="3934" t="n"/>
      <c r="X432" s="3934" t="n"/>
      <c r="Y432" s="3934" t="n"/>
      <c r="Z432" s="3934" t="n"/>
      <c r="AA432" s="3934" t="n"/>
      <c r="AB432" s="3934" t="n"/>
      <c r="AC432" s="3934" t="n"/>
      <c r="AD432" s="3934" t="n"/>
      <c r="AE432" s="3934" t="n"/>
      <c r="AF432" s="3934" t="n"/>
      <c r="AG432" s="3934" t="n"/>
      <c r="AH432" s="3934" t="n"/>
      <c r="AI432" s="3934" t="n"/>
      <c r="AJ432" s="3934" t="n"/>
      <c r="AK432" s="3934" t="n"/>
      <c r="AL432" s="3934" t="n"/>
      <c r="AM432" s="3934" t="n"/>
      <c r="AN432" s="3934" t="n"/>
      <c r="AO432" s="3934" t="n"/>
      <c r="AP432" s="3934" t="n"/>
      <c r="AQ432" s="3934" t="n"/>
      <c r="AR432" s="3934" t="n"/>
    </row>
    <row r="433">
      <c r="A433" s="3944" t="n"/>
      <c r="B433" s="3944" t="n"/>
      <c r="C433" s="3944" t="n"/>
      <c r="D433" s="3944" t="n"/>
      <c r="E433" s="3944" t="n"/>
      <c r="F433" s="3944" t="n"/>
      <c r="G433" s="3944" t="n"/>
      <c r="H433" s="3944" t="n"/>
      <c r="I433" s="3934" t="n"/>
      <c r="J433" s="3934" t="n"/>
      <c r="K433" s="3934" t="n"/>
      <c r="L433" s="3934" t="n"/>
      <c r="M433" s="3934" t="n"/>
      <c r="N433" s="3934" t="n"/>
      <c r="O433" s="3934" t="n"/>
      <c r="P433" s="3934" t="n"/>
      <c r="Q433" s="3934" t="n"/>
      <c r="R433" s="3934" t="n"/>
      <c r="S433" s="3934" t="n"/>
      <c r="T433" s="3934" t="n"/>
      <c r="U433" s="3934" t="n"/>
      <c r="V433" s="3934" t="n"/>
      <c r="W433" s="3934" t="n"/>
      <c r="X433" s="3934" t="n"/>
      <c r="Y433" s="3934" t="n"/>
      <c r="Z433" s="3934" t="n"/>
      <c r="AA433" s="3934" t="n"/>
      <c r="AB433" s="3934" t="n"/>
      <c r="AC433" s="3934" t="n"/>
      <c r="AD433" s="3934" t="n"/>
      <c r="AE433" s="3934" t="n"/>
      <c r="AF433" s="3934" t="n"/>
      <c r="AG433" s="3934" t="n"/>
      <c r="AH433" s="3934" t="n"/>
      <c r="AI433" s="3934" t="n"/>
      <c r="AJ433" s="3934" t="n"/>
      <c r="AK433" s="3934" t="n"/>
      <c r="AL433" s="3934" t="n"/>
      <c r="AM433" s="3934" t="n"/>
      <c r="AN433" s="3934" t="n"/>
      <c r="AO433" s="3934" t="n"/>
      <c r="AP433" s="3934" t="n"/>
      <c r="AQ433" s="3934" t="n"/>
      <c r="AR433" s="3934" t="n"/>
    </row>
    <row r="434">
      <c r="A434" s="3944" t="n"/>
      <c r="B434" s="3944" t="n"/>
      <c r="C434" s="3944" t="n"/>
      <c r="D434" s="3944" t="n"/>
      <c r="E434" s="3944" t="n"/>
      <c r="F434" s="3944" t="n"/>
      <c r="G434" s="3944" t="n"/>
      <c r="H434" s="3944" t="n"/>
      <c r="I434" s="3934" t="n"/>
      <c r="J434" s="3934" t="n"/>
      <c r="K434" s="3934" t="n"/>
      <c r="L434" s="3934" t="n"/>
      <c r="M434" s="3934" t="n"/>
      <c r="N434" s="3934" t="n"/>
      <c r="O434" s="3934" t="n"/>
      <c r="P434" s="3934" t="n"/>
      <c r="Q434" s="3934" t="n"/>
      <c r="R434" s="3934" t="n"/>
      <c r="S434" s="3934" t="n"/>
      <c r="T434" s="3934" t="n"/>
      <c r="U434" s="3934" t="n"/>
      <c r="V434" s="3934" t="n"/>
      <c r="W434" s="3934" t="n"/>
      <c r="X434" s="3934" t="n"/>
      <c r="Y434" s="3934" t="n"/>
      <c r="Z434" s="3934" t="n"/>
      <c r="AA434" s="3934" t="n"/>
      <c r="AB434" s="3934" t="n"/>
      <c r="AC434" s="3934" t="n"/>
      <c r="AD434" s="3934" t="n"/>
      <c r="AE434" s="3934" t="n"/>
      <c r="AF434" s="3934" t="n"/>
      <c r="AG434" s="3934" t="n"/>
      <c r="AH434" s="3934" t="n"/>
      <c r="AI434" s="3934" t="n"/>
      <c r="AJ434" s="3934" t="n"/>
      <c r="AK434" s="3934" t="n"/>
      <c r="AL434" s="3934" t="n"/>
      <c r="AM434" s="3934" t="n"/>
      <c r="AN434" s="3934" t="n"/>
      <c r="AO434" s="3934" t="n"/>
      <c r="AP434" s="3934" t="n"/>
      <c r="AQ434" s="3934" t="n"/>
      <c r="AR434" s="3934" t="n"/>
    </row>
    <row r="435">
      <c r="A435" s="3944" t="n"/>
      <c r="B435" s="3944" t="n"/>
      <c r="C435" s="3944" t="n"/>
      <c r="D435" s="3944" t="n"/>
      <c r="E435" s="3944" t="n"/>
      <c r="F435" s="3944" t="n"/>
      <c r="G435" s="3944" t="n"/>
      <c r="H435" s="3944" t="n"/>
      <c r="I435" s="3934" t="n"/>
      <c r="J435" s="3934" t="n"/>
      <c r="K435" s="3934" t="n"/>
      <c r="L435" s="3934" t="n"/>
      <c r="M435" s="3934" t="n"/>
      <c r="N435" s="3934" t="n"/>
      <c r="O435" s="3934" t="n"/>
      <c r="P435" s="3934" t="n"/>
      <c r="Q435" s="3934" t="n"/>
      <c r="R435" s="3934" t="n"/>
      <c r="S435" s="3934" t="n"/>
      <c r="T435" s="3934" t="n"/>
      <c r="U435" s="3934" t="n"/>
      <c r="V435" s="3934" t="n"/>
      <c r="W435" s="3934" t="n"/>
      <c r="X435" s="3934" t="n"/>
      <c r="Y435" s="3934" t="n"/>
      <c r="Z435" s="3934" t="n"/>
      <c r="AA435" s="3934" t="n"/>
      <c r="AB435" s="3934" t="n"/>
      <c r="AC435" s="3934" t="n"/>
      <c r="AD435" s="3934" t="n"/>
      <c r="AE435" s="3934" t="n"/>
      <c r="AF435" s="3934" t="n"/>
      <c r="AG435" s="3934" t="n"/>
      <c r="AH435" s="3934" t="n"/>
      <c r="AI435" s="3934" t="n"/>
      <c r="AJ435" s="3934" t="n"/>
      <c r="AK435" s="3934" t="n"/>
      <c r="AL435" s="3934" t="n"/>
      <c r="AM435" s="3934" t="n"/>
      <c r="AN435" s="3934" t="n"/>
      <c r="AO435" s="3934" t="n"/>
      <c r="AP435" s="3934" t="n"/>
      <c r="AQ435" s="3934" t="n"/>
      <c r="AR435" s="3934" t="n"/>
    </row>
    <row r="436">
      <c r="A436" s="3944" t="n"/>
      <c r="B436" s="3944" t="n"/>
      <c r="C436" s="3944" t="n"/>
      <c r="D436" s="3944" t="n"/>
      <c r="E436" s="3944" t="n"/>
      <c r="F436" s="3944" t="n"/>
      <c r="G436" s="3944" t="n"/>
      <c r="H436" s="3944" t="n"/>
      <c r="I436" s="3934" t="n"/>
      <c r="J436" s="3934" t="n"/>
      <c r="K436" s="3934" t="n"/>
      <c r="L436" s="3934" t="n"/>
      <c r="M436" s="3934" t="n"/>
      <c r="N436" s="3934" t="n"/>
      <c r="O436" s="3934" t="n"/>
      <c r="P436" s="3934" t="n"/>
      <c r="Q436" s="3934" t="n"/>
      <c r="R436" s="3934" t="n"/>
      <c r="S436" s="3934" t="n"/>
      <c r="T436" s="3934" t="n"/>
      <c r="U436" s="3934" t="n"/>
      <c r="V436" s="3934" t="n"/>
      <c r="W436" s="3934" t="n"/>
      <c r="X436" s="3934" t="n"/>
      <c r="Y436" s="3934" t="n"/>
      <c r="Z436" s="3934" t="n"/>
      <c r="AA436" s="3934" t="n"/>
      <c r="AB436" s="3934" t="n"/>
      <c r="AC436" s="3934" t="n"/>
      <c r="AD436" s="3934" t="n"/>
      <c r="AE436" s="3934" t="n"/>
      <c r="AF436" s="3934" t="n"/>
      <c r="AG436" s="3934" t="n"/>
      <c r="AH436" s="3934" t="n"/>
      <c r="AI436" s="3934" t="n"/>
      <c r="AJ436" s="3934" t="n"/>
      <c r="AK436" s="3934" t="n"/>
      <c r="AL436" s="3934" t="n"/>
      <c r="AM436" s="3934" t="n"/>
      <c r="AN436" s="3934" t="n"/>
      <c r="AO436" s="3934" t="n"/>
      <c r="AP436" s="3934" t="n"/>
      <c r="AQ436" s="3934" t="n"/>
      <c r="AR436" s="3934" t="n"/>
    </row>
    <row r="437">
      <c r="A437" s="3944" t="n"/>
      <c r="B437" s="3944" t="n"/>
      <c r="C437" s="3944" t="n"/>
      <c r="D437" s="3944" t="n"/>
      <c r="E437" s="3944" t="n"/>
      <c r="F437" s="3944" t="n"/>
      <c r="G437" s="3944" t="n"/>
      <c r="H437" s="3944" t="n"/>
      <c r="I437" s="3934" t="n"/>
      <c r="J437" s="3934" t="n"/>
      <c r="K437" s="3934" t="n"/>
      <c r="L437" s="3934" t="n"/>
      <c r="M437" s="3934" t="n"/>
      <c r="N437" s="3934" t="n"/>
      <c r="O437" s="3934" t="n"/>
      <c r="P437" s="3934" t="n"/>
      <c r="Q437" s="3934" t="n"/>
      <c r="R437" s="3934" t="n"/>
      <c r="S437" s="3934" t="n"/>
      <c r="T437" s="3934" t="n"/>
      <c r="U437" s="3934" t="n"/>
      <c r="V437" s="3934" t="n"/>
      <c r="W437" s="3934" t="n"/>
      <c r="X437" s="3934" t="n"/>
      <c r="Y437" s="3934" t="n"/>
      <c r="Z437" s="3934" t="n"/>
      <c r="AA437" s="3934" t="n"/>
      <c r="AB437" s="3934" t="n"/>
      <c r="AC437" s="3934" t="n"/>
      <c r="AD437" s="3934" t="n"/>
      <c r="AE437" s="3934" t="n"/>
      <c r="AF437" s="3934" t="n"/>
      <c r="AG437" s="3934" t="n"/>
      <c r="AH437" s="3934" t="n"/>
      <c r="AI437" s="3934" t="n"/>
      <c r="AJ437" s="3934" t="n"/>
      <c r="AK437" s="3934" t="n"/>
      <c r="AL437" s="3934" t="n"/>
      <c r="AM437" s="3934" t="n"/>
      <c r="AN437" s="3934" t="n"/>
      <c r="AO437" s="3934" t="n"/>
      <c r="AP437" s="3934" t="n"/>
      <c r="AQ437" s="3934" t="n"/>
      <c r="AR437" s="3934" t="n"/>
    </row>
    <row r="438">
      <c r="A438" s="3944" t="n"/>
      <c r="B438" s="3944" t="n"/>
      <c r="C438" s="3944" t="n"/>
      <c r="D438" s="3944" t="n"/>
      <c r="E438" s="3944" t="n"/>
      <c r="F438" s="3944" t="n"/>
      <c r="G438" s="3944" t="n"/>
      <c r="H438" s="3944" t="n"/>
      <c r="I438" s="3934" t="n"/>
      <c r="J438" s="3934" t="n"/>
      <c r="K438" s="3934" t="n"/>
      <c r="L438" s="3934" t="n"/>
      <c r="M438" s="3934" t="n"/>
      <c r="N438" s="3934" t="n"/>
      <c r="O438" s="3934" t="n"/>
      <c r="P438" s="3934" t="n"/>
      <c r="Q438" s="3934" t="n"/>
      <c r="R438" s="3934" t="n"/>
      <c r="S438" s="3934" t="n"/>
      <c r="T438" s="3934" t="n"/>
      <c r="U438" s="3934" t="n"/>
      <c r="V438" s="3934" t="n"/>
      <c r="W438" s="3934" t="n"/>
      <c r="X438" s="3934" t="n"/>
      <c r="Y438" s="3934" t="n"/>
      <c r="Z438" s="3934" t="n"/>
      <c r="AA438" s="3934" t="n"/>
      <c r="AB438" s="3934" t="n"/>
      <c r="AC438" s="3934" t="n"/>
      <c r="AD438" s="3934" t="n"/>
      <c r="AE438" s="3934" t="n"/>
      <c r="AF438" s="3934" t="n"/>
      <c r="AG438" s="3934" t="n"/>
      <c r="AH438" s="3934" t="n"/>
      <c r="AI438" s="3934" t="n"/>
      <c r="AJ438" s="3934" t="n"/>
      <c r="AK438" s="3934" t="n"/>
      <c r="AL438" s="3934" t="n"/>
      <c r="AM438" s="3934" t="n"/>
      <c r="AN438" s="3934" t="n"/>
      <c r="AO438" s="3934" t="n"/>
      <c r="AP438" s="3934" t="n"/>
      <c r="AQ438" s="3934" t="n"/>
      <c r="AR438" s="3934" t="n"/>
    </row>
    <row r="439">
      <c r="A439" s="3944" t="n"/>
      <c r="B439" s="3944" t="n"/>
      <c r="C439" s="3944" t="n"/>
      <c r="D439" s="3944" t="n"/>
      <c r="E439" s="3944" t="n"/>
      <c r="F439" s="3944" t="n"/>
      <c r="G439" s="3944" t="n"/>
      <c r="H439" s="3944" t="n"/>
      <c r="I439" s="3934" t="n"/>
      <c r="J439" s="3934" t="n"/>
      <c r="K439" s="3934" t="n"/>
      <c r="L439" s="3934" t="n"/>
      <c r="M439" s="3934" t="n"/>
      <c r="N439" s="3934" t="n"/>
      <c r="O439" s="3934" t="n"/>
      <c r="P439" s="3934" t="n"/>
      <c r="Q439" s="3934" t="n"/>
      <c r="R439" s="3934" t="n"/>
      <c r="S439" s="3934" t="n"/>
      <c r="T439" s="3934" t="n"/>
      <c r="U439" s="3934" t="n"/>
      <c r="V439" s="3934" t="n"/>
      <c r="W439" s="3934" t="n"/>
      <c r="X439" s="3934" t="n"/>
      <c r="Y439" s="3934" t="n"/>
      <c r="Z439" s="3934" t="n"/>
      <c r="AA439" s="3934" t="n"/>
      <c r="AB439" s="3934" t="n"/>
      <c r="AC439" s="3934" t="n"/>
      <c r="AD439" s="3934" t="n"/>
      <c r="AE439" s="3934" t="n"/>
      <c r="AF439" s="3934" t="n"/>
      <c r="AG439" s="3934" t="n"/>
      <c r="AH439" s="3934" t="n"/>
      <c r="AI439" s="3934" t="n"/>
      <c r="AJ439" s="3934" t="n"/>
      <c r="AK439" s="3934" t="n"/>
      <c r="AL439" s="3934" t="n"/>
      <c r="AM439" s="3934" t="n"/>
      <c r="AN439" s="3934" t="n"/>
      <c r="AO439" s="3934" t="n"/>
      <c r="AP439" s="3934" t="n"/>
      <c r="AQ439" s="3934" t="n"/>
      <c r="AR439" s="3934" t="n"/>
    </row>
    <row r="440">
      <c r="A440" s="3944" t="n"/>
      <c r="B440" s="3944" t="n"/>
      <c r="C440" s="3944" t="n"/>
      <c r="D440" s="3944" t="n"/>
      <c r="E440" s="3944" t="n"/>
      <c r="F440" s="3944" t="n"/>
      <c r="G440" s="3944" t="n"/>
      <c r="H440" s="3944" t="n"/>
      <c r="I440" s="3934" t="n"/>
      <c r="J440" s="3934" t="n"/>
      <c r="K440" s="3934" t="n"/>
      <c r="L440" s="3934" t="n"/>
      <c r="M440" s="3934" t="n"/>
      <c r="N440" s="3934" t="n"/>
      <c r="O440" s="3934" t="n"/>
      <c r="P440" s="3934" t="n"/>
      <c r="Q440" s="3934" t="n"/>
      <c r="R440" s="3934" t="n"/>
      <c r="S440" s="3934" t="n"/>
      <c r="T440" s="3934" t="n"/>
      <c r="U440" s="3934" t="n"/>
      <c r="V440" s="3934" t="n"/>
      <c r="W440" s="3934" t="n"/>
      <c r="X440" s="3934" t="n"/>
      <c r="Y440" s="3934" t="n"/>
      <c r="Z440" s="3934" t="n"/>
      <c r="AA440" s="3934" t="n"/>
      <c r="AB440" s="3934" t="n"/>
      <c r="AC440" s="3934" t="n"/>
      <c r="AD440" s="3934" t="n"/>
      <c r="AE440" s="3934" t="n"/>
      <c r="AF440" s="3934" t="n"/>
      <c r="AG440" s="3934" t="n"/>
      <c r="AH440" s="3934" t="n"/>
      <c r="AI440" s="3934" t="n"/>
      <c r="AJ440" s="3934" t="n"/>
      <c r="AK440" s="3934" t="n"/>
      <c r="AL440" s="3934" t="n"/>
      <c r="AM440" s="3934" t="n"/>
      <c r="AN440" s="3934" t="n"/>
      <c r="AO440" s="3934" t="n"/>
      <c r="AP440" s="3934" t="n"/>
      <c r="AQ440" s="3934" t="n"/>
      <c r="AR440" s="3934" t="n"/>
    </row>
    <row r="441">
      <c r="A441" s="3944" t="n"/>
      <c r="B441" s="3944" t="n"/>
      <c r="C441" s="3944" t="n"/>
      <c r="D441" s="3944" t="n"/>
      <c r="E441" s="3944" t="n"/>
      <c r="F441" s="3944" t="n"/>
      <c r="G441" s="3944" t="n"/>
      <c r="H441" s="3944" t="n"/>
      <c r="I441" s="3934" t="n"/>
      <c r="J441" s="3934" t="n"/>
      <c r="K441" s="3934" t="n"/>
      <c r="L441" s="3934" t="n"/>
      <c r="M441" s="3934" t="n"/>
      <c r="N441" s="3934" t="n"/>
      <c r="O441" s="3934" t="n"/>
      <c r="P441" s="3934" t="n"/>
      <c r="Q441" s="3934" t="n"/>
      <c r="R441" s="3934" t="n"/>
      <c r="S441" s="3934" t="n"/>
      <c r="T441" s="3934" t="n"/>
      <c r="U441" s="3934" t="n"/>
      <c r="V441" s="3934" t="n"/>
      <c r="W441" s="3934" t="n"/>
      <c r="X441" s="3934" t="n"/>
      <c r="Y441" s="3934" t="n"/>
      <c r="Z441" s="3934" t="n"/>
      <c r="AA441" s="3934" t="n"/>
      <c r="AB441" s="3934" t="n"/>
      <c r="AC441" s="3934" t="n"/>
      <c r="AD441" s="3934" t="n"/>
      <c r="AE441" s="3934" t="n"/>
      <c r="AF441" s="3934" t="n"/>
      <c r="AG441" s="3934" t="n"/>
      <c r="AH441" s="3934" t="n"/>
      <c r="AI441" s="3934" t="n"/>
      <c r="AJ441" s="3934" t="n"/>
      <c r="AK441" s="3934" t="n"/>
      <c r="AL441" s="3934" t="n"/>
      <c r="AM441" s="3934" t="n"/>
      <c r="AN441" s="3934" t="n"/>
      <c r="AO441" s="3934" t="n"/>
      <c r="AP441" s="3934" t="n"/>
      <c r="AQ441" s="3934" t="n"/>
      <c r="AR441" s="3934" t="n"/>
    </row>
    <row r="442">
      <c r="A442" s="3944" t="n"/>
      <c r="B442" s="3944" t="n"/>
      <c r="C442" s="3944" t="n"/>
      <c r="D442" s="3944" t="n"/>
      <c r="E442" s="3944" t="n"/>
      <c r="F442" s="3944" t="n"/>
      <c r="G442" s="3944" t="n"/>
      <c r="H442" s="3944" t="n"/>
      <c r="I442" s="3934" t="n"/>
      <c r="J442" s="3934" t="n"/>
      <c r="K442" s="3934" t="n"/>
      <c r="L442" s="3934" t="n"/>
      <c r="M442" s="3934" t="n"/>
      <c r="N442" s="3934" t="n"/>
      <c r="O442" s="3934" t="n"/>
      <c r="P442" s="3934" t="n"/>
      <c r="Q442" s="3934" t="n"/>
      <c r="R442" s="3934" t="n"/>
      <c r="S442" s="3934" t="n"/>
      <c r="T442" s="3934" t="n"/>
      <c r="U442" s="3934" t="n"/>
      <c r="V442" s="3934" t="n"/>
      <c r="W442" s="3934" t="n"/>
      <c r="X442" s="3934" t="n"/>
      <c r="Y442" s="3934" t="n"/>
      <c r="Z442" s="3934" t="n"/>
      <c r="AA442" s="3934" t="n"/>
      <c r="AB442" s="3934" t="n"/>
      <c r="AC442" s="3934" t="n"/>
      <c r="AD442" s="3934" t="n"/>
      <c r="AE442" s="3934" t="n"/>
      <c r="AF442" s="3934" t="n"/>
      <c r="AG442" s="3934" t="n"/>
      <c r="AH442" s="3934" t="n"/>
      <c r="AI442" s="3934" t="n"/>
      <c r="AJ442" s="3934" t="n"/>
      <c r="AK442" s="3934" t="n"/>
      <c r="AL442" s="3934" t="n"/>
      <c r="AM442" s="3934" t="n"/>
      <c r="AN442" s="3934" t="n"/>
      <c r="AO442" s="3934" t="n"/>
      <c r="AP442" s="3934" t="n"/>
      <c r="AQ442" s="3934" t="n"/>
      <c r="AR442" s="3934" t="n"/>
    </row>
    <row r="443">
      <c r="A443" s="3944" t="n"/>
      <c r="B443" s="3944" t="n"/>
      <c r="C443" s="3944" t="n"/>
      <c r="D443" s="3944" t="n"/>
      <c r="E443" s="3944" t="n"/>
      <c r="F443" s="3944" t="n"/>
      <c r="G443" s="3944" t="n"/>
      <c r="H443" s="3944" t="n"/>
      <c r="I443" s="3934" t="n"/>
      <c r="J443" s="3934" t="n"/>
      <c r="K443" s="3934" t="n"/>
      <c r="L443" s="3934" t="n"/>
      <c r="M443" s="3934" t="n"/>
      <c r="N443" s="3934" t="n"/>
      <c r="O443" s="3934" t="n"/>
      <c r="P443" s="3934" t="n"/>
      <c r="Q443" s="3934" t="n"/>
      <c r="R443" s="3934" t="n"/>
      <c r="S443" s="3934" t="n"/>
      <c r="T443" s="3934" t="n"/>
      <c r="U443" s="3934" t="n"/>
      <c r="V443" s="3934" t="n"/>
      <c r="W443" s="3934" t="n"/>
      <c r="X443" s="3934" t="n"/>
      <c r="Y443" s="3934" t="n"/>
      <c r="Z443" s="3934" t="n"/>
      <c r="AA443" s="3934" t="n"/>
      <c r="AB443" s="3934" t="n"/>
      <c r="AC443" s="3934" t="n"/>
      <c r="AD443" s="3934" t="n"/>
      <c r="AE443" s="3934" t="n"/>
      <c r="AF443" s="3934" t="n"/>
      <c r="AG443" s="3934" t="n"/>
      <c r="AH443" s="3934" t="n"/>
      <c r="AI443" s="3934" t="n"/>
      <c r="AJ443" s="3934" t="n"/>
      <c r="AK443" s="3934" t="n"/>
      <c r="AL443" s="3934" t="n"/>
      <c r="AM443" s="3934" t="n"/>
      <c r="AN443" s="3934" t="n"/>
      <c r="AO443" s="3934" t="n"/>
      <c r="AP443" s="3934" t="n"/>
      <c r="AQ443" s="3934" t="n"/>
      <c r="AR443" s="3934" t="n"/>
    </row>
    <row r="444">
      <c r="A444" s="3944" t="n"/>
      <c r="B444" s="3944" t="n"/>
      <c r="C444" s="3944" t="n"/>
      <c r="D444" s="3944" t="n"/>
      <c r="E444" s="3944" t="n"/>
      <c r="F444" s="3944" t="n"/>
      <c r="G444" s="3944" t="n"/>
      <c r="H444" s="3944" t="n"/>
      <c r="I444" s="3934" t="n"/>
      <c r="J444" s="3934" t="n"/>
      <c r="K444" s="3934" t="n"/>
      <c r="L444" s="3934" t="n"/>
      <c r="M444" s="3934" t="n"/>
      <c r="N444" s="3934" t="n"/>
      <c r="O444" s="3934" t="n"/>
      <c r="P444" s="3934" t="n"/>
      <c r="Q444" s="3934" t="n"/>
      <c r="R444" s="3934" t="n"/>
      <c r="S444" s="3934" t="n"/>
      <c r="T444" s="3934" t="n"/>
      <c r="U444" s="3934" t="n"/>
      <c r="V444" s="3934" t="n"/>
      <c r="W444" s="3934" t="n"/>
      <c r="X444" s="3934" t="n"/>
      <c r="Y444" s="3934" t="n"/>
      <c r="Z444" s="3934" t="n"/>
      <c r="AA444" s="3934" t="n"/>
      <c r="AB444" s="3934" t="n"/>
      <c r="AC444" s="3934" t="n"/>
      <c r="AD444" s="3934" t="n"/>
      <c r="AE444" s="3934" t="n"/>
      <c r="AF444" s="3934" t="n"/>
      <c r="AG444" s="3934" t="n"/>
      <c r="AH444" s="3934" t="n"/>
      <c r="AI444" s="3934" t="n"/>
      <c r="AJ444" s="3934" t="n"/>
      <c r="AK444" s="3934" t="n"/>
      <c r="AL444" s="3934" t="n"/>
      <c r="AM444" s="3934" t="n"/>
      <c r="AN444" s="3934" t="n"/>
      <c r="AO444" s="3934" t="n"/>
      <c r="AP444" s="3934" t="n"/>
      <c r="AQ444" s="3934" t="n"/>
      <c r="AR444" s="3934" t="n"/>
    </row>
    <row r="445">
      <c r="A445" s="3944" t="n"/>
      <c r="B445" s="3944" t="n"/>
      <c r="C445" s="3944" t="n"/>
      <c r="D445" s="3944" t="n"/>
      <c r="E445" s="3944" t="n"/>
      <c r="F445" s="3944" t="n"/>
      <c r="G445" s="3944" t="n"/>
      <c r="H445" s="3944" t="n"/>
      <c r="I445" s="3934" t="n"/>
      <c r="J445" s="3934" t="n"/>
      <c r="K445" s="3934" t="n"/>
      <c r="L445" s="3934" t="n"/>
      <c r="M445" s="3934" t="n"/>
      <c r="N445" s="3934" t="n"/>
      <c r="O445" s="3934" t="n"/>
      <c r="P445" s="3934" t="n"/>
      <c r="Q445" s="3934" t="n"/>
      <c r="R445" s="3934" t="n"/>
      <c r="S445" s="3934" t="n"/>
      <c r="T445" s="3934" t="n"/>
      <c r="U445" s="3934" t="n"/>
      <c r="V445" s="3934" t="n"/>
      <c r="W445" s="3934" t="n"/>
      <c r="X445" s="3934" t="n"/>
      <c r="Y445" s="3934" t="n"/>
      <c r="Z445" s="3934" t="n"/>
      <c r="AA445" s="3934" t="n"/>
      <c r="AB445" s="3934" t="n"/>
      <c r="AC445" s="3934" t="n"/>
      <c r="AD445" s="3934" t="n"/>
      <c r="AE445" s="3934" t="n"/>
      <c r="AF445" s="3934" t="n"/>
      <c r="AG445" s="3934" t="n"/>
      <c r="AH445" s="3934" t="n"/>
      <c r="AI445" s="3934" t="n"/>
      <c r="AJ445" s="3934" t="n"/>
      <c r="AK445" s="3934" t="n"/>
      <c r="AL445" s="3934" t="n"/>
      <c r="AM445" s="3934" t="n"/>
      <c r="AN445" s="3934" t="n"/>
      <c r="AO445" s="3934" t="n"/>
      <c r="AP445" s="3934" t="n"/>
      <c r="AQ445" s="3934" t="n"/>
      <c r="AR445" s="3934" t="n"/>
    </row>
    <row r="446">
      <c r="A446" s="3944" t="n"/>
      <c r="B446" s="3944" t="n"/>
      <c r="C446" s="3944" t="n"/>
      <c r="D446" s="3944" t="n"/>
      <c r="E446" s="3944" t="n"/>
      <c r="F446" s="3944" t="n"/>
      <c r="G446" s="3944" t="n"/>
      <c r="H446" s="3944" t="n"/>
      <c r="I446" s="3934" t="n"/>
      <c r="J446" s="3934" t="n"/>
      <c r="K446" s="3934" t="n"/>
      <c r="L446" s="3934" t="n"/>
      <c r="M446" s="3934" t="n"/>
      <c r="N446" s="3934" t="n"/>
      <c r="O446" s="3934" t="n"/>
      <c r="P446" s="3934" t="n"/>
      <c r="Q446" s="3934" t="n"/>
      <c r="R446" s="3934" t="n"/>
      <c r="S446" s="3934" t="n"/>
      <c r="T446" s="3934" t="n"/>
      <c r="U446" s="3934" t="n"/>
      <c r="V446" s="3934" t="n"/>
      <c r="W446" s="3934" t="n"/>
      <c r="X446" s="3934" t="n"/>
      <c r="Y446" s="3934" t="n"/>
      <c r="Z446" s="3934" t="n"/>
      <c r="AA446" s="3934" t="n"/>
      <c r="AB446" s="3934" t="n"/>
      <c r="AC446" s="3934" t="n"/>
      <c r="AD446" s="3934" t="n"/>
      <c r="AE446" s="3934" t="n"/>
      <c r="AF446" s="3934" t="n"/>
      <c r="AG446" s="3934" t="n"/>
      <c r="AH446" s="3934" t="n"/>
      <c r="AI446" s="3934" t="n"/>
      <c r="AJ446" s="3934" t="n"/>
      <c r="AK446" s="3934" t="n"/>
      <c r="AL446" s="3934" t="n"/>
      <c r="AM446" s="3934" t="n"/>
      <c r="AN446" s="3934" t="n"/>
      <c r="AO446" s="3934" t="n"/>
      <c r="AP446" s="3934" t="n"/>
      <c r="AQ446" s="3934" t="n"/>
      <c r="AR446" s="3934" t="n"/>
    </row>
    <row r="447">
      <c r="A447" s="3944" t="n"/>
      <c r="B447" s="3944" t="n"/>
      <c r="C447" s="3944" t="n"/>
      <c r="D447" s="3944" t="n"/>
      <c r="E447" s="3944" t="n"/>
      <c r="F447" s="3944" t="n"/>
      <c r="G447" s="3944" t="n"/>
      <c r="H447" s="3944" t="n"/>
      <c r="I447" s="3934" t="n"/>
      <c r="J447" s="3934" t="n"/>
      <c r="K447" s="3934" t="n"/>
      <c r="L447" s="3934" t="n"/>
      <c r="M447" s="3934" t="n"/>
      <c r="N447" s="3934" t="n"/>
      <c r="O447" s="3934" t="n"/>
      <c r="P447" s="3934" t="n"/>
      <c r="Q447" s="3934" t="n"/>
      <c r="R447" s="3934" t="n"/>
      <c r="S447" s="3934" t="n"/>
      <c r="T447" s="3934" t="n"/>
      <c r="U447" s="3934" t="n"/>
      <c r="V447" s="3934" t="n"/>
      <c r="W447" s="3934" t="n"/>
      <c r="X447" s="3934" t="n"/>
      <c r="Y447" s="3934" t="n"/>
      <c r="Z447" s="3934" t="n"/>
      <c r="AA447" s="3934" t="n"/>
      <c r="AB447" s="3934" t="n"/>
      <c r="AC447" s="3934" t="n"/>
      <c r="AD447" s="3934" t="n"/>
      <c r="AE447" s="3934" t="n"/>
      <c r="AF447" s="3934" t="n"/>
      <c r="AG447" s="3934" t="n"/>
      <c r="AH447" s="3934" t="n"/>
      <c r="AI447" s="3934" t="n"/>
      <c r="AJ447" s="3934" t="n"/>
      <c r="AK447" s="3934" t="n"/>
      <c r="AL447" s="3934" t="n"/>
      <c r="AM447" s="3934" t="n"/>
      <c r="AN447" s="3934" t="n"/>
      <c r="AO447" s="3934" t="n"/>
      <c r="AP447" s="3934" t="n"/>
      <c r="AQ447" s="3934" t="n"/>
      <c r="AR447" s="3934" t="n"/>
    </row>
    <row r="448">
      <c r="A448" s="3944" t="n"/>
      <c r="B448" s="3944" t="n"/>
      <c r="C448" s="3944" t="n"/>
      <c r="D448" s="3944" t="n"/>
      <c r="E448" s="3944" t="n"/>
      <c r="F448" s="3944" t="n"/>
      <c r="G448" s="3944" t="n"/>
      <c r="H448" s="3944" t="n"/>
      <c r="I448" s="3934" t="n"/>
      <c r="J448" s="3934" t="n"/>
      <c r="K448" s="3934" t="n"/>
      <c r="L448" s="3934" t="n"/>
      <c r="M448" s="3934" t="n"/>
      <c r="N448" s="3934" t="n"/>
      <c r="O448" s="3934" t="n"/>
      <c r="P448" s="3934" t="n"/>
      <c r="Q448" s="3934" t="n"/>
      <c r="R448" s="3934" t="n"/>
      <c r="S448" s="3934" t="n"/>
      <c r="T448" s="3934" t="n"/>
      <c r="U448" s="3934" t="n"/>
      <c r="V448" s="3934" t="n"/>
      <c r="W448" s="3934" t="n"/>
      <c r="X448" s="3934" t="n"/>
      <c r="Y448" s="3934" t="n"/>
      <c r="Z448" s="3934" t="n"/>
      <c r="AA448" s="3934" t="n"/>
      <c r="AB448" s="3934" t="n"/>
      <c r="AC448" s="3934" t="n"/>
      <c r="AD448" s="3934" t="n"/>
      <c r="AE448" s="3934" t="n"/>
      <c r="AF448" s="3934" t="n"/>
      <c r="AG448" s="3934" t="n"/>
      <c r="AH448" s="3934" t="n"/>
      <c r="AI448" s="3934" t="n"/>
      <c r="AJ448" s="3934" t="n"/>
      <c r="AK448" s="3934" t="n"/>
      <c r="AL448" s="3934" t="n"/>
      <c r="AM448" s="3934" t="n"/>
      <c r="AN448" s="3934" t="n"/>
      <c r="AO448" s="3934" t="n"/>
      <c r="AP448" s="3934" t="n"/>
      <c r="AQ448" s="3934" t="n"/>
      <c r="AR448" s="3934" t="n"/>
    </row>
    <row r="449">
      <c r="A449" s="3944" t="n"/>
      <c r="B449" s="3944" t="n"/>
      <c r="C449" s="3944" t="n"/>
      <c r="D449" s="3944" t="n"/>
      <c r="E449" s="3944" t="n"/>
      <c r="F449" s="3944" t="n"/>
      <c r="G449" s="3944" t="n"/>
      <c r="H449" s="3944" t="n"/>
      <c r="I449" s="3934" t="n"/>
      <c r="J449" s="3934" t="n"/>
      <c r="K449" s="3934" t="n"/>
      <c r="L449" s="3934" t="n"/>
      <c r="M449" s="3934" t="n"/>
      <c r="N449" s="3934" t="n"/>
      <c r="O449" s="3934" t="n"/>
      <c r="P449" s="3934" t="n"/>
      <c r="Q449" s="3934" t="n"/>
      <c r="R449" s="3934" t="n"/>
      <c r="S449" s="3934" t="n"/>
      <c r="T449" s="3934" t="n"/>
      <c r="U449" s="3934" t="n"/>
      <c r="V449" s="3934" t="n"/>
      <c r="W449" s="3934" t="n"/>
      <c r="X449" s="3934" t="n"/>
      <c r="Y449" s="3934" t="n"/>
      <c r="Z449" s="3934" t="n"/>
      <c r="AA449" s="3934" t="n"/>
      <c r="AB449" s="3934" t="n"/>
      <c r="AC449" s="3934" t="n"/>
      <c r="AD449" s="3934" t="n"/>
      <c r="AE449" s="3934" t="n"/>
      <c r="AF449" s="3934" t="n"/>
      <c r="AG449" s="3934" t="n"/>
      <c r="AH449" s="3934" t="n"/>
      <c r="AI449" s="3934" t="n"/>
      <c r="AJ449" s="3934" t="n"/>
      <c r="AK449" s="3934" t="n"/>
      <c r="AL449" s="3934" t="n"/>
      <c r="AM449" s="3934" t="n"/>
      <c r="AN449" s="3934" t="n"/>
      <c r="AO449" s="3934" t="n"/>
      <c r="AP449" s="3934" t="n"/>
      <c r="AQ449" s="3934" t="n"/>
      <c r="AR449" s="3934" t="n"/>
    </row>
    <row r="450">
      <c r="A450" s="3944" t="n"/>
      <c r="B450" s="3944" t="n"/>
      <c r="C450" s="3944" t="n"/>
      <c r="D450" s="3944" t="n"/>
      <c r="E450" s="3944" t="n"/>
      <c r="F450" s="3944" t="n"/>
      <c r="G450" s="3944" t="n"/>
      <c r="H450" s="3944" t="n"/>
      <c r="I450" s="3934" t="n"/>
      <c r="J450" s="3934" t="n"/>
      <c r="K450" s="3934" t="n"/>
      <c r="L450" s="3934" t="n"/>
      <c r="M450" s="3934" t="n"/>
      <c r="N450" s="3934" t="n"/>
      <c r="O450" s="3934" t="n"/>
      <c r="P450" s="3934" t="n"/>
      <c r="Q450" s="3934" t="n"/>
      <c r="R450" s="3934" t="n"/>
      <c r="S450" s="3934" t="n"/>
      <c r="T450" s="3934" t="n"/>
      <c r="U450" s="3934" t="n"/>
      <c r="V450" s="3934" t="n"/>
      <c r="W450" s="3934" t="n"/>
      <c r="X450" s="3934" t="n"/>
      <c r="Y450" s="3934" t="n"/>
      <c r="Z450" s="3934" t="n"/>
      <c r="AA450" s="3934" t="n"/>
      <c r="AB450" s="3934" t="n"/>
      <c r="AC450" s="3934" t="n"/>
      <c r="AD450" s="3934" t="n"/>
      <c r="AE450" s="3934" t="n"/>
      <c r="AF450" s="3934" t="n"/>
      <c r="AG450" s="3934" t="n"/>
      <c r="AH450" s="3934" t="n"/>
      <c r="AI450" s="3934" t="n"/>
      <c r="AJ450" s="3934" t="n"/>
      <c r="AK450" s="3934" t="n"/>
      <c r="AL450" s="3934" t="n"/>
      <c r="AM450" s="3934" t="n"/>
      <c r="AN450" s="3934" t="n"/>
      <c r="AO450" s="3934" t="n"/>
      <c r="AP450" s="3934" t="n"/>
      <c r="AQ450" s="3934" t="n"/>
      <c r="AR450" s="3934" t="n"/>
    </row>
    <row r="451">
      <c r="A451" s="3944" t="n"/>
      <c r="B451" s="3944" t="n"/>
      <c r="C451" s="3944" t="n"/>
      <c r="D451" s="3944" t="n"/>
      <c r="E451" s="3944" t="n"/>
      <c r="F451" s="3944" t="n"/>
      <c r="G451" s="3944" t="n"/>
      <c r="H451" s="3944" t="n"/>
      <c r="I451" s="3934" t="n"/>
      <c r="J451" s="3934" t="n"/>
      <c r="K451" s="3934" t="n"/>
      <c r="L451" s="3934" t="n"/>
      <c r="M451" s="3934" t="n"/>
      <c r="N451" s="3934" t="n"/>
      <c r="O451" s="3934" t="n"/>
      <c r="P451" s="3934" t="n"/>
      <c r="Q451" s="3934" t="n"/>
      <c r="R451" s="3934" t="n"/>
      <c r="S451" s="3934" t="n"/>
      <c r="T451" s="3934" t="n"/>
      <c r="U451" s="3934" t="n"/>
      <c r="V451" s="3934" t="n"/>
      <c r="W451" s="3934" t="n"/>
      <c r="X451" s="3934" t="n"/>
      <c r="Y451" s="3934" t="n"/>
      <c r="Z451" s="3934" t="n"/>
      <c r="AA451" s="3934" t="n"/>
      <c r="AB451" s="3934" t="n"/>
      <c r="AC451" s="3934" t="n"/>
      <c r="AD451" s="3934" t="n"/>
      <c r="AE451" s="3934" t="n"/>
      <c r="AF451" s="3934" t="n"/>
      <c r="AG451" s="3934" t="n"/>
      <c r="AH451" s="3934" t="n"/>
      <c r="AI451" s="3934" t="n"/>
      <c r="AJ451" s="3934" t="n"/>
      <c r="AK451" s="3934" t="n"/>
      <c r="AL451" s="3934" t="n"/>
      <c r="AM451" s="3934" t="n"/>
      <c r="AN451" s="3934" t="n"/>
      <c r="AO451" s="3934" t="n"/>
      <c r="AP451" s="3934" t="n"/>
      <c r="AQ451" s="3934" t="n"/>
      <c r="AR451" s="3934" t="n"/>
    </row>
    <row r="452">
      <c r="A452" s="3944" t="n"/>
      <c r="B452" s="3944" t="n"/>
      <c r="C452" s="3944" t="n"/>
      <c r="D452" s="3944" t="n"/>
      <c r="E452" s="3944" t="n"/>
      <c r="F452" s="3944" t="n"/>
      <c r="G452" s="3944" t="n"/>
      <c r="H452" s="3944" t="n"/>
      <c r="I452" s="3934" t="n"/>
      <c r="J452" s="3934" t="n"/>
      <c r="K452" s="3934" t="n"/>
      <c r="L452" s="3934" t="n"/>
      <c r="M452" s="3934" t="n"/>
      <c r="N452" s="3934" t="n"/>
      <c r="O452" s="3934" t="n"/>
      <c r="P452" s="3934" t="n"/>
      <c r="Q452" s="3934" t="n"/>
      <c r="R452" s="3934" t="n"/>
      <c r="S452" s="3934" t="n"/>
      <c r="T452" s="3934" t="n"/>
      <c r="U452" s="3934" t="n"/>
      <c r="V452" s="3934" t="n"/>
      <c r="W452" s="3934" t="n"/>
      <c r="X452" s="3934" t="n"/>
      <c r="Y452" s="3934" t="n"/>
      <c r="Z452" s="3934" t="n"/>
      <c r="AA452" s="3934" t="n"/>
      <c r="AB452" s="3934" t="n"/>
      <c r="AC452" s="3934" t="n"/>
      <c r="AD452" s="3934" t="n"/>
      <c r="AE452" s="3934" t="n"/>
      <c r="AF452" s="3934" t="n"/>
      <c r="AG452" s="3934" t="n"/>
      <c r="AH452" s="3934" t="n"/>
      <c r="AI452" s="3934" t="n"/>
      <c r="AJ452" s="3934" t="n"/>
      <c r="AK452" s="3934" t="n"/>
      <c r="AL452" s="3934" t="n"/>
      <c r="AM452" s="3934" t="n"/>
      <c r="AN452" s="3934" t="n"/>
      <c r="AO452" s="3934" t="n"/>
      <c r="AP452" s="3934" t="n"/>
      <c r="AQ452" s="3934" t="n"/>
      <c r="AR452" s="3934" t="n"/>
    </row>
    <row r="453">
      <c r="A453" s="3944" t="n"/>
      <c r="B453" s="3944" t="n"/>
      <c r="C453" s="3944" t="n"/>
      <c r="D453" s="3944" t="n"/>
      <c r="E453" s="3944" t="n"/>
      <c r="F453" s="3944" t="n"/>
      <c r="G453" s="3944" t="n"/>
      <c r="H453" s="3944" t="n"/>
      <c r="I453" s="3934" t="n"/>
      <c r="J453" s="3934" t="n"/>
      <c r="K453" s="3934" t="n"/>
      <c r="L453" s="3934" t="n"/>
      <c r="M453" s="3934" t="n"/>
      <c r="N453" s="3934" t="n"/>
      <c r="O453" s="3934" t="n"/>
      <c r="P453" s="3934" t="n"/>
      <c r="Q453" s="3934" t="n"/>
      <c r="R453" s="3934" t="n"/>
      <c r="S453" s="3934" t="n"/>
      <c r="T453" s="3934" t="n"/>
      <c r="U453" s="3934" t="n"/>
      <c r="V453" s="3934" t="n"/>
      <c r="W453" s="3934" t="n"/>
      <c r="X453" s="3934" t="n"/>
      <c r="Y453" s="3934" t="n"/>
      <c r="Z453" s="3934" t="n"/>
      <c r="AA453" s="3934" t="n"/>
      <c r="AB453" s="3934" t="n"/>
      <c r="AC453" s="3934" t="n"/>
      <c r="AD453" s="3934" t="n"/>
      <c r="AE453" s="3934" t="n"/>
      <c r="AF453" s="3934" t="n"/>
      <c r="AG453" s="3934" t="n"/>
      <c r="AH453" s="3934" t="n"/>
      <c r="AI453" s="3934" t="n"/>
      <c r="AJ453" s="3934" t="n"/>
      <c r="AK453" s="3934" t="n"/>
      <c r="AL453" s="3934" t="n"/>
      <c r="AM453" s="3934" t="n"/>
      <c r="AN453" s="3934" t="n"/>
      <c r="AO453" s="3934" t="n"/>
      <c r="AP453" s="3934" t="n"/>
      <c r="AQ453" s="3934" t="n"/>
      <c r="AR453" s="3934" t="n"/>
    </row>
    <row r="454">
      <c r="A454" s="3944" t="n"/>
      <c r="B454" s="3944" t="n"/>
      <c r="C454" s="3944" t="n"/>
      <c r="D454" s="3944" t="n"/>
      <c r="E454" s="3944" t="n"/>
      <c r="F454" s="3944" t="n"/>
      <c r="G454" s="3944" t="n"/>
      <c r="H454" s="3944" t="n"/>
      <c r="I454" s="3934" t="n"/>
      <c r="J454" s="3934" t="n"/>
      <c r="K454" s="3934" t="n"/>
      <c r="L454" s="3934" t="n"/>
      <c r="M454" s="3934" t="n"/>
      <c r="N454" s="3934" t="n"/>
      <c r="O454" s="3934" t="n"/>
      <c r="P454" s="3934" t="n"/>
      <c r="Q454" s="3934" t="n"/>
      <c r="R454" s="3934" t="n"/>
      <c r="S454" s="3934" t="n"/>
      <c r="T454" s="3934" t="n"/>
      <c r="U454" s="3934" t="n"/>
      <c r="V454" s="3934" t="n"/>
      <c r="W454" s="3934" t="n"/>
      <c r="X454" s="3934" t="n"/>
      <c r="Y454" s="3934" t="n"/>
      <c r="Z454" s="3934" t="n"/>
      <c r="AA454" s="3934" t="n"/>
      <c r="AB454" s="3934" t="n"/>
      <c r="AC454" s="3934" t="n"/>
      <c r="AD454" s="3934" t="n"/>
      <c r="AE454" s="3934" t="n"/>
      <c r="AF454" s="3934" t="n"/>
      <c r="AG454" s="3934" t="n"/>
      <c r="AH454" s="3934" t="n"/>
      <c r="AI454" s="3934" t="n"/>
      <c r="AJ454" s="3934" t="n"/>
      <c r="AK454" s="3934" t="n"/>
      <c r="AL454" s="3934" t="n"/>
      <c r="AM454" s="3934" t="n"/>
      <c r="AN454" s="3934" t="n"/>
      <c r="AO454" s="3934" t="n"/>
      <c r="AP454" s="3934" t="n"/>
      <c r="AQ454" s="3934" t="n"/>
      <c r="AR454" s="3934" t="n"/>
    </row>
    <row r="455">
      <c r="A455" s="3944" t="n"/>
      <c r="B455" s="3944" t="n"/>
      <c r="C455" s="3944" t="n"/>
      <c r="D455" s="3944" t="n"/>
      <c r="E455" s="3944" t="n"/>
      <c r="F455" s="3944" t="n"/>
      <c r="G455" s="3944" t="n"/>
      <c r="H455" s="3944" t="n"/>
      <c r="I455" s="3934" t="n"/>
      <c r="J455" s="3934" t="n"/>
      <c r="K455" s="3934" t="n"/>
      <c r="L455" s="3934" t="n"/>
      <c r="M455" s="3934" t="n"/>
      <c r="N455" s="3934" t="n"/>
      <c r="O455" s="3934" t="n"/>
      <c r="P455" s="3934" t="n"/>
      <c r="Q455" s="3934" t="n"/>
      <c r="R455" s="3934" t="n"/>
      <c r="S455" s="3934" t="n"/>
      <c r="T455" s="3934" t="n"/>
      <c r="U455" s="3934" t="n"/>
      <c r="V455" s="3934" t="n"/>
      <c r="W455" s="3934" t="n"/>
      <c r="X455" s="3934" t="n"/>
      <c r="Y455" s="3934" t="n"/>
      <c r="Z455" s="3934" t="n"/>
      <c r="AA455" s="3934" t="n"/>
      <c r="AB455" s="3934" t="n"/>
      <c r="AC455" s="3934" t="n"/>
      <c r="AD455" s="3934" t="n"/>
      <c r="AE455" s="3934" t="n"/>
      <c r="AF455" s="3934" t="n"/>
      <c r="AG455" s="3934" t="n"/>
      <c r="AH455" s="3934" t="n"/>
      <c r="AI455" s="3934" t="n"/>
      <c r="AJ455" s="3934" t="n"/>
      <c r="AK455" s="3934" t="n"/>
      <c r="AL455" s="3934" t="n"/>
      <c r="AM455" s="3934" t="n"/>
      <c r="AN455" s="3934" t="n"/>
      <c r="AO455" s="3934" t="n"/>
      <c r="AP455" s="3934" t="n"/>
      <c r="AQ455" s="3934" t="n"/>
      <c r="AR455" s="3934" t="n"/>
    </row>
    <row r="456">
      <c r="A456" s="3944" t="n"/>
      <c r="B456" s="3944" t="n"/>
      <c r="C456" s="3944" t="n"/>
      <c r="D456" s="3944" t="n"/>
      <c r="E456" s="3944" t="n"/>
      <c r="F456" s="3944" t="n"/>
      <c r="G456" s="3944" t="n"/>
      <c r="H456" s="3944" t="n"/>
      <c r="I456" s="3934" t="n"/>
      <c r="J456" s="3934" t="n"/>
      <c r="K456" s="3934" t="n"/>
      <c r="L456" s="3934" t="n"/>
      <c r="M456" s="3934" t="n"/>
      <c r="N456" s="3934" t="n"/>
      <c r="O456" s="3934" t="n"/>
      <c r="P456" s="3934" t="n"/>
      <c r="Q456" s="3934" t="n"/>
      <c r="R456" s="3934" t="n"/>
      <c r="S456" s="3934" t="n"/>
      <c r="T456" s="3934" t="n"/>
      <c r="U456" s="3934" t="n"/>
      <c r="V456" s="3934" t="n"/>
      <c r="W456" s="3934" t="n"/>
      <c r="X456" s="3934" t="n"/>
      <c r="Y456" s="3934" t="n"/>
      <c r="Z456" s="3934" t="n"/>
      <c r="AA456" s="3934" t="n"/>
      <c r="AB456" s="3934" t="n"/>
      <c r="AC456" s="3934" t="n"/>
      <c r="AD456" s="3934" t="n"/>
      <c r="AE456" s="3934" t="n"/>
      <c r="AF456" s="3934" t="n"/>
      <c r="AG456" s="3934" t="n"/>
      <c r="AH456" s="3934" t="n"/>
      <c r="AI456" s="3934" t="n"/>
      <c r="AJ456" s="3934" t="n"/>
      <c r="AK456" s="3934" t="n"/>
      <c r="AL456" s="3934" t="n"/>
      <c r="AM456" s="3934" t="n"/>
      <c r="AN456" s="3934" t="n"/>
      <c r="AO456" s="3934" t="n"/>
      <c r="AP456" s="3934" t="n"/>
      <c r="AQ456" s="3934" t="n"/>
      <c r="AR456" s="3934" t="n"/>
    </row>
    <row r="457">
      <c r="A457" s="3944" t="n"/>
      <c r="B457" s="3944" t="n"/>
      <c r="C457" s="3944" t="n"/>
      <c r="D457" s="3944" t="n"/>
      <c r="E457" s="3944" t="n"/>
      <c r="F457" s="3944" t="n"/>
      <c r="G457" s="3944" t="n"/>
      <c r="H457" s="3944" t="n"/>
      <c r="I457" s="3934" t="n"/>
      <c r="J457" s="3934" t="n"/>
      <c r="K457" s="3934" t="n"/>
      <c r="L457" s="3934" t="n"/>
      <c r="M457" s="3934" t="n"/>
      <c r="N457" s="3934" t="n"/>
      <c r="O457" s="3934" t="n"/>
      <c r="P457" s="3934" t="n"/>
      <c r="Q457" s="3934" t="n"/>
      <c r="R457" s="3934" t="n"/>
      <c r="S457" s="3934" t="n"/>
      <c r="T457" s="3934" t="n"/>
      <c r="U457" s="3934" t="n"/>
      <c r="V457" s="3934" t="n"/>
      <c r="W457" s="3934" t="n"/>
      <c r="X457" s="3934" t="n"/>
      <c r="Y457" s="3934" t="n"/>
      <c r="Z457" s="3934" t="n"/>
      <c r="AA457" s="3934" t="n"/>
      <c r="AB457" s="3934" t="n"/>
      <c r="AC457" s="3934" t="n"/>
      <c r="AD457" s="3934" t="n"/>
      <c r="AE457" s="3934" t="n"/>
      <c r="AF457" s="3934" t="n"/>
      <c r="AG457" s="3934" t="n"/>
      <c r="AH457" s="3934" t="n"/>
      <c r="AI457" s="3934" t="n"/>
      <c r="AJ457" s="3934" t="n"/>
      <c r="AK457" s="3934" t="n"/>
      <c r="AL457" s="3934" t="n"/>
      <c r="AM457" s="3934" t="n"/>
      <c r="AN457" s="3934" t="n"/>
      <c r="AO457" s="3934" t="n"/>
      <c r="AP457" s="3934" t="n"/>
      <c r="AQ457" s="3934" t="n"/>
      <c r="AR457" s="3934" t="n"/>
    </row>
    <row r="458">
      <c r="A458" s="3944" t="n"/>
      <c r="B458" s="3944" t="n"/>
      <c r="C458" s="3944" t="n"/>
      <c r="D458" s="3944" t="n"/>
      <c r="E458" s="3944" t="n"/>
      <c r="F458" s="3944" t="n"/>
      <c r="G458" s="3944" t="n"/>
      <c r="H458" s="3944" t="n"/>
      <c r="I458" s="3934" t="n"/>
      <c r="J458" s="3934" t="n"/>
      <c r="K458" s="3934" t="n"/>
      <c r="L458" s="3934" t="n"/>
      <c r="M458" s="3934" t="n"/>
      <c r="N458" s="3934" t="n"/>
      <c r="O458" s="3934" t="n"/>
      <c r="P458" s="3934" t="n"/>
      <c r="Q458" s="3934" t="n"/>
      <c r="R458" s="3934" t="n"/>
      <c r="S458" s="3934" t="n"/>
      <c r="T458" s="3934" t="n"/>
      <c r="U458" s="3934" t="n"/>
      <c r="V458" s="3934" t="n"/>
      <c r="W458" s="3934" t="n"/>
      <c r="X458" s="3934" t="n"/>
      <c r="Y458" s="3934" t="n"/>
      <c r="Z458" s="3934" t="n"/>
      <c r="AA458" s="3934" t="n"/>
      <c r="AB458" s="3934" t="n"/>
      <c r="AC458" s="3934" t="n"/>
      <c r="AD458" s="3934" t="n"/>
      <c r="AE458" s="3934" t="n"/>
      <c r="AF458" s="3934" t="n"/>
      <c r="AG458" s="3934" t="n"/>
      <c r="AH458" s="3934" t="n"/>
      <c r="AI458" s="3934" t="n"/>
      <c r="AJ458" s="3934" t="n"/>
      <c r="AK458" s="3934" t="n"/>
      <c r="AL458" s="3934" t="n"/>
      <c r="AM458" s="3934" t="n"/>
      <c r="AN458" s="3934" t="n"/>
      <c r="AO458" s="3934" t="n"/>
      <c r="AP458" s="3934" t="n"/>
      <c r="AQ458" s="3934" t="n"/>
      <c r="AR458" s="3934" t="n"/>
    </row>
    <row r="459">
      <c r="A459" s="3944" t="n"/>
      <c r="B459" s="3944" t="n"/>
      <c r="C459" s="3944" t="n"/>
      <c r="D459" s="3944" t="n"/>
      <c r="E459" s="3944" t="n"/>
      <c r="F459" s="3944" t="n"/>
      <c r="G459" s="3944" t="n"/>
      <c r="H459" s="3944" t="n"/>
      <c r="I459" s="3934" t="n"/>
      <c r="J459" s="3934" t="n"/>
      <c r="K459" s="3934" t="n"/>
      <c r="L459" s="3934" t="n"/>
      <c r="M459" s="3934" t="n"/>
      <c r="N459" s="3934" t="n"/>
      <c r="O459" s="3934" t="n"/>
      <c r="P459" s="3934" t="n"/>
      <c r="Q459" s="3934" t="n"/>
      <c r="R459" s="3934" t="n"/>
      <c r="S459" s="3934" t="n"/>
      <c r="T459" s="3934" t="n"/>
      <c r="U459" s="3934" t="n"/>
      <c r="V459" s="3934" t="n"/>
      <c r="W459" s="3934" t="n"/>
      <c r="X459" s="3934" t="n"/>
      <c r="Y459" s="3934" t="n"/>
      <c r="Z459" s="3934" t="n"/>
      <c r="AA459" s="3934" t="n"/>
      <c r="AB459" s="3934" t="n"/>
      <c r="AC459" s="3934" t="n"/>
      <c r="AD459" s="3934" t="n"/>
      <c r="AE459" s="3934" t="n"/>
      <c r="AF459" s="3934" t="n"/>
      <c r="AG459" s="3934" t="n"/>
      <c r="AH459" s="3934" t="n"/>
      <c r="AI459" s="3934" t="n"/>
      <c r="AJ459" s="3934" t="n"/>
      <c r="AK459" s="3934" t="n"/>
      <c r="AL459" s="3934" t="n"/>
      <c r="AM459" s="3934" t="n"/>
      <c r="AN459" s="3934" t="n"/>
      <c r="AO459" s="3934" t="n"/>
      <c r="AP459" s="3934" t="n"/>
      <c r="AQ459" s="3934" t="n"/>
      <c r="AR459" s="3934" t="n"/>
    </row>
    <row r="460">
      <c r="A460" s="3944" t="n"/>
      <c r="B460" s="3944" t="n"/>
      <c r="C460" s="3944" t="n"/>
      <c r="D460" s="3944" t="n"/>
      <c r="E460" s="3944" t="n"/>
      <c r="F460" s="3944" t="n"/>
      <c r="G460" s="3944" t="n"/>
      <c r="H460" s="3944" t="n"/>
      <c r="I460" s="3934" t="n"/>
      <c r="J460" s="3934" t="n"/>
      <c r="K460" s="3934" t="n"/>
      <c r="L460" s="3934" t="n"/>
      <c r="M460" s="3934" t="n"/>
      <c r="N460" s="3934" t="n"/>
      <c r="O460" s="3934" t="n"/>
      <c r="P460" s="3934" t="n"/>
      <c r="Q460" s="3934" t="n"/>
      <c r="R460" s="3934" t="n"/>
      <c r="S460" s="3934" t="n"/>
      <c r="T460" s="3934" t="n"/>
      <c r="U460" s="3934" t="n"/>
      <c r="V460" s="3934" t="n"/>
      <c r="W460" s="3934" t="n"/>
      <c r="X460" s="3934" t="n"/>
      <c r="Y460" s="3934" t="n"/>
      <c r="Z460" s="3934" t="n"/>
      <c r="AA460" s="3934" t="n"/>
      <c r="AB460" s="3934" t="n"/>
      <c r="AC460" s="3934" t="n"/>
      <c r="AD460" s="3934" t="n"/>
      <c r="AE460" s="3934" t="n"/>
      <c r="AF460" s="3934" t="n"/>
      <c r="AG460" s="3934" t="n"/>
      <c r="AH460" s="3934" t="n"/>
      <c r="AI460" s="3934" t="n"/>
      <c r="AJ460" s="3934" t="n"/>
      <c r="AK460" s="3934" t="n"/>
      <c r="AL460" s="3934" t="n"/>
      <c r="AM460" s="3934" t="n"/>
      <c r="AN460" s="3934" t="n"/>
      <c r="AO460" s="3934" t="n"/>
      <c r="AP460" s="3934" t="n"/>
      <c r="AQ460" s="3934" t="n"/>
      <c r="AR460" s="3934" t="n"/>
    </row>
    <row r="461">
      <c r="A461" s="3944" t="n"/>
      <c r="B461" s="3944" t="n"/>
      <c r="C461" s="3944" t="n"/>
      <c r="D461" s="3944" t="n"/>
      <c r="E461" s="3944" t="n"/>
      <c r="F461" s="3944" t="n"/>
      <c r="G461" s="3944" t="n"/>
      <c r="H461" s="3944" t="n"/>
      <c r="I461" s="3934" t="n"/>
      <c r="J461" s="3934" t="n"/>
      <c r="K461" s="3934" t="n"/>
      <c r="L461" s="3934" t="n"/>
      <c r="M461" s="3934" t="n"/>
      <c r="N461" s="3934" t="n"/>
      <c r="O461" s="3934" t="n"/>
      <c r="P461" s="3934" t="n"/>
      <c r="Q461" s="3934" t="n"/>
      <c r="R461" s="3934" t="n"/>
      <c r="S461" s="3934" t="n"/>
      <c r="T461" s="3934" t="n"/>
      <c r="U461" s="3934" t="n"/>
      <c r="V461" s="3934" t="n"/>
      <c r="W461" s="3934" t="n"/>
      <c r="X461" s="3934" t="n"/>
      <c r="Y461" s="3934" t="n"/>
      <c r="Z461" s="3934" t="n"/>
      <c r="AA461" s="3934" t="n"/>
      <c r="AB461" s="3934" t="n"/>
      <c r="AC461" s="3934" t="n"/>
      <c r="AD461" s="3934" t="n"/>
      <c r="AE461" s="3934" t="n"/>
      <c r="AF461" s="3934" t="n"/>
      <c r="AG461" s="3934" t="n"/>
      <c r="AH461" s="3934" t="n"/>
      <c r="AI461" s="3934" t="n"/>
      <c r="AJ461" s="3934" t="n"/>
      <c r="AK461" s="3934" t="n"/>
      <c r="AL461" s="3934" t="n"/>
      <c r="AM461" s="3934" t="n"/>
      <c r="AN461" s="3934" t="n"/>
      <c r="AO461" s="3934" t="n"/>
      <c r="AP461" s="3934" t="n"/>
      <c r="AQ461" s="3934" t="n"/>
      <c r="AR461" s="3934" t="n"/>
    </row>
    <row r="462">
      <c r="A462" s="3944" t="n"/>
      <c r="B462" s="3944" t="n"/>
      <c r="C462" s="3944" t="n"/>
      <c r="D462" s="3944" t="n"/>
      <c r="E462" s="3944" t="n"/>
      <c r="F462" s="3944" t="n"/>
      <c r="G462" s="3944" t="n"/>
      <c r="H462" s="3944" t="n"/>
      <c r="I462" s="3934" t="n"/>
      <c r="J462" s="3934" t="n"/>
      <c r="K462" s="3934" t="n"/>
      <c r="L462" s="3934" t="n"/>
      <c r="M462" s="3934" t="n"/>
      <c r="N462" s="3934" t="n"/>
      <c r="O462" s="3934" t="n"/>
      <c r="P462" s="3934" t="n"/>
      <c r="Q462" s="3934" t="n"/>
      <c r="R462" s="3934" t="n"/>
      <c r="S462" s="3934" t="n"/>
      <c r="T462" s="3934" t="n"/>
      <c r="U462" s="3934" t="n"/>
      <c r="V462" s="3934" t="n"/>
      <c r="W462" s="3934" t="n"/>
      <c r="X462" s="3934" t="n"/>
      <c r="Y462" s="3934" t="n"/>
      <c r="Z462" s="3934" t="n"/>
      <c r="AA462" s="3934" t="n"/>
      <c r="AB462" s="3934" t="n"/>
      <c r="AC462" s="3934" t="n"/>
      <c r="AD462" s="3934" t="n"/>
      <c r="AE462" s="3934" t="n"/>
      <c r="AF462" s="3934" t="n"/>
      <c r="AG462" s="3934" t="n"/>
      <c r="AH462" s="3934" t="n"/>
      <c r="AI462" s="3934" t="n"/>
      <c r="AJ462" s="3934" t="n"/>
      <c r="AK462" s="3934" t="n"/>
      <c r="AL462" s="3934" t="n"/>
      <c r="AM462" s="3934" t="n"/>
      <c r="AN462" s="3934" t="n"/>
      <c r="AO462" s="3934" t="n"/>
      <c r="AP462" s="3934" t="n"/>
      <c r="AQ462" s="3934" t="n"/>
      <c r="AR462" s="3934" t="n"/>
    </row>
    <row r="463">
      <c r="A463" s="3944" t="n"/>
      <c r="B463" s="3944" t="n"/>
      <c r="C463" s="3944" t="n"/>
      <c r="D463" s="3944" t="n"/>
      <c r="E463" s="3944" t="n"/>
      <c r="F463" s="3944" t="n"/>
      <c r="G463" s="3944" t="n"/>
      <c r="H463" s="3944" t="n"/>
      <c r="I463" s="3934" t="n"/>
      <c r="J463" s="3934" t="n"/>
      <c r="K463" s="3934" t="n"/>
      <c r="L463" s="3934" t="n"/>
      <c r="M463" s="3934" t="n"/>
      <c r="N463" s="3934" t="n"/>
      <c r="O463" s="3934" t="n"/>
      <c r="P463" s="3934" t="n"/>
      <c r="Q463" s="3934" t="n"/>
      <c r="R463" s="3934" t="n"/>
      <c r="S463" s="3934" t="n"/>
      <c r="T463" s="3934" t="n"/>
      <c r="U463" s="3934" t="n"/>
      <c r="V463" s="3934" t="n"/>
      <c r="W463" s="3934" t="n"/>
      <c r="X463" s="3934" t="n"/>
      <c r="Y463" s="3934" t="n"/>
      <c r="Z463" s="3934" t="n"/>
      <c r="AA463" s="3934" t="n"/>
      <c r="AB463" s="3934" t="n"/>
      <c r="AC463" s="3934" t="n"/>
      <c r="AD463" s="3934" t="n"/>
      <c r="AE463" s="3934" t="n"/>
      <c r="AF463" s="3934" t="n"/>
      <c r="AG463" s="3934" t="n"/>
      <c r="AH463" s="3934" t="n"/>
      <c r="AI463" s="3934" t="n"/>
      <c r="AJ463" s="3934" t="n"/>
      <c r="AK463" s="3934" t="n"/>
      <c r="AL463" s="3934" t="n"/>
      <c r="AM463" s="3934" t="n"/>
      <c r="AN463" s="3934" t="n"/>
      <c r="AO463" s="3934" t="n"/>
      <c r="AP463" s="3934" t="n"/>
      <c r="AQ463" s="3934" t="n"/>
      <c r="AR463" s="3934" t="n"/>
    </row>
    <row r="464">
      <c r="A464" s="3944" t="n"/>
      <c r="B464" s="3944" t="n"/>
      <c r="C464" s="3944" t="n"/>
      <c r="D464" s="3944" t="n"/>
      <c r="E464" s="3944" t="n"/>
      <c r="F464" s="3944" t="n"/>
      <c r="G464" s="3944" t="n"/>
      <c r="H464" s="3944" t="n"/>
      <c r="I464" s="3934" t="n"/>
      <c r="J464" s="3934" t="n"/>
      <c r="K464" s="3934" t="n"/>
      <c r="L464" s="3934" t="n"/>
      <c r="M464" s="3934" t="n"/>
      <c r="N464" s="3934" t="n"/>
      <c r="O464" s="3934" t="n"/>
      <c r="P464" s="3934" t="n"/>
      <c r="Q464" s="3934" t="n"/>
      <c r="R464" s="3934" t="n"/>
      <c r="S464" s="3934" t="n"/>
      <c r="T464" s="3934" t="n"/>
      <c r="U464" s="3934" t="n"/>
      <c r="V464" s="3934" t="n"/>
      <c r="W464" s="3934" t="n"/>
      <c r="X464" s="3934" t="n"/>
      <c r="Y464" s="3934" t="n"/>
      <c r="Z464" s="3934" t="n"/>
      <c r="AA464" s="3934" t="n"/>
      <c r="AB464" s="3934" t="n"/>
      <c r="AC464" s="3934" t="n"/>
      <c r="AD464" s="3934" t="n"/>
      <c r="AE464" s="3934" t="n"/>
      <c r="AF464" s="3934" t="n"/>
      <c r="AG464" s="3934" t="n"/>
      <c r="AH464" s="3934" t="n"/>
      <c r="AI464" s="3934" t="n"/>
      <c r="AJ464" s="3934" t="n"/>
      <c r="AK464" s="3934" t="n"/>
      <c r="AL464" s="3934" t="n"/>
      <c r="AM464" s="3934" t="n"/>
      <c r="AN464" s="3934" t="n"/>
      <c r="AO464" s="3934" t="n"/>
      <c r="AP464" s="3934" t="n"/>
      <c r="AQ464" s="3934" t="n"/>
      <c r="AR464" s="3934" t="n"/>
    </row>
    <row r="465">
      <c r="A465" s="3944" t="n"/>
      <c r="B465" s="3944" t="n"/>
      <c r="C465" s="3944" t="n"/>
      <c r="D465" s="3944" t="n"/>
      <c r="E465" s="3944" t="n"/>
      <c r="F465" s="3944" t="n"/>
      <c r="G465" s="3944" t="n"/>
      <c r="H465" s="3944" t="n"/>
      <c r="I465" s="3934" t="n"/>
      <c r="J465" s="3934" t="n"/>
      <c r="K465" s="3934" t="n"/>
      <c r="L465" s="3934" t="n"/>
      <c r="M465" s="3934" t="n"/>
      <c r="N465" s="3934" t="n"/>
      <c r="O465" s="3934" t="n"/>
      <c r="P465" s="3934" t="n"/>
      <c r="Q465" s="3934" t="n"/>
      <c r="R465" s="3934" t="n"/>
      <c r="S465" s="3934" t="n"/>
      <c r="T465" s="3934" t="n"/>
      <c r="U465" s="3934" t="n"/>
      <c r="V465" s="3934" t="n"/>
      <c r="W465" s="3934" t="n"/>
      <c r="X465" s="3934" t="n"/>
      <c r="Y465" s="3934" t="n"/>
      <c r="Z465" s="3934" t="n"/>
      <c r="AA465" s="3934" t="n"/>
      <c r="AB465" s="3934" t="n"/>
      <c r="AC465" s="3934" t="n"/>
      <c r="AD465" s="3934" t="n"/>
      <c r="AE465" s="3934" t="n"/>
      <c r="AF465" s="3934" t="n"/>
      <c r="AG465" s="3934" t="n"/>
      <c r="AH465" s="3934" t="n"/>
      <c r="AI465" s="3934" t="n"/>
      <c r="AJ465" s="3934" t="n"/>
      <c r="AK465" s="3934" t="n"/>
      <c r="AL465" s="3934" t="n"/>
      <c r="AM465" s="3934" t="n"/>
      <c r="AN465" s="3934" t="n"/>
      <c r="AO465" s="3934" t="n"/>
      <c r="AP465" s="3934" t="n"/>
      <c r="AQ465" s="3934" t="n"/>
      <c r="AR465" s="3934" t="n"/>
    </row>
    <row r="466">
      <c r="A466" s="3944" t="n"/>
      <c r="B466" s="3944" t="n"/>
      <c r="C466" s="3944" t="n"/>
      <c r="D466" s="3944" t="n"/>
      <c r="E466" s="3944" t="n"/>
      <c r="F466" s="3944" t="n"/>
      <c r="G466" s="3944" t="n"/>
      <c r="H466" s="3944" t="n"/>
      <c r="I466" s="3934" t="n"/>
      <c r="J466" s="3934" t="n"/>
      <c r="K466" s="3934" t="n"/>
      <c r="L466" s="3934" t="n"/>
      <c r="M466" s="3934" t="n"/>
      <c r="N466" s="3934" t="n"/>
      <c r="O466" s="3934" t="n"/>
      <c r="P466" s="3934" t="n"/>
      <c r="Q466" s="3934" t="n"/>
      <c r="R466" s="3934" t="n"/>
      <c r="S466" s="3934" t="n"/>
      <c r="T466" s="3934" t="n"/>
      <c r="U466" s="3934" t="n"/>
      <c r="V466" s="3934" t="n"/>
      <c r="W466" s="3934" t="n"/>
      <c r="X466" s="3934" t="n"/>
      <c r="Y466" s="3934" t="n"/>
      <c r="Z466" s="3934" t="n"/>
      <c r="AA466" s="3934" t="n"/>
      <c r="AB466" s="3934" t="n"/>
      <c r="AC466" s="3934" t="n"/>
      <c r="AD466" s="3934" t="n"/>
      <c r="AE466" s="3934" t="n"/>
      <c r="AF466" s="3934" t="n"/>
      <c r="AG466" s="3934" t="n"/>
      <c r="AH466" s="3934" t="n"/>
      <c r="AI466" s="3934" t="n"/>
      <c r="AJ466" s="3934" t="n"/>
      <c r="AK466" s="3934" t="n"/>
      <c r="AL466" s="3934" t="n"/>
      <c r="AM466" s="3934" t="n"/>
      <c r="AN466" s="3934" t="n"/>
      <c r="AO466" s="3934" t="n"/>
      <c r="AP466" s="3934" t="n"/>
      <c r="AQ466" s="3934" t="n"/>
      <c r="AR466" s="3934" t="n"/>
    </row>
    <row r="467">
      <c r="A467" s="3944" t="n"/>
      <c r="B467" s="3944" t="n"/>
      <c r="C467" s="3944" t="n"/>
      <c r="D467" s="3944" t="n"/>
      <c r="E467" s="3944" t="n"/>
      <c r="F467" s="3944" t="n"/>
      <c r="G467" s="3944" t="n"/>
      <c r="H467" s="3944" t="n"/>
      <c r="I467" s="3934" t="n"/>
      <c r="J467" s="3934" t="n"/>
      <c r="K467" s="3934" t="n"/>
      <c r="L467" s="3934" t="n"/>
      <c r="M467" s="3934" t="n"/>
      <c r="N467" s="3934" t="n"/>
      <c r="O467" s="3934" t="n"/>
      <c r="P467" s="3934" t="n"/>
      <c r="Q467" s="3934" t="n"/>
      <c r="R467" s="3934" t="n"/>
      <c r="S467" s="3934" t="n"/>
      <c r="T467" s="3934" t="n"/>
      <c r="U467" s="3934" t="n"/>
      <c r="V467" s="3934" t="n"/>
      <c r="W467" s="3934" t="n"/>
      <c r="X467" s="3934" t="n"/>
      <c r="Y467" s="3934" t="n"/>
      <c r="Z467" s="3934" t="n"/>
      <c r="AA467" s="3934" t="n"/>
      <c r="AB467" s="3934" t="n"/>
      <c r="AC467" s="3934" t="n"/>
      <c r="AD467" s="3934" t="n"/>
      <c r="AE467" s="3934" t="n"/>
      <c r="AF467" s="3934" t="n"/>
      <c r="AG467" s="3934" t="n"/>
      <c r="AH467" s="3934" t="n"/>
      <c r="AI467" s="3934" t="n"/>
      <c r="AJ467" s="3934" t="n"/>
      <c r="AK467" s="3934" t="n"/>
      <c r="AL467" s="3934" t="n"/>
      <c r="AM467" s="3934" t="n"/>
      <c r="AN467" s="3934" t="n"/>
      <c r="AO467" s="3934" t="n"/>
      <c r="AP467" s="3934" t="n"/>
      <c r="AQ467" s="3934" t="n"/>
      <c r="AR467" s="3934" t="n"/>
    </row>
    <row r="468">
      <c r="A468" s="3944" t="n"/>
      <c r="B468" s="3944" t="n"/>
      <c r="C468" s="3944" t="n"/>
      <c r="D468" s="3944" t="n"/>
      <c r="E468" s="3944" t="n"/>
      <c r="F468" s="3944" t="n"/>
      <c r="G468" s="3944" t="n"/>
      <c r="H468" s="3944" t="n"/>
      <c r="I468" s="3934" t="n"/>
      <c r="J468" s="3934" t="n"/>
      <c r="K468" s="3934" t="n"/>
      <c r="L468" s="3934" t="n"/>
      <c r="M468" s="3934" t="n"/>
      <c r="N468" s="3934" t="n"/>
      <c r="O468" s="3934" t="n"/>
      <c r="P468" s="3934" t="n"/>
      <c r="Q468" s="3934" t="n"/>
      <c r="R468" s="3934" t="n"/>
      <c r="S468" s="3934" t="n"/>
      <c r="T468" s="3934" t="n"/>
      <c r="U468" s="3934" t="n"/>
      <c r="V468" s="3934" t="n"/>
      <c r="W468" s="3934" t="n"/>
      <c r="X468" s="3934" t="n"/>
      <c r="Y468" s="3934" t="n"/>
      <c r="Z468" s="3934" t="n"/>
      <c r="AA468" s="3934" t="n"/>
      <c r="AB468" s="3934" t="n"/>
      <c r="AC468" s="3934" t="n"/>
      <c r="AD468" s="3934" t="n"/>
      <c r="AE468" s="3934" t="n"/>
      <c r="AF468" s="3934" t="n"/>
      <c r="AG468" s="3934" t="n"/>
      <c r="AH468" s="3934" t="n"/>
      <c r="AI468" s="3934" t="n"/>
      <c r="AJ468" s="3934" t="n"/>
      <c r="AK468" s="3934" t="n"/>
      <c r="AL468" s="3934" t="n"/>
      <c r="AM468" s="3934" t="n"/>
      <c r="AN468" s="3934" t="n"/>
      <c r="AO468" s="3934" t="n"/>
      <c r="AP468" s="3934" t="n"/>
      <c r="AQ468" s="3934" t="n"/>
      <c r="AR468" s="3934" t="n"/>
    </row>
    <row r="469">
      <c r="A469" s="3944" t="n"/>
      <c r="B469" s="3944" t="n"/>
      <c r="C469" s="3944" t="n"/>
      <c r="D469" s="3944" t="n"/>
      <c r="E469" s="3944" t="n"/>
      <c r="F469" s="3944" t="n"/>
      <c r="G469" s="3944" t="n"/>
      <c r="H469" s="3944" t="n"/>
      <c r="I469" s="3934" t="n"/>
      <c r="J469" s="3934" t="n"/>
      <c r="K469" s="3934" t="n"/>
      <c r="L469" s="3934" t="n"/>
      <c r="M469" s="3934" t="n"/>
      <c r="N469" s="3934" t="n"/>
      <c r="O469" s="3934" t="n"/>
      <c r="P469" s="3934" t="n"/>
      <c r="Q469" s="3934" t="n"/>
      <c r="R469" s="3934" t="n"/>
      <c r="S469" s="3934" t="n"/>
      <c r="T469" s="3934" t="n"/>
      <c r="U469" s="3934" t="n"/>
      <c r="V469" s="3934" t="n"/>
      <c r="W469" s="3934" t="n"/>
      <c r="X469" s="3934" t="n"/>
      <c r="Y469" s="3934" t="n"/>
      <c r="Z469" s="3934" t="n"/>
      <c r="AA469" s="3934" t="n"/>
      <c r="AB469" s="3934" t="n"/>
      <c r="AC469" s="3934" t="n"/>
      <c r="AD469" s="3934" t="n"/>
      <c r="AE469" s="3934" t="n"/>
      <c r="AF469" s="3934" t="n"/>
      <c r="AG469" s="3934" t="n"/>
      <c r="AH469" s="3934" t="n"/>
      <c r="AI469" s="3934" t="n"/>
      <c r="AJ469" s="3934" t="n"/>
      <c r="AK469" s="3934" t="n"/>
      <c r="AL469" s="3934" t="n"/>
      <c r="AM469" s="3934" t="n"/>
      <c r="AN469" s="3934" t="n"/>
      <c r="AO469" s="3934" t="n"/>
      <c r="AP469" s="3934" t="n"/>
      <c r="AQ469" s="3934" t="n"/>
      <c r="AR469" s="3934" t="n"/>
    </row>
    <row r="470">
      <c r="A470" s="3944" t="n"/>
      <c r="B470" s="3944" t="n"/>
      <c r="C470" s="3944" t="n"/>
      <c r="D470" s="3944" t="n"/>
      <c r="E470" s="3944" t="n"/>
      <c r="F470" s="3944" t="n"/>
      <c r="G470" s="3944" t="n"/>
      <c r="H470" s="3944" t="n"/>
      <c r="I470" s="3934" t="n"/>
      <c r="J470" s="3934" t="n"/>
      <c r="K470" s="3934" t="n"/>
      <c r="L470" s="3934" t="n"/>
      <c r="M470" s="3934" t="n"/>
      <c r="N470" s="3934" t="n"/>
      <c r="O470" s="3934" t="n"/>
      <c r="P470" s="3934" t="n"/>
      <c r="Q470" s="3934" t="n"/>
      <c r="R470" s="3934" t="n"/>
      <c r="S470" s="3934" t="n"/>
      <c r="T470" s="3934" t="n"/>
      <c r="U470" s="3934" t="n"/>
      <c r="V470" s="3934" t="n"/>
      <c r="W470" s="3934" t="n"/>
      <c r="X470" s="3934" t="n"/>
      <c r="Y470" s="3934" t="n"/>
      <c r="Z470" s="3934" t="n"/>
      <c r="AA470" s="3934" t="n"/>
      <c r="AB470" s="3934" t="n"/>
      <c r="AC470" s="3934" t="n"/>
      <c r="AD470" s="3934" t="n"/>
      <c r="AE470" s="3934" t="n"/>
      <c r="AF470" s="3934" t="n"/>
      <c r="AG470" s="3934" t="n"/>
      <c r="AH470" s="3934" t="n"/>
      <c r="AI470" s="3934" t="n"/>
      <c r="AJ470" s="3934" t="n"/>
      <c r="AK470" s="3934" t="n"/>
      <c r="AL470" s="3934" t="n"/>
      <c r="AM470" s="3934" t="n"/>
      <c r="AN470" s="3934" t="n"/>
      <c r="AO470" s="3934" t="n"/>
      <c r="AP470" s="3934" t="n"/>
      <c r="AQ470" s="3934" t="n"/>
      <c r="AR470" s="3934" t="n"/>
    </row>
    <row r="471">
      <c r="A471" s="3944" t="n"/>
      <c r="B471" s="3944" t="n"/>
      <c r="C471" s="3944" t="n"/>
      <c r="D471" s="3944" t="n"/>
      <c r="E471" s="3944" t="n"/>
      <c r="F471" s="3944" t="n"/>
      <c r="G471" s="3944" t="n"/>
      <c r="H471" s="3944" t="n"/>
      <c r="I471" s="3934" t="n"/>
      <c r="J471" s="3934" t="n"/>
      <c r="K471" s="3934" t="n"/>
      <c r="L471" s="3934" t="n"/>
      <c r="M471" s="3934" t="n"/>
      <c r="N471" s="3934" t="n"/>
      <c r="O471" s="3934" t="n"/>
      <c r="P471" s="3934" t="n"/>
      <c r="Q471" s="3934" t="n"/>
      <c r="R471" s="3934" t="n"/>
      <c r="S471" s="3934" t="n"/>
      <c r="T471" s="3934" t="n"/>
      <c r="U471" s="3934" t="n"/>
      <c r="V471" s="3934" t="n"/>
      <c r="W471" s="3934" t="n"/>
      <c r="X471" s="3934" t="n"/>
      <c r="Y471" s="3934" t="n"/>
      <c r="Z471" s="3934" t="n"/>
      <c r="AA471" s="3934" t="n"/>
      <c r="AB471" s="3934" t="n"/>
      <c r="AC471" s="3934" t="n"/>
      <c r="AD471" s="3934" t="n"/>
      <c r="AE471" s="3934" t="n"/>
      <c r="AF471" s="3934" t="n"/>
      <c r="AG471" s="3934" t="n"/>
      <c r="AH471" s="3934" t="n"/>
      <c r="AI471" s="3934" t="n"/>
      <c r="AJ471" s="3934" t="n"/>
      <c r="AK471" s="3934" t="n"/>
      <c r="AL471" s="3934" t="n"/>
      <c r="AM471" s="3934" t="n"/>
      <c r="AN471" s="3934" t="n"/>
      <c r="AO471" s="3934" t="n"/>
      <c r="AP471" s="3934" t="n"/>
      <c r="AQ471" s="3934" t="n"/>
      <c r="AR471" s="3934" t="n"/>
    </row>
    <row r="472">
      <c r="A472" s="3944" t="n"/>
      <c r="B472" s="3944" t="n"/>
      <c r="C472" s="3944" t="n"/>
      <c r="D472" s="3944" t="n"/>
      <c r="E472" s="3944" t="n"/>
      <c r="F472" s="3944" t="n"/>
      <c r="G472" s="3944" t="n"/>
      <c r="H472" s="3944" t="n"/>
      <c r="I472" s="3934" t="n"/>
      <c r="J472" s="3934" t="n"/>
      <c r="K472" s="3934" t="n"/>
      <c r="L472" s="3934" t="n"/>
      <c r="M472" s="3934" t="n"/>
      <c r="N472" s="3934" t="n"/>
      <c r="O472" s="3934" t="n"/>
      <c r="P472" s="3934" t="n"/>
      <c r="Q472" s="3934" t="n"/>
      <c r="R472" s="3934" t="n"/>
      <c r="S472" s="3934" t="n"/>
      <c r="T472" s="3934" t="n"/>
      <c r="U472" s="3934" t="n"/>
      <c r="V472" s="3934" t="n"/>
      <c r="W472" s="3934" t="n"/>
      <c r="X472" s="3934" t="n"/>
      <c r="Y472" s="3934" t="n"/>
      <c r="Z472" s="3934" t="n"/>
      <c r="AA472" s="3934" t="n"/>
      <c r="AB472" s="3934" t="n"/>
      <c r="AC472" s="3934" t="n"/>
      <c r="AD472" s="3934" t="n"/>
      <c r="AE472" s="3934" t="n"/>
      <c r="AF472" s="3934" t="n"/>
      <c r="AG472" s="3934" t="n"/>
      <c r="AH472" s="3934" t="n"/>
      <c r="AI472" s="3934" t="n"/>
      <c r="AJ472" s="3934" t="n"/>
      <c r="AK472" s="3934" t="n"/>
      <c r="AL472" s="3934" t="n"/>
      <c r="AM472" s="3934" t="n"/>
      <c r="AN472" s="3934" t="n"/>
      <c r="AO472" s="3934" t="n"/>
      <c r="AP472" s="3934" t="n"/>
      <c r="AQ472" s="3934" t="n"/>
      <c r="AR472" s="3934" t="n"/>
    </row>
    <row r="473">
      <c r="A473" s="3944" t="n"/>
      <c r="B473" s="3944" t="n"/>
      <c r="C473" s="3944" t="n"/>
      <c r="D473" s="3944" t="n"/>
      <c r="E473" s="3944" t="n"/>
      <c r="F473" s="3944" t="n"/>
      <c r="G473" s="3944" t="n"/>
      <c r="H473" s="3944" t="n"/>
      <c r="I473" s="3934" t="n"/>
      <c r="J473" s="3934" t="n"/>
      <c r="K473" s="3934" t="n"/>
      <c r="L473" s="3934" t="n"/>
      <c r="M473" s="3934" t="n"/>
      <c r="N473" s="3934" t="n"/>
      <c r="O473" s="3934" t="n"/>
      <c r="P473" s="3934" t="n"/>
      <c r="Q473" s="3934" t="n"/>
      <c r="R473" s="3934" t="n"/>
      <c r="S473" s="3934" t="n"/>
      <c r="T473" s="3934" t="n"/>
      <c r="U473" s="3934" t="n"/>
      <c r="V473" s="3934" t="n"/>
      <c r="W473" s="3934" t="n"/>
      <c r="X473" s="3934" t="n"/>
      <c r="Y473" s="3934" t="n"/>
      <c r="Z473" s="3934" t="n"/>
      <c r="AA473" s="3934" t="n"/>
      <c r="AB473" s="3934" t="n"/>
      <c r="AC473" s="3934" t="n"/>
      <c r="AD473" s="3934" t="n"/>
      <c r="AE473" s="3934" t="n"/>
      <c r="AF473" s="3934" t="n"/>
      <c r="AG473" s="3934" t="n"/>
      <c r="AH473" s="3934" t="n"/>
      <c r="AI473" s="3934" t="n"/>
      <c r="AJ473" s="3934" t="n"/>
      <c r="AK473" s="3934" t="n"/>
      <c r="AL473" s="3934" t="n"/>
      <c r="AM473" s="3934" t="n"/>
      <c r="AN473" s="3934" t="n"/>
      <c r="AO473" s="3934" t="n"/>
      <c r="AP473" s="3934" t="n"/>
      <c r="AQ473" s="3934" t="n"/>
      <c r="AR473" s="3934" t="n"/>
    </row>
    <row r="474">
      <c r="A474" s="3944" t="n"/>
      <c r="B474" s="3944" t="n"/>
      <c r="C474" s="3944" t="n"/>
      <c r="D474" s="3944" t="n"/>
      <c r="E474" s="3944" t="n"/>
      <c r="F474" s="3944" t="n"/>
      <c r="G474" s="3944" t="n"/>
      <c r="H474" s="3944" t="n"/>
      <c r="I474" s="3934" t="n"/>
      <c r="J474" s="3934" t="n"/>
      <c r="K474" s="3934" t="n"/>
      <c r="L474" s="3934" t="n"/>
      <c r="M474" s="3934" t="n"/>
      <c r="N474" s="3934" t="n"/>
      <c r="O474" s="3934" t="n"/>
      <c r="P474" s="3934" t="n"/>
      <c r="Q474" s="3934" t="n"/>
      <c r="R474" s="3934" t="n"/>
      <c r="S474" s="3934" t="n"/>
      <c r="T474" s="3934" t="n"/>
      <c r="U474" s="3934" t="n"/>
      <c r="V474" s="3934" t="n"/>
      <c r="W474" s="3934" t="n"/>
      <c r="X474" s="3934" t="n"/>
      <c r="Y474" s="3934" t="n"/>
      <c r="Z474" s="3934" t="n"/>
      <c r="AA474" s="3934" t="n"/>
      <c r="AB474" s="3934" t="n"/>
      <c r="AC474" s="3934" t="n"/>
      <c r="AD474" s="3934" t="n"/>
      <c r="AE474" s="3934" t="n"/>
      <c r="AF474" s="3934" t="n"/>
      <c r="AG474" s="3934" t="n"/>
      <c r="AH474" s="3934" t="n"/>
      <c r="AI474" s="3934" t="n"/>
      <c r="AJ474" s="3934" t="n"/>
      <c r="AK474" s="3934" t="n"/>
      <c r="AL474" s="3934" t="n"/>
      <c r="AM474" s="3934" t="n"/>
      <c r="AN474" s="3934" t="n"/>
      <c r="AO474" s="3934" t="n"/>
      <c r="AP474" s="3934" t="n"/>
      <c r="AQ474" s="3934" t="n"/>
      <c r="AR474" s="3934" t="n"/>
    </row>
    <row r="475">
      <c r="A475" s="3944" t="n"/>
      <c r="B475" s="3944" t="n"/>
      <c r="C475" s="3944" t="n"/>
      <c r="D475" s="3944" t="n"/>
      <c r="E475" s="3944" t="n"/>
      <c r="F475" s="3944" t="n"/>
      <c r="G475" s="3944" t="n"/>
      <c r="H475" s="3944" t="n"/>
      <c r="I475" s="3934" t="n"/>
      <c r="J475" s="3934" t="n"/>
      <c r="K475" s="3934" t="n"/>
      <c r="L475" s="3934" t="n"/>
      <c r="M475" s="3934" t="n"/>
      <c r="N475" s="3934" t="n"/>
      <c r="O475" s="3934" t="n"/>
      <c r="P475" s="3934" t="n"/>
      <c r="Q475" s="3934" t="n"/>
      <c r="R475" s="3934" t="n"/>
      <c r="S475" s="3934" t="n"/>
      <c r="T475" s="3934" t="n"/>
      <c r="U475" s="3934" t="n"/>
      <c r="V475" s="3934" t="n"/>
      <c r="W475" s="3934" t="n"/>
      <c r="X475" s="3934" t="n"/>
      <c r="Y475" s="3934" t="n"/>
      <c r="Z475" s="3934" t="n"/>
      <c r="AA475" s="3934" t="n"/>
      <c r="AB475" s="3934" t="n"/>
      <c r="AC475" s="3934" t="n"/>
      <c r="AD475" s="3934" t="n"/>
      <c r="AE475" s="3934" t="n"/>
      <c r="AF475" s="3934" t="n"/>
      <c r="AG475" s="3934" t="n"/>
      <c r="AH475" s="3934" t="n"/>
      <c r="AI475" s="3934" t="n"/>
      <c r="AJ475" s="3934" t="n"/>
      <c r="AK475" s="3934" t="n"/>
      <c r="AL475" s="3934" t="n"/>
      <c r="AM475" s="3934" t="n"/>
      <c r="AN475" s="3934" t="n"/>
      <c r="AO475" s="3934" t="n"/>
      <c r="AP475" s="3934" t="n"/>
      <c r="AQ475" s="3934" t="n"/>
      <c r="AR475" s="3934" t="n"/>
    </row>
    <row r="476">
      <c r="A476" s="3944" t="n"/>
      <c r="B476" s="3944" t="n"/>
      <c r="C476" s="3944" t="n"/>
      <c r="D476" s="3944" t="n"/>
      <c r="E476" s="3944" t="n"/>
      <c r="F476" s="3944" t="n"/>
      <c r="G476" s="3944" t="n"/>
      <c r="H476" s="3944" t="n"/>
      <c r="I476" s="3934" t="n"/>
      <c r="J476" s="3934" t="n"/>
      <c r="K476" s="3934" t="n"/>
      <c r="L476" s="3934" t="n"/>
      <c r="M476" s="3934" t="n"/>
      <c r="N476" s="3934" t="n"/>
      <c r="O476" s="3934" t="n"/>
      <c r="P476" s="3934" t="n"/>
      <c r="Q476" s="3934" t="n"/>
      <c r="R476" s="3934" t="n"/>
      <c r="S476" s="3934" t="n"/>
      <c r="T476" s="3934" t="n"/>
      <c r="U476" s="3934" t="n"/>
      <c r="V476" s="3934" t="n"/>
      <c r="W476" s="3934" t="n"/>
      <c r="X476" s="3934" t="n"/>
      <c r="Y476" s="3934" t="n"/>
      <c r="Z476" s="3934" t="n"/>
      <c r="AA476" s="3934" t="n"/>
      <c r="AB476" s="3934" t="n"/>
      <c r="AC476" s="3934" t="n"/>
      <c r="AD476" s="3934" t="n"/>
      <c r="AE476" s="3934" t="n"/>
      <c r="AF476" s="3934" t="n"/>
      <c r="AG476" s="3934" t="n"/>
      <c r="AH476" s="3934" t="n"/>
      <c r="AI476" s="3934" t="n"/>
      <c r="AJ476" s="3934" t="n"/>
      <c r="AK476" s="3934" t="n"/>
      <c r="AL476" s="3934" t="n"/>
      <c r="AM476" s="3934" t="n"/>
      <c r="AN476" s="3934" t="n"/>
      <c r="AO476" s="3934" t="n"/>
      <c r="AP476" s="3934" t="n"/>
      <c r="AQ476" s="3934" t="n"/>
      <c r="AR476" s="3934" t="n"/>
    </row>
    <row r="477">
      <c r="A477" s="3944" t="n"/>
      <c r="B477" s="3944" t="n"/>
      <c r="C477" s="3944" t="n"/>
      <c r="D477" s="3944" t="n"/>
      <c r="E477" s="3944" t="n"/>
      <c r="F477" s="3944" t="n"/>
      <c r="G477" s="3944" t="n"/>
      <c r="H477" s="3944" t="n"/>
      <c r="I477" s="3934" t="n"/>
      <c r="J477" s="3934" t="n"/>
      <c r="K477" s="3934" t="n"/>
      <c r="L477" s="3934" t="n"/>
      <c r="M477" s="3934" t="n"/>
      <c r="N477" s="3934" t="n"/>
      <c r="O477" s="3934" t="n"/>
      <c r="P477" s="3934" t="n"/>
      <c r="Q477" s="3934" t="n"/>
      <c r="R477" s="3934" t="n"/>
      <c r="S477" s="3934" t="n"/>
      <c r="T477" s="3934" t="n"/>
      <c r="U477" s="3934" t="n"/>
      <c r="V477" s="3934" t="n"/>
      <c r="W477" s="3934" t="n"/>
      <c r="X477" s="3934" t="n"/>
      <c r="Y477" s="3934" t="n"/>
      <c r="Z477" s="3934" t="n"/>
      <c r="AA477" s="3934" t="n"/>
      <c r="AB477" s="3934" t="n"/>
      <c r="AC477" s="3934" t="n"/>
      <c r="AD477" s="3934" t="n"/>
      <c r="AE477" s="3934" t="n"/>
      <c r="AF477" s="3934" t="n"/>
      <c r="AG477" s="3934" t="n"/>
      <c r="AH477" s="3934" t="n"/>
      <c r="AI477" s="3934" t="n"/>
      <c r="AJ477" s="3934" t="n"/>
      <c r="AK477" s="3934" t="n"/>
      <c r="AL477" s="3934" t="n"/>
      <c r="AM477" s="3934" t="n"/>
      <c r="AN477" s="3934" t="n"/>
      <c r="AO477" s="3934" t="n"/>
      <c r="AP477" s="3934" t="n"/>
      <c r="AQ477" s="3934" t="n"/>
      <c r="AR477" s="3934" t="n"/>
    </row>
    <row r="478">
      <c r="A478" s="3944" t="n"/>
      <c r="B478" s="3944" t="n"/>
      <c r="C478" s="3944" t="n"/>
      <c r="D478" s="3944" t="n"/>
      <c r="E478" s="3944" t="n"/>
      <c r="F478" s="3944" t="n"/>
      <c r="G478" s="3944" t="n"/>
      <c r="H478" s="3944" t="n"/>
      <c r="I478" s="3934" t="n"/>
      <c r="J478" s="3934" t="n"/>
      <c r="K478" s="3934" t="n"/>
      <c r="L478" s="3934" t="n"/>
      <c r="M478" s="3934" t="n"/>
      <c r="N478" s="3934" t="n"/>
      <c r="O478" s="3934" t="n"/>
      <c r="P478" s="3934" t="n"/>
      <c r="Q478" s="3934" t="n"/>
      <c r="R478" s="3934" t="n"/>
      <c r="S478" s="3934" t="n"/>
      <c r="T478" s="3934" t="n"/>
      <c r="U478" s="3934" t="n"/>
      <c r="V478" s="3934" t="n"/>
      <c r="W478" s="3934" t="n"/>
      <c r="X478" s="3934" t="n"/>
      <c r="Y478" s="3934" t="n"/>
      <c r="Z478" s="3934" t="n"/>
      <c r="AA478" s="3934" t="n"/>
      <c r="AB478" s="3934" t="n"/>
      <c r="AC478" s="3934" t="n"/>
      <c r="AD478" s="3934" t="n"/>
      <c r="AE478" s="3934" t="n"/>
      <c r="AF478" s="3934" t="n"/>
      <c r="AG478" s="3934" t="n"/>
      <c r="AH478" s="3934" t="n"/>
      <c r="AI478" s="3934" t="n"/>
      <c r="AJ478" s="3934" t="n"/>
      <c r="AK478" s="3934" t="n"/>
      <c r="AL478" s="3934" t="n"/>
      <c r="AM478" s="3934" t="n"/>
      <c r="AN478" s="3934" t="n"/>
      <c r="AO478" s="3934" t="n"/>
      <c r="AP478" s="3934" t="n"/>
      <c r="AQ478" s="3934" t="n"/>
      <c r="AR478" s="3934" t="n"/>
    </row>
    <row r="479">
      <c r="A479" s="3944" t="n"/>
      <c r="B479" s="3944" t="n"/>
      <c r="C479" s="3944" t="n"/>
      <c r="D479" s="3944" t="n"/>
      <c r="E479" s="3944" t="n"/>
      <c r="F479" s="3944" t="n"/>
      <c r="G479" s="3944" t="n"/>
      <c r="H479" s="3944" t="n"/>
      <c r="I479" s="3934" t="n"/>
      <c r="J479" s="3934" t="n"/>
      <c r="K479" s="3934" t="n"/>
      <c r="L479" s="3934" t="n"/>
      <c r="M479" s="3934" t="n"/>
      <c r="N479" s="3934" t="n"/>
      <c r="O479" s="3934" t="n"/>
      <c r="P479" s="3934" t="n"/>
      <c r="Q479" s="3934" t="n"/>
      <c r="R479" s="3934" t="n"/>
      <c r="S479" s="3934" t="n"/>
      <c r="T479" s="3934" t="n"/>
      <c r="U479" s="3934" t="n"/>
      <c r="V479" s="3934" t="n"/>
      <c r="W479" s="3934" t="n"/>
      <c r="X479" s="3934" t="n"/>
      <c r="Y479" s="3934" t="n"/>
      <c r="Z479" s="3934" t="n"/>
      <c r="AA479" s="3934" t="n"/>
      <c r="AB479" s="3934" t="n"/>
      <c r="AC479" s="3934" t="n"/>
      <c r="AD479" s="3934" t="n"/>
      <c r="AE479" s="3934" t="n"/>
      <c r="AF479" s="3934" t="n"/>
      <c r="AG479" s="3934" t="n"/>
      <c r="AH479" s="3934" t="n"/>
      <c r="AI479" s="3934" t="n"/>
      <c r="AJ479" s="3934" t="n"/>
      <c r="AK479" s="3934" t="n"/>
      <c r="AL479" s="3934" t="n"/>
      <c r="AM479" s="3934" t="n"/>
      <c r="AN479" s="3934" t="n"/>
      <c r="AO479" s="3934" t="n"/>
      <c r="AP479" s="3934" t="n"/>
      <c r="AQ479" s="3934" t="n"/>
      <c r="AR479" s="3934" t="n"/>
    </row>
    <row r="480">
      <c r="A480" s="3944" t="n"/>
      <c r="B480" s="3944" t="n"/>
      <c r="C480" s="3944" t="n"/>
      <c r="D480" s="3944" t="n"/>
      <c r="E480" s="3944" t="n"/>
      <c r="F480" s="3944" t="n"/>
      <c r="G480" s="3944" t="n"/>
      <c r="H480" s="3944" t="n"/>
      <c r="I480" s="3934" t="n"/>
      <c r="J480" s="3934" t="n"/>
      <c r="K480" s="3934" t="n"/>
      <c r="L480" s="3934" t="n"/>
      <c r="M480" s="3934" t="n"/>
      <c r="N480" s="3934" t="n"/>
      <c r="O480" s="3934" t="n"/>
      <c r="P480" s="3934" t="n"/>
      <c r="Q480" s="3934" t="n"/>
      <c r="R480" s="3934" t="n"/>
      <c r="S480" s="3934" t="n"/>
      <c r="T480" s="3934" t="n"/>
      <c r="U480" s="3934" t="n"/>
      <c r="V480" s="3934" t="n"/>
      <c r="W480" s="3934" t="n"/>
      <c r="X480" s="3934" t="n"/>
      <c r="Y480" s="3934" t="n"/>
      <c r="Z480" s="3934" t="n"/>
      <c r="AA480" s="3934" t="n"/>
      <c r="AB480" s="3934" t="n"/>
      <c r="AC480" s="3934" t="n"/>
      <c r="AD480" s="3934" t="n"/>
      <c r="AE480" s="3934" t="n"/>
      <c r="AF480" s="3934" t="n"/>
      <c r="AG480" s="3934" t="n"/>
      <c r="AH480" s="3934" t="n"/>
      <c r="AI480" s="3934" t="n"/>
      <c r="AJ480" s="3934" t="n"/>
      <c r="AK480" s="3934" t="n"/>
      <c r="AL480" s="3934" t="n"/>
      <c r="AM480" s="3934" t="n"/>
      <c r="AN480" s="3934" t="n"/>
      <c r="AO480" s="3934" t="n"/>
      <c r="AP480" s="3934" t="n"/>
      <c r="AQ480" s="3934" t="n"/>
      <c r="AR480" s="3934" t="n"/>
    </row>
    <row r="481">
      <c r="A481" s="3944" t="n"/>
      <c r="B481" s="3944" t="n"/>
      <c r="C481" s="3944" t="n"/>
      <c r="D481" s="3944" t="n"/>
      <c r="E481" s="3944" t="n"/>
      <c r="F481" s="3944" t="n"/>
      <c r="G481" s="3944" t="n"/>
      <c r="H481" s="3944" t="n"/>
      <c r="I481" s="3934" t="n"/>
      <c r="J481" s="3934" t="n"/>
      <c r="K481" s="3934" t="n"/>
      <c r="L481" s="3934" t="n"/>
      <c r="M481" s="3934" t="n"/>
      <c r="N481" s="3934" t="n"/>
      <c r="O481" s="3934" t="n"/>
      <c r="P481" s="3934" t="n"/>
      <c r="Q481" s="3934" t="n"/>
      <c r="R481" s="3934" t="n"/>
      <c r="S481" s="3934" t="n"/>
      <c r="T481" s="3934" t="n"/>
      <c r="U481" s="3934" t="n"/>
      <c r="V481" s="3934" t="n"/>
      <c r="W481" s="3934" t="n"/>
      <c r="X481" s="3934" t="n"/>
      <c r="Y481" s="3934" t="n"/>
      <c r="Z481" s="3934" t="n"/>
      <c r="AA481" s="3934" t="n"/>
      <c r="AB481" s="3934" t="n"/>
      <c r="AC481" s="3934" t="n"/>
      <c r="AD481" s="3934" t="n"/>
      <c r="AE481" s="3934" t="n"/>
      <c r="AF481" s="3934" t="n"/>
      <c r="AG481" s="3934" t="n"/>
      <c r="AH481" s="3934" t="n"/>
      <c r="AI481" s="3934" t="n"/>
      <c r="AJ481" s="3934" t="n"/>
      <c r="AK481" s="3934" t="n"/>
      <c r="AL481" s="3934" t="n"/>
      <c r="AM481" s="3934" t="n"/>
      <c r="AN481" s="3934" t="n"/>
      <c r="AO481" s="3934" t="n"/>
      <c r="AP481" s="3934" t="n"/>
      <c r="AQ481" s="3934" t="n"/>
      <c r="AR481" s="3934" t="n"/>
    </row>
    <row r="482">
      <c r="A482" s="3944" t="n"/>
      <c r="B482" s="3944" t="n"/>
      <c r="C482" s="3944" t="n"/>
      <c r="D482" s="3944" t="n"/>
      <c r="E482" s="3944" t="n"/>
      <c r="F482" s="3944" t="n"/>
      <c r="G482" s="3944" t="n"/>
      <c r="H482" s="3944" t="n"/>
      <c r="I482" s="3934" t="n"/>
      <c r="J482" s="3934" t="n"/>
      <c r="K482" s="3934" t="n"/>
      <c r="L482" s="3934" t="n"/>
      <c r="M482" s="3934" t="n"/>
      <c r="N482" s="3934" t="n"/>
      <c r="O482" s="3934" t="n"/>
      <c r="P482" s="3934" t="n"/>
      <c r="Q482" s="3934" t="n"/>
      <c r="R482" s="3934" t="n"/>
      <c r="S482" s="3934" t="n"/>
      <c r="T482" s="3934" t="n"/>
      <c r="U482" s="3934" t="n"/>
      <c r="V482" s="3934" t="n"/>
      <c r="W482" s="3934" t="n"/>
      <c r="X482" s="3934" t="n"/>
      <c r="Y482" s="3934" t="n"/>
      <c r="Z482" s="3934" t="n"/>
      <c r="AA482" s="3934" t="n"/>
      <c r="AB482" s="3934" t="n"/>
      <c r="AC482" s="3934" t="n"/>
      <c r="AD482" s="3934" t="n"/>
      <c r="AE482" s="3934" t="n"/>
      <c r="AF482" s="3934" t="n"/>
      <c r="AG482" s="3934" t="n"/>
      <c r="AH482" s="3934" t="n"/>
      <c r="AI482" s="3934" t="n"/>
      <c r="AJ482" s="3934" t="n"/>
      <c r="AK482" s="3934" t="n"/>
      <c r="AL482" s="3934" t="n"/>
      <c r="AM482" s="3934" t="n"/>
      <c r="AN482" s="3934" t="n"/>
      <c r="AO482" s="3934" t="n"/>
      <c r="AP482" s="3934" t="n"/>
      <c r="AQ482" s="3934" t="n"/>
      <c r="AR482" s="3934" t="n"/>
    </row>
    <row r="483">
      <c r="A483" s="3944" t="n"/>
      <c r="B483" s="3944" t="n"/>
      <c r="C483" s="3944" t="n"/>
      <c r="D483" s="3944" t="n"/>
      <c r="E483" s="3944" t="n"/>
      <c r="F483" s="3944" t="n"/>
      <c r="G483" s="3944" t="n"/>
      <c r="H483" s="3944" t="n"/>
      <c r="I483" s="3934" t="n"/>
      <c r="J483" s="3934" t="n"/>
      <c r="K483" s="3934" t="n"/>
      <c r="L483" s="3934" t="n"/>
      <c r="M483" s="3934" t="n"/>
      <c r="N483" s="3934" t="n"/>
      <c r="O483" s="3934" t="n"/>
      <c r="P483" s="3934" t="n"/>
      <c r="Q483" s="3934" t="n"/>
      <c r="R483" s="3934" t="n"/>
      <c r="S483" s="3934" t="n"/>
      <c r="T483" s="3934" t="n"/>
      <c r="U483" s="3934" t="n"/>
      <c r="V483" s="3934" t="n"/>
      <c r="W483" s="3934" t="n"/>
      <c r="X483" s="3934" t="n"/>
      <c r="Y483" s="3934" t="n"/>
      <c r="Z483" s="3934" t="n"/>
      <c r="AA483" s="3934" t="n"/>
      <c r="AB483" s="3934" t="n"/>
      <c r="AC483" s="3934" t="n"/>
      <c r="AD483" s="3934" t="n"/>
      <c r="AE483" s="3934" t="n"/>
      <c r="AF483" s="3934" t="n"/>
      <c r="AG483" s="3934" t="n"/>
      <c r="AH483" s="3934" t="n"/>
      <c r="AI483" s="3934" t="n"/>
      <c r="AJ483" s="3934" t="n"/>
      <c r="AK483" s="3934" t="n"/>
      <c r="AL483" s="3934" t="n"/>
      <c r="AM483" s="3934" t="n"/>
      <c r="AN483" s="3934" t="n"/>
      <c r="AO483" s="3934" t="n"/>
      <c r="AP483" s="3934" t="n"/>
      <c r="AQ483" s="3934" t="n"/>
      <c r="AR483" s="3934" t="n"/>
    </row>
    <row r="484">
      <c r="A484" s="3944" t="n"/>
      <c r="B484" s="3944" t="n"/>
      <c r="C484" s="3944" t="n"/>
      <c r="D484" s="3944" t="n"/>
      <c r="E484" s="3944" t="n"/>
      <c r="F484" s="3944" t="n"/>
      <c r="G484" s="3944" t="n"/>
      <c r="H484" s="3944" t="n"/>
      <c r="I484" s="3934" t="n"/>
      <c r="J484" s="3934" t="n"/>
      <c r="K484" s="3934" t="n"/>
      <c r="L484" s="3934" t="n"/>
      <c r="M484" s="3934" t="n"/>
      <c r="N484" s="3934" t="n"/>
      <c r="O484" s="3934" t="n"/>
      <c r="P484" s="3934" t="n"/>
      <c r="Q484" s="3934" t="n"/>
      <c r="R484" s="3934" t="n"/>
      <c r="S484" s="3934" t="n"/>
      <c r="T484" s="3934" t="n"/>
      <c r="U484" s="3934" t="n"/>
      <c r="V484" s="3934" t="n"/>
      <c r="W484" s="3934" t="n"/>
      <c r="X484" s="3934" t="n"/>
      <c r="Y484" s="3934" t="n"/>
      <c r="Z484" s="3934" t="n"/>
      <c r="AA484" s="3934" t="n"/>
      <c r="AB484" s="3934" t="n"/>
      <c r="AC484" s="3934" t="n"/>
      <c r="AD484" s="3934" t="n"/>
      <c r="AE484" s="3934" t="n"/>
      <c r="AF484" s="3934" t="n"/>
      <c r="AG484" s="3934" t="n"/>
      <c r="AH484" s="3934" t="n"/>
      <c r="AI484" s="3934" t="n"/>
      <c r="AJ484" s="3934" t="n"/>
      <c r="AK484" s="3934" t="n"/>
      <c r="AL484" s="3934" t="n"/>
      <c r="AM484" s="3934" t="n"/>
      <c r="AN484" s="3934" t="n"/>
      <c r="AO484" s="3934" t="n"/>
      <c r="AP484" s="3934" t="n"/>
      <c r="AQ484" s="3934" t="n"/>
      <c r="AR484" s="3934" t="n"/>
    </row>
    <row r="485">
      <c r="A485" s="3944" t="n"/>
      <c r="B485" s="3944" t="n"/>
      <c r="C485" s="3944" t="n"/>
      <c r="D485" s="3944" t="n"/>
      <c r="E485" s="3944" t="n"/>
      <c r="F485" s="3944" t="n"/>
      <c r="G485" s="3944" t="n"/>
      <c r="H485" s="3944" t="n"/>
      <c r="I485" s="3934" t="n"/>
      <c r="J485" s="3934" t="n"/>
      <c r="K485" s="3934" t="n"/>
      <c r="L485" s="3934" t="n"/>
      <c r="M485" s="3934" t="n"/>
      <c r="N485" s="3934" t="n"/>
      <c r="O485" s="3934" t="n"/>
      <c r="P485" s="3934" t="n"/>
      <c r="Q485" s="3934" t="n"/>
      <c r="R485" s="3934" t="n"/>
      <c r="S485" s="3934" t="n"/>
      <c r="T485" s="3934" t="n"/>
      <c r="U485" s="3934" t="n"/>
      <c r="V485" s="3934" t="n"/>
      <c r="W485" s="3934" t="n"/>
      <c r="X485" s="3934" t="n"/>
      <c r="Y485" s="3934" t="n"/>
      <c r="Z485" s="3934" t="n"/>
      <c r="AA485" s="3934" t="n"/>
      <c r="AB485" s="3934" t="n"/>
      <c r="AC485" s="3934" t="n"/>
      <c r="AD485" s="3934" t="n"/>
      <c r="AE485" s="3934" t="n"/>
      <c r="AF485" s="3934" t="n"/>
      <c r="AG485" s="3934" t="n"/>
      <c r="AH485" s="3934" t="n"/>
      <c r="AI485" s="3934" t="n"/>
      <c r="AJ485" s="3934" t="n"/>
      <c r="AK485" s="3934" t="n"/>
      <c r="AL485" s="3934" t="n"/>
      <c r="AM485" s="3934" t="n"/>
      <c r="AN485" s="3934" t="n"/>
      <c r="AO485" s="3934" t="n"/>
      <c r="AP485" s="3934" t="n"/>
      <c r="AQ485" s="3934" t="n"/>
      <c r="AR485" s="3934" t="n"/>
    </row>
    <row r="486">
      <c r="A486" s="3944" t="n"/>
      <c r="B486" s="3944" t="n"/>
      <c r="C486" s="3944" t="n"/>
      <c r="D486" s="3944" t="n"/>
      <c r="E486" s="3944" t="n"/>
      <c r="F486" s="3944" t="n"/>
      <c r="G486" s="3944" t="n"/>
      <c r="H486" s="3944" t="n"/>
      <c r="I486" s="3934" t="n"/>
      <c r="J486" s="3934" t="n"/>
      <c r="K486" s="3934" t="n"/>
      <c r="L486" s="3934" t="n"/>
      <c r="M486" s="3934" t="n"/>
      <c r="N486" s="3934" t="n"/>
      <c r="O486" s="3934" t="n"/>
      <c r="P486" s="3934" t="n"/>
      <c r="Q486" s="3934" t="n"/>
      <c r="R486" s="3934" t="n"/>
      <c r="S486" s="3934" t="n"/>
      <c r="T486" s="3934" t="n"/>
      <c r="U486" s="3934" t="n"/>
      <c r="V486" s="3934" t="n"/>
      <c r="W486" s="3934" t="n"/>
      <c r="X486" s="3934" t="n"/>
      <c r="Y486" s="3934" t="n"/>
      <c r="Z486" s="3934" t="n"/>
      <c r="AA486" s="3934" t="n"/>
      <c r="AB486" s="3934" t="n"/>
      <c r="AC486" s="3934" t="n"/>
      <c r="AD486" s="3934" t="n"/>
      <c r="AE486" s="3934" t="n"/>
      <c r="AF486" s="3934" t="n"/>
      <c r="AG486" s="3934" t="n"/>
      <c r="AH486" s="3934" t="n"/>
      <c r="AI486" s="3934" t="n"/>
      <c r="AJ486" s="3934" t="n"/>
      <c r="AK486" s="3934" t="n"/>
      <c r="AL486" s="3934" t="n"/>
      <c r="AM486" s="3934" t="n"/>
      <c r="AN486" s="3934" t="n"/>
      <c r="AO486" s="3934" t="n"/>
      <c r="AP486" s="3934" t="n"/>
      <c r="AQ486" s="3934" t="n"/>
      <c r="AR486" s="3934" t="n"/>
    </row>
    <row r="487">
      <c r="A487" s="3944" t="n"/>
      <c r="B487" s="3944" t="n"/>
      <c r="C487" s="3944" t="n"/>
      <c r="D487" s="3944" t="n"/>
      <c r="E487" s="3944" t="n"/>
      <c r="F487" s="3944" t="n"/>
      <c r="G487" s="3944" t="n"/>
      <c r="H487" s="3944" t="n"/>
      <c r="I487" s="3934" t="n"/>
      <c r="J487" s="3934" t="n"/>
      <c r="K487" s="3934" t="n"/>
      <c r="L487" s="3934" t="n"/>
      <c r="M487" s="3934" t="n"/>
      <c r="N487" s="3934" t="n"/>
      <c r="O487" s="3934" t="n"/>
      <c r="P487" s="3934" t="n"/>
      <c r="Q487" s="3934" t="n"/>
      <c r="R487" s="3934" t="n"/>
      <c r="S487" s="3934" t="n"/>
      <c r="T487" s="3934" t="n"/>
      <c r="U487" s="3934" t="n"/>
      <c r="V487" s="3934" t="n"/>
      <c r="W487" s="3934" t="n"/>
      <c r="X487" s="3934" t="n"/>
      <c r="Y487" s="3934" t="n"/>
      <c r="Z487" s="3934" t="n"/>
      <c r="AA487" s="3934" t="n"/>
      <c r="AB487" s="3934" t="n"/>
      <c r="AC487" s="3934" t="n"/>
      <c r="AD487" s="3934" t="n"/>
      <c r="AE487" s="3934" t="n"/>
      <c r="AF487" s="3934" t="n"/>
      <c r="AG487" s="3934" t="n"/>
      <c r="AH487" s="3934" t="n"/>
      <c r="AI487" s="3934" t="n"/>
      <c r="AJ487" s="3934" t="n"/>
      <c r="AK487" s="3934" t="n"/>
      <c r="AL487" s="3934" t="n"/>
      <c r="AM487" s="3934" t="n"/>
      <c r="AN487" s="3934" t="n"/>
      <c r="AO487" s="3934" t="n"/>
      <c r="AP487" s="3934" t="n"/>
      <c r="AQ487" s="3934" t="n"/>
      <c r="AR487" s="3934" t="n"/>
    </row>
    <row r="488">
      <c r="A488" s="3944" t="n"/>
      <c r="B488" s="3944" t="n"/>
      <c r="C488" s="3944" t="n"/>
      <c r="D488" s="3944" t="n"/>
      <c r="E488" s="3944" t="n"/>
      <c r="F488" s="3944" t="n"/>
      <c r="G488" s="3944" t="n"/>
      <c r="H488" s="3944" t="n"/>
      <c r="I488" s="3934" t="n"/>
      <c r="J488" s="3934" t="n"/>
      <c r="K488" s="3934" t="n"/>
      <c r="L488" s="3934" t="n"/>
      <c r="M488" s="3934" t="n"/>
      <c r="N488" s="3934" t="n"/>
      <c r="O488" s="3934" t="n"/>
      <c r="P488" s="3934" t="n"/>
      <c r="Q488" s="3934" t="n"/>
      <c r="R488" s="3934" t="n"/>
      <c r="S488" s="3934" t="n"/>
      <c r="T488" s="3934" t="n"/>
      <c r="U488" s="3934" t="n"/>
      <c r="V488" s="3934" t="n"/>
      <c r="W488" s="3934" t="n"/>
      <c r="X488" s="3934" t="n"/>
      <c r="Y488" s="3934" t="n"/>
      <c r="Z488" s="3934" t="n"/>
      <c r="AA488" s="3934" t="n"/>
      <c r="AB488" s="3934" t="n"/>
      <c r="AC488" s="3934" t="n"/>
      <c r="AD488" s="3934" t="n"/>
      <c r="AE488" s="3934" t="n"/>
      <c r="AF488" s="3934" t="n"/>
      <c r="AG488" s="3934" t="n"/>
      <c r="AH488" s="3934" t="n"/>
      <c r="AI488" s="3934" t="n"/>
      <c r="AJ488" s="3934" t="n"/>
      <c r="AK488" s="3934" t="n"/>
      <c r="AL488" s="3934" t="n"/>
      <c r="AM488" s="3934" t="n"/>
      <c r="AN488" s="3934" t="n"/>
      <c r="AO488" s="3934" t="n"/>
      <c r="AP488" s="3934" t="n"/>
      <c r="AQ488" s="3934" t="n"/>
      <c r="AR488" s="3934" t="n"/>
    </row>
    <row r="489">
      <c r="A489" s="3944" t="n"/>
      <c r="B489" s="3944" t="n"/>
      <c r="C489" s="3944" t="n"/>
      <c r="D489" s="3944" t="n"/>
      <c r="E489" s="3944" t="n"/>
      <c r="F489" s="3944" t="n"/>
      <c r="G489" s="3944" t="n"/>
      <c r="H489" s="3944" t="n"/>
      <c r="I489" s="3934" t="n"/>
      <c r="J489" s="3934" t="n"/>
      <c r="K489" s="3934" t="n"/>
      <c r="L489" s="3934" t="n"/>
      <c r="M489" s="3934" t="n"/>
      <c r="N489" s="3934" t="n"/>
      <c r="O489" s="3934" t="n"/>
      <c r="P489" s="3934" t="n"/>
      <c r="Q489" s="3934" t="n"/>
      <c r="R489" s="3934" t="n"/>
      <c r="S489" s="3934" t="n"/>
      <c r="T489" s="3934" t="n"/>
      <c r="U489" s="3934" t="n"/>
      <c r="V489" s="3934" t="n"/>
      <c r="W489" s="3934" t="n"/>
      <c r="X489" s="3934" t="n"/>
      <c r="Y489" s="3934" t="n"/>
      <c r="Z489" s="3934" t="n"/>
      <c r="AA489" s="3934" t="n"/>
      <c r="AB489" s="3934" t="n"/>
      <c r="AC489" s="3934" t="n"/>
      <c r="AD489" s="3934" t="n"/>
      <c r="AE489" s="3934" t="n"/>
      <c r="AF489" s="3934" t="n"/>
      <c r="AG489" s="3934" t="n"/>
      <c r="AH489" s="3934" t="n"/>
      <c r="AI489" s="3934" t="n"/>
      <c r="AJ489" s="3934" t="n"/>
      <c r="AK489" s="3934" t="n"/>
      <c r="AL489" s="3934" t="n"/>
      <c r="AM489" s="3934" t="n"/>
      <c r="AN489" s="3934" t="n"/>
      <c r="AO489" s="3934" t="n"/>
      <c r="AP489" s="3934" t="n"/>
      <c r="AQ489" s="3934" t="n"/>
      <c r="AR489" s="3934" t="n"/>
    </row>
    <row r="490">
      <c r="A490" s="3944" t="n"/>
      <c r="B490" s="3944" t="n"/>
      <c r="C490" s="3944" t="n"/>
      <c r="D490" s="3944" t="n"/>
      <c r="E490" s="3944" t="n"/>
      <c r="F490" s="3944" t="n"/>
      <c r="G490" s="3944" t="n"/>
      <c r="H490" s="3944" t="n"/>
      <c r="I490" s="3934" t="n"/>
      <c r="J490" s="3934" t="n"/>
      <c r="K490" s="3934" t="n"/>
      <c r="L490" s="3934" t="n"/>
      <c r="M490" s="3934" t="n"/>
      <c r="N490" s="3934" t="n"/>
      <c r="O490" s="3934" t="n"/>
      <c r="P490" s="3934" t="n"/>
      <c r="Q490" s="3934" t="n"/>
      <c r="R490" s="3934" t="n"/>
      <c r="S490" s="3934" t="n"/>
      <c r="T490" s="3934" t="n"/>
      <c r="U490" s="3934" t="n"/>
      <c r="V490" s="3934" t="n"/>
      <c r="W490" s="3934" t="n"/>
      <c r="X490" s="3934" t="n"/>
      <c r="Y490" s="3934" t="n"/>
      <c r="Z490" s="3934" t="n"/>
      <c r="AA490" s="3934" t="n"/>
      <c r="AB490" s="3934" t="n"/>
      <c r="AC490" s="3934" t="n"/>
      <c r="AD490" s="3934" t="n"/>
      <c r="AE490" s="3934" t="n"/>
      <c r="AF490" s="3934" t="n"/>
      <c r="AG490" s="3934" t="n"/>
      <c r="AH490" s="3934" t="n"/>
      <c r="AI490" s="3934" t="n"/>
      <c r="AJ490" s="3934" t="n"/>
      <c r="AK490" s="3934" t="n"/>
      <c r="AL490" s="3934" t="n"/>
      <c r="AM490" s="3934" t="n"/>
      <c r="AN490" s="3934" t="n"/>
      <c r="AO490" s="3934" t="n"/>
      <c r="AP490" s="3934" t="n"/>
      <c r="AQ490" s="3934" t="n"/>
      <c r="AR490" s="3934" t="n"/>
    </row>
    <row r="491">
      <c r="A491" s="3944" t="n"/>
      <c r="B491" s="3944" t="n"/>
      <c r="C491" s="3944" t="n"/>
      <c r="D491" s="3944" t="n"/>
      <c r="E491" s="3944" t="n"/>
      <c r="F491" s="3944" t="n"/>
      <c r="G491" s="3944" t="n"/>
      <c r="H491" s="3944" t="n"/>
      <c r="I491" s="3934" t="n"/>
      <c r="J491" s="3934" t="n"/>
      <c r="K491" s="3934" t="n"/>
      <c r="L491" s="3934" t="n"/>
      <c r="M491" s="3934" t="n"/>
      <c r="N491" s="3934" t="n"/>
      <c r="O491" s="3934" t="n"/>
      <c r="P491" s="3934" t="n"/>
      <c r="Q491" s="3934" t="n"/>
      <c r="R491" s="3934" t="n"/>
      <c r="S491" s="3934" t="n"/>
      <c r="T491" s="3934" t="n"/>
      <c r="U491" s="3934" t="n"/>
      <c r="V491" s="3934" t="n"/>
      <c r="W491" s="3934" t="n"/>
      <c r="X491" s="3934" t="n"/>
      <c r="Y491" s="3934" t="n"/>
      <c r="Z491" s="3934" t="n"/>
      <c r="AA491" s="3934" t="n"/>
      <c r="AB491" s="3934" t="n"/>
      <c r="AC491" s="3934" t="n"/>
      <c r="AD491" s="3934" t="n"/>
      <c r="AE491" s="3934" t="n"/>
      <c r="AF491" s="3934" t="n"/>
      <c r="AG491" s="3934" t="n"/>
      <c r="AH491" s="3934" t="n"/>
      <c r="AI491" s="3934" t="n"/>
      <c r="AJ491" s="3934" t="n"/>
      <c r="AK491" s="3934" t="n"/>
      <c r="AL491" s="3934" t="n"/>
      <c r="AM491" s="3934" t="n"/>
      <c r="AN491" s="3934" t="n"/>
      <c r="AO491" s="3934" t="n"/>
      <c r="AP491" s="3934" t="n"/>
      <c r="AQ491" s="3934" t="n"/>
      <c r="AR491" s="3934" t="n"/>
    </row>
    <row r="492">
      <c r="A492" s="3944" t="n"/>
      <c r="B492" s="3944" t="n"/>
      <c r="C492" s="3944" t="n"/>
      <c r="D492" s="3944" t="n"/>
      <c r="E492" s="3944" t="n"/>
      <c r="F492" s="3944" t="n"/>
      <c r="G492" s="3944" t="n"/>
      <c r="H492" s="3944" t="n"/>
      <c r="I492" s="3934" t="n"/>
      <c r="J492" s="3934" t="n"/>
      <c r="K492" s="3934" t="n"/>
      <c r="L492" s="3934" t="n"/>
      <c r="M492" s="3934" t="n"/>
      <c r="N492" s="3934" t="n"/>
      <c r="O492" s="3934" t="n"/>
      <c r="P492" s="3934" t="n"/>
      <c r="Q492" s="3934" t="n"/>
      <c r="R492" s="3934" t="n"/>
      <c r="S492" s="3934" t="n"/>
      <c r="T492" s="3934" t="n"/>
      <c r="U492" s="3934" t="n"/>
      <c r="V492" s="3934" t="n"/>
      <c r="W492" s="3934" t="n"/>
      <c r="X492" s="3934" t="n"/>
      <c r="Y492" s="3934" t="n"/>
      <c r="Z492" s="3934" t="n"/>
      <c r="AA492" s="3934" t="n"/>
      <c r="AB492" s="3934" t="n"/>
      <c r="AC492" s="3934" t="n"/>
      <c r="AD492" s="3934" t="n"/>
      <c r="AE492" s="3934" t="n"/>
      <c r="AF492" s="3934" t="n"/>
      <c r="AG492" s="3934" t="n"/>
      <c r="AH492" s="3934" t="n"/>
      <c r="AI492" s="3934" t="n"/>
      <c r="AJ492" s="3934" t="n"/>
      <c r="AK492" s="3934" t="n"/>
      <c r="AL492" s="3934" t="n"/>
      <c r="AM492" s="3934" t="n"/>
      <c r="AN492" s="3934" t="n"/>
      <c r="AO492" s="3934" t="n"/>
      <c r="AP492" s="3934" t="n"/>
      <c r="AQ492" s="3934" t="n"/>
      <c r="AR492" s="3934" t="n"/>
    </row>
    <row r="493">
      <c r="A493" s="3944" t="n"/>
      <c r="B493" s="3944" t="n"/>
      <c r="C493" s="3944" t="n"/>
      <c r="D493" s="3944" t="n"/>
      <c r="E493" s="3944" t="n"/>
      <c r="F493" s="3944" t="n"/>
      <c r="G493" s="3944" t="n"/>
      <c r="H493" s="3944" t="n"/>
      <c r="I493" s="3934" t="n"/>
      <c r="J493" s="3934" t="n"/>
      <c r="K493" s="3934" t="n"/>
      <c r="L493" s="3934" t="n"/>
      <c r="M493" s="3934" t="n"/>
      <c r="N493" s="3934" t="n"/>
      <c r="O493" s="3934" t="n"/>
      <c r="P493" s="3934" t="n"/>
      <c r="Q493" s="3934" t="n"/>
      <c r="R493" s="3934" t="n"/>
      <c r="S493" s="3934" t="n"/>
      <c r="T493" s="3934" t="n"/>
      <c r="U493" s="3934" t="n"/>
      <c r="V493" s="3934" t="n"/>
      <c r="W493" s="3934" t="n"/>
      <c r="X493" s="3934" t="n"/>
      <c r="Y493" s="3934" t="n"/>
      <c r="Z493" s="3934" t="n"/>
      <c r="AA493" s="3934" t="n"/>
      <c r="AB493" s="3934" t="n"/>
      <c r="AC493" s="3934" t="n"/>
      <c r="AD493" s="3934" t="n"/>
      <c r="AE493" s="3934" t="n"/>
      <c r="AF493" s="3934" t="n"/>
      <c r="AG493" s="3934" t="n"/>
      <c r="AH493" s="3934" t="n"/>
      <c r="AI493" s="3934" t="n"/>
      <c r="AJ493" s="3934" t="n"/>
      <c r="AK493" s="3934" t="n"/>
      <c r="AL493" s="3934" t="n"/>
      <c r="AM493" s="3934" t="n"/>
      <c r="AN493" s="3934" t="n"/>
      <c r="AO493" s="3934" t="n"/>
      <c r="AP493" s="3934" t="n"/>
      <c r="AQ493" s="3934" t="n"/>
      <c r="AR493" s="3934" t="n"/>
    </row>
    <row r="494">
      <c r="A494" s="3944" t="n"/>
      <c r="B494" s="3944" t="n"/>
      <c r="C494" s="3944" t="n"/>
      <c r="D494" s="3944" t="n"/>
      <c r="E494" s="3944" t="n"/>
      <c r="F494" s="3944" t="n"/>
      <c r="G494" s="3944" t="n"/>
      <c r="H494" s="3944" t="n"/>
      <c r="I494" s="3934" t="n"/>
      <c r="J494" s="3934" t="n"/>
      <c r="K494" s="3934" t="n"/>
      <c r="L494" s="3934" t="n"/>
      <c r="M494" s="3934" t="n"/>
      <c r="N494" s="3934" t="n"/>
      <c r="O494" s="3934" t="n"/>
      <c r="P494" s="3934" t="n"/>
      <c r="Q494" s="3934" t="n"/>
      <c r="R494" s="3934" t="n"/>
      <c r="S494" s="3934" t="n"/>
      <c r="T494" s="3934" t="n"/>
      <c r="U494" s="3934" t="n"/>
      <c r="V494" s="3934" t="n"/>
      <c r="W494" s="3934" t="n"/>
      <c r="X494" s="3934" t="n"/>
      <c r="Y494" s="3934" t="n"/>
      <c r="Z494" s="3934" t="n"/>
      <c r="AA494" s="3934" t="n"/>
      <c r="AB494" s="3934" t="n"/>
      <c r="AC494" s="3934" t="n"/>
      <c r="AD494" s="3934" t="n"/>
      <c r="AE494" s="3934" t="n"/>
      <c r="AF494" s="3934" t="n"/>
      <c r="AG494" s="3934" t="n"/>
      <c r="AH494" s="3934" t="n"/>
      <c r="AI494" s="3934" t="n"/>
      <c r="AJ494" s="3934" t="n"/>
      <c r="AK494" s="3934" t="n"/>
      <c r="AL494" s="3934" t="n"/>
      <c r="AM494" s="3934" t="n"/>
      <c r="AN494" s="3934" t="n"/>
      <c r="AO494" s="3934" t="n"/>
      <c r="AP494" s="3934" t="n"/>
      <c r="AQ494" s="3934" t="n"/>
      <c r="AR494" s="3934" t="n"/>
    </row>
    <row r="495">
      <c r="A495" s="3944" t="n"/>
      <c r="B495" s="3944" t="n"/>
      <c r="C495" s="3944" t="n"/>
      <c r="D495" s="3944" t="n"/>
      <c r="E495" s="3944" t="n"/>
      <c r="F495" s="3944" t="n"/>
      <c r="G495" s="3944" t="n"/>
      <c r="H495" s="3944" t="n"/>
      <c r="I495" s="3934" t="n"/>
      <c r="J495" s="3934" t="n"/>
      <c r="K495" s="3934" t="n"/>
      <c r="L495" s="3934" t="n"/>
      <c r="M495" s="3934" t="n"/>
      <c r="N495" s="3934" t="n"/>
      <c r="O495" s="3934" t="n"/>
      <c r="P495" s="3934" t="n"/>
      <c r="Q495" s="3934" t="n"/>
      <c r="R495" s="3934" t="n"/>
      <c r="S495" s="3934" t="n"/>
      <c r="T495" s="3934" t="n"/>
      <c r="U495" s="3934" t="n"/>
      <c r="V495" s="3934" t="n"/>
      <c r="W495" s="3934" t="n"/>
      <c r="X495" s="3934" t="n"/>
      <c r="Y495" s="3934" t="n"/>
      <c r="Z495" s="3934" t="n"/>
      <c r="AA495" s="3934" t="n"/>
      <c r="AB495" s="3934" t="n"/>
      <c r="AC495" s="3934" t="n"/>
      <c r="AD495" s="3934" t="n"/>
      <c r="AE495" s="3934" t="n"/>
      <c r="AF495" s="3934" t="n"/>
      <c r="AG495" s="3934" t="n"/>
      <c r="AH495" s="3934" t="n"/>
      <c r="AI495" s="3934" t="n"/>
      <c r="AJ495" s="3934" t="n"/>
      <c r="AK495" s="3934" t="n"/>
      <c r="AL495" s="3934" t="n"/>
      <c r="AM495" s="3934" t="n"/>
      <c r="AN495" s="3934" t="n"/>
      <c r="AO495" s="3934" t="n"/>
      <c r="AP495" s="3934" t="n"/>
      <c r="AQ495" s="3934" t="n"/>
      <c r="AR495" s="3934" t="n"/>
    </row>
    <row r="496">
      <c r="A496" s="3944" t="n"/>
      <c r="B496" s="3944" t="n"/>
      <c r="C496" s="3944" t="n"/>
      <c r="D496" s="3944" t="n"/>
      <c r="E496" s="3944" t="n"/>
      <c r="F496" s="3944" t="n"/>
      <c r="G496" s="3944" t="n"/>
      <c r="H496" s="3944" t="n"/>
      <c r="I496" s="3934" t="n"/>
      <c r="J496" s="3934" t="n"/>
      <c r="K496" s="3934" t="n"/>
      <c r="L496" s="3934" t="n"/>
      <c r="M496" s="3934" t="n"/>
      <c r="N496" s="3934" t="n"/>
      <c r="O496" s="3934" t="n"/>
      <c r="P496" s="3934" t="n"/>
      <c r="Q496" s="3934" t="n"/>
      <c r="R496" s="3934" t="n"/>
      <c r="S496" s="3934" t="n"/>
      <c r="T496" s="3934" t="n"/>
      <c r="U496" s="3934" t="n"/>
      <c r="V496" s="3934" t="n"/>
      <c r="W496" s="3934" t="n"/>
      <c r="X496" s="3934" t="n"/>
      <c r="Y496" s="3934" t="n"/>
      <c r="Z496" s="3934" t="n"/>
      <c r="AA496" s="3934" t="n"/>
      <c r="AB496" s="3934" t="n"/>
      <c r="AC496" s="3934" t="n"/>
      <c r="AD496" s="3934" t="n"/>
      <c r="AE496" s="3934" t="n"/>
      <c r="AF496" s="3934" t="n"/>
      <c r="AG496" s="3934" t="n"/>
      <c r="AH496" s="3934" t="n"/>
      <c r="AI496" s="3934" t="n"/>
      <c r="AJ496" s="3934" t="n"/>
      <c r="AK496" s="3934" t="n"/>
      <c r="AL496" s="3934" t="n"/>
      <c r="AM496" s="3934" t="n"/>
      <c r="AN496" s="3934" t="n"/>
      <c r="AO496" s="3934" t="n"/>
      <c r="AP496" s="3934" t="n"/>
      <c r="AQ496" s="3934" t="n"/>
      <c r="AR496" s="3934" t="n"/>
    </row>
    <row r="497">
      <c r="A497" s="3944" t="n"/>
      <c r="B497" s="3944" t="n"/>
      <c r="C497" s="3944" t="n"/>
      <c r="D497" s="3944" t="n"/>
      <c r="E497" s="3944" t="n"/>
      <c r="F497" s="3944" t="n"/>
      <c r="G497" s="3944" t="n"/>
      <c r="H497" s="3944" t="n"/>
      <c r="I497" s="3934" t="n"/>
      <c r="J497" s="3934" t="n"/>
      <c r="K497" s="3934" t="n"/>
      <c r="L497" s="3934" t="n"/>
      <c r="M497" s="3934" t="n"/>
      <c r="N497" s="3934" t="n"/>
      <c r="O497" s="3934" t="n"/>
      <c r="P497" s="3934" t="n"/>
      <c r="Q497" s="3934" t="n"/>
      <c r="R497" s="3934" t="n"/>
      <c r="S497" s="3934" t="n"/>
      <c r="T497" s="3934" t="n"/>
      <c r="U497" s="3934" t="n"/>
      <c r="V497" s="3934" t="n"/>
      <c r="W497" s="3934" t="n"/>
      <c r="X497" s="3934" t="n"/>
      <c r="Y497" s="3934" t="n"/>
      <c r="Z497" s="3934" t="n"/>
      <c r="AA497" s="3934" t="n"/>
      <c r="AB497" s="3934" t="n"/>
      <c r="AC497" s="3934" t="n"/>
      <c r="AD497" s="3934" t="n"/>
      <c r="AE497" s="3934" t="n"/>
      <c r="AF497" s="3934" t="n"/>
      <c r="AG497" s="3934" t="n"/>
      <c r="AH497" s="3934" t="n"/>
      <c r="AI497" s="3934" t="n"/>
      <c r="AJ497" s="3934" t="n"/>
      <c r="AK497" s="3934" t="n"/>
      <c r="AL497" s="3934" t="n"/>
      <c r="AM497" s="3934" t="n"/>
      <c r="AN497" s="3934" t="n"/>
      <c r="AO497" s="3934" t="n"/>
      <c r="AP497" s="3934" t="n"/>
      <c r="AQ497" s="3934" t="n"/>
      <c r="AR497" s="3934" t="n"/>
    </row>
    <row r="498">
      <c r="A498" s="3944" t="n"/>
      <c r="B498" s="3944" t="n"/>
      <c r="C498" s="3944" t="n"/>
      <c r="D498" s="3944" t="n"/>
      <c r="E498" s="3944" t="n"/>
      <c r="F498" s="3944" t="n"/>
      <c r="G498" s="3944" t="n"/>
      <c r="H498" s="3944" t="n"/>
      <c r="I498" s="3934" t="n"/>
      <c r="J498" s="3934" t="n"/>
      <c r="K498" s="3934" t="n"/>
      <c r="L498" s="3934" t="n"/>
      <c r="M498" s="3934" t="n"/>
      <c r="N498" s="3934" t="n"/>
      <c r="O498" s="3934" t="n"/>
      <c r="P498" s="3934" t="n"/>
      <c r="Q498" s="3934" t="n"/>
      <c r="R498" s="3934" t="n"/>
      <c r="S498" s="3934" t="n"/>
      <c r="T498" s="3934" t="n"/>
      <c r="U498" s="3934" t="n"/>
      <c r="V498" s="3934" t="n"/>
      <c r="W498" s="3934" t="n"/>
      <c r="X498" s="3934" t="n"/>
      <c r="Y498" s="3934" t="n"/>
      <c r="Z498" s="3934" t="n"/>
      <c r="AA498" s="3934" t="n"/>
      <c r="AB498" s="3934" t="n"/>
      <c r="AC498" s="3934" t="n"/>
      <c r="AD498" s="3934" t="n"/>
      <c r="AE498" s="3934" t="n"/>
      <c r="AF498" s="3934" t="n"/>
      <c r="AG498" s="3934" t="n"/>
      <c r="AH498" s="3934" t="n"/>
      <c r="AI498" s="3934" t="n"/>
      <c r="AJ498" s="3934" t="n"/>
      <c r="AK498" s="3934" t="n"/>
      <c r="AL498" s="3934" t="n"/>
      <c r="AM498" s="3934" t="n"/>
      <c r="AN498" s="3934" t="n"/>
      <c r="AO498" s="3934" t="n"/>
      <c r="AP498" s="3934" t="n"/>
      <c r="AQ498" s="3934" t="n"/>
      <c r="AR498" s="3934" t="n"/>
    </row>
    <row r="499">
      <c r="A499" s="3944" t="n"/>
      <c r="B499" s="3944" t="n"/>
      <c r="C499" s="3944" t="n"/>
      <c r="D499" s="3944" t="n"/>
      <c r="E499" s="3944" t="n"/>
      <c r="F499" s="3944" t="n"/>
      <c r="G499" s="3944" t="n"/>
      <c r="H499" s="3944" t="n"/>
      <c r="I499" s="3934" t="n"/>
      <c r="J499" s="3934" t="n"/>
      <c r="K499" s="3934" t="n"/>
      <c r="L499" s="3934" t="n"/>
      <c r="M499" s="3934" t="n"/>
      <c r="N499" s="3934" t="n"/>
      <c r="O499" s="3934" t="n"/>
      <c r="P499" s="3934" t="n"/>
      <c r="Q499" s="3934" t="n"/>
      <c r="R499" s="3934" t="n"/>
      <c r="S499" s="3934" t="n"/>
      <c r="T499" s="3934" t="n"/>
      <c r="U499" s="3934" t="n"/>
      <c r="V499" s="3934" t="n"/>
      <c r="W499" s="3934" t="n"/>
      <c r="X499" s="3934" t="n"/>
      <c r="Y499" s="3934" t="n"/>
      <c r="Z499" s="3934" t="n"/>
      <c r="AA499" s="3934" t="n"/>
      <c r="AB499" s="3934" t="n"/>
      <c r="AC499" s="3934" t="n"/>
      <c r="AD499" s="3934" t="n"/>
      <c r="AE499" s="3934" t="n"/>
      <c r="AF499" s="3934" t="n"/>
      <c r="AG499" s="3934" t="n"/>
      <c r="AH499" s="3934" t="n"/>
      <c r="AI499" s="3934" t="n"/>
      <c r="AJ499" s="3934" t="n"/>
      <c r="AK499" s="3934" t="n"/>
      <c r="AL499" s="3934" t="n"/>
      <c r="AM499" s="3934" t="n"/>
      <c r="AN499" s="3934" t="n"/>
      <c r="AO499" s="3934" t="n"/>
      <c r="AP499" s="3934" t="n"/>
      <c r="AQ499" s="3934" t="n"/>
      <c r="AR499" s="3934" t="n"/>
    </row>
    <row r="500">
      <c r="A500" s="3944" t="n"/>
      <c r="B500" s="3944" t="n"/>
      <c r="C500" s="3944" t="n"/>
      <c r="D500" s="3944" t="n"/>
      <c r="E500" s="3944" t="n"/>
      <c r="F500" s="3944" t="n"/>
      <c r="G500" s="3944" t="n"/>
      <c r="H500" s="3944" t="n"/>
      <c r="I500" s="3934" t="n"/>
      <c r="J500" s="3934" t="n"/>
      <c r="K500" s="3934" t="n"/>
      <c r="L500" s="3934" t="n"/>
      <c r="M500" s="3934" t="n"/>
      <c r="N500" s="3934" t="n"/>
      <c r="O500" s="3934" t="n"/>
      <c r="P500" s="3934" t="n"/>
      <c r="Q500" s="3934" t="n"/>
      <c r="R500" s="3934" t="n"/>
      <c r="S500" s="3934" t="n"/>
      <c r="T500" s="3934" t="n"/>
      <c r="U500" s="3934" t="n"/>
      <c r="V500" s="3934" t="n"/>
      <c r="W500" s="3934" t="n"/>
      <c r="X500" s="3934" t="n"/>
      <c r="Y500" s="3934" t="n"/>
      <c r="Z500" s="3934" t="n"/>
      <c r="AA500" s="3934" t="n"/>
      <c r="AB500" s="3934" t="n"/>
      <c r="AC500" s="3934" t="n"/>
      <c r="AD500" s="3934" t="n"/>
      <c r="AE500" s="3934" t="n"/>
      <c r="AF500" s="3934" t="n"/>
      <c r="AG500" s="3934" t="n"/>
      <c r="AH500" s="3934" t="n"/>
      <c r="AI500" s="3934" t="n"/>
      <c r="AJ500" s="3934" t="n"/>
      <c r="AK500" s="3934" t="n"/>
      <c r="AL500" s="3934" t="n"/>
      <c r="AM500" s="3934" t="n"/>
      <c r="AN500" s="3934" t="n"/>
      <c r="AO500" s="3934" t="n"/>
      <c r="AP500" s="3934" t="n"/>
      <c r="AQ500" s="3934" t="n"/>
      <c r="AR500" s="3934" t="n"/>
    </row>
    <row r="501">
      <c r="A501" s="3944" t="n"/>
      <c r="B501" s="3944" t="n"/>
      <c r="C501" s="3944" t="n"/>
      <c r="D501" s="3944" t="n"/>
      <c r="E501" s="3944" t="n"/>
      <c r="F501" s="3944" t="n"/>
      <c r="G501" s="3944" t="n"/>
      <c r="H501" s="3944" t="n"/>
      <c r="I501" s="3934" t="n"/>
      <c r="J501" s="3934" t="n"/>
      <c r="K501" s="3934" t="n"/>
      <c r="L501" s="3934" t="n"/>
      <c r="M501" s="3934" t="n"/>
      <c r="N501" s="3934" t="n"/>
      <c r="O501" s="3934" t="n"/>
      <c r="P501" s="3934" t="n"/>
      <c r="Q501" s="3934" t="n"/>
      <c r="R501" s="3934" t="n"/>
      <c r="S501" s="3934" t="n"/>
      <c r="T501" s="3934" t="n"/>
      <c r="U501" s="3934" t="n"/>
      <c r="V501" s="3934" t="n"/>
      <c r="W501" s="3934" t="n"/>
      <c r="X501" s="3934" t="n"/>
      <c r="Y501" s="3934" t="n"/>
      <c r="Z501" s="3934" t="n"/>
      <c r="AA501" s="3934" t="n"/>
      <c r="AB501" s="3934" t="n"/>
      <c r="AC501" s="3934" t="n"/>
      <c r="AD501" s="3934" t="n"/>
      <c r="AE501" s="3934" t="n"/>
      <c r="AF501" s="3934" t="n"/>
      <c r="AG501" s="3934" t="n"/>
      <c r="AH501" s="3934" t="n"/>
      <c r="AI501" s="3934" t="n"/>
      <c r="AJ501" s="3934" t="n"/>
      <c r="AK501" s="3934" t="n"/>
      <c r="AL501" s="3934" t="n"/>
      <c r="AM501" s="3934" t="n"/>
      <c r="AN501" s="3934" t="n"/>
      <c r="AO501" s="3934" t="n"/>
      <c r="AP501" s="3934" t="n"/>
      <c r="AQ501" s="3934" t="n"/>
      <c r="AR501" s="3934" t="n"/>
    </row>
    <row r="502">
      <c r="A502" s="3944" t="n"/>
      <c r="B502" s="3944" t="n"/>
      <c r="C502" s="3944" t="n"/>
      <c r="D502" s="3944" t="n"/>
      <c r="E502" s="3944" t="n"/>
      <c r="F502" s="3944" t="n"/>
      <c r="G502" s="3944" t="n"/>
      <c r="H502" s="3944" t="n"/>
      <c r="I502" s="3934" t="n"/>
      <c r="J502" s="3934" t="n"/>
      <c r="K502" s="3934" t="n"/>
      <c r="L502" s="3934" t="n"/>
      <c r="M502" s="3934" t="n"/>
      <c r="N502" s="3934" t="n"/>
      <c r="O502" s="3934" t="n"/>
      <c r="P502" s="3934" t="n"/>
      <c r="Q502" s="3934" t="n"/>
      <c r="R502" s="3934" t="n"/>
      <c r="S502" s="3934" t="n"/>
      <c r="T502" s="3934" t="n"/>
      <c r="U502" s="3934" t="n"/>
      <c r="V502" s="3934" t="n"/>
      <c r="W502" s="3934" t="n"/>
      <c r="X502" s="3934" t="n"/>
      <c r="Y502" s="3934" t="n"/>
      <c r="Z502" s="3934" t="n"/>
      <c r="AA502" s="3934" t="n"/>
      <c r="AB502" s="3934" t="n"/>
      <c r="AC502" s="3934" t="n"/>
      <c r="AD502" s="3934" t="n"/>
      <c r="AE502" s="3934" t="n"/>
      <c r="AF502" s="3934" t="n"/>
      <c r="AG502" s="3934" t="n"/>
      <c r="AH502" s="3934" t="n"/>
      <c r="AI502" s="3934" t="n"/>
      <c r="AJ502" s="3934" t="n"/>
      <c r="AK502" s="3934" t="n"/>
      <c r="AL502" s="3934" t="n"/>
      <c r="AM502" s="3934" t="n"/>
      <c r="AN502" s="3934" t="n"/>
      <c r="AO502" s="3934" t="n"/>
      <c r="AP502" s="3934" t="n"/>
      <c r="AQ502" s="3934" t="n"/>
      <c r="AR502" s="3934" t="n"/>
    </row>
    <row r="503">
      <c r="A503" s="3944" t="n"/>
      <c r="B503" s="3944" t="n"/>
      <c r="C503" s="3944" t="n"/>
      <c r="D503" s="3944" t="n"/>
      <c r="E503" s="3944" t="n"/>
      <c r="F503" s="3944" t="n"/>
      <c r="G503" s="3944" t="n"/>
      <c r="H503" s="3944" t="n"/>
      <c r="I503" s="3934" t="n"/>
      <c r="J503" s="3934" t="n"/>
      <c r="K503" s="3934" t="n"/>
      <c r="L503" s="3934" t="n"/>
      <c r="M503" s="3934" t="n"/>
      <c r="N503" s="3934" t="n"/>
      <c r="O503" s="3934" t="n"/>
      <c r="P503" s="3934" t="n"/>
      <c r="Q503" s="3934" t="n"/>
      <c r="R503" s="3934" t="n"/>
      <c r="S503" s="3934" t="n"/>
      <c r="T503" s="3934" t="n"/>
      <c r="U503" s="3934" t="n"/>
      <c r="V503" s="3934" t="n"/>
      <c r="W503" s="3934" t="n"/>
      <c r="X503" s="3934" t="n"/>
      <c r="Y503" s="3934" t="n"/>
      <c r="Z503" s="3934" t="n"/>
      <c r="AA503" s="3934" t="n"/>
      <c r="AB503" s="3934" t="n"/>
      <c r="AC503" s="3934" t="n"/>
      <c r="AD503" s="3934" t="n"/>
      <c r="AE503" s="3934" t="n"/>
      <c r="AF503" s="3934" t="n"/>
      <c r="AG503" s="3934" t="n"/>
      <c r="AH503" s="3934" t="n"/>
      <c r="AI503" s="3934" t="n"/>
      <c r="AJ503" s="3934" t="n"/>
      <c r="AK503" s="3934" t="n"/>
      <c r="AL503" s="3934" t="n"/>
      <c r="AM503" s="3934" t="n"/>
      <c r="AN503" s="3934" t="n"/>
      <c r="AO503" s="3934" t="n"/>
      <c r="AP503" s="3934" t="n"/>
      <c r="AQ503" s="3934" t="n"/>
      <c r="AR503" s="3934" t="n"/>
    </row>
    <row r="504">
      <c r="A504" s="3944" t="n"/>
      <c r="B504" s="3944" t="n"/>
      <c r="C504" s="3944" t="n"/>
      <c r="D504" s="3944" t="n"/>
      <c r="E504" s="3944" t="n"/>
      <c r="F504" s="3944" t="n"/>
      <c r="G504" s="3944" t="n"/>
      <c r="H504" s="3944" t="n"/>
      <c r="I504" s="3934" t="n"/>
      <c r="J504" s="3934" t="n"/>
      <c r="K504" s="3934" t="n"/>
      <c r="L504" s="3934" t="n"/>
      <c r="M504" s="3934" t="n"/>
      <c r="N504" s="3934" t="n"/>
      <c r="O504" s="3934" t="n"/>
      <c r="P504" s="3934" t="n"/>
      <c r="Q504" s="3934" t="n"/>
      <c r="R504" s="3934" t="n"/>
      <c r="S504" s="3934" t="n"/>
      <c r="T504" s="3934" t="n"/>
      <c r="U504" s="3934" t="n"/>
      <c r="V504" s="3934" t="n"/>
      <c r="W504" s="3934" t="n"/>
      <c r="X504" s="3934" t="n"/>
      <c r="Y504" s="3934" t="n"/>
      <c r="Z504" s="3934" t="n"/>
      <c r="AA504" s="3934" t="n"/>
      <c r="AB504" s="3934" t="n"/>
      <c r="AC504" s="3934" t="n"/>
      <c r="AD504" s="3934" t="n"/>
      <c r="AE504" s="3934" t="n"/>
      <c r="AF504" s="3934" t="n"/>
      <c r="AG504" s="3934" t="n"/>
      <c r="AH504" s="3934" t="n"/>
      <c r="AI504" s="3934" t="n"/>
      <c r="AJ504" s="3934" t="n"/>
      <c r="AK504" s="3934" t="n"/>
      <c r="AL504" s="3934" t="n"/>
      <c r="AM504" s="3934" t="n"/>
      <c r="AN504" s="3934" t="n"/>
      <c r="AO504" s="3934" t="n"/>
      <c r="AP504" s="3934" t="n"/>
      <c r="AQ504" s="3934" t="n"/>
      <c r="AR504" s="3934" t="n"/>
    </row>
    <row r="505">
      <c r="A505" s="3944" t="n"/>
      <c r="B505" s="3944" t="n"/>
      <c r="C505" s="3944" t="n"/>
      <c r="D505" s="3944" t="n"/>
      <c r="E505" s="3944" t="n"/>
      <c r="F505" s="3944" t="n"/>
      <c r="G505" s="3944" t="n"/>
      <c r="H505" s="3944" t="n"/>
      <c r="I505" s="3934" t="n"/>
      <c r="J505" s="3934" t="n"/>
      <c r="K505" s="3934" t="n"/>
      <c r="L505" s="3934" t="n"/>
      <c r="M505" s="3934" t="n"/>
      <c r="N505" s="3934" t="n"/>
      <c r="O505" s="3934" t="n"/>
      <c r="P505" s="3934" t="n"/>
      <c r="Q505" s="3934" t="n"/>
      <c r="R505" s="3934" t="n"/>
      <c r="S505" s="3934" t="n"/>
      <c r="T505" s="3934" t="n"/>
      <c r="U505" s="3934" t="n"/>
      <c r="V505" s="3934" t="n"/>
      <c r="W505" s="3934" t="n"/>
      <c r="X505" s="3934" t="n"/>
      <c r="Y505" s="3934" t="n"/>
      <c r="Z505" s="3934" t="n"/>
      <c r="AA505" s="3934" t="n"/>
      <c r="AB505" s="3934" t="n"/>
      <c r="AC505" s="3934" t="n"/>
      <c r="AD505" s="3934" t="n"/>
      <c r="AE505" s="3934" t="n"/>
      <c r="AF505" s="3934" t="n"/>
      <c r="AG505" s="3934" t="n"/>
      <c r="AH505" s="3934" t="n"/>
      <c r="AI505" s="3934" t="n"/>
      <c r="AJ505" s="3934" t="n"/>
      <c r="AK505" s="3934" t="n"/>
      <c r="AL505" s="3934" t="n"/>
      <c r="AM505" s="3934" t="n"/>
      <c r="AN505" s="3934" t="n"/>
      <c r="AO505" s="3934" t="n"/>
      <c r="AP505" s="3934" t="n"/>
      <c r="AQ505" s="3934" t="n"/>
      <c r="AR505" s="3934" t="n"/>
    </row>
    <row r="506">
      <c r="A506" s="3944" t="n"/>
      <c r="B506" s="3944" t="n"/>
      <c r="C506" s="3944" t="n"/>
      <c r="D506" s="3944" t="n"/>
      <c r="E506" s="3944" t="n"/>
      <c r="F506" s="3944" t="n"/>
      <c r="G506" s="3944" t="n"/>
      <c r="H506" s="3944" t="n"/>
      <c r="I506" s="3934" t="n"/>
      <c r="J506" s="3934" t="n"/>
      <c r="K506" s="3934" t="n"/>
      <c r="L506" s="3934" t="n"/>
      <c r="M506" s="3934" t="n"/>
      <c r="N506" s="3934" t="n"/>
      <c r="O506" s="3934" t="n"/>
      <c r="P506" s="3934" t="n"/>
      <c r="Q506" s="3934" t="n"/>
      <c r="R506" s="3934" t="n"/>
      <c r="S506" s="3934" t="n"/>
      <c r="T506" s="3934" t="n"/>
      <c r="U506" s="3934" t="n"/>
      <c r="V506" s="3934" t="n"/>
      <c r="W506" s="3934" t="n"/>
      <c r="X506" s="3934" t="n"/>
      <c r="Y506" s="3934" t="n"/>
      <c r="Z506" s="3934" t="n"/>
      <c r="AA506" s="3934" t="n"/>
      <c r="AB506" s="3934" t="n"/>
      <c r="AC506" s="3934" t="n"/>
      <c r="AD506" s="3934" t="n"/>
      <c r="AE506" s="3934" t="n"/>
      <c r="AF506" s="3934" t="n"/>
      <c r="AG506" s="3934" t="n"/>
      <c r="AH506" s="3934" t="n"/>
      <c r="AI506" s="3934" t="n"/>
      <c r="AJ506" s="3934" t="n"/>
      <c r="AK506" s="3934" t="n"/>
      <c r="AL506" s="3934" t="n"/>
      <c r="AM506" s="3934" t="n"/>
      <c r="AN506" s="3934" t="n"/>
      <c r="AO506" s="3934" t="n"/>
      <c r="AP506" s="3934" t="n"/>
      <c r="AQ506" s="3934" t="n"/>
      <c r="AR506" s="3934" t="n"/>
    </row>
    <row r="507">
      <c r="A507" s="3944" t="n"/>
      <c r="B507" s="3944" t="n"/>
      <c r="C507" s="3944" t="n"/>
      <c r="D507" s="3944" t="n"/>
      <c r="E507" s="3944" t="n"/>
      <c r="F507" s="3944" t="n"/>
      <c r="G507" s="3944" t="n"/>
      <c r="H507" s="3944" t="n"/>
      <c r="I507" s="3934" t="n"/>
      <c r="J507" s="3934" t="n"/>
      <c r="K507" s="3934" t="n"/>
      <c r="L507" s="3934" t="n"/>
      <c r="M507" s="3934" t="n"/>
      <c r="N507" s="3934" t="n"/>
      <c r="O507" s="3934" t="n"/>
      <c r="P507" s="3934" t="n"/>
      <c r="Q507" s="3934" t="n"/>
      <c r="R507" s="3934" t="n"/>
      <c r="S507" s="3934" t="n"/>
      <c r="T507" s="3934" t="n"/>
      <c r="U507" s="3934" t="n"/>
      <c r="V507" s="3934" t="n"/>
      <c r="W507" s="3934" t="n"/>
      <c r="X507" s="3934" t="n"/>
      <c r="Y507" s="3934" t="n"/>
      <c r="Z507" s="3934" t="n"/>
      <c r="AA507" s="3934" t="n"/>
      <c r="AB507" s="3934" t="n"/>
      <c r="AC507" s="3934" t="n"/>
      <c r="AD507" s="3934" t="n"/>
      <c r="AE507" s="3934" t="n"/>
      <c r="AF507" s="3934" t="n"/>
      <c r="AG507" s="3934" t="n"/>
      <c r="AH507" s="3934" t="n"/>
      <c r="AI507" s="3934" t="n"/>
      <c r="AJ507" s="3934" t="n"/>
      <c r="AK507" s="3934" t="n"/>
      <c r="AL507" s="3934" t="n"/>
      <c r="AM507" s="3934" t="n"/>
      <c r="AN507" s="3934" t="n"/>
      <c r="AO507" s="3934" t="n"/>
      <c r="AP507" s="3934" t="n"/>
      <c r="AQ507" s="3934" t="n"/>
      <c r="AR507" s="3934" t="n"/>
    </row>
    <row r="508">
      <c r="A508" s="3944" t="n"/>
      <c r="B508" s="3944" t="n"/>
      <c r="C508" s="3944" t="n"/>
      <c r="D508" s="3944" t="n"/>
      <c r="E508" s="3944" t="n"/>
      <c r="F508" s="3944" t="n"/>
      <c r="G508" s="3944" t="n"/>
      <c r="H508" s="3944" t="n"/>
      <c r="I508" s="3934" t="n"/>
      <c r="J508" s="3934" t="n"/>
      <c r="K508" s="3934" t="n"/>
      <c r="L508" s="3934" t="n"/>
      <c r="M508" s="3934" t="n"/>
      <c r="N508" s="3934" t="n"/>
      <c r="O508" s="3934" t="n"/>
      <c r="P508" s="3934" t="n"/>
      <c r="Q508" s="3934" t="n"/>
      <c r="R508" s="3934" t="n"/>
      <c r="S508" s="3934" t="n"/>
      <c r="T508" s="3934" t="n"/>
      <c r="U508" s="3934" t="n"/>
      <c r="V508" s="3934" t="n"/>
      <c r="W508" s="3934" t="n"/>
      <c r="X508" s="3934" t="n"/>
      <c r="Y508" s="3934" t="n"/>
      <c r="Z508" s="3934" t="n"/>
      <c r="AA508" s="3934" t="n"/>
      <c r="AB508" s="3934" t="n"/>
      <c r="AC508" s="3934" t="n"/>
      <c r="AD508" s="3934" t="n"/>
      <c r="AE508" s="3934" t="n"/>
      <c r="AF508" s="3934" t="n"/>
      <c r="AG508" s="3934" t="n"/>
      <c r="AH508" s="3934" t="n"/>
      <c r="AI508" s="3934" t="n"/>
      <c r="AJ508" s="3934" t="n"/>
      <c r="AK508" s="3934" t="n"/>
      <c r="AL508" s="3934" t="n"/>
      <c r="AM508" s="3934" t="n"/>
      <c r="AN508" s="3934" t="n"/>
      <c r="AO508" s="3934" t="n"/>
      <c r="AP508" s="3934" t="n"/>
      <c r="AQ508" s="3934" t="n"/>
      <c r="AR508" s="3934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R108"/>
  <sheetViews>
    <sheetView showGridLines="0" zoomScale="100" zoomScaleNormal="10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2" customWidth="1" min="3" max="3"/>
    <col width="10" customWidth="1" min="4" max="4"/>
    <col width="36" customWidth="1" min="5" max="5"/>
  </cols>
  <sheetData>
    <row r="1" ht="24" customHeight="1">
      <c r="A1" s="3921" t="inlineStr">
        <is>
          <t>Map | Entities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</row>
    <row r="2">
      <c r="A2" s="3978" t="inlineStr">
        <is>
          <t>Source: &lt;document_source&gt;</t>
        </is>
      </c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</row>
    <row r="4">
      <c r="A4" s="3936" t="inlineStr">
        <is>
          <t>Template Note</t>
        </is>
      </c>
      <c r="B4" s="3937" t="inlineStr">
        <is>
          <t>Pack A scaffold only: direct formulas/values, no Excel Tables, no required named ranges.</t>
        </is>
      </c>
      <c r="C4" s="3934" t="n"/>
      <c r="D4" s="3934" t="n"/>
      <c r="E4" s="3934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</row>
    <row r="5">
      <c r="A5" s="3934" t="n"/>
      <c r="B5" s="3934" t="n"/>
      <c r="C5" s="3934" t="n"/>
      <c r="D5" s="3934" t="n"/>
      <c r="E5" s="3934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</row>
    <row r="7">
      <c r="A7" s="3979" t="inlineStr">
        <is>
          <t>Map | Entities</t>
        </is>
      </c>
      <c r="B7" s="3980" t="n"/>
      <c r="C7" s="3980" t="n"/>
      <c r="D7" s="3980" t="n"/>
      <c r="E7" s="3980" t="n"/>
      <c r="F7" s="3934" t="n"/>
      <c r="G7" s="3934" t="n"/>
      <c r="H7" s="3934" t="n"/>
      <c r="I7" s="3934" t="n"/>
      <c r="J7" s="3934" t="n"/>
      <c r="K7" s="3934" t="n"/>
      <c r="L7" s="3934" t="n"/>
      <c r="M7" s="3934" t="n"/>
      <c r="N7" s="3934" t="n"/>
      <c r="O7" s="3934" t="n"/>
      <c r="P7" s="3934" t="n"/>
      <c r="Q7" s="3934" t="n"/>
      <c r="R7" s="3934" t="n"/>
      <c r="S7" s="3934" t="n"/>
      <c r="T7" s="3934" t="n"/>
      <c r="U7" s="3934" t="n"/>
      <c r="V7" s="3934" t="n"/>
      <c r="W7" s="3934" t="n"/>
      <c r="X7" s="3934" t="n"/>
      <c r="Y7" s="3934" t="n"/>
      <c r="Z7" s="3934" t="n"/>
      <c r="AA7" s="3934" t="n"/>
      <c r="AB7" s="3934" t="n"/>
      <c r="AC7" s="3934" t="n"/>
      <c r="AD7" s="3934" t="n"/>
      <c r="AE7" s="3934" t="n"/>
      <c r="AF7" s="3934" t="n"/>
      <c r="AG7" s="3934" t="n"/>
      <c r="AH7" s="3934" t="n"/>
      <c r="AI7" s="3934" t="n"/>
      <c r="AJ7" s="3934" t="n"/>
      <c r="AK7" s="3934" t="n"/>
      <c r="AL7" s="3934" t="n"/>
      <c r="AM7" s="3934" t="n"/>
      <c r="AN7" s="3934" t="n"/>
      <c r="AO7" s="3934" t="n"/>
      <c r="AP7" s="3934" t="n"/>
      <c r="AQ7" s="3934" t="n"/>
      <c r="AR7" s="3934" t="n"/>
    </row>
    <row r="8">
      <c r="A8" s="3923" t="inlineStr">
        <is>
          <t>EntityName</t>
        </is>
      </c>
      <c r="B8" s="3923" t="inlineStr">
        <is>
          <t>EntityCode</t>
        </is>
      </c>
      <c r="C8" s="3923" t="inlineStr">
        <is>
          <t>IncludeFlag</t>
        </is>
      </c>
      <c r="D8" s="3923" t="inlineStr">
        <is>
          <t>SortOrder</t>
        </is>
      </c>
      <c r="E8" s="3923" t="inlineStr">
        <is>
          <t>Notes</t>
        </is>
      </c>
      <c r="F8" s="3934" t="n"/>
      <c r="G8" s="3934" t="n"/>
      <c r="H8" s="3934" t="n"/>
      <c r="I8" s="3934" t="n"/>
      <c r="J8" s="3934" t="n"/>
      <c r="K8" s="3934" t="n"/>
      <c r="L8" s="3934" t="n"/>
      <c r="M8" s="3934" t="n"/>
      <c r="N8" s="3934" t="n"/>
      <c r="O8" s="3934" t="n"/>
      <c r="P8" s="3934" t="n"/>
      <c r="Q8" s="3934" t="n"/>
      <c r="R8" s="3934" t="n"/>
      <c r="S8" s="3934" t="n"/>
      <c r="T8" s="3934" t="n"/>
      <c r="U8" s="3934" t="n"/>
      <c r="V8" s="3934" t="n"/>
      <c r="W8" s="3934" t="n"/>
      <c r="X8" s="3934" t="n"/>
      <c r="Y8" s="3934" t="n"/>
      <c r="Z8" s="3934" t="n"/>
      <c r="AA8" s="3934" t="n"/>
      <c r="AB8" s="3934" t="n"/>
      <c r="AC8" s="3934" t="n"/>
      <c r="AD8" s="3934" t="n"/>
      <c r="AE8" s="3934" t="n"/>
      <c r="AF8" s="3934" t="n"/>
      <c r="AG8" s="3934" t="n"/>
      <c r="AH8" s="3934" t="n"/>
      <c r="AI8" s="3934" t="n"/>
      <c r="AJ8" s="3934" t="n"/>
      <c r="AK8" s="3934" t="n"/>
      <c r="AL8" s="3934" t="n"/>
      <c r="AM8" s="3934" t="n"/>
      <c r="AN8" s="3934" t="n"/>
      <c r="AO8" s="3934" t="n"/>
      <c r="AP8" s="3934" t="n"/>
      <c r="AQ8" s="3934" t="n"/>
      <c r="AR8" s="3934" t="n"/>
    </row>
    <row r="9">
      <c r="A9" s="3944" t="n"/>
      <c r="B9" s="3944" t="n"/>
      <c r="C9" s="3944" t="inlineStr"/>
      <c r="D9" s="3944" t="n"/>
      <c r="E9" s="3944" t="n"/>
      <c r="F9" s="3934" t="n"/>
      <c r="G9" s="3934" t="n"/>
      <c r="H9" s="3934" t="n"/>
      <c r="I9" s="3934" t="n"/>
      <c r="J9" s="3934" t="n"/>
      <c r="K9" s="3934" t="n"/>
      <c r="L9" s="3934" t="n"/>
      <c r="M9" s="3934" t="n"/>
      <c r="N9" s="3934" t="n"/>
      <c r="O9" s="3934" t="n"/>
      <c r="P9" s="3934" t="n"/>
      <c r="Q9" s="3934" t="n"/>
      <c r="R9" s="3934" t="n"/>
      <c r="S9" s="3934" t="n"/>
      <c r="T9" s="3934" t="n"/>
      <c r="U9" s="3934" t="n"/>
      <c r="V9" s="3934" t="n"/>
      <c r="W9" s="3934" t="n"/>
      <c r="X9" s="3934" t="n"/>
      <c r="Y9" s="3934" t="n"/>
      <c r="Z9" s="3934" t="n"/>
      <c r="AA9" s="3934" t="n"/>
      <c r="AB9" s="3934" t="n"/>
      <c r="AC9" s="3934" t="n"/>
      <c r="AD9" s="3934" t="n"/>
      <c r="AE9" s="3934" t="n"/>
      <c r="AF9" s="3934" t="n"/>
      <c r="AG9" s="3934" t="n"/>
      <c r="AH9" s="3934" t="n"/>
      <c r="AI9" s="3934" t="n"/>
      <c r="AJ9" s="3934" t="n"/>
      <c r="AK9" s="3934" t="n"/>
      <c r="AL9" s="3934" t="n"/>
      <c r="AM9" s="3934" t="n"/>
      <c r="AN9" s="3934" t="n"/>
      <c r="AO9" s="3934" t="n"/>
      <c r="AP9" s="3934" t="n"/>
      <c r="AQ9" s="3934" t="n"/>
      <c r="AR9" s="3934" t="n"/>
    </row>
    <row r="10">
      <c r="A10" s="3944" t="n"/>
      <c r="B10" s="3944" t="n"/>
      <c r="C10" s="3944" t="inlineStr"/>
      <c r="D10" s="3944" t="n"/>
      <c r="E10" s="3944" t="n"/>
      <c r="F10" s="3934" t="n"/>
      <c r="G10" s="3934" t="n"/>
      <c r="H10" s="3934" t="n"/>
      <c r="I10" s="3934" t="n"/>
      <c r="J10" s="3934" t="n"/>
      <c r="K10" s="3934" t="n"/>
      <c r="L10" s="3934" t="n"/>
      <c r="M10" s="3934" t="n"/>
      <c r="N10" s="3934" t="n"/>
      <c r="O10" s="3934" t="n"/>
      <c r="P10" s="3934" t="n"/>
      <c r="Q10" s="3934" t="n"/>
      <c r="R10" s="3934" t="n"/>
      <c r="S10" s="3934" t="n"/>
      <c r="T10" s="3934" t="n"/>
      <c r="U10" s="3934" t="n"/>
      <c r="V10" s="3934" t="n"/>
      <c r="W10" s="3934" t="n"/>
      <c r="X10" s="3934" t="n"/>
      <c r="Y10" s="3934" t="n"/>
      <c r="Z10" s="3934" t="n"/>
      <c r="AA10" s="3934" t="n"/>
      <c r="AB10" s="3934" t="n"/>
      <c r="AC10" s="3934" t="n"/>
      <c r="AD10" s="3934" t="n"/>
      <c r="AE10" s="3934" t="n"/>
      <c r="AF10" s="3934" t="n"/>
      <c r="AG10" s="3934" t="n"/>
      <c r="AH10" s="3934" t="n"/>
      <c r="AI10" s="3934" t="n"/>
      <c r="AJ10" s="3934" t="n"/>
      <c r="AK10" s="3934" t="n"/>
      <c r="AL10" s="3934" t="n"/>
      <c r="AM10" s="3934" t="n"/>
      <c r="AN10" s="3934" t="n"/>
      <c r="AO10" s="3934" t="n"/>
      <c r="AP10" s="3934" t="n"/>
      <c r="AQ10" s="3934" t="n"/>
      <c r="AR10" s="3934" t="n"/>
    </row>
    <row r="11">
      <c r="A11" s="3944" t="n"/>
      <c r="B11" s="3944" t="n"/>
      <c r="C11" s="3944" t="inlineStr"/>
      <c r="D11" s="3944" t="n"/>
      <c r="E11" s="3944" t="n"/>
      <c r="F11" s="3934" t="n"/>
      <c r="G11" s="3934" t="n"/>
      <c r="H11" s="3934" t="n"/>
      <c r="I11" s="3934" t="n"/>
      <c r="J11" s="3934" t="n"/>
      <c r="K11" s="3934" t="n"/>
      <c r="L11" s="3934" t="n"/>
      <c r="M11" s="3934" t="n"/>
      <c r="N11" s="3934" t="n"/>
      <c r="O11" s="3934" t="n"/>
      <c r="P11" s="3934" t="n"/>
      <c r="Q11" s="3934" t="n"/>
      <c r="R11" s="3934" t="n"/>
      <c r="S11" s="3934" t="n"/>
      <c r="T11" s="3934" t="n"/>
      <c r="U11" s="3934" t="n"/>
      <c r="V11" s="3934" t="n"/>
      <c r="W11" s="3934" t="n"/>
      <c r="X11" s="3934" t="n"/>
      <c r="Y11" s="3934" t="n"/>
      <c r="Z11" s="3934" t="n"/>
      <c r="AA11" s="3934" t="n"/>
      <c r="AB11" s="3934" t="n"/>
      <c r="AC11" s="3934" t="n"/>
      <c r="AD11" s="3934" t="n"/>
      <c r="AE11" s="3934" t="n"/>
      <c r="AF11" s="3934" t="n"/>
      <c r="AG11" s="3934" t="n"/>
      <c r="AH11" s="3934" t="n"/>
      <c r="AI11" s="3934" t="n"/>
      <c r="AJ11" s="3934" t="n"/>
      <c r="AK11" s="3934" t="n"/>
      <c r="AL11" s="3934" t="n"/>
      <c r="AM11" s="3934" t="n"/>
      <c r="AN11" s="3934" t="n"/>
      <c r="AO11" s="3934" t="n"/>
      <c r="AP11" s="3934" t="n"/>
      <c r="AQ11" s="3934" t="n"/>
      <c r="AR11" s="3934" t="n"/>
    </row>
    <row r="12">
      <c r="A12" s="3944" t="n"/>
      <c r="B12" s="3944" t="n"/>
      <c r="C12" s="3944" t="inlineStr"/>
      <c r="D12" s="3944" t="n"/>
      <c r="E12" s="3944" t="n"/>
      <c r="F12" s="3934" t="n"/>
      <c r="G12" s="3934" t="n"/>
      <c r="H12" s="3934" t="n"/>
      <c r="I12" s="3934" t="n"/>
      <c r="J12" s="3934" t="n"/>
      <c r="K12" s="3934" t="n"/>
      <c r="L12" s="3934" t="n"/>
      <c r="M12" s="3934" t="n"/>
      <c r="N12" s="3934" t="n"/>
      <c r="O12" s="3934" t="n"/>
      <c r="P12" s="3934" t="n"/>
      <c r="Q12" s="3934" t="n"/>
      <c r="R12" s="3934" t="n"/>
      <c r="S12" s="3934" t="n"/>
      <c r="T12" s="3934" t="n"/>
      <c r="U12" s="3934" t="n"/>
      <c r="V12" s="3934" t="n"/>
      <c r="W12" s="3934" t="n"/>
      <c r="X12" s="3934" t="n"/>
      <c r="Y12" s="3934" t="n"/>
      <c r="Z12" s="3934" t="n"/>
      <c r="AA12" s="3934" t="n"/>
      <c r="AB12" s="3934" t="n"/>
      <c r="AC12" s="3934" t="n"/>
      <c r="AD12" s="3934" t="n"/>
      <c r="AE12" s="3934" t="n"/>
      <c r="AF12" s="3934" t="n"/>
      <c r="AG12" s="3934" t="n"/>
      <c r="AH12" s="3934" t="n"/>
      <c r="AI12" s="3934" t="n"/>
      <c r="AJ12" s="3934" t="n"/>
      <c r="AK12" s="3934" t="n"/>
      <c r="AL12" s="3934" t="n"/>
      <c r="AM12" s="3934" t="n"/>
      <c r="AN12" s="3934" t="n"/>
      <c r="AO12" s="3934" t="n"/>
      <c r="AP12" s="3934" t="n"/>
      <c r="AQ12" s="3934" t="n"/>
      <c r="AR12" s="3934" t="n"/>
    </row>
    <row r="13">
      <c r="A13" s="3944" t="n"/>
      <c r="B13" s="3944" t="n"/>
      <c r="C13" s="3944" t="inlineStr"/>
      <c r="D13" s="3944" t="n"/>
      <c r="E13" s="3944" t="n"/>
      <c r="F13" s="3934" t="n"/>
      <c r="G13" s="3934" t="n"/>
      <c r="H13" s="3934" t="n"/>
      <c r="I13" s="3934" t="n"/>
      <c r="J13" s="3934" t="n"/>
      <c r="K13" s="3934" t="n"/>
      <c r="L13" s="3934" t="n"/>
      <c r="M13" s="3934" t="n"/>
      <c r="N13" s="3934" t="n"/>
      <c r="O13" s="3934" t="n"/>
      <c r="P13" s="3934" t="n"/>
      <c r="Q13" s="3934" t="n"/>
      <c r="R13" s="3934" t="n"/>
      <c r="S13" s="3934" t="n"/>
      <c r="T13" s="3934" t="n"/>
      <c r="U13" s="3934" t="n"/>
      <c r="V13" s="3934" t="n"/>
      <c r="W13" s="3934" t="n"/>
      <c r="X13" s="3934" t="n"/>
      <c r="Y13" s="3934" t="n"/>
      <c r="Z13" s="3934" t="n"/>
      <c r="AA13" s="3934" t="n"/>
      <c r="AB13" s="3934" t="n"/>
      <c r="AC13" s="3934" t="n"/>
      <c r="AD13" s="3934" t="n"/>
      <c r="AE13" s="3934" t="n"/>
      <c r="AF13" s="3934" t="n"/>
      <c r="AG13" s="3934" t="n"/>
      <c r="AH13" s="3934" t="n"/>
      <c r="AI13" s="3934" t="n"/>
      <c r="AJ13" s="3934" t="n"/>
      <c r="AK13" s="3934" t="n"/>
      <c r="AL13" s="3934" t="n"/>
      <c r="AM13" s="3934" t="n"/>
      <c r="AN13" s="3934" t="n"/>
      <c r="AO13" s="3934" t="n"/>
      <c r="AP13" s="3934" t="n"/>
      <c r="AQ13" s="3934" t="n"/>
      <c r="AR13" s="3934" t="n"/>
    </row>
    <row r="14">
      <c r="A14" s="3944" t="n"/>
      <c r="B14" s="3944" t="n"/>
      <c r="C14" s="3944" t="inlineStr"/>
      <c r="D14" s="3944" t="n"/>
      <c r="E14" s="3944" t="n"/>
      <c r="F14" s="3934" t="n"/>
      <c r="G14" s="3934" t="n"/>
      <c r="H14" s="3934" t="n"/>
      <c r="I14" s="3934" t="n"/>
      <c r="J14" s="3934" t="n"/>
      <c r="K14" s="3934" t="n"/>
      <c r="L14" s="3934" t="n"/>
      <c r="M14" s="3934" t="n"/>
      <c r="N14" s="3934" t="n"/>
      <c r="O14" s="3934" t="n"/>
      <c r="P14" s="3934" t="n"/>
      <c r="Q14" s="3934" t="n"/>
      <c r="R14" s="3934" t="n"/>
      <c r="S14" s="3934" t="n"/>
      <c r="T14" s="3934" t="n"/>
      <c r="U14" s="3934" t="n"/>
      <c r="V14" s="3934" t="n"/>
      <c r="W14" s="3934" t="n"/>
      <c r="X14" s="3934" t="n"/>
      <c r="Y14" s="3934" t="n"/>
      <c r="Z14" s="3934" t="n"/>
      <c r="AA14" s="3934" t="n"/>
      <c r="AB14" s="3934" t="n"/>
      <c r="AC14" s="3934" t="n"/>
      <c r="AD14" s="3934" t="n"/>
      <c r="AE14" s="3934" t="n"/>
      <c r="AF14" s="3934" t="n"/>
      <c r="AG14" s="3934" t="n"/>
      <c r="AH14" s="3934" t="n"/>
      <c r="AI14" s="3934" t="n"/>
      <c r="AJ14" s="3934" t="n"/>
      <c r="AK14" s="3934" t="n"/>
      <c r="AL14" s="3934" t="n"/>
      <c r="AM14" s="3934" t="n"/>
      <c r="AN14" s="3934" t="n"/>
      <c r="AO14" s="3934" t="n"/>
      <c r="AP14" s="3934" t="n"/>
      <c r="AQ14" s="3934" t="n"/>
      <c r="AR14" s="3934" t="n"/>
    </row>
    <row r="15">
      <c r="A15" s="3944" t="n"/>
      <c r="B15" s="3944" t="n"/>
      <c r="C15" s="3944" t="inlineStr"/>
      <c r="D15" s="3944" t="n"/>
      <c r="E15" s="3944" t="n"/>
      <c r="F15" s="3934" t="n"/>
      <c r="G15" s="3934" t="n"/>
      <c r="H15" s="3934" t="n"/>
      <c r="I15" s="3934" t="n"/>
      <c r="J15" s="3934" t="n"/>
      <c r="K15" s="3934" t="n"/>
      <c r="L15" s="3934" t="n"/>
      <c r="M15" s="3934" t="n"/>
      <c r="N15" s="3934" t="n"/>
      <c r="O15" s="3934" t="n"/>
      <c r="P15" s="3934" t="n"/>
      <c r="Q15" s="3934" t="n"/>
      <c r="R15" s="3934" t="n"/>
      <c r="S15" s="3934" t="n"/>
      <c r="T15" s="3934" t="n"/>
      <c r="U15" s="3934" t="n"/>
      <c r="V15" s="3934" t="n"/>
      <c r="W15" s="3934" t="n"/>
      <c r="X15" s="3934" t="n"/>
      <c r="Y15" s="3934" t="n"/>
      <c r="Z15" s="3934" t="n"/>
      <c r="AA15" s="3934" t="n"/>
      <c r="AB15" s="3934" t="n"/>
      <c r="AC15" s="3934" t="n"/>
      <c r="AD15" s="3934" t="n"/>
      <c r="AE15" s="3934" t="n"/>
      <c r="AF15" s="3934" t="n"/>
      <c r="AG15" s="3934" t="n"/>
      <c r="AH15" s="3934" t="n"/>
      <c r="AI15" s="3934" t="n"/>
      <c r="AJ15" s="3934" t="n"/>
      <c r="AK15" s="3934" t="n"/>
      <c r="AL15" s="3934" t="n"/>
      <c r="AM15" s="3934" t="n"/>
      <c r="AN15" s="3934" t="n"/>
      <c r="AO15" s="3934" t="n"/>
      <c r="AP15" s="3934" t="n"/>
      <c r="AQ15" s="3934" t="n"/>
      <c r="AR15" s="3934" t="n"/>
    </row>
    <row r="16">
      <c r="A16" s="3944" t="n"/>
      <c r="B16" s="3944" t="n"/>
      <c r="C16" s="3944" t="inlineStr"/>
      <c r="D16" s="3944" t="n"/>
      <c r="E16" s="3944" t="n"/>
      <c r="F16" s="3934" t="n"/>
      <c r="G16" s="3934" t="n"/>
      <c r="H16" s="3934" t="n"/>
      <c r="I16" s="3934" t="n"/>
      <c r="J16" s="3934" t="n"/>
      <c r="K16" s="3934" t="n"/>
      <c r="L16" s="3934" t="n"/>
      <c r="M16" s="3934" t="n"/>
      <c r="N16" s="3934" t="n"/>
      <c r="O16" s="3934" t="n"/>
      <c r="P16" s="3934" t="n"/>
      <c r="Q16" s="3934" t="n"/>
      <c r="R16" s="3934" t="n"/>
      <c r="S16" s="3934" t="n"/>
      <c r="T16" s="3934" t="n"/>
      <c r="U16" s="3934" t="n"/>
      <c r="V16" s="3934" t="n"/>
      <c r="W16" s="3934" t="n"/>
      <c r="X16" s="3934" t="n"/>
      <c r="Y16" s="3934" t="n"/>
      <c r="Z16" s="3934" t="n"/>
      <c r="AA16" s="3934" t="n"/>
      <c r="AB16" s="3934" t="n"/>
      <c r="AC16" s="3934" t="n"/>
      <c r="AD16" s="3934" t="n"/>
      <c r="AE16" s="3934" t="n"/>
      <c r="AF16" s="3934" t="n"/>
      <c r="AG16" s="3934" t="n"/>
      <c r="AH16" s="3934" t="n"/>
      <c r="AI16" s="3934" t="n"/>
      <c r="AJ16" s="3934" t="n"/>
      <c r="AK16" s="3934" t="n"/>
      <c r="AL16" s="3934" t="n"/>
      <c r="AM16" s="3934" t="n"/>
      <c r="AN16" s="3934" t="n"/>
      <c r="AO16" s="3934" t="n"/>
      <c r="AP16" s="3934" t="n"/>
      <c r="AQ16" s="3934" t="n"/>
      <c r="AR16" s="3934" t="n"/>
    </row>
    <row r="17">
      <c r="A17" s="3944" t="n"/>
      <c r="B17" s="3944" t="n"/>
      <c r="C17" s="3944" t="inlineStr"/>
      <c r="D17" s="3944" t="n"/>
      <c r="E17" s="3944" t="n"/>
      <c r="F17" s="3934" t="n"/>
      <c r="G17" s="3934" t="n"/>
      <c r="H17" s="3934" t="n"/>
      <c r="I17" s="3934" t="n"/>
      <c r="J17" s="3934" t="n"/>
      <c r="K17" s="3934" t="n"/>
      <c r="L17" s="3934" t="n"/>
      <c r="M17" s="3934" t="n"/>
      <c r="N17" s="3934" t="n"/>
      <c r="O17" s="3934" t="n"/>
      <c r="P17" s="3934" t="n"/>
      <c r="Q17" s="3934" t="n"/>
      <c r="R17" s="3934" t="n"/>
      <c r="S17" s="3934" t="n"/>
      <c r="T17" s="3934" t="n"/>
      <c r="U17" s="3934" t="n"/>
      <c r="V17" s="3934" t="n"/>
      <c r="W17" s="3934" t="n"/>
      <c r="X17" s="3934" t="n"/>
      <c r="Y17" s="3934" t="n"/>
      <c r="Z17" s="3934" t="n"/>
      <c r="AA17" s="3934" t="n"/>
      <c r="AB17" s="3934" t="n"/>
      <c r="AC17" s="3934" t="n"/>
      <c r="AD17" s="3934" t="n"/>
      <c r="AE17" s="3934" t="n"/>
      <c r="AF17" s="3934" t="n"/>
      <c r="AG17" s="3934" t="n"/>
      <c r="AH17" s="3934" t="n"/>
      <c r="AI17" s="3934" t="n"/>
      <c r="AJ17" s="3934" t="n"/>
      <c r="AK17" s="3934" t="n"/>
      <c r="AL17" s="3934" t="n"/>
      <c r="AM17" s="3934" t="n"/>
      <c r="AN17" s="3934" t="n"/>
      <c r="AO17" s="3934" t="n"/>
      <c r="AP17" s="3934" t="n"/>
      <c r="AQ17" s="3934" t="n"/>
      <c r="AR17" s="3934" t="n"/>
    </row>
    <row r="18">
      <c r="A18" s="3944" t="n"/>
      <c r="B18" s="3944" t="n"/>
      <c r="C18" s="3944" t="inlineStr"/>
      <c r="D18" s="3944" t="n"/>
      <c r="E18" s="3944" t="n"/>
      <c r="F18" s="3934" t="n"/>
      <c r="G18" s="3934" t="n"/>
      <c r="H18" s="3934" t="n"/>
      <c r="I18" s="3934" t="n"/>
      <c r="J18" s="3934" t="n"/>
      <c r="K18" s="3934" t="n"/>
      <c r="L18" s="3934" t="n"/>
      <c r="M18" s="3934" t="n"/>
      <c r="N18" s="3934" t="n"/>
      <c r="O18" s="3934" t="n"/>
      <c r="P18" s="3934" t="n"/>
      <c r="Q18" s="3934" t="n"/>
      <c r="R18" s="3934" t="n"/>
      <c r="S18" s="3934" t="n"/>
      <c r="T18" s="3934" t="n"/>
      <c r="U18" s="3934" t="n"/>
      <c r="V18" s="3934" t="n"/>
      <c r="W18" s="3934" t="n"/>
      <c r="X18" s="3934" t="n"/>
      <c r="Y18" s="3934" t="n"/>
      <c r="Z18" s="3934" t="n"/>
      <c r="AA18" s="3934" t="n"/>
      <c r="AB18" s="3934" t="n"/>
      <c r="AC18" s="3934" t="n"/>
      <c r="AD18" s="3934" t="n"/>
      <c r="AE18" s="3934" t="n"/>
      <c r="AF18" s="3934" t="n"/>
      <c r="AG18" s="3934" t="n"/>
      <c r="AH18" s="3934" t="n"/>
      <c r="AI18" s="3934" t="n"/>
      <c r="AJ18" s="3934" t="n"/>
      <c r="AK18" s="3934" t="n"/>
      <c r="AL18" s="3934" t="n"/>
      <c r="AM18" s="3934" t="n"/>
      <c r="AN18" s="3934" t="n"/>
      <c r="AO18" s="3934" t="n"/>
      <c r="AP18" s="3934" t="n"/>
      <c r="AQ18" s="3934" t="n"/>
      <c r="AR18" s="3934" t="n"/>
    </row>
    <row r="19">
      <c r="A19" s="3944" t="n"/>
      <c r="B19" s="3944" t="n"/>
      <c r="C19" s="3944" t="inlineStr"/>
      <c r="D19" s="3944" t="n"/>
      <c r="E19" s="3944" t="n"/>
      <c r="F19" s="3934" t="n"/>
      <c r="G19" s="3934" t="n"/>
      <c r="H19" s="3934" t="n"/>
      <c r="I19" s="3934" t="n"/>
      <c r="J19" s="3934" t="n"/>
      <c r="K19" s="3934" t="n"/>
      <c r="L19" s="3934" t="n"/>
      <c r="M19" s="3934" t="n"/>
      <c r="N19" s="3934" t="n"/>
      <c r="O19" s="3934" t="n"/>
      <c r="P19" s="3934" t="n"/>
      <c r="Q19" s="3934" t="n"/>
      <c r="R19" s="3934" t="n"/>
      <c r="S19" s="3934" t="n"/>
      <c r="T19" s="3934" t="n"/>
      <c r="U19" s="3934" t="n"/>
      <c r="V19" s="3934" t="n"/>
      <c r="W19" s="3934" t="n"/>
      <c r="X19" s="3934" t="n"/>
      <c r="Y19" s="3934" t="n"/>
      <c r="Z19" s="3934" t="n"/>
      <c r="AA19" s="3934" t="n"/>
      <c r="AB19" s="3934" t="n"/>
      <c r="AC19" s="3934" t="n"/>
      <c r="AD19" s="3934" t="n"/>
      <c r="AE19" s="3934" t="n"/>
      <c r="AF19" s="3934" t="n"/>
      <c r="AG19" s="3934" t="n"/>
      <c r="AH19" s="3934" t="n"/>
      <c r="AI19" s="3934" t="n"/>
      <c r="AJ19" s="3934" t="n"/>
      <c r="AK19" s="3934" t="n"/>
      <c r="AL19" s="3934" t="n"/>
      <c r="AM19" s="3934" t="n"/>
      <c r="AN19" s="3934" t="n"/>
      <c r="AO19" s="3934" t="n"/>
      <c r="AP19" s="3934" t="n"/>
      <c r="AQ19" s="3934" t="n"/>
      <c r="AR19" s="3934" t="n"/>
    </row>
    <row r="20">
      <c r="A20" s="3944" t="n"/>
      <c r="B20" s="3944" t="n"/>
      <c r="C20" s="3944" t="inlineStr"/>
      <c r="D20" s="3944" t="n"/>
      <c r="E20" s="3944" t="n"/>
      <c r="F20" s="3934" t="n"/>
      <c r="G20" s="3934" t="n"/>
      <c r="H20" s="3934" t="n"/>
      <c r="I20" s="3934" t="n"/>
      <c r="J20" s="3934" t="n"/>
      <c r="K20" s="3934" t="n"/>
      <c r="L20" s="3934" t="n"/>
      <c r="M20" s="3934" t="n"/>
      <c r="N20" s="3934" t="n"/>
      <c r="O20" s="3934" t="n"/>
      <c r="P20" s="3934" t="n"/>
      <c r="Q20" s="3934" t="n"/>
      <c r="R20" s="3934" t="n"/>
      <c r="S20" s="3934" t="n"/>
      <c r="T20" s="3934" t="n"/>
      <c r="U20" s="3934" t="n"/>
      <c r="V20" s="3934" t="n"/>
      <c r="W20" s="3934" t="n"/>
      <c r="X20" s="3934" t="n"/>
      <c r="Y20" s="3934" t="n"/>
      <c r="Z20" s="3934" t="n"/>
      <c r="AA20" s="3934" t="n"/>
      <c r="AB20" s="3934" t="n"/>
      <c r="AC20" s="3934" t="n"/>
      <c r="AD20" s="3934" t="n"/>
      <c r="AE20" s="3934" t="n"/>
      <c r="AF20" s="3934" t="n"/>
      <c r="AG20" s="3934" t="n"/>
      <c r="AH20" s="3934" t="n"/>
      <c r="AI20" s="3934" t="n"/>
      <c r="AJ20" s="3934" t="n"/>
      <c r="AK20" s="3934" t="n"/>
      <c r="AL20" s="3934" t="n"/>
      <c r="AM20" s="3934" t="n"/>
      <c r="AN20" s="3934" t="n"/>
      <c r="AO20" s="3934" t="n"/>
      <c r="AP20" s="3934" t="n"/>
      <c r="AQ20" s="3934" t="n"/>
      <c r="AR20" s="3934" t="n"/>
    </row>
    <row r="21">
      <c r="A21" s="3944" t="n"/>
      <c r="B21" s="3944" t="n"/>
      <c r="C21" s="3944" t="inlineStr"/>
      <c r="D21" s="3944" t="n"/>
      <c r="E21" s="3944" t="n"/>
      <c r="F21" s="3934" t="n"/>
      <c r="G21" s="3934" t="n"/>
      <c r="H21" s="3934" t="n"/>
      <c r="I21" s="3934" t="n"/>
      <c r="J21" s="3934" t="n"/>
      <c r="K21" s="3934" t="n"/>
      <c r="L21" s="3934" t="n"/>
      <c r="M21" s="3934" t="n"/>
      <c r="N21" s="3934" t="n"/>
      <c r="O21" s="3934" t="n"/>
      <c r="P21" s="3934" t="n"/>
      <c r="Q21" s="3934" t="n"/>
      <c r="R21" s="3934" t="n"/>
      <c r="S21" s="3934" t="n"/>
      <c r="T21" s="3934" t="n"/>
      <c r="U21" s="3934" t="n"/>
      <c r="V21" s="3934" t="n"/>
      <c r="W21" s="3934" t="n"/>
      <c r="X21" s="3934" t="n"/>
      <c r="Y21" s="3934" t="n"/>
      <c r="Z21" s="3934" t="n"/>
      <c r="AA21" s="3934" t="n"/>
      <c r="AB21" s="3934" t="n"/>
      <c r="AC21" s="3934" t="n"/>
      <c r="AD21" s="3934" t="n"/>
      <c r="AE21" s="3934" t="n"/>
      <c r="AF21" s="3934" t="n"/>
      <c r="AG21" s="3934" t="n"/>
      <c r="AH21" s="3934" t="n"/>
      <c r="AI21" s="3934" t="n"/>
      <c r="AJ21" s="3934" t="n"/>
      <c r="AK21" s="3934" t="n"/>
      <c r="AL21" s="3934" t="n"/>
      <c r="AM21" s="3934" t="n"/>
      <c r="AN21" s="3934" t="n"/>
      <c r="AO21" s="3934" t="n"/>
      <c r="AP21" s="3934" t="n"/>
      <c r="AQ21" s="3934" t="n"/>
      <c r="AR21" s="3934" t="n"/>
    </row>
    <row r="22">
      <c r="A22" s="3944" t="n"/>
      <c r="B22" s="3944" t="n"/>
      <c r="C22" s="3944" t="inlineStr"/>
      <c r="D22" s="3944" t="n"/>
      <c r="E22" s="3944" t="n"/>
      <c r="F22" s="3934" t="n"/>
      <c r="G22" s="3934" t="n"/>
      <c r="H22" s="3934" t="n"/>
      <c r="I22" s="3934" t="n"/>
      <c r="J22" s="3934" t="n"/>
      <c r="K22" s="3934" t="n"/>
      <c r="L22" s="3934" t="n"/>
      <c r="M22" s="3934" t="n"/>
      <c r="N22" s="3934" t="n"/>
      <c r="O22" s="3934" t="n"/>
      <c r="P22" s="3934" t="n"/>
      <c r="Q22" s="3934" t="n"/>
      <c r="R22" s="3934" t="n"/>
      <c r="S22" s="3934" t="n"/>
      <c r="T22" s="3934" t="n"/>
      <c r="U22" s="3934" t="n"/>
      <c r="V22" s="3934" t="n"/>
      <c r="W22" s="3934" t="n"/>
      <c r="X22" s="3934" t="n"/>
      <c r="Y22" s="3934" t="n"/>
      <c r="Z22" s="3934" t="n"/>
      <c r="AA22" s="3934" t="n"/>
      <c r="AB22" s="3934" t="n"/>
      <c r="AC22" s="3934" t="n"/>
      <c r="AD22" s="3934" t="n"/>
      <c r="AE22" s="3934" t="n"/>
      <c r="AF22" s="3934" t="n"/>
      <c r="AG22" s="3934" t="n"/>
      <c r="AH22" s="3934" t="n"/>
      <c r="AI22" s="3934" t="n"/>
      <c r="AJ22" s="3934" t="n"/>
      <c r="AK22" s="3934" t="n"/>
      <c r="AL22" s="3934" t="n"/>
      <c r="AM22" s="3934" t="n"/>
      <c r="AN22" s="3934" t="n"/>
      <c r="AO22" s="3934" t="n"/>
      <c r="AP22" s="3934" t="n"/>
      <c r="AQ22" s="3934" t="n"/>
      <c r="AR22" s="3934" t="n"/>
    </row>
    <row r="23">
      <c r="A23" s="3944" t="n"/>
      <c r="B23" s="3944" t="n"/>
      <c r="C23" s="3944" t="inlineStr"/>
      <c r="D23" s="3944" t="n"/>
      <c r="E23" s="3944" t="n"/>
      <c r="F23" s="3934" t="n"/>
      <c r="G23" s="3934" t="n"/>
      <c r="H23" s="3934" t="n"/>
      <c r="I23" s="3934" t="n"/>
      <c r="J23" s="3934" t="n"/>
      <c r="K23" s="3934" t="n"/>
      <c r="L23" s="3934" t="n"/>
      <c r="M23" s="3934" t="n"/>
      <c r="N23" s="3934" t="n"/>
      <c r="O23" s="3934" t="n"/>
      <c r="P23" s="3934" t="n"/>
      <c r="Q23" s="3934" t="n"/>
      <c r="R23" s="3934" t="n"/>
      <c r="S23" s="3934" t="n"/>
      <c r="T23" s="3934" t="n"/>
      <c r="U23" s="3934" t="n"/>
      <c r="V23" s="3934" t="n"/>
      <c r="W23" s="3934" t="n"/>
      <c r="X23" s="3934" t="n"/>
      <c r="Y23" s="3934" t="n"/>
      <c r="Z23" s="3934" t="n"/>
      <c r="AA23" s="3934" t="n"/>
      <c r="AB23" s="3934" t="n"/>
      <c r="AC23" s="3934" t="n"/>
      <c r="AD23" s="3934" t="n"/>
      <c r="AE23" s="3934" t="n"/>
      <c r="AF23" s="3934" t="n"/>
      <c r="AG23" s="3934" t="n"/>
      <c r="AH23" s="3934" t="n"/>
      <c r="AI23" s="3934" t="n"/>
      <c r="AJ23" s="3934" t="n"/>
      <c r="AK23" s="3934" t="n"/>
      <c r="AL23" s="3934" t="n"/>
      <c r="AM23" s="3934" t="n"/>
      <c r="AN23" s="3934" t="n"/>
      <c r="AO23" s="3934" t="n"/>
      <c r="AP23" s="3934" t="n"/>
      <c r="AQ23" s="3934" t="n"/>
      <c r="AR23" s="3934" t="n"/>
    </row>
    <row r="24">
      <c r="A24" s="3944" t="n"/>
      <c r="B24" s="3944" t="n"/>
      <c r="C24" s="3944" t="inlineStr"/>
      <c r="D24" s="3944" t="n"/>
      <c r="E24" s="3944" t="n"/>
      <c r="F24" s="3934" t="n"/>
      <c r="G24" s="3934" t="n"/>
      <c r="H24" s="3934" t="n"/>
      <c r="I24" s="3934" t="n"/>
      <c r="J24" s="3934" t="n"/>
      <c r="K24" s="3934" t="n"/>
      <c r="L24" s="3934" t="n"/>
      <c r="M24" s="3934" t="n"/>
      <c r="N24" s="3934" t="n"/>
      <c r="O24" s="3934" t="n"/>
      <c r="P24" s="3934" t="n"/>
      <c r="Q24" s="3934" t="n"/>
      <c r="R24" s="3934" t="n"/>
      <c r="S24" s="3934" t="n"/>
      <c r="T24" s="3934" t="n"/>
      <c r="U24" s="3934" t="n"/>
      <c r="V24" s="3934" t="n"/>
      <c r="W24" s="3934" t="n"/>
      <c r="X24" s="3934" t="n"/>
      <c r="Y24" s="3934" t="n"/>
      <c r="Z24" s="3934" t="n"/>
      <c r="AA24" s="3934" t="n"/>
      <c r="AB24" s="3934" t="n"/>
      <c r="AC24" s="3934" t="n"/>
      <c r="AD24" s="3934" t="n"/>
      <c r="AE24" s="3934" t="n"/>
      <c r="AF24" s="3934" t="n"/>
      <c r="AG24" s="3934" t="n"/>
      <c r="AH24" s="3934" t="n"/>
      <c r="AI24" s="3934" t="n"/>
      <c r="AJ24" s="3934" t="n"/>
      <c r="AK24" s="3934" t="n"/>
      <c r="AL24" s="3934" t="n"/>
      <c r="AM24" s="3934" t="n"/>
      <c r="AN24" s="3934" t="n"/>
      <c r="AO24" s="3934" t="n"/>
      <c r="AP24" s="3934" t="n"/>
      <c r="AQ24" s="3934" t="n"/>
      <c r="AR24" s="3934" t="n"/>
    </row>
    <row r="25">
      <c r="A25" s="3944" t="n"/>
      <c r="B25" s="3944" t="n"/>
      <c r="C25" s="3944" t="inlineStr"/>
      <c r="D25" s="3944" t="n"/>
      <c r="E25" s="3944" t="n"/>
      <c r="F25" s="3934" t="n"/>
      <c r="G25" s="3934" t="n"/>
      <c r="H25" s="3934" t="n"/>
      <c r="I25" s="3934" t="n"/>
      <c r="J25" s="3934" t="n"/>
      <c r="K25" s="3934" t="n"/>
      <c r="L25" s="3934" t="n"/>
      <c r="M25" s="3934" t="n"/>
      <c r="N25" s="3934" t="n"/>
      <c r="O25" s="3934" t="n"/>
      <c r="P25" s="3934" t="n"/>
      <c r="Q25" s="3934" t="n"/>
      <c r="R25" s="3934" t="n"/>
      <c r="S25" s="3934" t="n"/>
      <c r="T25" s="3934" t="n"/>
      <c r="U25" s="3934" t="n"/>
      <c r="V25" s="3934" t="n"/>
      <c r="W25" s="3934" t="n"/>
      <c r="X25" s="3934" t="n"/>
      <c r="Y25" s="3934" t="n"/>
      <c r="Z25" s="3934" t="n"/>
      <c r="AA25" s="3934" t="n"/>
      <c r="AB25" s="3934" t="n"/>
      <c r="AC25" s="3934" t="n"/>
      <c r="AD25" s="3934" t="n"/>
      <c r="AE25" s="3934" t="n"/>
      <c r="AF25" s="3934" t="n"/>
      <c r="AG25" s="3934" t="n"/>
      <c r="AH25" s="3934" t="n"/>
      <c r="AI25" s="3934" t="n"/>
      <c r="AJ25" s="3934" t="n"/>
      <c r="AK25" s="3934" t="n"/>
      <c r="AL25" s="3934" t="n"/>
      <c r="AM25" s="3934" t="n"/>
      <c r="AN25" s="3934" t="n"/>
      <c r="AO25" s="3934" t="n"/>
      <c r="AP25" s="3934" t="n"/>
      <c r="AQ25" s="3934" t="n"/>
      <c r="AR25" s="3934" t="n"/>
    </row>
    <row r="26">
      <c r="A26" s="3944" t="n"/>
      <c r="B26" s="3944" t="n"/>
      <c r="C26" s="3944" t="inlineStr"/>
      <c r="D26" s="3944" t="n"/>
      <c r="E26" s="3944" t="n"/>
      <c r="F26" s="3934" t="n"/>
      <c r="G26" s="3934" t="n"/>
      <c r="H26" s="3934" t="n"/>
      <c r="I26" s="3934" t="n"/>
      <c r="J26" s="3934" t="n"/>
      <c r="K26" s="3934" t="n"/>
      <c r="L26" s="3934" t="n"/>
      <c r="M26" s="3934" t="n"/>
      <c r="N26" s="3934" t="n"/>
      <c r="O26" s="3934" t="n"/>
      <c r="P26" s="3934" t="n"/>
      <c r="Q26" s="3934" t="n"/>
      <c r="R26" s="3934" t="n"/>
      <c r="S26" s="3934" t="n"/>
      <c r="T26" s="3934" t="n"/>
      <c r="U26" s="3934" t="n"/>
      <c r="V26" s="3934" t="n"/>
      <c r="W26" s="3934" t="n"/>
      <c r="X26" s="3934" t="n"/>
      <c r="Y26" s="3934" t="n"/>
      <c r="Z26" s="3934" t="n"/>
      <c r="AA26" s="3934" t="n"/>
      <c r="AB26" s="3934" t="n"/>
      <c r="AC26" s="3934" t="n"/>
      <c r="AD26" s="3934" t="n"/>
      <c r="AE26" s="3934" t="n"/>
      <c r="AF26" s="3934" t="n"/>
      <c r="AG26" s="3934" t="n"/>
      <c r="AH26" s="3934" t="n"/>
      <c r="AI26" s="3934" t="n"/>
      <c r="AJ26" s="3934" t="n"/>
      <c r="AK26" s="3934" t="n"/>
      <c r="AL26" s="3934" t="n"/>
      <c r="AM26" s="3934" t="n"/>
      <c r="AN26" s="3934" t="n"/>
      <c r="AO26" s="3934" t="n"/>
      <c r="AP26" s="3934" t="n"/>
      <c r="AQ26" s="3934" t="n"/>
      <c r="AR26" s="3934" t="n"/>
    </row>
    <row r="27">
      <c r="A27" s="3944" t="n"/>
      <c r="B27" s="3944" t="n"/>
      <c r="C27" s="3944" t="inlineStr"/>
      <c r="D27" s="3944" t="n"/>
      <c r="E27" s="3944" t="n"/>
      <c r="F27" s="3934" t="n"/>
      <c r="G27" s="3934" t="n"/>
      <c r="H27" s="3934" t="n"/>
      <c r="I27" s="3934" t="n"/>
      <c r="J27" s="3934" t="n"/>
      <c r="K27" s="3934" t="n"/>
      <c r="L27" s="3934" t="n"/>
      <c r="M27" s="3934" t="n"/>
      <c r="N27" s="3934" t="n"/>
      <c r="O27" s="3934" t="n"/>
      <c r="P27" s="3934" t="n"/>
      <c r="Q27" s="3934" t="n"/>
      <c r="R27" s="3934" t="n"/>
      <c r="S27" s="3934" t="n"/>
      <c r="T27" s="3934" t="n"/>
      <c r="U27" s="3934" t="n"/>
      <c r="V27" s="3934" t="n"/>
      <c r="W27" s="3934" t="n"/>
      <c r="X27" s="3934" t="n"/>
      <c r="Y27" s="3934" t="n"/>
      <c r="Z27" s="3934" t="n"/>
      <c r="AA27" s="3934" t="n"/>
      <c r="AB27" s="3934" t="n"/>
      <c r="AC27" s="3934" t="n"/>
      <c r="AD27" s="3934" t="n"/>
      <c r="AE27" s="3934" t="n"/>
      <c r="AF27" s="3934" t="n"/>
      <c r="AG27" s="3934" t="n"/>
      <c r="AH27" s="3934" t="n"/>
      <c r="AI27" s="3934" t="n"/>
      <c r="AJ27" s="3934" t="n"/>
      <c r="AK27" s="3934" t="n"/>
      <c r="AL27" s="3934" t="n"/>
      <c r="AM27" s="3934" t="n"/>
      <c r="AN27" s="3934" t="n"/>
      <c r="AO27" s="3934" t="n"/>
      <c r="AP27" s="3934" t="n"/>
      <c r="AQ27" s="3934" t="n"/>
      <c r="AR27" s="3934" t="n"/>
    </row>
    <row r="28">
      <c r="A28" s="3944" t="n"/>
      <c r="B28" s="3944" t="n"/>
      <c r="C28" s="3944" t="inlineStr"/>
      <c r="D28" s="3944" t="n"/>
      <c r="E28" s="3944" t="n"/>
      <c r="F28" s="3934" t="n"/>
      <c r="G28" s="3934" t="n"/>
      <c r="H28" s="3934" t="n"/>
      <c r="I28" s="3934" t="n"/>
      <c r="J28" s="3934" t="n"/>
      <c r="K28" s="3934" t="n"/>
      <c r="L28" s="3934" t="n"/>
      <c r="M28" s="3934" t="n"/>
      <c r="N28" s="3934" t="n"/>
      <c r="O28" s="3934" t="n"/>
      <c r="P28" s="3934" t="n"/>
      <c r="Q28" s="3934" t="n"/>
      <c r="R28" s="3934" t="n"/>
      <c r="S28" s="3934" t="n"/>
      <c r="T28" s="3934" t="n"/>
      <c r="U28" s="3934" t="n"/>
      <c r="V28" s="3934" t="n"/>
      <c r="W28" s="3934" t="n"/>
      <c r="X28" s="3934" t="n"/>
      <c r="Y28" s="3934" t="n"/>
      <c r="Z28" s="3934" t="n"/>
      <c r="AA28" s="3934" t="n"/>
      <c r="AB28" s="3934" t="n"/>
      <c r="AC28" s="3934" t="n"/>
      <c r="AD28" s="3934" t="n"/>
      <c r="AE28" s="3934" t="n"/>
      <c r="AF28" s="3934" t="n"/>
      <c r="AG28" s="3934" t="n"/>
      <c r="AH28" s="3934" t="n"/>
      <c r="AI28" s="3934" t="n"/>
      <c r="AJ28" s="3934" t="n"/>
      <c r="AK28" s="3934" t="n"/>
      <c r="AL28" s="3934" t="n"/>
      <c r="AM28" s="3934" t="n"/>
      <c r="AN28" s="3934" t="n"/>
      <c r="AO28" s="3934" t="n"/>
      <c r="AP28" s="3934" t="n"/>
      <c r="AQ28" s="3934" t="n"/>
      <c r="AR28" s="3934" t="n"/>
    </row>
    <row r="29">
      <c r="A29" s="3944" t="n"/>
      <c r="B29" s="3944" t="n"/>
      <c r="C29" s="3944" t="inlineStr"/>
      <c r="D29" s="3944" t="n"/>
      <c r="E29" s="3944" t="n"/>
      <c r="F29" s="3934" t="n"/>
      <c r="G29" s="3934" t="n"/>
      <c r="H29" s="3934" t="n"/>
      <c r="I29" s="3934" t="n"/>
      <c r="J29" s="3934" t="n"/>
      <c r="K29" s="3934" t="n"/>
      <c r="L29" s="3934" t="n"/>
      <c r="M29" s="3934" t="n"/>
      <c r="N29" s="3934" t="n"/>
      <c r="O29" s="3934" t="n"/>
      <c r="P29" s="3934" t="n"/>
      <c r="Q29" s="3934" t="n"/>
      <c r="R29" s="3934" t="n"/>
      <c r="S29" s="3934" t="n"/>
      <c r="T29" s="3934" t="n"/>
      <c r="U29" s="3934" t="n"/>
      <c r="V29" s="3934" t="n"/>
      <c r="W29" s="3934" t="n"/>
      <c r="X29" s="3934" t="n"/>
      <c r="Y29" s="3934" t="n"/>
      <c r="Z29" s="3934" t="n"/>
      <c r="AA29" s="3934" t="n"/>
      <c r="AB29" s="3934" t="n"/>
      <c r="AC29" s="3934" t="n"/>
      <c r="AD29" s="3934" t="n"/>
      <c r="AE29" s="3934" t="n"/>
      <c r="AF29" s="3934" t="n"/>
      <c r="AG29" s="3934" t="n"/>
      <c r="AH29" s="3934" t="n"/>
      <c r="AI29" s="3934" t="n"/>
      <c r="AJ29" s="3934" t="n"/>
      <c r="AK29" s="3934" t="n"/>
      <c r="AL29" s="3934" t="n"/>
      <c r="AM29" s="3934" t="n"/>
      <c r="AN29" s="3934" t="n"/>
      <c r="AO29" s="3934" t="n"/>
      <c r="AP29" s="3934" t="n"/>
      <c r="AQ29" s="3934" t="n"/>
      <c r="AR29" s="3934" t="n"/>
    </row>
    <row r="30">
      <c r="A30" s="3944" t="n"/>
      <c r="B30" s="3944" t="n"/>
      <c r="C30" s="3944" t="inlineStr"/>
      <c r="D30" s="3944" t="n"/>
      <c r="E30" s="3944" t="n"/>
      <c r="F30" s="3934" t="n"/>
      <c r="G30" s="3934" t="n"/>
      <c r="H30" s="3934" t="n"/>
      <c r="I30" s="3934" t="n"/>
      <c r="J30" s="3934" t="n"/>
      <c r="K30" s="3934" t="n"/>
      <c r="L30" s="3934" t="n"/>
      <c r="M30" s="3934" t="n"/>
      <c r="N30" s="3934" t="n"/>
      <c r="O30" s="3934" t="n"/>
      <c r="P30" s="3934" t="n"/>
      <c r="Q30" s="3934" t="n"/>
      <c r="R30" s="3934" t="n"/>
      <c r="S30" s="3934" t="n"/>
      <c r="T30" s="3934" t="n"/>
      <c r="U30" s="3934" t="n"/>
      <c r="V30" s="3934" t="n"/>
      <c r="W30" s="3934" t="n"/>
      <c r="X30" s="3934" t="n"/>
      <c r="Y30" s="3934" t="n"/>
      <c r="Z30" s="3934" t="n"/>
      <c r="AA30" s="3934" t="n"/>
      <c r="AB30" s="3934" t="n"/>
      <c r="AC30" s="3934" t="n"/>
      <c r="AD30" s="3934" t="n"/>
      <c r="AE30" s="3934" t="n"/>
      <c r="AF30" s="3934" t="n"/>
      <c r="AG30" s="3934" t="n"/>
      <c r="AH30" s="3934" t="n"/>
      <c r="AI30" s="3934" t="n"/>
      <c r="AJ30" s="3934" t="n"/>
      <c r="AK30" s="3934" t="n"/>
      <c r="AL30" s="3934" t="n"/>
      <c r="AM30" s="3934" t="n"/>
      <c r="AN30" s="3934" t="n"/>
      <c r="AO30" s="3934" t="n"/>
      <c r="AP30" s="3934" t="n"/>
      <c r="AQ30" s="3934" t="n"/>
      <c r="AR30" s="3934" t="n"/>
    </row>
    <row r="31">
      <c r="A31" s="3944" t="n"/>
      <c r="B31" s="3944" t="n"/>
      <c r="C31" s="3944" t="inlineStr"/>
      <c r="D31" s="3944" t="n"/>
      <c r="E31" s="3944" t="n"/>
      <c r="F31" s="3934" t="n"/>
      <c r="G31" s="3934" t="n"/>
      <c r="H31" s="3934" t="n"/>
      <c r="I31" s="3934" t="n"/>
      <c r="J31" s="3934" t="n"/>
      <c r="K31" s="3934" t="n"/>
      <c r="L31" s="3934" t="n"/>
      <c r="M31" s="3934" t="n"/>
      <c r="N31" s="3934" t="n"/>
      <c r="O31" s="3934" t="n"/>
      <c r="P31" s="3934" t="n"/>
      <c r="Q31" s="3934" t="n"/>
      <c r="R31" s="3934" t="n"/>
      <c r="S31" s="3934" t="n"/>
      <c r="T31" s="3934" t="n"/>
      <c r="U31" s="3934" t="n"/>
      <c r="V31" s="3934" t="n"/>
      <c r="W31" s="3934" t="n"/>
      <c r="X31" s="3934" t="n"/>
      <c r="Y31" s="3934" t="n"/>
      <c r="Z31" s="3934" t="n"/>
      <c r="AA31" s="3934" t="n"/>
      <c r="AB31" s="3934" t="n"/>
      <c r="AC31" s="3934" t="n"/>
      <c r="AD31" s="3934" t="n"/>
      <c r="AE31" s="3934" t="n"/>
      <c r="AF31" s="3934" t="n"/>
      <c r="AG31" s="3934" t="n"/>
      <c r="AH31" s="3934" t="n"/>
      <c r="AI31" s="3934" t="n"/>
      <c r="AJ31" s="3934" t="n"/>
      <c r="AK31" s="3934" t="n"/>
      <c r="AL31" s="3934" t="n"/>
      <c r="AM31" s="3934" t="n"/>
      <c r="AN31" s="3934" t="n"/>
      <c r="AO31" s="3934" t="n"/>
      <c r="AP31" s="3934" t="n"/>
      <c r="AQ31" s="3934" t="n"/>
      <c r="AR31" s="3934" t="n"/>
    </row>
    <row r="32">
      <c r="A32" s="3944" t="n"/>
      <c r="B32" s="3944" t="n"/>
      <c r="C32" s="3944" t="inlineStr"/>
      <c r="D32" s="3944" t="n"/>
      <c r="E32" s="3944" t="n"/>
      <c r="F32" s="3934" t="n"/>
      <c r="G32" s="3934" t="n"/>
      <c r="H32" s="3934" t="n"/>
      <c r="I32" s="3934" t="n"/>
      <c r="J32" s="3934" t="n"/>
      <c r="K32" s="3934" t="n"/>
      <c r="L32" s="3934" t="n"/>
      <c r="M32" s="3934" t="n"/>
      <c r="N32" s="3934" t="n"/>
      <c r="O32" s="3934" t="n"/>
      <c r="P32" s="3934" t="n"/>
      <c r="Q32" s="3934" t="n"/>
      <c r="R32" s="3934" t="n"/>
      <c r="S32" s="3934" t="n"/>
      <c r="T32" s="3934" t="n"/>
      <c r="U32" s="3934" t="n"/>
      <c r="V32" s="3934" t="n"/>
      <c r="W32" s="3934" t="n"/>
      <c r="X32" s="3934" t="n"/>
      <c r="Y32" s="3934" t="n"/>
      <c r="Z32" s="3934" t="n"/>
      <c r="AA32" s="3934" t="n"/>
      <c r="AB32" s="3934" t="n"/>
      <c r="AC32" s="3934" t="n"/>
      <c r="AD32" s="3934" t="n"/>
      <c r="AE32" s="3934" t="n"/>
      <c r="AF32" s="3934" t="n"/>
      <c r="AG32" s="3934" t="n"/>
      <c r="AH32" s="3934" t="n"/>
      <c r="AI32" s="3934" t="n"/>
      <c r="AJ32" s="3934" t="n"/>
      <c r="AK32" s="3934" t="n"/>
      <c r="AL32" s="3934" t="n"/>
      <c r="AM32" s="3934" t="n"/>
      <c r="AN32" s="3934" t="n"/>
      <c r="AO32" s="3934" t="n"/>
      <c r="AP32" s="3934" t="n"/>
      <c r="AQ32" s="3934" t="n"/>
      <c r="AR32" s="3934" t="n"/>
    </row>
    <row r="33">
      <c r="A33" s="3944" t="n"/>
      <c r="B33" s="3944" t="n"/>
      <c r="C33" s="3944" t="inlineStr"/>
      <c r="D33" s="3944" t="n"/>
      <c r="E33" s="3944" t="n"/>
      <c r="F33" s="3934" t="n"/>
      <c r="G33" s="3934" t="n"/>
      <c r="H33" s="3934" t="n"/>
      <c r="I33" s="3934" t="n"/>
      <c r="J33" s="3934" t="n"/>
      <c r="K33" s="3934" t="n"/>
      <c r="L33" s="3934" t="n"/>
      <c r="M33" s="3934" t="n"/>
      <c r="N33" s="3934" t="n"/>
      <c r="O33" s="3934" t="n"/>
      <c r="P33" s="3934" t="n"/>
      <c r="Q33" s="3934" t="n"/>
      <c r="R33" s="3934" t="n"/>
      <c r="S33" s="3934" t="n"/>
      <c r="T33" s="3934" t="n"/>
      <c r="U33" s="3934" t="n"/>
      <c r="V33" s="3934" t="n"/>
      <c r="W33" s="3934" t="n"/>
      <c r="X33" s="3934" t="n"/>
      <c r="Y33" s="3934" t="n"/>
      <c r="Z33" s="3934" t="n"/>
      <c r="AA33" s="3934" t="n"/>
      <c r="AB33" s="3934" t="n"/>
      <c r="AC33" s="3934" t="n"/>
      <c r="AD33" s="3934" t="n"/>
      <c r="AE33" s="3934" t="n"/>
      <c r="AF33" s="3934" t="n"/>
      <c r="AG33" s="3934" t="n"/>
      <c r="AH33" s="3934" t="n"/>
      <c r="AI33" s="3934" t="n"/>
      <c r="AJ33" s="3934" t="n"/>
      <c r="AK33" s="3934" t="n"/>
      <c r="AL33" s="3934" t="n"/>
      <c r="AM33" s="3934" t="n"/>
      <c r="AN33" s="3934" t="n"/>
      <c r="AO33" s="3934" t="n"/>
      <c r="AP33" s="3934" t="n"/>
      <c r="AQ33" s="3934" t="n"/>
      <c r="AR33" s="3934" t="n"/>
    </row>
    <row r="34">
      <c r="A34" s="3944" t="n"/>
      <c r="B34" s="3944" t="n"/>
      <c r="C34" s="3944" t="inlineStr"/>
      <c r="D34" s="3944" t="n"/>
      <c r="E34" s="3944" t="n"/>
      <c r="F34" s="3934" t="n"/>
      <c r="G34" s="3934" t="n"/>
      <c r="H34" s="3934" t="n"/>
      <c r="I34" s="3934" t="n"/>
      <c r="J34" s="3934" t="n"/>
      <c r="K34" s="3934" t="n"/>
      <c r="L34" s="3934" t="n"/>
      <c r="M34" s="3934" t="n"/>
      <c r="N34" s="3934" t="n"/>
      <c r="O34" s="3934" t="n"/>
      <c r="P34" s="3934" t="n"/>
      <c r="Q34" s="3934" t="n"/>
      <c r="R34" s="3934" t="n"/>
      <c r="S34" s="3934" t="n"/>
      <c r="T34" s="3934" t="n"/>
      <c r="U34" s="3934" t="n"/>
      <c r="V34" s="3934" t="n"/>
      <c r="W34" s="3934" t="n"/>
      <c r="X34" s="3934" t="n"/>
      <c r="Y34" s="3934" t="n"/>
      <c r="Z34" s="3934" t="n"/>
      <c r="AA34" s="3934" t="n"/>
      <c r="AB34" s="3934" t="n"/>
      <c r="AC34" s="3934" t="n"/>
      <c r="AD34" s="3934" t="n"/>
      <c r="AE34" s="3934" t="n"/>
      <c r="AF34" s="3934" t="n"/>
      <c r="AG34" s="3934" t="n"/>
      <c r="AH34" s="3934" t="n"/>
      <c r="AI34" s="3934" t="n"/>
      <c r="AJ34" s="3934" t="n"/>
      <c r="AK34" s="3934" t="n"/>
      <c r="AL34" s="3934" t="n"/>
      <c r="AM34" s="3934" t="n"/>
      <c r="AN34" s="3934" t="n"/>
      <c r="AO34" s="3934" t="n"/>
      <c r="AP34" s="3934" t="n"/>
      <c r="AQ34" s="3934" t="n"/>
      <c r="AR34" s="3934" t="n"/>
    </row>
    <row r="35">
      <c r="A35" s="3944" t="n"/>
      <c r="B35" s="3944" t="n"/>
      <c r="C35" s="3944" t="inlineStr"/>
      <c r="D35" s="3944" t="n"/>
      <c r="E35" s="3944" t="n"/>
      <c r="F35" s="3934" t="n"/>
      <c r="G35" s="3934" t="n"/>
      <c r="H35" s="3934" t="n"/>
      <c r="I35" s="3934" t="n"/>
      <c r="J35" s="3934" t="n"/>
      <c r="K35" s="3934" t="n"/>
      <c r="L35" s="3934" t="n"/>
      <c r="M35" s="3934" t="n"/>
      <c r="N35" s="3934" t="n"/>
      <c r="O35" s="3934" t="n"/>
      <c r="P35" s="3934" t="n"/>
      <c r="Q35" s="3934" t="n"/>
      <c r="R35" s="3934" t="n"/>
      <c r="S35" s="3934" t="n"/>
      <c r="T35" s="3934" t="n"/>
      <c r="U35" s="3934" t="n"/>
      <c r="V35" s="3934" t="n"/>
      <c r="W35" s="3934" t="n"/>
      <c r="X35" s="3934" t="n"/>
      <c r="Y35" s="3934" t="n"/>
      <c r="Z35" s="3934" t="n"/>
      <c r="AA35" s="3934" t="n"/>
      <c r="AB35" s="3934" t="n"/>
      <c r="AC35" s="3934" t="n"/>
      <c r="AD35" s="3934" t="n"/>
      <c r="AE35" s="3934" t="n"/>
      <c r="AF35" s="3934" t="n"/>
      <c r="AG35" s="3934" t="n"/>
      <c r="AH35" s="3934" t="n"/>
      <c r="AI35" s="3934" t="n"/>
      <c r="AJ35" s="3934" t="n"/>
      <c r="AK35" s="3934" t="n"/>
      <c r="AL35" s="3934" t="n"/>
      <c r="AM35" s="3934" t="n"/>
      <c r="AN35" s="3934" t="n"/>
      <c r="AO35" s="3934" t="n"/>
      <c r="AP35" s="3934" t="n"/>
      <c r="AQ35" s="3934" t="n"/>
      <c r="AR35" s="3934" t="n"/>
    </row>
    <row r="36">
      <c r="A36" s="3944" t="n"/>
      <c r="B36" s="3944" t="n"/>
      <c r="C36" s="3944" t="inlineStr"/>
      <c r="D36" s="3944" t="n"/>
      <c r="E36" s="3944" t="n"/>
      <c r="F36" s="3934" t="n"/>
      <c r="G36" s="3934" t="n"/>
      <c r="H36" s="3934" t="n"/>
      <c r="I36" s="3934" t="n"/>
      <c r="J36" s="3934" t="n"/>
      <c r="K36" s="3934" t="n"/>
      <c r="L36" s="3934" t="n"/>
      <c r="M36" s="3934" t="n"/>
      <c r="N36" s="3934" t="n"/>
      <c r="O36" s="3934" t="n"/>
      <c r="P36" s="3934" t="n"/>
      <c r="Q36" s="3934" t="n"/>
      <c r="R36" s="3934" t="n"/>
      <c r="S36" s="3934" t="n"/>
      <c r="T36" s="3934" t="n"/>
      <c r="U36" s="3934" t="n"/>
      <c r="V36" s="3934" t="n"/>
      <c r="W36" s="3934" t="n"/>
      <c r="X36" s="3934" t="n"/>
      <c r="Y36" s="3934" t="n"/>
      <c r="Z36" s="3934" t="n"/>
      <c r="AA36" s="3934" t="n"/>
      <c r="AB36" s="3934" t="n"/>
      <c r="AC36" s="3934" t="n"/>
      <c r="AD36" s="3934" t="n"/>
      <c r="AE36" s="3934" t="n"/>
      <c r="AF36" s="3934" t="n"/>
      <c r="AG36" s="3934" t="n"/>
      <c r="AH36" s="3934" t="n"/>
      <c r="AI36" s="3934" t="n"/>
      <c r="AJ36" s="3934" t="n"/>
      <c r="AK36" s="3934" t="n"/>
      <c r="AL36" s="3934" t="n"/>
      <c r="AM36" s="3934" t="n"/>
      <c r="AN36" s="3934" t="n"/>
      <c r="AO36" s="3934" t="n"/>
      <c r="AP36" s="3934" t="n"/>
      <c r="AQ36" s="3934" t="n"/>
      <c r="AR36" s="3934" t="n"/>
    </row>
    <row r="37">
      <c r="A37" s="3944" t="n"/>
      <c r="B37" s="3944" t="n"/>
      <c r="C37" s="3944" t="inlineStr"/>
      <c r="D37" s="3944" t="n"/>
      <c r="E37" s="3944" t="n"/>
      <c r="F37" s="3934" t="n"/>
      <c r="G37" s="3934" t="n"/>
      <c r="H37" s="3934" t="n"/>
      <c r="I37" s="3934" t="n"/>
      <c r="J37" s="3934" t="n"/>
      <c r="K37" s="3934" t="n"/>
      <c r="L37" s="3934" t="n"/>
      <c r="M37" s="3934" t="n"/>
      <c r="N37" s="3934" t="n"/>
      <c r="O37" s="3934" t="n"/>
      <c r="P37" s="3934" t="n"/>
      <c r="Q37" s="3934" t="n"/>
      <c r="R37" s="3934" t="n"/>
      <c r="S37" s="3934" t="n"/>
      <c r="T37" s="3934" t="n"/>
      <c r="U37" s="3934" t="n"/>
      <c r="V37" s="3934" t="n"/>
      <c r="W37" s="3934" t="n"/>
      <c r="X37" s="3934" t="n"/>
      <c r="Y37" s="3934" t="n"/>
      <c r="Z37" s="3934" t="n"/>
      <c r="AA37" s="3934" t="n"/>
      <c r="AB37" s="3934" t="n"/>
      <c r="AC37" s="3934" t="n"/>
      <c r="AD37" s="3934" t="n"/>
      <c r="AE37" s="3934" t="n"/>
      <c r="AF37" s="3934" t="n"/>
      <c r="AG37" s="3934" t="n"/>
      <c r="AH37" s="3934" t="n"/>
      <c r="AI37" s="3934" t="n"/>
      <c r="AJ37" s="3934" t="n"/>
      <c r="AK37" s="3934" t="n"/>
      <c r="AL37" s="3934" t="n"/>
      <c r="AM37" s="3934" t="n"/>
      <c r="AN37" s="3934" t="n"/>
      <c r="AO37" s="3934" t="n"/>
      <c r="AP37" s="3934" t="n"/>
      <c r="AQ37" s="3934" t="n"/>
      <c r="AR37" s="3934" t="n"/>
    </row>
    <row r="38">
      <c r="A38" s="3944" t="n"/>
      <c r="B38" s="3944" t="n"/>
      <c r="C38" s="3944" t="inlineStr"/>
      <c r="D38" s="3944" t="n"/>
      <c r="E38" s="3944" t="n"/>
      <c r="F38" s="3934" t="n"/>
      <c r="G38" s="3934" t="n"/>
      <c r="H38" s="3934" t="n"/>
      <c r="I38" s="3934" t="n"/>
      <c r="J38" s="3934" t="n"/>
      <c r="K38" s="3934" t="n"/>
      <c r="L38" s="3934" t="n"/>
      <c r="M38" s="3934" t="n"/>
      <c r="N38" s="3934" t="n"/>
      <c r="O38" s="3934" t="n"/>
      <c r="P38" s="3934" t="n"/>
      <c r="Q38" s="3934" t="n"/>
      <c r="R38" s="3934" t="n"/>
      <c r="S38" s="3934" t="n"/>
      <c r="T38" s="3934" t="n"/>
      <c r="U38" s="3934" t="n"/>
      <c r="V38" s="3934" t="n"/>
      <c r="W38" s="3934" t="n"/>
      <c r="X38" s="3934" t="n"/>
      <c r="Y38" s="3934" t="n"/>
      <c r="Z38" s="3934" t="n"/>
      <c r="AA38" s="3934" t="n"/>
      <c r="AB38" s="3934" t="n"/>
      <c r="AC38" s="3934" t="n"/>
      <c r="AD38" s="3934" t="n"/>
      <c r="AE38" s="3934" t="n"/>
      <c r="AF38" s="3934" t="n"/>
      <c r="AG38" s="3934" t="n"/>
      <c r="AH38" s="3934" t="n"/>
      <c r="AI38" s="3934" t="n"/>
      <c r="AJ38" s="3934" t="n"/>
      <c r="AK38" s="3934" t="n"/>
      <c r="AL38" s="3934" t="n"/>
      <c r="AM38" s="3934" t="n"/>
      <c r="AN38" s="3934" t="n"/>
      <c r="AO38" s="3934" t="n"/>
      <c r="AP38" s="3934" t="n"/>
      <c r="AQ38" s="3934" t="n"/>
      <c r="AR38" s="3934" t="n"/>
    </row>
    <row r="39">
      <c r="A39" s="3944" t="n"/>
      <c r="B39" s="3944" t="n"/>
      <c r="C39" s="3944" t="inlineStr"/>
      <c r="D39" s="3944" t="n"/>
      <c r="E39" s="3944" t="n"/>
      <c r="F39" s="3934" t="n"/>
      <c r="G39" s="3934" t="n"/>
      <c r="H39" s="3934" t="n"/>
      <c r="I39" s="3934" t="n"/>
      <c r="J39" s="3934" t="n"/>
      <c r="K39" s="3934" t="n"/>
      <c r="L39" s="3934" t="n"/>
      <c r="M39" s="3934" t="n"/>
      <c r="N39" s="3934" t="n"/>
      <c r="O39" s="3934" t="n"/>
      <c r="P39" s="3934" t="n"/>
      <c r="Q39" s="3934" t="n"/>
      <c r="R39" s="3934" t="n"/>
      <c r="S39" s="3934" t="n"/>
      <c r="T39" s="3934" t="n"/>
      <c r="U39" s="3934" t="n"/>
      <c r="V39" s="3934" t="n"/>
      <c r="W39" s="3934" t="n"/>
      <c r="X39" s="3934" t="n"/>
      <c r="Y39" s="3934" t="n"/>
      <c r="Z39" s="3934" t="n"/>
      <c r="AA39" s="3934" t="n"/>
      <c r="AB39" s="3934" t="n"/>
      <c r="AC39" s="3934" t="n"/>
      <c r="AD39" s="3934" t="n"/>
      <c r="AE39" s="3934" t="n"/>
      <c r="AF39" s="3934" t="n"/>
      <c r="AG39" s="3934" t="n"/>
      <c r="AH39" s="3934" t="n"/>
      <c r="AI39" s="3934" t="n"/>
      <c r="AJ39" s="3934" t="n"/>
      <c r="AK39" s="3934" t="n"/>
      <c r="AL39" s="3934" t="n"/>
      <c r="AM39" s="3934" t="n"/>
      <c r="AN39" s="3934" t="n"/>
      <c r="AO39" s="3934" t="n"/>
      <c r="AP39" s="3934" t="n"/>
      <c r="AQ39" s="3934" t="n"/>
      <c r="AR39" s="3934" t="n"/>
    </row>
    <row r="40">
      <c r="A40" s="3944" t="n"/>
      <c r="B40" s="3944" t="n"/>
      <c r="C40" s="3944" t="inlineStr"/>
      <c r="D40" s="3944" t="n"/>
      <c r="E40" s="3944" t="n"/>
      <c r="F40" s="3934" t="n"/>
      <c r="G40" s="3934" t="n"/>
      <c r="H40" s="3934" t="n"/>
      <c r="I40" s="3934" t="n"/>
      <c r="J40" s="3934" t="n"/>
      <c r="K40" s="3934" t="n"/>
      <c r="L40" s="3934" t="n"/>
      <c r="M40" s="3934" t="n"/>
      <c r="N40" s="3934" t="n"/>
      <c r="O40" s="3934" t="n"/>
      <c r="P40" s="3934" t="n"/>
      <c r="Q40" s="3934" t="n"/>
      <c r="R40" s="3934" t="n"/>
      <c r="S40" s="3934" t="n"/>
      <c r="T40" s="3934" t="n"/>
      <c r="U40" s="3934" t="n"/>
      <c r="V40" s="3934" t="n"/>
      <c r="W40" s="3934" t="n"/>
      <c r="X40" s="3934" t="n"/>
      <c r="Y40" s="3934" t="n"/>
      <c r="Z40" s="3934" t="n"/>
      <c r="AA40" s="3934" t="n"/>
      <c r="AB40" s="3934" t="n"/>
      <c r="AC40" s="3934" t="n"/>
      <c r="AD40" s="3934" t="n"/>
      <c r="AE40" s="3934" t="n"/>
      <c r="AF40" s="3934" t="n"/>
      <c r="AG40" s="3934" t="n"/>
      <c r="AH40" s="3934" t="n"/>
      <c r="AI40" s="3934" t="n"/>
      <c r="AJ40" s="3934" t="n"/>
      <c r="AK40" s="3934" t="n"/>
      <c r="AL40" s="3934" t="n"/>
      <c r="AM40" s="3934" t="n"/>
      <c r="AN40" s="3934" t="n"/>
      <c r="AO40" s="3934" t="n"/>
      <c r="AP40" s="3934" t="n"/>
      <c r="AQ40" s="3934" t="n"/>
      <c r="AR40" s="3934" t="n"/>
    </row>
    <row r="41">
      <c r="A41" s="3944" t="n"/>
      <c r="B41" s="3944" t="n"/>
      <c r="C41" s="3944" t="inlineStr"/>
      <c r="D41" s="3944" t="n"/>
      <c r="E41" s="3944" t="n"/>
      <c r="F41" s="3934" t="n"/>
      <c r="G41" s="3934" t="n"/>
      <c r="H41" s="3934" t="n"/>
      <c r="I41" s="3934" t="n"/>
      <c r="J41" s="3934" t="n"/>
      <c r="K41" s="3934" t="n"/>
      <c r="L41" s="3934" t="n"/>
      <c r="M41" s="3934" t="n"/>
      <c r="N41" s="3934" t="n"/>
      <c r="O41" s="3934" t="n"/>
      <c r="P41" s="3934" t="n"/>
      <c r="Q41" s="3934" t="n"/>
      <c r="R41" s="3934" t="n"/>
      <c r="S41" s="3934" t="n"/>
      <c r="T41" s="3934" t="n"/>
      <c r="U41" s="3934" t="n"/>
      <c r="V41" s="3934" t="n"/>
      <c r="W41" s="3934" t="n"/>
      <c r="X41" s="3934" t="n"/>
      <c r="Y41" s="3934" t="n"/>
      <c r="Z41" s="3934" t="n"/>
      <c r="AA41" s="3934" t="n"/>
      <c r="AB41" s="3934" t="n"/>
      <c r="AC41" s="3934" t="n"/>
      <c r="AD41" s="3934" t="n"/>
      <c r="AE41" s="3934" t="n"/>
      <c r="AF41" s="3934" t="n"/>
      <c r="AG41" s="3934" t="n"/>
      <c r="AH41" s="3934" t="n"/>
      <c r="AI41" s="3934" t="n"/>
      <c r="AJ41" s="3934" t="n"/>
      <c r="AK41" s="3934" t="n"/>
      <c r="AL41" s="3934" t="n"/>
      <c r="AM41" s="3934" t="n"/>
      <c r="AN41" s="3934" t="n"/>
      <c r="AO41" s="3934" t="n"/>
      <c r="AP41" s="3934" t="n"/>
      <c r="AQ41" s="3934" t="n"/>
      <c r="AR41" s="3934" t="n"/>
    </row>
    <row r="42">
      <c r="A42" s="3944" t="n"/>
      <c r="B42" s="3944" t="n"/>
      <c r="C42" s="3944" t="inlineStr"/>
      <c r="D42" s="3944" t="n"/>
      <c r="E42" s="3944" t="n"/>
      <c r="F42" s="3934" t="n"/>
      <c r="G42" s="3934" t="n"/>
      <c r="H42" s="3934" t="n"/>
      <c r="I42" s="3934" t="n"/>
      <c r="J42" s="3934" t="n"/>
      <c r="K42" s="3934" t="n"/>
      <c r="L42" s="3934" t="n"/>
      <c r="M42" s="3934" t="n"/>
      <c r="N42" s="3934" t="n"/>
      <c r="O42" s="3934" t="n"/>
      <c r="P42" s="3934" t="n"/>
      <c r="Q42" s="3934" t="n"/>
      <c r="R42" s="3934" t="n"/>
      <c r="S42" s="3934" t="n"/>
      <c r="T42" s="3934" t="n"/>
      <c r="U42" s="3934" t="n"/>
      <c r="V42" s="3934" t="n"/>
      <c r="W42" s="3934" t="n"/>
      <c r="X42" s="3934" t="n"/>
      <c r="Y42" s="3934" t="n"/>
      <c r="Z42" s="3934" t="n"/>
      <c r="AA42" s="3934" t="n"/>
      <c r="AB42" s="3934" t="n"/>
      <c r="AC42" s="3934" t="n"/>
      <c r="AD42" s="3934" t="n"/>
      <c r="AE42" s="3934" t="n"/>
      <c r="AF42" s="3934" t="n"/>
      <c r="AG42" s="3934" t="n"/>
      <c r="AH42" s="3934" t="n"/>
      <c r="AI42" s="3934" t="n"/>
      <c r="AJ42" s="3934" t="n"/>
      <c r="AK42" s="3934" t="n"/>
      <c r="AL42" s="3934" t="n"/>
      <c r="AM42" s="3934" t="n"/>
      <c r="AN42" s="3934" t="n"/>
      <c r="AO42" s="3934" t="n"/>
      <c r="AP42" s="3934" t="n"/>
      <c r="AQ42" s="3934" t="n"/>
      <c r="AR42" s="3934" t="n"/>
    </row>
    <row r="43">
      <c r="A43" s="3944" t="n"/>
      <c r="B43" s="3944" t="n"/>
      <c r="C43" s="3944" t="inlineStr"/>
      <c r="D43" s="3944" t="n"/>
      <c r="E43" s="3944" t="n"/>
      <c r="F43" s="3934" t="n"/>
      <c r="G43" s="3934" t="n"/>
      <c r="H43" s="3934" t="n"/>
      <c r="I43" s="3934" t="n"/>
      <c r="J43" s="3934" t="n"/>
      <c r="K43" s="3934" t="n"/>
      <c r="L43" s="3934" t="n"/>
      <c r="M43" s="3934" t="n"/>
      <c r="N43" s="3934" t="n"/>
      <c r="O43" s="3934" t="n"/>
      <c r="P43" s="3934" t="n"/>
      <c r="Q43" s="3934" t="n"/>
      <c r="R43" s="3934" t="n"/>
      <c r="S43" s="3934" t="n"/>
      <c r="T43" s="3934" t="n"/>
      <c r="U43" s="3934" t="n"/>
      <c r="V43" s="3934" t="n"/>
      <c r="W43" s="3934" t="n"/>
      <c r="X43" s="3934" t="n"/>
      <c r="Y43" s="3934" t="n"/>
      <c r="Z43" s="3934" t="n"/>
      <c r="AA43" s="3934" t="n"/>
      <c r="AB43" s="3934" t="n"/>
      <c r="AC43" s="3934" t="n"/>
      <c r="AD43" s="3934" t="n"/>
      <c r="AE43" s="3934" t="n"/>
      <c r="AF43" s="3934" t="n"/>
      <c r="AG43" s="3934" t="n"/>
      <c r="AH43" s="3934" t="n"/>
      <c r="AI43" s="3934" t="n"/>
      <c r="AJ43" s="3934" t="n"/>
      <c r="AK43" s="3934" t="n"/>
      <c r="AL43" s="3934" t="n"/>
      <c r="AM43" s="3934" t="n"/>
      <c r="AN43" s="3934" t="n"/>
      <c r="AO43" s="3934" t="n"/>
      <c r="AP43" s="3934" t="n"/>
      <c r="AQ43" s="3934" t="n"/>
      <c r="AR43" s="3934" t="n"/>
    </row>
    <row r="44">
      <c r="A44" s="3944" t="n"/>
      <c r="B44" s="3944" t="n"/>
      <c r="C44" s="3944" t="inlineStr"/>
      <c r="D44" s="3944" t="n"/>
      <c r="E44" s="3944" t="n"/>
      <c r="F44" s="3934" t="n"/>
      <c r="G44" s="3934" t="n"/>
      <c r="H44" s="3934" t="n"/>
      <c r="I44" s="3934" t="n"/>
      <c r="J44" s="3934" t="n"/>
      <c r="K44" s="3934" t="n"/>
      <c r="L44" s="3934" t="n"/>
      <c r="M44" s="3934" t="n"/>
      <c r="N44" s="3934" t="n"/>
      <c r="O44" s="3934" t="n"/>
      <c r="P44" s="3934" t="n"/>
      <c r="Q44" s="3934" t="n"/>
      <c r="R44" s="3934" t="n"/>
      <c r="S44" s="3934" t="n"/>
      <c r="T44" s="3934" t="n"/>
      <c r="U44" s="3934" t="n"/>
      <c r="V44" s="3934" t="n"/>
      <c r="W44" s="3934" t="n"/>
      <c r="X44" s="3934" t="n"/>
      <c r="Y44" s="3934" t="n"/>
      <c r="Z44" s="3934" t="n"/>
      <c r="AA44" s="3934" t="n"/>
      <c r="AB44" s="3934" t="n"/>
      <c r="AC44" s="3934" t="n"/>
      <c r="AD44" s="3934" t="n"/>
      <c r="AE44" s="3934" t="n"/>
      <c r="AF44" s="3934" t="n"/>
      <c r="AG44" s="3934" t="n"/>
      <c r="AH44" s="3934" t="n"/>
      <c r="AI44" s="3934" t="n"/>
      <c r="AJ44" s="3934" t="n"/>
      <c r="AK44" s="3934" t="n"/>
      <c r="AL44" s="3934" t="n"/>
      <c r="AM44" s="3934" t="n"/>
      <c r="AN44" s="3934" t="n"/>
      <c r="AO44" s="3934" t="n"/>
      <c r="AP44" s="3934" t="n"/>
      <c r="AQ44" s="3934" t="n"/>
      <c r="AR44" s="3934" t="n"/>
    </row>
    <row r="45">
      <c r="A45" s="3944" t="n"/>
      <c r="B45" s="3944" t="n"/>
      <c r="C45" s="3944" t="inlineStr"/>
      <c r="D45" s="3944" t="n"/>
      <c r="E45" s="3944" t="n"/>
      <c r="F45" s="3934" t="n"/>
      <c r="G45" s="3934" t="n"/>
      <c r="H45" s="3934" t="n"/>
      <c r="I45" s="3934" t="n"/>
      <c r="J45" s="3934" t="n"/>
      <c r="K45" s="3934" t="n"/>
      <c r="L45" s="3934" t="n"/>
      <c r="M45" s="3934" t="n"/>
      <c r="N45" s="3934" t="n"/>
      <c r="O45" s="3934" t="n"/>
      <c r="P45" s="3934" t="n"/>
      <c r="Q45" s="3934" t="n"/>
      <c r="R45" s="3934" t="n"/>
      <c r="S45" s="3934" t="n"/>
      <c r="T45" s="3934" t="n"/>
      <c r="U45" s="3934" t="n"/>
      <c r="V45" s="3934" t="n"/>
      <c r="W45" s="3934" t="n"/>
      <c r="X45" s="3934" t="n"/>
      <c r="Y45" s="3934" t="n"/>
      <c r="Z45" s="3934" t="n"/>
      <c r="AA45" s="3934" t="n"/>
      <c r="AB45" s="3934" t="n"/>
      <c r="AC45" s="3934" t="n"/>
      <c r="AD45" s="3934" t="n"/>
      <c r="AE45" s="3934" t="n"/>
      <c r="AF45" s="3934" t="n"/>
      <c r="AG45" s="3934" t="n"/>
      <c r="AH45" s="3934" t="n"/>
      <c r="AI45" s="3934" t="n"/>
      <c r="AJ45" s="3934" t="n"/>
      <c r="AK45" s="3934" t="n"/>
      <c r="AL45" s="3934" t="n"/>
      <c r="AM45" s="3934" t="n"/>
      <c r="AN45" s="3934" t="n"/>
      <c r="AO45" s="3934" t="n"/>
      <c r="AP45" s="3934" t="n"/>
      <c r="AQ45" s="3934" t="n"/>
      <c r="AR45" s="3934" t="n"/>
    </row>
    <row r="46">
      <c r="A46" s="3944" t="n"/>
      <c r="B46" s="3944" t="n"/>
      <c r="C46" s="3944" t="inlineStr"/>
      <c r="D46" s="3944" t="n"/>
      <c r="E46" s="3944" t="n"/>
      <c r="F46" s="3934" t="n"/>
      <c r="G46" s="3934" t="n"/>
      <c r="H46" s="3934" t="n"/>
      <c r="I46" s="3934" t="n"/>
      <c r="J46" s="3934" t="n"/>
      <c r="K46" s="3934" t="n"/>
      <c r="L46" s="3934" t="n"/>
      <c r="M46" s="3934" t="n"/>
      <c r="N46" s="3934" t="n"/>
      <c r="O46" s="3934" t="n"/>
      <c r="P46" s="3934" t="n"/>
      <c r="Q46" s="3934" t="n"/>
      <c r="R46" s="3934" t="n"/>
      <c r="S46" s="3934" t="n"/>
      <c r="T46" s="3934" t="n"/>
      <c r="U46" s="3934" t="n"/>
      <c r="V46" s="3934" t="n"/>
      <c r="W46" s="3934" t="n"/>
      <c r="X46" s="3934" t="n"/>
      <c r="Y46" s="3934" t="n"/>
      <c r="Z46" s="3934" t="n"/>
      <c r="AA46" s="3934" t="n"/>
      <c r="AB46" s="3934" t="n"/>
      <c r="AC46" s="3934" t="n"/>
      <c r="AD46" s="3934" t="n"/>
      <c r="AE46" s="3934" t="n"/>
      <c r="AF46" s="3934" t="n"/>
      <c r="AG46" s="3934" t="n"/>
      <c r="AH46" s="3934" t="n"/>
      <c r="AI46" s="3934" t="n"/>
      <c r="AJ46" s="3934" t="n"/>
      <c r="AK46" s="3934" t="n"/>
      <c r="AL46" s="3934" t="n"/>
      <c r="AM46" s="3934" t="n"/>
      <c r="AN46" s="3934" t="n"/>
      <c r="AO46" s="3934" t="n"/>
      <c r="AP46" s="3934" t="n"/>
      <c r="AQ46" s="3934" t="n"/>
      <c r="AR46" s="3934" t="n"/>
    </row>
    <row r="47">
      <c r="A47" s="3944" t="n"/>
      <c r="B47" s="3944" t="n"/>
      <c r="C47" s="3944" t="inlineStr"/>
      <c r="D47" s="3944" t="n"/>
      <c r="E47" s="3944" t="n"/>
      <c r="F47" s="3934" t="n"/>
      <c r="G47" s="3934" t="n"/>
      <c r="H47" s="3934" t="n"/>
      <c r="I47" s="3934" t="n"/>
      <c r="J47" s="3934" t="n"/>
      <c r="K47" s="3934" t="n"/>
      <c r="L47" s="3934" t="n"/>
      <c r="M47" s="3934" t="n"/>
      <c r="N47" s="3934" t="n"/>
      <c r="O47" s="3934" t="n"/>
      <c r="P47" s="3934" t="n"/>
      <c r="Q47" s="3934" t="n"/>
      <c r="R47" s="3934" t="n"/>
      <c r="S47" s="3934" t="n"/>
      <c r="T47" s="3934" t="n"/>
      <c r="U47" s="3934" t="n"/>
      <c r="V47" s="3934" t="n"/>
      <c r="W47" s="3934" t="n"/>
      <c r="X47" s="3934" t="n"/>
      <c r="Y47" s="3934" t="n"/>
      <c r="Z47" s="3934" t="n"/>
      <c r="AA47" s="3934" t="n"/>
      <c r="AB47" s="3934" t="n"/>
      <c r="AC47" s="3934" t="n"/>
      <c r="AD47" s="3934" t="n"/>
      <c r="AE47" s="3934" t="n"/>
      <c r="AF47" s="3934" t="n"/>
      <c r="AG47" s="3934" t="n"/>
      <c r="AH47" s="3934" t="n"/>
      <c r="AI47" s="3934" t="n"/>
      <c r="AJ47" s="3934" t="n"/>
      <c r="AK47" s="3934" t="n"/>
      <c r="AL47" s="3934" t="n"/>
      <c r="AM47" s="3934" t="n"/>
      <c r="AN47" s="3934" t="n"/>
      <c r="AO47" s="3934" t="n"/>
      <c r="AP47" s="3934" t="n"/>
      <c r="AQ47" s="3934" t="n"/>
      <c r="AR47" s="3934" t="n"/>
    </row>
    <row r="48">
      <c r="A48" s="3944" t="n"/>
      <c r="B48" s="3944" t="n"/>
      <c r="C48" s="3944" t="inlineStr"/>
      <c r="D48" s="3944" t="n"/>
      <c r="E48" s="3944" t="n"/>
      <c r="F48" s="3934" t="n"/>
      <c r="G48" s="3934" t="n"/>
      <c r="H48" s="3934" t="n"/>
      <c r="I48" s="3934" t="n"/>
      <c r="J48" s="3934" t="n"/>
      <c r="K48" s="3934" t="n"/>
      <c r="L48" s="3934" t="n"/>
      <c r="M48" s="3934" t="n"/>
      <c r="N48" s="3934" t="n"/>
      <c r="O48" s="3934" t="n"/>
      <c r="P48" s="3934" t="n"/>
      <c r="Q48" s="3934" t="n"/>
      <c r="R48" s="3934" t="n"/>
      <c r="S48" s="3934" t="n"/>
      <c r="T48" s="3934" t="n"/>
      <c r="U48" s="3934" t="n"/>
      <c r="V48" s="3934" t="n"/>
      <c r="W48" s="3934" t="n"/>
      <c r="X48" s="3934" t="n"/>
      <c r="Y48" s="3934" t="n"/>
      <c r="Z48" s="3934" t="n"/>
      <c r="AA48" s="3934" t="n"/>
      <c r="AB48" s="3934" t="n"/>
      <c r="AC48" s="3934" t="n"/>
      <c r="AD48" s="3934" t="n"/>
      <c r="AE48" s="3934" t="n"/>
      <c r="AF48" s="3934" t="n"/>
      <c r="AG48" s="3934" t="n"/>
      <c r="AH48" s="3934" t="n"/>
      <c r="AI48" s="3934" t="n"/>
      <c r="AJ48" s="3934" t="n"/>
      <c r="AK48" s="3934" t="n"/>
      <c r="AL48" s="3934" t="n"/>
      <c r="AM48" s="3934" t="n"/>
      <c r="AN48" s="3934" t="n"/>
      <c r="AO48" s="3934" t="n"/>
      <c r="AP48" s="3934" t="n"/>
      <c r="AQ48" s="3934" t="n"/>
      <c r="AR48" s="3934" t="n"/>
    </row>
    <row r="49">
      <c r="A49" s="3944" t="n"/>
      <c r="B49" s="3944" t="n"/>
      <c r="C49" s="3944" t="inlineStr"/>
      <c r="D49" s="3944" t="n"/>
      <c r="E49" s="3944" t="n"/>
      <c r="F49" s="3934" t="n"/>
      <c r="G49" s="3934" t="n"/>
      <c r="H49" s="3934" t="n"/>
      <c r="I49" s="3934" t="n"/>
      <c r="J49" s="3934" t="n"/>
      <c r="K49" s="3934" t="n"/>
      <c r="L49" s="3934" t="n"/>
      <c r="M49" s="3934" t="n"/>
      <c r="N49" s="3934" t="n"/>
      <c r="O49" s="3934" t="n"/>
      <c r="P49" s="3934" t="n"/>
      <c r="Q49" s="3934" t="n"/>
      <c r="R49" s="3934" t="n"/>
      <c r="S49" s="3934" t="n"/>
      <c r="T49" s="3934" t="n"/>
      <c r="U49" s="3934" t="n"/>
      <c r="V49" s="3934" t="n"/>
      <c r="W49" s="3934" t="n"/>
      <c r="X49" s="3934" t="n"/>
      <c r="Y49" s="3934" t="n"/>
      <c r="Z49" s="3934" t="n"/>
      <c r="AA49" s="3934" t="n"/>
      <c r="AB49" s="3934" t="n"/>
      <c r="AC49" s="3934" t="n"/>
      <c r="AD49" s="3934" t="n"/>
      <c r="AE49" s="3934" t="n"/>
      <c r="AF49" s="3934" t="n"/>
      <c r="AG49" s="3934" t="n"/>
      <c r="AH49" s="3934" t="n"/>
      <c r="AI49" s="3934" t="n"/>
      <c r="AJ49" s="3934" t="n"/>
      <c r="AK49" s="3934" t="n"/>
      <c r="AL49" s="3934" t="n"/>
      <c r="AM49" s="3934" t="n"/>
      <c r="AN49" s="3934" t="n"/>
      <c r="AO49" s="3934" t="n"/>
      <c r="AP49" s="3934" t="n"/>
      <c r="AQ49" s="3934" t="n"/>
      <c r="AR49" s="3934" t="n"/>
    </row>
    <row r="50">
      <c r="A50" s="3944" t="n"/>
      <c r="B50" s="3944" t="n"/>
      <c r="C50" s="3944" t="inlineStr"/>
      <c r="D50" s="3944" t="n"/>
      <c r="E50" s="3944" t="n"/>
      <c r="F50" s="3934" t="n"/>
      <c r="G50" s="3934" t="n"/>
      <c r="H50" s="3934" t="n"/>
      <c r="I50" s="3934" t="n"/>
      <c r="J50" s="3934" t="n"/>
      <c r="K50" s="3934" t="n"/>
      <c r="L50" s="3934" t="n"/>
      <c r="M50" s="3934" t="n"/>
      <c r="N50" s="3934" t="n"/>
      <c r="O50" s="3934" t="n"/>
      <c r="P50" s="3934" t="n"/>
      <c r="Q50" s="3934" t="n"/>
      <c r="R50" s="3934" t="n"/>
      <c r="S50" s="3934" t="n"/>
      <c r="T50" s="3934" t="n"/>
      <c r="U50" s="3934" t="n"/>
      <c r="V50" s="3934" t="n"/>
      <c r="W50" s="3934" t="n"/>
      <c r="X50" s="3934" t="n"/>
      <c r="Y50" s="3934" t="n"/>
      <c r="Z50" s="3934" t="n"/>
      <c r="AA50" s="3934" t="n"/>
      <c r="AB50" s="3934" t="n"/>
      <c r="AC50" s="3934" t="n"/>
      <c r="AD50" s="3934" t="n"/>
      <c r="AE50" s="3934" t="n"/>
      <c r="AF50" s="3934" t="n"/>
      <c r="AG50" s="3934" t="n"/>
      <c r="AH50" s="3934" t="n"/>
      <c r="AI50" s="3934" t="n"/>
      <c r="AJ50" s="3934" t="n"/>
      <c r="AK50" s="3934" t="n"/>
      <c r="AL50" s="3934" t="n"/>
      <c r="AM50" s="3934" t="n"/>
      <c r="AN50" s="3934" t="n"/>
      <c r="AO50" s="3934" t="n"/>
      <c r="AP50" s="3934" t="n"/>
      <c r="AQ50" s="3934" t="n"/>
      <c r="AR50" s="3934" t="n"/>
    </row>
    <row r="51">
      <c r="A51" s="3944" t="n"/>
      <c r="B51" s="3944" t="n"/>
      <c r="C51" s="3944" t="inlineStr"/>
      <c r="D51" s="3944" t="n"/>
      <c r="E51" s="3944" t="n"/>
      <c r="F51" s="3934" t="n"/>
      <c r="G51" s="3934" t="n"/>
      <c r="H51" s="3934" t="n"/>
      <c r="I51" s="3934" t="n"/>
      <c r="J51" s="3934" t="n"/>
      <c r="K51" s="3934" t="n"/>
      <c r="L51" s="3934" t="n"/>
      <c r="M51" s="3934" t="n"/>
      <c r="N51" s="3934" t="n"/>
      <c r="O51" s="3934" t="n"/>
      <c r="P51" s="3934" t="n"/>
      <c r="Q51" s="3934" t="n"/>
      <c r="R51" s="3934" t="n"/>
      <c r="S51" s="3934" t="n"/>
      <c r="T51" s="3934" t="n"/>
      <c r="U51" s="3934" t="n"/>
      <c r="V51" s="3934" t="n"/>
      <c r="W51" s="3934" t="n"/>
      <c r="X51" s="3934" t="n"/>
      <c r="Y51" s="3934" t="n"/>
      <c r="Z51" s="3934" t="n"/>
      <c r="AA51" s="3934" t="n"/>
      <c r="AB51" s="3934" t="n"/>
      <c r="AC51" s="3934" t="n"/>
      <c r="AD51" s="3934" t="n"/>
      <c r="AE51" s="3934" t="n"/>
      <c r="AF51" s="3934" t="n"/>
      <c r="AG51" s="3934" t="n"/>
      <c r="AH51" s="3934" t="n"/>
      <c r="AI51" s="3934" t="n"/>
      <c r="AJ51" s="3934" t="n"/>
      <c r="AK51" s="3934" t="n"/>
      <c r="AL51" s="3934" t="n"/>
      <c r="AM51" s="3934" t="n"/>
      <c r="AN51" s="3934" t="n"/>
      <c r="AO51" s="3934" t="n"/>
      <c r="AP51" s="3934" t="n"/>
      <c r="AQ51" s="3934" t="n"/>
      <c r="AR51" s="3934" t="n"/>
    </row>
    <row r="52">
      <c r="A52" s="3944" t="n"/>
      <c r="B52" s="3944" t="n"/>
      <c r="C52" s="3944" t="inlineStr"/>
      <c r="D52" s="3944" t="n"/>
      <c r="E52" s="3944" t="n"/>
      <c r="F52" s="3934" t="n"/>
      <c r="G52" s="3934" t="n"/>
      <c r="H52" s="3934" t="n"/>
      <c r="I52" s="3934" t="n"/>
      <c r="J52" s="3934" t="n"/>
      <c r="K52" s="3934" t="n"/>
      <c r="L52" s="3934" t="n"/>
      <c r="M52" s="3934" t="n"/>
      <c r="N52" s="3934" t="n"/>
      <c r="O52" s="3934" t="n"/>
      <c r="P52" s="3934" t="n"/>
      <c r="Q52" s="3934" t="n"/>
      <c r="R52" s="3934" t="n"/>
      <c r="S52" s="3934" t="n"/>
      <c r="T52" s="3934" t="n"/>
      <c r="U52" s="3934" t="n"/>
      <c r="V52" s="3934" t="n"/>
      <c r="W52" s="3934" t="n"/>
      <c r="X52" s="3934" t="n"/>
      <c r="Y52" s="3934" t="n"/>
      <c r="Z52" s="3934" t="n"/>
      <c r="AA52" s="3934" t="n"/>
      <c r="AB52" s="3934" t="n"/>
      <c r="AC52" s="3934" t="n"/>
      <c r="AD52" s="3934" t="n"/>
      <c r="AE52" s="3934" t="n"/>
      <c r="AF52" s="3934" t="n"/>
      <c r="AG52" s="3934" t="n"/>
      <c r="AH52" s="3934" t="n"/>
      <c r="AI52" s="3934" t="n"/>
      <c r="AJ52" s="3934" t="n"/>
      <c r="AK52" s="3934" t="n"/>
      <c r="AL52" s="3934" t="n"/>
      <c r="AM52" s="3934" t="n"/>
      <c r="AN52" s="3934" t="n"/>
      <c r="AO52" s="3934" t="n"/>
      <c r="AP52" s="3934" t="n"/>
      <c r="AQ52" s="3934" t="n"/>
      <c r="AR52" s="3934" t="n"/>
    </row>
    <row r="53">
      <c r="A53" s="3944" t="n"/>
      <c r="B53" s="3944" t="n"/>
      <c r="C53" s="3944" t="inlineStr"/>
      <c r="D53" s="3944" t="n"/>
      <c r="E53" s="3944" t="n"/>
      <c r="F53" s="3934" t="n"/>
      <c r="G53" s="3934" t="n"/>
      <c r="H53" s="3934" t="n"/>
      <c r="I53" s="3934" t="n"/>
      <c r="J53" s="3934" t="n"/>
      <c r="K53" s="3934" t="n"/>
      <c r="L53" s="3934" t="n"/>
      <c r="M53" s="3934" t="n"/>
      <c r="N53" s="3934" t="n"/>
      <c r="O53" s="3934" t="n"/>
      <c r="P53" s="3934" t="n"/>
      <c r="Q53" s="3934" t="n"/>
      <c r="R53" s="3934" t="n"/>
      <c r="S53" s="3934" t="n"/>
      <c r="T53" s="3934" t="n"/>
      <c r="U53" s="3934" t="n"/>
      <c r="V53" s="3934" t="n"/>
      <c r="W53" s="3934" t="n"/>
      <c r="X53" s="3934" t="n"/>
      <c r="Y53" s="3934" t="n"/>
      <c r="Z53" s="3934" t="n"/>
      <c r="AA53" s="3934" t="n"/>
      <c r="AB53" s="3934" t="n"/>
      <c r="AC53" s="3934" t="n"/>
      <c r="AD53" s="3934" t="n"/>
      <c r="AE53" s="3934" t="n"/>
      <c r="AF53" s="3934" t="n"/>
      <c r="AG53" s="3934" t="n"/>
      <c r="AH53" s="3934" t="n"/>
      <c r="AI53" s="3934" t="n"/>
      <c r="AJ53" s="3934" t="n"/>
      <c r="AK53" s="3934" t="n"/>
      <c r="AL53" s="3934" t="n"/>
      <c r="AM53" s="3934" t="n"/>
      <c r="AN53" s="3934" t="n"/>
      <c r="AO53" s="3934" t="n"/>
      <c r="AP53" s="3934" t="n"/>
      <c r="AQ53" s="3934" t="n"/>
      <c r="AR53" s="3934" t="n"/>
    </row>
    <row r="54">
      <c r="A54" s="3944" t="n"/>
      <c r="B54" s="3944" t="n"/>
      <c r="C54" s="3944" t="inlineStr"/>
      <c r="D54" s="3944" t="n"/>
      <c r="E54" s="3944" t="n"/>
      <c r="F54" s="3934" t="n"/>
      <c r="G54" s="3934" t="n"/>
      <c r="H54" s="3934" t="n"/>
      <c r="I54" s="3934" t="n"/>
      <c r="J54" s="3934" t="n"/>
      <c r="K54" s="3934" t="n"/>
      <c r="L54" s="3934" t="n"/>
      <c r="M54" s="3934" t="n"/>
      <c r="N54" s="3934" t="n"/>
      <c r="O54" s="3934" t="n"/>
      <c r="P54" s="3934" t="n"/>
      <c r="Q54" s="3934" t="n"/>
      <c r="R54" s="3934" t="n"/>
      <c r="S54" s="3934" t="n"/>
      <c r="T54" s="3934" t="n"/>
      <c r="U54" s="3934" t="n"/>
      <c r="V54" s="3934" t="n"/>
      <c r="W54" s="3934" t="n"/>
      <c r="X54" s="3934" t="n"/>
      <c r="Y54" s="3934" t="n"/>
      <c r="Z54" s="3934" t="n"/>
      <c r="AA54" s="3934" t="n"/>
      <c r="AB54" s="3934" t="n"/>
      <c r="AC54" s="3934" t="n"/>
      <c r="AD54" s="3934" t="n"/>
      <c r="AE54" s="3934" t="n"/>
      <c r="AF54" s="3934" t="n"/>
      <c r="AG54" s="3934" t="n"/>
      <c r="AH54" s="3934" t="n"/>
      <c r="AI54" s="3934" t="n"/>
      <c r="AJ54" s="3934" t="n"/>
      <c r="AK54" s="3934" t="n"/>
      <c r="AL54" s="3934" t="n"/>
      <c r="AM54" s="3934" t="n"/>
      <c r="AN54" s="3934" t="n"/>
      <c r="AO54" s="3934" t="n"/>
      <c r="AP54" s="3934" t="n"/>
      <c r="AQ54" s="3934" t="n"/>
      <c r="AR54" s="3934" t="n"/>
    </row>
    <row r="55">
      <c r="A55" s="3944" t="n"/>
      <c r="B55" s="3944" t="n"/>
      <c r="C55" s="3944" t="inlineStr"/>
      <c r="D55" s="3944" t="n"/>
      <c r="E55" s="3944" t="n"/>
      <c r="F55" s="3934" t="n"/>
      <c r="G55" s="3934" t="n"/>
      <c r="H55" s="3934" t="n"/>
      <c r="I55" s="3934" t="n"/>
      <c r="J55" s="3934" t="n"/>
      <c r="K55" s="3934" t="n"/>
      <c r="L55" s="3934" t="n"/>
      <c r="M55" s="3934" t="n"/>
      <c r="N55" s="3934" t="n"/>
      <c r="O55" s="3934" t="n"/>
      <c r="P55" s="3934" t="n"/>
      <c r="Q55" s="3934" t="n"/>
      <c r="R55" s="3934" t="n"/>
      <c r="S55" s="3934" t="n"/>
      <c r="T55" s="3934" t="n"/>
      <c r="U55" s="3934" t="n"/>
      <c r="V55" s="3934" t="n"/>
      <c r="W55" s="3934" t="n"/>
      <c r="X55" s="3934" t="n"/>
      <c r="Y55" s="3934" t="n"/>
      <c r="Z55" s="3934" t="n"/>
      <c r="AA55" s="3934" t="n"/>
      <c r="AB55" s="3934" t="n"/>
      <c r="AC55" s="3934" t="n"/>
      <c r="AD55" s="3934" t="n"/>
      <c r="AE55" s="3934" t="n"/>
      <c r="AF55" s="3934" t="n"/>
      <c r="AG55" s="3934" t="n"/>
      <c r="AH55" s="3934" t="n"/>
      <c r="AI55" s="3934" t="n"/>
      <c r="AJ55" s="3934" t="n"/>
      <c r="AK55" s="3934" t="n"/>
      <c r="AL55" s="3934" t="n"/>
      <c r="AM55" s="3934" t="n"/>
      <c r="AN55" s="3934" t="n"/>
      <c r="AO55" s="3934" t="n"/>
      <c r="AP55" s="3934" t="n"/>
      <c r="AQ55" s="3934" t="n"/>
      <c r="AR55" s="3934" t="n"/>
    </row>
    <row r="56">
      <c r="A56" s="3944" t="n"/>
      <c r="B56" s="3944" t="n"/>
      <c r="C56" s="3944" t="inlineStr"/>
      <c r="D56" s="3944" t="n"/>
      <c r="E56" s="3944" t="n"/>
      <c r="F56" s="3934" t="n"/>
      <c r="G56" s="3934" t="n"/>
      <c r="H56" s="3934" t="n"/>
      <c r="I56" s="3934" t="n"/>
      <c r="J56" s="3934" t="n"/>
      <c r="K56" s="3934" t="n"/>
      <c r="L56" s="3934" t="n"/>
      <c r="M56" s="3934" t="n"/>
      <c r="N56" s="3934" t="n"/>
      <c r="O56" s="3934" t="n"/>
      <c r="P56" s="3934" t="n"/>
      <c r="Q56" s="3934" t="n"/>
      <c r="R56" s="3934" t="n"/>
      <c r="S56" s="3934" t="n"/>
      <c r="T56" s="3934" t="n"/>
      <c r="U56" s="3934" t="n"/>
      <c r="V56" s="3934" t="n"/>
      <c r="W56" s="3934" t="n"/>
      <c r="X56" s="3934" t="n"/>
      <c r="Y56" s="3934" t="n"/>
      <c r="Z56" s="3934" t="n"/>
      <c r="AA56" s="3934" t="n"/>
      <c r="AB56" s="3934" t="n"/>
      <c r="AC56" s="3934" t="n"/>
      <c r="AD56" s="3934" t="n"/>
      <c r="AE56" s="3934" t="n"/>
      <c r="AF56" s="3934" t="n"/>
      <c r="AG56" s="3934" t="n"/>
      <c r="AH56" s="3934" t="n"/>
      <c r="AI56" s="3934" t="n"/>
      <c r="AJ56" s="3934" t="n"/>
      <c r="AK56" s="3934" t="n"/>
      <c r="AL56" s="3934" t="n"/>
      <c r="AM56" s="3934" t="n"/>
      <c r="AN56" s="3934" t="n"/>
      <c r="AO56" s="3934" t="n"/>
      <c r="AP56" s="3934" t="n"/>
      <c r="AQ56" s="3934" t="n"/>
      <c r="AR56" s="3934" t="n"/>
    </row>
    <row r="57">
      <c r="A57" s="3944" t="n"/>
      <c r="B57" s="3944" t="n"/>
      <c r="C57" s="3944" t="inlineStr"/>
      <c r="D57" s="3944" t="n"/>
      <c r="E57" s="3944" t="n"/>
      <c r="F57" s="3934" t="n"/>
      <c r="G57" s="3934" t="n"/>
      <c r="H57" s="3934" t="n"/>
      <c r="I57" s="3934" t="n"/>
      <c r="J57" s="3934" t="n"/>
      <c r="K57" s="3934" t="n"/>
      <c r="L57" s="3934" t="n"/>
      <c r="M57" s="3934" t="n"/>
      <c r="N57" s="3934" t="n"/>
      <c r="O57" s="3934" t="n"/>
      <c r="P57" s="3934" t="n"/>
      <c r="Q57" s="3934" t="n"/>
      <c r="R57" s="3934" t="n"/>
      <c r="S57" s="3934" t="n"/>
      <c r="T57" s="3934" t="n"/>
      <c r="U57" s="3934" t="n"/>
      <c r="V57" s="3934" t="n"/>
      <c r="W57" s="3934" t="n"/>
      <c r="X57" s="3934" t="n"/>
      <c r="Y57" s="3934" t="n"/>
      <c r="Z57" s="3934" t="n"/>
      <c r="AA57" s="3934" t="n"/>
      <c r="AB57" s="3934" t="n"/>
      <c r="AC57" s="3934" t="n"/>
      <c r="AD57" s="3934" t="n"/>
      <c r="AE57" s="3934" t="n"/>
      <c r="AF57" s="3934" t="n"/>
      <c r="AG57" s="3934" t="n"/>
      <c r="AH57" s="3934" t="n"/>
      <c r="AI57" s="3934" t="n"/>
      <c r="AJ57" s="3934" t="n"/>
      <c r="AK57" s="3934" t="n"/>
      <c r="AL57" s="3934" t="n"/>
      <c r="AM57" s="3934" t="n"/>
      <c r="AN57" s="3934" t="n"/>
      <c r="AO57" s="3934" t="n"/>
      <c r="AP57" s="3934" t="n"/>
      <c r="AQ57" s="3934" t="n"/>
      <c r="AR57" s="3934" t="n"/>
    </row>
    <row r="58">
      <c r="A58" s="3944" t="n"/>
      <c r="B58" s="3944" t="n"/>
      <c r="C58" s="3944" t="inlineStr"/>
      <c r="D58" s="3944" t="n"/>
      <c r="E58" s="3944" t="n"/>
      <c r="F58" s="3934" t="n"/>
      <c r="G58" s="3934" t="n"/>
      <c r="H58" s="3934" t="n"/>
      <c r="I58" s="3934" t="n"/>
      <c r="J58" s="3934" t="n"/>
      <c r="K58" s="3934" t="n"/>
      <c r="L58" s="3934" t="n"/>
      <c r="M58" s="3934" t="n"/>
      <c r="N58" s="3934" t="n"/>
      <c r="O58" s="3934" t="n"/>
      <c r="P58" s="3934" t="n"/>
      <c r="Q58" s="3934" t="n"/>
      <c r="R58" s="3934" t="n"/>
      <c r="S58" s="3934" t="n"/>
      <c r="T58" s="3934" t="n"/>
      <c r="U58" s="3934" t="n"/>
      <c r="V58" s="3934" t="n"/>
      <c r="W58" s="3934" t="n"/>
      <c r="X58" s="3934" t="n"/>
      <c r="Y58" s="3934" t="n"/>
      <c r="Z58" s="3934" t="n"/>
      <c r="AA58" s="3934" t="n"/>
      <c r="AB58" s="3934" t="n"/>
      <c r="AC58" s="3934" t="n"/>
      <c r="AD58" s="3934" t="n"/>
      <c r="AE58" s="3934" t="n"/>
      <c r="AF58" s="3934" t="n"/>
      <c r="AG58" s="3934" t="n"/>
      <c r="AH58" s="3934" t="n"/>
      <c r="AI58" s="3934" t="n"/>
      <c r="AJ58" s="3934" t="n"/>
      <c r="AK58" s="3934" t="n"/>
      <c r="AL58" s="3934" t="n"/>
      <c r="AM58" s="3934" t="n"/>
      <c r="AN58" s="3934" t="n"/>
      <c r="AO58" s="3934" t="n"/>
      <c r="AP58" s="3934" t="n"/>
      <c r="AQ58" s="3934" t="n"/>
      <c r="AR58" s="3934" t="n"/>
    </row>
    <row r="59">
      <c r="A59" s="3944" t="n"/>
      <c r="B59" s="3944" t="n"/>
      <c r="C59" s="3944" t="inlineStr"/>
      <c r="D59" s="3944" t="n"/>
      <c r="E59" s="3944" t="n"/>
      <c r="F59" s="3934" t="n"/>
      <c r="G59" s="3934" t="n"/>
      <c r="H59" s="3934" t="n"/>
      <c r="I59" s="3934" t="n"/>
      <c r="J59" s="3934" t="n"/>
      <c r="K59" s="3934" t="n"/>
      <c r="L59" s="3934" t="n"/>
      <c r="M59" s="3934" t="n"/>
      <c r="N59" s="3934" t="n"/>
      <c r="O59" s="3934" t="n"/>
      <c r="P59" s="3934" t="n"/>
      <c r="Q59" s="3934" t="n"/>
      <c r="R59" s="3934" t="n"/>
      <c r="S59" s="3934" t="n"/>
      <c r="T59" s="3934" t="n"/>
      <c r="U59" s="3934" t="n"/>
      <c r="V59" s="3934" t="n"/>
      <c r="W59" s="3934" t="n"/>
      <c r="X59" s="3934" t="n"/>
      <c r="Y59" s="3934" t="n"/>
      <c r="Z59" s="3934" t="n"/>
      <c r="AA59" s="3934" t="n"/>
      <c r="AB59" s="3934" t="n"/>
      <c r="AC59" s="3934" t="n"/>
      <c r="AD59" s="3934" t="n"/>
      <c r="AE59" s="3934" t="n"/>
      <c r="AF59" s="3934" t="n"/>
      <c r="AG59" s="3934" t="n"/>
      <c r="AH59" s="3934" t="n"/>
      <c r="AI59" s="3934" t="n"/>
      <c r="AJ59" s="3934" t="n"/>
      <c r="AK59" s="3934" t="n"/>
      <c r="AL59" s="3934" t="n"/>
      <c r="AM59" s="3934" t="n"/>
      <c r="AN59" s="3934" t="n"/>
      <c r="AO59" s="3934" t="n"/>
      <c r="AP59" s="3934" t="n"/>
      <c r="AQ59" s="3934" t="n"/>
      <c r="AR59" s="3934" t="n"/>
    </row>
    <row r="60">
      <c r="A60" s="3944" t="n"/>
      <c r="B60" s="3944" t="n"/>
      <c r="C60" s="3944" t="inlineStr"/>
      <c r="D60" s="3944" t="n"/>
      <c r="E60" s="3944" t="n"/>
      <c r="F60" s="3934" t="n"/>
      <c r="G60" s="3934" t="n"/>
      <c r="H60" s="3934" t="n"/>
      <c r="I60" s="3934" t="n"/>
      <c r="J60" s="3934" t="n"/>
      <c r="K60" s="3934" t="n"/>
      <c r="L60" s="3934" t="n"/>
      <c r="M60" s="3934" t="n"/>
      <c r="N60" s="3934" t="n"/>
      <c r="O60" s="3934" t="n"/>
      <c r="P60" s="3934" t="n"/>
      <c r="Q60" s="3934" t="n"/>
      <c r="R60" s="3934" t="n"/>
      <c r="S60" s="3934" t="n"/>
      <c r="T60" s="3934" t="n"/>
      <c r="U60" s="3934" t="n"/>
      <c r="V60" s="3934" t="n"/>
      <c r="W60" s="3934" t="n"/>
      <c r="X60" s="3934" t="n"/>
      <c r="Y60" s="3934" t="n"/>
      <c r="Z60" s="3934" t="n"/>
      <c r="AA60" s="3934" t="n"/>
      <c r="AB60" s="3934" t="n"/>
      <c r="AC60" s="3934" t="n"/>
      <c r="AD60" s="3934" t="n"/>
      <c r="AE60" s="3934" t="n"/>
      <c r="AF60" s="3934" t="n"/>
      <c r="AG60" s="3934" t="n"/>
      <c r="AH60" s="3934" t="n"/>
      <c r="AI60" s="3934" t="n"/>
      <c r="AJ60" s="3934" t="n"/>
      <c r="AK60" s="3934" t="n"/>
      <c r="AL60" s="3934" t="n"/>
      <c r="AM60" s="3934" t="n"/>
      <c r="AN60" s="3934" t="n"/>
      <c r="AO60" s="3934" t="n"/>
      <c r="AP60" s="3934" t="n"/>
      <c r="AQ60" s="3934" t="n"/>
      <c r="AR60" s="3934" t="n"/>
    </row>
    <row r="61">
      <c r="A61" s="3944" t="n"/>
      <c r="B61" s="3944" t="n"/>
      <c r="C61" s="3944" t="inlineStr"/>
      <c r="D61" s="3944" t="n"/>
      <c r="E61" s="3944" t="n"/>
      <c r="F61" s="3934" t="n"/>
      <c r="G61" s="3934" t="n"/>
      <c r="H61" s="3934" t="n"/>
      <c r="I61" s="3934" t="n"/>
      <c r="J61" s="3934" t="n"/>
      <c r="K61" s="3934" t="n"/>
      <c r="L61" s="3934" t="n"/>
      <c r="M61" s="3934" t="n"/>
      <c r="N61" s="3934" t="n"/>
      <c r="O61" s="3934" t="n"/>
      <c r="P61" s="3934" t="n"/>
      <c r="Q61" s="3934" t="n"/>
      <c r="R61" s="3934" t="n"/>
      <c r="S61" s="3934" t="n"/>
      <c r="T61" s="3934" t="n"/>
      <c r="U61" s="3934" t="n"/>
      <c r="V61" s="3934" t="n"/>
      <c r="W61" s="3934" t="n"/>
      <c r="X61" s="3934" t="n"/>
      <c r="Y61" s="3934" t="n"/>
      <c r="Z61" s="3934" t="n"/>
      <c r="AA61" s="3934" t="n"/>
      <c r="AB61" s="3934" t="n"/>
      <c r="AC61" s="3934" t="n"/>
      <c r="AD61" s="3934" t="n"/>
      <c r="AE61" s="3934" t="n"/>
      <c r="AF61" s="3934" t="n"/>
      <c r="AG61" s="3934" t="n"/>
      <c r="AH61" s="3934" t="n"/>
      <c r="AI61" s="3934" t="n"/>
      <c r="AJ61" s="3934" t="n"/>
      <c r="AK61" s="3934" t="n"/>
      <c r="AL61" s="3934" t="n"/>
      <c r="AM61" s="3934" t="n"/>
      <c r="AN61" s="3934" t="n"/>
      <c r="AO61" s="3934" t="n"/>
      <c r="AP61" s="3934" t="n"/>
      <c r="AQ61" s="3934" t="n"/>
      <c r="AR61" s="3934" t="n"/>
    </row>
    <row r="62">
      <c r="A62" s="3944" t="n"/>
      <c r="B62" s="3944" t="n"/>
      <c r="C62" s="3944" t="inlineStr"/>
      <c r="D62" s="3944" t="n"/>
      <c r="E62" s="3944" t="n"/>
      <c r="F62" s="3934" t="n"/>
      <c r="G62" s="3934" t="n"/>
      <c r="H62" s="3934" t="n"/>
      <c r="I62" s="3934" t="n"/>
      <c r="J62" s="3934" t="n"/>
      <c r="K62" s="3934" t="n"/>
      <c r="L62" s="3934" t="n"/>
      <c r="M62" s="3934" t="n"/>
      <c r="N62" s="3934" t="n"/>
      <c r="O62" s="3934" t="n"/>
      <c r="P62" s="3934" t="n"/>
      <c r="Q62" s="3934" t="n"/>
      <c r="R62" s="3934" t="n"/>
      <c r="S62" s="3934" t="n"/>
      <c r="T62" s="3934" t="n"/>
      <c r="U62" s="3934" t="n"/>
      <c r="V62" s="3934" t="n"/>
      <c r="W62" s="3934" t="n"/>
      <c r="X62" s="3934" t="n"/>
      <c r="Y62" s="3934" t="n"/>
      <c r="Z62" s="3934" t="n"/>
      <c r="AA62" s="3934" t="n"/>
      <c r="AB62" s="3934" t="n"/>
      <c r="AC62" s="3934" t="n"/>
      <c r="AD62" s="3934" t="n"/>
      <c r="AE62" s="3934" t="n"/>
      <c r="AF62" s="3934" t="n"/>
      <c r="AG62" s="3934" t="n"/>
      <c r="AH62" s="3934" t="n"/>
      <c r="AI62" s="3934" t="n"/>
      <c r="AJ62" s="3934" t="n"/>
      <c r="AK62" s="3934" t="n"/>
      <c r="AL62" s="3934" t="n"/>
      <c r="AM62" s="3934" t="n"/>
      <c r="AN62" s="3934" t="n"/>
      <c r="AO62" s="3934" t="n"/>
      <c r="AP62" s="3934" t="n"/>
      <c r="AQ62" s="3934" t="n"/>
      <c r="AR62" s="3934" t="n"/>
    </row>
    <row r="63">
      <c r="A63" s="3944" t="n"/>
      <c r="B63" s="3944" t="n"/>
      <c r="C63" s="3944" t="inlineStr"/>
      <c r="D63" s="3944" t="n"/>
      <c r="E63" s="3944" t="n"/>
      <c r="F63" s="3934" t="n"/>
      <c r="G63" s="3934" t="n"/>
      <c r="H63" s="3934" t="n"/>
      <c r="I63" s="3934" t="n"/>
      <c r="J63" s="3934" t="n"/>
      <c r="K63" s="3934" t="n"/>
      <c r="L63" s="3934" t="n"/>
      <c r="M63" s="3934" t="n"/>
      <c r="N63" s="3934" t="n"/>
      <c r="O63" s="3934" t="n"/>
      <c r="P63" s="3934" t="n"/>
      <c r="Q63" s="3934" t="n"/>
      <c r="R63" s="3934" t="n"/>
      <c r="S63" s="3934" t="n"/>
      <c r="T63" s="3934" t="n"/>
      <c r="U63" s="3934" t="n"/>
      <c r="V63" s="3934" t="n"/>
      <c r="W63" s="3934" t="n"/>
      <c r="X63" s="3934" t="n"/>
      <c r="Y63" s="3934" t="n"/>
      <c r="Z63" s="3934" t="n"/>
      <c r="AA63" s="3934" t="n"/>
      <c r="AB63" s="3934" t="n"/>
      <c r="AC63" s="3934" t="n"/>
      <c r="AD63" s="3934" t="n"/>
      <c r="AE63" s="3934" t="n"/>
      <c r="AF63" s="3934" t="n"/>
      <c r="AG63" s="3934" t="n"/>
      <c r="AH63" s="3934" t="n"/>
      <c r="AI63" s="3934" t="n"/>
      <c r="AJ63" s="3934" t="n"/>
      <c r="AK63" s="3934" t="n"/>
      <c r="AL63" s="3934" t="n"/>
      <c r="AM63" s="3934" t="n"/>
      <c r="AN63" s="3934" t="n"/>
      <c r="AO63" s="3934" t="n"/>
      <c r="AP63" s="3934" t="n"/>
      <c r="AQ63" s="3934" t="n"/>
      <c r="AR63" s="3934" t="n"/>
    </row>
    <row r="64">
      <c r="A64" s="3944" t="n"/>
      <c r="B64" s="3944" t="n"/>
      <c r="C64" s="3944" t="inlineStr"/>
      <c r="D64" s="3944" t="n"/>
      <c r="E64" s="3944" t="n"/>
      <c r="F64" s="3934" t="n"/>
      <c r="G64" s="3934" t="n"/>
      <c r="H64" s="3934" t="n"/>
      <c r="I64" s="3934" t="n"/>
      <c r="J64" s="3934" t="n"/>
      <c r="K64" s="3934" t="n"/>
      <c r="L64" s="3934" t="n"/>
      <c r="M64" s="3934" t="n"/>
      <c r="N64" s="3934" t="n"/>
      <c r="O64" s="3934" t="n"/>
      <c r="P64" s="3934" t="n"/>
      <c r="Q64" s="3934" t="n"/>
      <c r="R64" s="3934" t="n"/>
      <c r="S64" s="3934" t="n"/>
      <c r="T64" s="3934" t="n"/>
      <c r="U64" s="3934" t="n"/>
      <c r="V64" s="3934" t="n"/>
      <c r="W64" s="3934" t="n"/>
      <c r="X64" s="3934" t="n"/>
      <c r="Y64" s="3934" t="n"/>
      <c r="Z64" s="3934" t="n"/>
      <c r="AA64" s="3934" t="n"/>
      <c r="AB64" s="3934" t="n"/>
      <c r="AC64" s="3934" t="n"/>
      <c r="AD64" s="3934" t="n"/>
      <c r="AE64" s="3934" t="n"/>
      <c r="AF64" s="3934" t="n"/>
      <c r="AG64" s="3934" t="n"/>
      <c r="AH64" s="3934" t="n"/>
      <c r="AI64" s="3934" t="n"/>
      <c r="AJ64" s="3934" t="n"/>
      <c r="AK64" s="3934" t="n"/>
      <c r="AL64" s="3934" t="n"/>
      <c r="AM64" s="3934" t="n"/>
      <c r="AN64" s="3934" t="n"/>
      <c r="AO64" s="3934" t="n"/>
      <c r="AP64" s="3934" t="n"/>
      <c r="AQ64" s="3934" t="n"/>
      <c r="AR64" s="3934" t="n"/>
    </row>
    <row r="65">
      <c r="A65" s="3944" t="n"/>
      <c r="B65" s="3944" t="n"/>
      <c r="C65" s="3944" t="inlineStr"/>
      <c r="D65" s="3944" t="n"/>
      <c r="E65" s="3944" t="n"/>
      <c r="F65" s="3934" t="n"/>
      <c r="G65" s="3934" t="n"/>
      <c r="H65" s="3934" t="n"/>
      <c r="I65" s="3934" t="n"/>
      <c r="J65" s="3934" t="n"/>
      <c r="K65" s="3934" t="n"/>
      <c r="L65" s="3934" t="n"/>
      <c r="M65" s="3934" t="n"/>
      <c r="N65" s="3934" t="n"/>
      <c r="O65" s="3934" t="n"/>
      <c r="P65" s="3934" t="n"/>
      <c r="Q65" s="3934" t="n"/>
      <c r="R65" s="3934" t="n"/>
      <c r="S65" s="3934" t="n"/>
      <c r="T65" s="3934" t="n"/>
      <c r="U65" s="3934" t="n"/>
      <c r="V65" s="3934" t="n"/>
      <c r="W65" s="3934" t="n"/>
      <c r="X65" s="3934" t="n"/>
      <c r="Y65" s="3934" t="n"/>
      <c r="Z65" s="3934" t="n"/>
      <c r="AA65" s="3934" t="n"/>
      <c r="AB65" s="3934" t="n"/>
      <c r="AC65" s="3934" t="n"/>
      <c r="AD65" s="3934" t="n"/>
      <c r="AE65" s="3934" t="n"/>
      <c r="AF65" s="3934" t="n"/>
      <c r="AG65" s="3934" t="n"/>
      <c r="AH65" s="3934" t="n"/>
      <c r="AI65" s="3934" t="n"/>
      <c r="AJ65" s="3934" t="n"/>
      <c r="AK65" s="3934" t="n"/>
      <c r="AL65" s="3934" t="n"/>
      <c r="AM65" s="3934" t="n"/>
      <c r="AN65" s="3934" t="n"/>
      <c r="AO65" s="3934" t="n"/>
      <c r="AP65" s="3934" t="n"/>
      <c r="AQ65" s="3934" t="n"/>
      <c r="AR65" s="3934" t="n"/>
    </row>
    <row r="66">
      <c r="A66" s="3944" t="n"/>
      <c r="B66" s="3944" t="n"/>
      <c r="C66" s="3944" t="inlineStr"/>
      <c r="D66" s="3944" t="n"/>
      <c r="E66" s="3944" t="n"/>
      <c r="F66" s="3934" t="n"/>
      <c r="G66" s="3934" t="n"/>
      <c r="H66" s="3934" t="n"/>
      <c r="I66" s="3934" t="n"/>
      <c r="J66" s="3934" t="n"/>
      <c r="K66" s="3934" t="n"/>
      <c r="L66" s="3934" t="n"/>
      <c r="M66" s="3934" t="n"/>
      <c r="N66" s="3934" t="n"/>
      <c r="O66" s="3934" t="n"/>
      <c r="P66" s="3934" t="n"/>
      <c r="Q66" s="3934" t="n"/>
      <c r="R66" s="3934" t="n"/>
      <c r="S66" s="3934" t="n"/>
      <c r="T66" s="3934" t="n"/>
      <c r="U66" s="3934" t="n"/>
      <c r="V66" s="3934" t="n"/>
      <c r="W66" s="3934" t="n"/>
      <c r="X66" s="3934" t="n"/>
      <c r="Y66" s="3934" t="n"/>
      <c r="Z66" s="3934" t="n"/>
      <c r="AA66" s="3934" t="n"/>
      <c r="AB66" s="3934" t="n"/>
      <c r="AC66" s="3934" t="n"/>
      <c r="AD66" s="3934" t="n"/>
      <c r="AE66" s="3934" t="n"/>
      <c r="AF66" s="3934" t="n"/>
      <c r="AG66" s="3934" t="n"/>
      <c r="AH66" s="3934" t="n"/>
      <c r="AI66" s="3934" t="n"/>
      <c r="AJ66" s="3934" t="n"/>
      <c r="AK66" s="3934" t="n"/>
      <c r="AL66" s="3934" t="n"/>
      <c r="AM66" s="3934" t="n"/>
      <c r="AN66" s="3934" t="n"/>
      <c r="AO66" s="3934" t="n"/>
      <c r="AP66" s="3934" t="n"/>
      <c r="AQ66" s="3934" t="n"/>
      <c r="AR66" s="3934" t="n"/>
    </row>
    <row r="67">
      <c r="A67" s="3944" t="n"/>
      <c r="B67" s="3944" t="n"/>
      <c r="C67" s="3944" t="inlineStr"/>
      <c r="D67" s="3944" t="n"/>
      <c r="E67" s="3944" t="n"/>
      <c r="F67" s="3934" t="n"/>
      <c r="G67" s="3934" t="n"/>
      <c r="H67" s="3934" t="n"/>
      <c r="I67" s="3934" t="n"/>
      <c r="J67" s="3934" t="n"/>
      <c r="K67" s="3934" t="n"/>
      <c r="L67" s="3934" t="n"/>
      <c r="M67" s="3934" t="n"/>
      <c r="N67" s="3934" t="n"/>
      <c r="O67" s="3934" t="n"/>
      <c r="P67" s="3934" t="n"/>
      <c r="Q67" s="3934" t="n"/>
      <c r="R67" s="3934" t="n"/>
      <c r="S67" s="3934" t="n"/>
      <c r="T67" s="3934" t="n"/>
      <c r="U67" s="3934" t="n"/>
      <c r="V67" s="3934" t="n"/>
      <c r="W67" s="3934" t="n"/>
      <c r="X67" s="3934" t="n"/>
      <c r="Y67" s="3934" t="n"/>
      <c r="Z67" s="3934" t="n"/>
      <c r="AA67" s="3934" t="n"/>
      <c r="AB67" s="3934" t="n"/>
      <c r="AC67" s="3934" t="n"/>
      <c r="AD67" s="3934" t="n"/>
      <c r="AE67" s="3934" t="n"/>
      <c r="AF67" s="3934" t="n"/>
      <c r="AG67" s="3934" t="n"/>
      <c r="AH67" s="3934" t="n"/>
      <c r="AI67" s="3934" t="n"/>
      <c r="AJ67" s="3934" t="n"/>
      <c r="AK67" s="3934" t="n"/>
      <c r="AL67" s="3934" t="n"/>
      <c r="AM67" s="3934" t="n"/>
      <c r="AN67" s="3934" t="n"/>
      <c r="AO67" s="3934" t="n"/>
      <c r="AP67" s="3934" t="n"/>
      <c r="AQ67" s="3934" t="n"/>
      <c r="AR67" s="3934" t="n"/>
    </row>
    <row r="68">
      <c r="A68" s="3944" t="n"/>
      <c r="B68" s="3944" t="n"/>
      <c r="C68" s="3944" t="inlineStr"/>
      <c r="D68" s="3944" t="n"/>
      <c r="E68" s="3944" t="n"/>
      <c r="F68" s="3934" t="n"/>
      <c r="G68" s="3934" t="n"/>
      <c r="H68" s="3934" t="n"/>
      <c r="I68" s="3934" t="n"/>
      <c r="J68" s="3934" t="n"/>
      <c r="K68" s="3934" t="n"/>
      <c r="L68" s="3934" t="n"/>
      <c r="M68" s="3934" t="n"/>
      <c r="N68" s="3934" t="n"/>
      <c r="O68" s="3934" t="n"/>
      <c r="P68" s="3934" t="n"/>
      <c r="Q68" s="3934" t="n"/>
      <c r="R68" s="3934" t="n"/>
      <c r="S68" s="3934" t="n"/>
      <c r="T68" s="3934" t="n"/>
      <c r="U68" s="3934" t="n"/>
      <c r="V68" s="3934" t="n"/>
      <c r="W68" s="3934" t="n"/>
      <c r="X68" s="3934" t="n"/>
      <c r="Y68" s="3934" t="n"/>
      <c r="Z68" s="3934" t="n"/>
      <c r="AA68" s="3934" t="n"/>
      <c r="AB68" s="3934" t="n"/>
      <c r="AC68" s="3934" t="n"/>
      <c r="AD68" s="3934" t="n"/>
      <c r="AE68" s="3934" t="n"/>
      <c r="AF68" s="3934" t="n"/>
      <c r="AG68" s="3934" t="n"/>
      <c r="AH68" s="3934" t="n"/>
      <c r="AI68" s="3934" t="n"/>
      <c r="AJ68" s="3934" t="n"/>
      <c r="AK68" s="3934" t="n"/>
      <c r="AL68" s="3934" t="n"/>
      <c r="AM68" s="3934" t="n"/>
      <c r="AN68" s="3934" t="n"/>
      <c r="AO68" s="3934" t="n"/>
      <c r="AP68" s="3934" t="n"/>
      <c r="AQ68" s="3934" t="n"/>
      <c r="AR68" s="3934" t="n"/>
    </row>
    <row r="69">
      <c r="A69" s="3944" t="n"/>
      <c r="B69" s="3944" t="n"/>
      <c r="C69" s="3944" t="inlineStr"/>
      <c r="D69" s="3944" t="n"/>
      <c r="E69" s="3944" t="n"/>
      <c r="F69" s="3934" t="n"/>
      <c r="G69" s="3934" t="n"/>
      <c r="H69" s="3934" t="n"/>
      <c r="I69" s="3934" t="n"/>
      <c r="J69" s="3934" t="n"/>
      <c r="K69" s="3934" t="n"/>
      <c r="L69" s="3934" t="n"/>
      <c r="M69" s="3934" t="n"/>
      <c r="N69" s="3934" t="n"/>
      <c r="O69" s="3934" t="n"/>
      <c r="P69" s="3934" t="n"/>
      <c r="Q69" s="3934" t="n"/>
      <c r="R69" s="3934" t="n"/>
      <c r="S69" s="3934" t="n"/>
      <c r="T69" s="3934" t="n"/>
      <c r="U69" s="3934" t="n"/>
      <c r="V69" s="3934" t="n"/>
      <c r="W69" s="3934" t="n"/>
      <c r="X69" s="3934" t="n"/>
      <c r="Y69" s="3934" t="n"/>
      <c r="Z69" s="3934" t="n"/>
      <c r="AA69" s="3934" t="n"/>
      <c r="AB69" s="3934" t="n"/>
      <c r="AC69" s="3934" t="n"/>
      <c r="AD69" s="3934" t="n"/>
      <c r="AE69" s="3934" t="n"/>
      <c r="AF69" s="3934" t="n"/>
      <c r="AG69" s="3934" t="n"/>
      <c r="AH69" s="3934" t="n"/>
      <c r="AI69" s="3934" t="n"/>
      <c r="AJ69" s="3934" t="n"/>
      <c r="AK69" s="3934" t="n"/>
      <c r="AL69" s="3934" t="n"/>
      <c r="AM69" s="3934" t="n"/>
      <c r="AN69" s="3934" t="n"/>
      <c r="AO69" s="3934" t="n"/>
      <c r="AP69" s="3934" t="n"/>
      <c r="AQ69" s="3934" t="n"/>
      <c r="AR69" s="3934" t="n"/>
    </row>
    <row r="70">
      <c r="A70" s="3944" t="n"/>
      <c r="B70" s="3944" t="n"/>
      <c r="C70" s="3944" t="inlineStr"/>
      <c r="D70" s="3944" t="n"/>
      <c r="E70" s="3944" t="n"/>
      <c r="F70" s="3934" t="n"/>
      <c r="G70" s="3934" t="n"/>
      <c r="H70" s="3934" t="n"/>
      <c r="I70" s="3934" t="n"/>
      <c r="J70" s="3934" t="n"/>
      <c r="K70" s="3934" t="n"/>
      <c r="L70" s="3934" t="n"/>
      <c r="M70" s="3934" t="n"/>
      <c r="N70" s="3934" t="n"/>
      <c r="O70" s="3934" t="n"/>
      <c r="P70" s="3934" t="n"/>
      <c r="Q70" s="3934" t="n"/>
      <c r="R70" s="3934" t="n"/>
      <c r="S70" s="3934" t="n"/>
      <c r="T70" s="3934" t="n"/>
      <c r="U70" s="3934" t="n"/>
      <c r="V70" s="3934" t="n"/>
      <c r="W70" s="3934" t="n"/>
      <c r="X70" s="3934" t="n"/>
      <c r="Y70" s="3934" t="n"/>
      <c r="Z70" s="3934" t="n"/>
      <c r="AA70" s="3934" t="n"/>
      <c r="AB70" s="3934" t="n"/>
      <c r="AC70" s="3934" t="n"/>
      <c r="AD70" s="3934" t="n"/>
      <c r="AE70" s="3934" t="n"/>
      <c r="AF70" s="3934" t="n"/>
      <c r="AG70" s="3934" t="n"/>
      <c r="AH70" s="3934" t="n"/>
      <c r="AI70" s="3934" t="n"/>
      <c r="AJ70" s="3934" t="n"/>
      <c r="AK70" s="3934" t="n"/>
      <c r="AL70" s="3934" t="n"/>
      <c r="AM70" s="3934" t="n"/>
      <c r="AN70" s="3934" t="n"/>
      <c r="AO70" s="3934" t="n"/>
      <c r="AP70" s="3934" t="n"/>
      <c r="AQ70" s="3934" t="n"/>
      <c r="AR70" s="3934" t="n"/>
    </row>
    <row r="71">
      <c r="A71" s="3944" t="n"/>
      <c r="B71" s="3944" t="n"/>
      <c r="C71" s="3944" t="inlineStr"/>
      <c r="D71" s="3944" t="n"/>
      <c r="E71" s="3944" t="n"/>
      <c r="F71" s="3934" t="n"/>
      <c r="G71" s="3934" t="n"/>
      <c r="H71" s="3934" t="n"/>
      <c r="I71" s="3934" t="n"/>
      <c r="J71" s="3934" t="n"/>
      <c r="K71" s="3934" t="n"/>
      <c r="L71" s="3934" t="n"/>
      <c r="M71" s="3934" t="n"/>
      <c r="N71" s="3934" t="n"/>
      <c r="O71" s="3934" t="n"/>
      <c r="P71" s="3934" t="n"/>
      <c r="Q71" s="3934" t="n"/>
      <c r="R71" s="3934" t="n"/>
      <c r="S71" s="3934" t="n"/>
      <c r="T71" s="3934" t="n"/>
      <c r="U71" s="3934" t="n"/>
      <c r="V71" s="3934" t="n"/>
      <c r="W71" s="3934" t="n"/>
      <c r="X71" s="3934" t="n"/>
      <c r="Y71" s="3934" t="n"/>
      <c r="Z71" s="3934" t="n"/>
      <c r="AA71" s="3934" t="n"/>
      <c r="AB71" s="3934" t="n"/>
      <c r="AC71" s="3934" t="n"/>
      <c r="AD71" s="3934" t="n"/>
      <c r="AE71" s="3934" t="n"/>
      <c r="AF71" s="3934" t="n"/>
      <c r="AG71" s="3934" t="n"/>
      <c r="AH71" s="3934" t="n"/>
      <c r="AI71" s="3934" t="n"/>
      <c r="AJ71" s="3934" t="n"/>
      <c r="AK71" s="3934" t="n"/>
      <c r="AL71" s="3934" t="n"/>
      <c r="AM71" s="3934" t="n"/>
      <c r="AN71" s="3934" t="n"/>
      <c r="AO71" s="3934" t="n"/>
      <c r="AP71" s="3934" t="n"/>
      <c r="AQ71" s="3934" t="n"/>
      <c r="AR71" s="3934" t="n"/>
    </row>
    <row r="72">
      <c r="A72" s="3944" t="n"/>
      <c r="B72" s="3944" t="n"/>
      <c r="C72" s="3944" t="inlineStr"/>
      <c r="D72" s="3944" t="n"/>
      <c r="E72" s="3944" t="n"/>
      <c r="F72" s="3934" t="n"/>
      <c r="G72" s="3934" t="n"/>
      <c r="H72" s="3934" t="n"/>
      <c r="I72" s="3934" t="n"/>
      <c r="J72" s="3934" t="n"/>
      <c r="K72" s="3934" t="n"/>
      <c r="L72" s="3934" t="n"/>
      <c r="M72" s="3934" t="n"/>
      <c r="N72" s="3934" t="n"/>
      <c r="O72" s="3934" t="n"/>
      <c r="P72" s="3934" t="n"/>
      <c r="Q72" s="3934" t="n"/>
      <c r="R72" s="3934" t="n"/>
      <c r="S72" s="3934" t="n"/>
      <c r="T72" s="3934" t="n"/>
      <c r="U72" s="3934" t="n"/>
      <c r="V72" s="3934" t="n"/>
      <c r="W72" s="3934" t="n"/>
      <c r="X72" s="3934" t="n"/>
      <c r="Y72" s="3934" t="n"/>
      <c r="Z72" s="3934" t="n"/>
      <c r="AA72" s="3934" t="n"/>
      <c r="AB72" s="3934" t="n"/>
      <c r="AC72" s="3934" t="n"/>
      <c r="AD72" s="3934" t="n"/>
      <c r="AE72" s="3934" t="n"/>
      <c r="AF72" s="3934" t="n"/>
      <c r="AG72" s="3934" t="n"/>
      <c r="AH72" s="3934" t="n"/>
      <c r="AI72" s="3934" t="n"/>
      <c r="AJ72" s="3934" t="n"/>
      <c r="AK72" s="3934" t="n"/>
      <c r="AL72" s="3934" t="n"/>
      <c r="AM72" s="3934" t="n"/>
      <c r="AN72" s="3934" t="n"/>
      <c r="AO72" s="3934" t="n"/>
      <c r="AP72" s="3934" t="n"/>
      <c r="AQ72" s="3934" t="n"/>
      <c r="AR72" s="3934" t="n"/>
    </row>
    <row r="73">
      <c r="A73" s="3944" t="n"/>
      <c r="B73" s="3944" t="n"/>
      <c r="C73" s="3944" t="inlineStr"/>
      <c r="D73" s="3944" t="n"/>
      <c r="E73" s="3944" t="n"/>
      <c r="F73" s="3934" t="n"/>
      <c r="G73" s="3934" t="n"/>
      <c r="H73" s="3934" t="n"/>
      <c r="I73" s="3934" t="n"/>
      <c r="J73" s="3934" t="n"/>
      <c r="K73" s="3934" t="n"/>
      <c r="L73" s="3934" t="n"/>
      <c r="M73" s="3934" t="n"/>
      <c r="N73" s="3934" t="n"/>
      <c r="O73" s="3934" t="n"/>
      <c r="P73" s="3934" t="n"/>
      <c r="Q73" s="3934" t="n"/>
      <c r="R73" s="3934" t="n"/>
      <c r="S73" s="3934" t="n"/>
      <c r="T73" s="3934" t="n"/>
      <c r="U73" s="3934" t="n"/>
      <c r="V73" s="3934" t="n"/>
      <c r="W73" s="3934" t="n"/>
      <c r="X73" s="3934" t="n"/>
      <c r="Y73" s="3934" t="n"/>
      <c r="Z73" s="3934" t="n"/>
      <c r="AA73" s="3934" t="n"/>
      <c r="AB73" s="3934" t="n"/>
      <c r="AC73" s="3934" t="n"/>
      <c r="AD73" s="3934" t="n"/>
      <c r="AE73" s="3934" t="n"/>
      <c r="AF73" s="3934" t="n"/>
      <c r="AG73" s="3934" t="n"/>
      <c r="AH73" s="3934" t="n"/>
      <c r="AI73" s="3934" t="n"/>
      <c r="AJ73" s="3934" t="n"/>
      <c r="AK73" s="3934" t="n"/>
      <c r="AL73" s="3934" t="n"/>
      <c r="AM73" s="3934" t="n"/>
      <c r="AN73" s="3934" t="n"/>
      <c r="AO73" s="3934" t="n"/>
      <c r="AP73" s="3934" t="n"/>
      <c r="AQ73" s="3934" t="n"/>
      <c r="AR73" s="3934" t="n"/>
    </row>
    <row r="74">
      <c r="A74" s="3944" t="n"/>
      <c r="B74" s="3944" t="n"/>
      <c r="C74" s="3944" t="inlineStr"/>
      <c r="D74" s="3944" t="n"/>
      <c r="E74" s="3944" t="n"/>
      <c r="F74" s="3934" t="n"/>
      <c r="G74" s="3934" t="n"/>
      <c r="H74" s="3934" t="n"/>
      <c r="I74" s="3934" t="n"/>
      <c r="J74" s="3934" t="n"/>
      <c r="K74" s="3934" t="n"/>
      <c r="L74" s="3934" t="n"/>
      <c r="M74" s="3934" t="n"/>
      <c r="N74" s="3934" t="n"/>
      <c r="O74" s="3934" t="n"/>
      <c r="P74" s="3934" t="n"/>
      <c r="Q74" s="3934" t="n"/>
      <c r="R74" s="3934" t="n"/>
      <c r="S74" s="3934" t="n"/>
      <c r="T74" s="3934" t="n"/>
      <c r="U74" s="3934" t="n"/>
      <c r="V74" s="3934" t="n"/>
      <c r="W74" s="3934" t="n"/>
      <c r="X74" s="3934" t="n"/>
      <c r="Y74" s="3934" t="n"/>
      <c r="Z74" s="3934" t="n"/>
      <c r="AA74" s="3934" t="n"/>
      <c r="AB74" s="3934" t="n"/>
      <c r="AC74" s="3934" t="n"/>
      <c r="AD74" s="3934" t="n"/>
      <c r="AE74" s="3934" t="n"/>
      <c r="AF74" s="3934" t="n"/>
      <c r="AG74" s="3934" t="n"/>
      <c r="AH74" s="3934" t="n"/>
      <c r="AI74" s="3934" t="n"/>
      <c r="AJ74" s="3934" t="n"/>
      <c r="AK74" s="3934" t="n"/>
      <c r="AL74" s="3934" t="n"/>
      <c r="AM74" s="3934" t="n"/>
      <c r="AN74" s="3934" t="n"/>
      <c r="AO74" s="3934" t="n"/>
      <c r="AP74" s="3934" t="n"/>
      <c r="AQ74" s="3934" t="n"/>
      <c r="AR74" s="3934" t="n"/>
    </row>
    <row r="75">
      <c r="A75" s="3944" t="n"/>
      <c r="B75" s="3944" t="n"/>
      <c r="C75" s="3944" t="inlineStr"/>
      <c r="D75" s="3944" t="n"/>
      <c r="E75" s="3944" t="n"/>
      <c r="F75" s="3934" t="n"/>
      <c r="G75" s="3934" t="n"/>
      <c r="H75" s="3934" t="n"/>
      <c r="I75" s="3934" t="n"/>
      <c r="J75" s="3934" t="n"/>
      <c r="K75" s="3934" t="n"/>
      <c r="L75" s="3934" t="n"/>
      <c r="M75" s="3934" t="n"/>
      <c r="N75" s="3934" t="n"/>
      <c r="O75" s="3934" t="n"/>
      <c r="P75" s="3934" t="n"/>
      <c r="Q75" s="3934" t="n"/>
      <c r="R75" s="3934" t="n"/>
      <c r="S75" s="3934" t="n"/>
      <c r="T75" s="3934" t="n"/>
      <c r="U75" s="3934" t="n"/>
      <c r="V75" s="3934" t="n"/>
      <c r="W75" s="3934" t="n"/>
      <c r="X75" s="3934" t="n"/>
      <c r="Y75" s="3934" t="n"/>
      <c r="Z75" s="3934" t="n"/>
      <c r="AA75" s="3934" t="n"/>
      <c r="AB75" s="3934" t="n"/>
      <c r="AC75" s="3934" t="n"/>
      <c r="AD75" s="3934" t="n"/>
      <c r="AE75" s="3934" t="n"/>
      <c r="AF75" s="3934" t="n"/>
      <c r="AG75" s="3934" t="n"/>
      <c r="AH75" s="3934" t="n"/>
      <c r="AI75" s="3934" t="n"/>
      <c r="AJ75" s="3934" t="n"/>
      <c r="AK75" s="3934" t="n"/>
      <c r="AL75" s="3934" t="n"/>
      <c r="AM75" s="3934" t="n"/>
      <c r="AN75" s="3934" t="n"/>
      <c r="AO75" s="3934" t="n"/>
      <c r="AP75" s="3934" t="n"/>
      <c r="AQ75" s="3934" t="n"/>
      <c r="AR75" s="3934" t="n"/>
    </row>
    <row r="76">
      <c r="A76" s="3944" t="n"/>
      <c r="B76" s="3944" t="n"/>
      <c r="C76" s="3944" t="inlineStr"/>
      <c r="D76" s="3944" t="n"/>
      <c r="E76" s="3944" t="n"/>
      <c r="F76" s="3934" t="n"/>
      <c r="G76" s="3934" t="n"/>
      <c r="H76" s="3934" t="n"/>
      <c r="I76" s="3934" t="n"/>
      <c r="J76" s="3934" t="n"/>
      <c r="K76" s="3934" t="n"/>
      <c r="L76" s="3934" t="n"/>
      <c r="M76" s="3934" t="n"/>
      <c r="N76" s="3934" t="n"/>
      <c r="O76" s="3934" t="n"/>
      <c r="P76" s="3934" t="n"/>
      <c r="Q76" s="3934" t="n"/>
      <c r="R76" s="3934" t="n"/>
      <c r="S76" s="3934" t="n"/>
      <c r="T76" s="3934" t="n"/>
      <c r="U76" s="3934" t="n"/>
      <c r="V76" s="3934" t="n"/>
      <c r="W76" s="3934" t="n"/>
      <c r="X76" s="3934" t="n"/>
      <c r="Y76" s="3934" t="n"/>
      <c r="Z76" s="3934" t="n"/>
      <c r="AA76" s="3934" t="n"/>
      <c r="AB76" s="3934" t="n"/>
      <c r="AC76" s="3934" t="n"/>
      <c r="AD76" s="3934" t="n"/>
      <c r="AE76" s="3934" t="n"/>
      <c r="AF76" s="3934" t="n"/>
      <c r="AG76" s="3934" t="n"/>
      <c r="AH76" s="3934" t="n"/>
      <c r="AI76" s="3934" t="n"/>
      <c r="AJ76" s="3934" t="n"/>
      <c r="AK76" s="3934" t="n"/>
      <c r="AL76" s="3934" t="n"/>
      <c r="AM76" s="3934" t="n"/>
      <c r="AN76" s="3934" t="n"/>
      <c r="AO76" s="3934" t="n"/>
      <c r="AP76" s="3934" t="n"/>
      <c r="AQ76" s="3934" t="n"/>
      <c r="AR76" s="3934" t="n"/>
    </row>
    <row r="77">
      <c r="A77" s="3944" t="n"/>
      <c r="B77" s="3944" t="n"/>
      <c r="C77" s="3944" t="inlineStr"/>
      <c r="D77" s="3944" t="n"/>
      <c r="E77" s="3944" t="n"/>
      <c r="F77" s="3934" t="n"/>
      <c r="G77" s="3934" t="n"/>
      <c r="H77" s="3934" t="n"/>
      <c r="I77" s="3934" t="n"/>
      <c r="J77" s="3934" t="n"/>
      <c r="K77" s="3934" t="n"/>
      <c r="L77" s="3934" t="n"/>
      <c r="M77" s="3934" t="n"/>
      <c r="N77" s="3934" t="n"/>
      <c r="O77" s="3934" t="n"/>
      <c r="P77" s="3934" t="n"/>
      <c r="Q77" s="3934" t="n"/>
      <c r="R77" s="3934" t="n"/>
      <c r="S77" s="3934" t="n"/>
      <c r="T77" s="3934" t="n"/>
      <c r="U77" s="3934" t="n"/>
      <c r="V77" s="3934" t="n"/>
      <c r="W77" s="3934" t="n"/>
      <c r="X77" s="3934" t="n"/>
      <c r="Y77" s="3934" t="n"/>
      <c r="Z77" s="3934" t="n"/>
      <c r="AA77" s="3934" t="n"/>
      <c r="AB77" s="3934" t="n"/>
      <c r="AC77" s="3934" t="n"/>
      <c r="AD77" s="3934" t="n"/>
      <c r="AE77" s="3934" t="n"/>
      <c r="AF77" s="3934" t="n"/>
      <c r="AG77" s="3934" t="n"/>
      <c r="AH77" s="3934" t="n"/>
      <c r="AI77" s="3934" t="n"/>
      <c r="AJ77" s="3934" t="n"/>
      <c r="AK77" s="3934" t="n"/>
      <c r="AL77" s="3934" t="n"/>
      <c r="AM77" s="3934" t="n"/>
      <c r="AN77" s="3934" t="n"/>
      <c r="AO77" s="3934" t="n"/>
      <c r="AP77" s="3934" t="n"/>
      <c r="AQ77" s="3934" t="n"/>
      <c r="AR77" s="3934" t="n"/>
    </row>
    <row r="78">
      <c r="A78" s="3944" t="n"/>
      <c r="B78" s="3944" t="n"/>
      <c r="C78" s="3944" t="inlineStr"/>
      <c r="D78" s="3944" t="n"/>
      <c r="E78" s="3944" t="n"/>
      <c r="F78" s="3934" t="n"/>
      <c r="G78" s="3934" t="n"/>
      <c r="H78" s="3934" t="n"/>
      <c r="I78" s="3934" t="n"/>
      <c r="J78" s="3934" t="n"/>
      <c r="K78" s="3934" t="n"/>
      <c r="L78" s="3934" t="n"/>
      <c r="M78" s="3934" t="n"/>
      <c r="N78" s="3934" t="n"/>
      <c r="O78" s="3934" t="n"/>
      <c r="P78" s="3934" t="n"/>
      <c r="Q78" s="3934" t="n"/>
      <c r="R78" s="3934" t="n"/>
      <c r="S78" s="3934" t="n"/>
      <c r="T78" s="3934" t="n"/>
      <c r="U78" s="3934" t="n"/>
      <c r="V78" s="3934" t="n"/>
      <c r="W78" s="3934" t="n"/>
      <c r="X78" s="3934" t="n"/>
      <c r="Y78" s="3934" t="n"/>
      <c r="Z78" s="3934" t="n"/>
      <c r="AA78" s="3934" t="n"/>
      <c r="AB78" s="3934" t="n"/>
      <c r="AC78" s="3934" t="n"/>
      <c r="AD78" s="3934" t="n"/>
      <c r="AE78" s="3934" t="n"/>
      <c r="AF78" s="3934" t="n"/>
      <c r="AG78" s="3934" t="n"/>
      <c r="AH78" s="3934" t="n"/>
      <c r="AI78" s="3934" t="n"/>
      <c r="AJ78" s="3934" t="n"/>
      <c r="AK78" s="3934" t="n"/>
      <c r="AL78" s="3934" t="n"/>
      <c r="AM78" s="3934" t="n"/>
      <c r="AN78" s="3934" t="n"/>
      <c r="AO78" s="3934" t="n"/>
      <c r="AP78" s="3934" t="n"/>
      <c r="AQ78" s="3934" t="n"/>
      <c r="AR78" s="3934" t="n"/>
    </row>
    <row r="79">
      <c r="A79" s="3944" t="n"/>
      <c r="B79" s="3944" t="n"/>
      <c r="C79" s="3944" t="inlineStr"/>
      <c r="D79" s="3944" t="n"/>
      <c r="E79" s="3944" t="n"/>
      <c r="F79" s="3934" t="n"/>
      <c r="G79" s="3934" t="n"/>
      <c r="H79" s="3934" t="n"/>
      <c r="I79" s="3934" t="n"/>
      <c r="J79" s="3934" t="n"/>
      <c r="K79" s="3934" t="n"/>
      <c r="L79" s="3934" t="n"/>
      <c r="M79" s="3934" t="n"/>
      <c r="N79" s="3934" t="n"/>
      <c r="O79" s="3934" t="n"/>
      <c r="P79" s="3934" t="n"/>
      <c r="Q79" s="3934" t="n"/>
      <c r="R79" s="3934" t="n"/>
      <c r="S79" s="3934" t="n"/>
      <c r="T79" s="3934" t="n"/>
      <c r="U79" s="3934" t="n"/>
      <c r="V79" s="3934" t="n"/>
      <c r="W79" s="3934" t="n"/>
      <c r="X79" s="3934" t="n"/>
      <c r="Y79" s="3934" t="n"/>
      <c r="Z79" s="3934" t="n"/>
      <c r="AA79" s="3934" t="n"/>
      <c r="AB79" s="3934" t="n"/>
      <c r="AC79" s="3934" t="n"/>
      <c r="AD79" s="3934" t="n"/>
      <c r="AE79" s="3934" t="n"/>
      <c r="AF79" s="3934" t="n"/>
      <c r="AG79" s="3934" t="n"/>
      <c r="AH79" s="3934" t="n"/>
      <c r="AI79" s="3934" t="n"/>
      <c r="AJ79" s="3934" t="n"/>
      <c r="AK79" s="3934" t="n"/>
      <c r="AL79" s="3934" t="n"/>
      <c r="AM79" s="3934" t="n"/>
      <c r="AN79" s="3934" t="n"/>
      <c r="AO79" s="3934" t="n"/>
      <c r="AP79" s="3934" t="n"/>
      <c r="AQ79" s="3934" t="n"/>
      <c r="AR79" s="3934" t="n"/>
    </row>
    <row r="80">
      <c r="A80" s="3944" t="n"/>
      <c r="B80" s="3944" t="n"/>
      <c r="C80" s="3944" t="inlineStr"/>
      <c r="D80" s="3944" t="n"/>
      <c r="E80" s="3944" t="n"/>
      <c r="F80" s="3934" t="n"/>
      <c r="G80" s="3934" t="n"/>
      <c r="H80" s="3934" t="n"/>
      <c r="I80" s="3934" t="n"/>
      <c r="J80" s="3934" t="n"/>
      <c r="K80" s="3934" t="n"/>
      <c r="L80" s="3934" t="n"/>
      <c r="M80" s="3934" t="n"/>
      <c r="N80" s="3934" t="n"/>
      <c r="O80" s="3934" t="n"/>
      <c r="P80" s="3934" t="n"/>
      <c r="Q80" s="3934" t="n"/>
      <c r="R80" s="3934" t="n"/>
      <c r="S80" s="3934" t="n"/>
      <c r="T80" s="3934" t="n"/>
      <c r="U80" s="3934" t="n"/>
      <c r="V80" s="3934" t="n"/>
      <c r="W80" s="3934" t="n"/>
      <c r="X80" s="3934" t="n"/>
      <c r="Y80" s="3934" t="n"/>
      <c r="Z80" s="3934" t="n"/>
      <c r="AA80" s="3934" t="n"/>
      <c r="AB80" s="3934" t="n"/>
      <c r="AC80" s="3934" t="n"/>
      <c r="AD80" s="3934" t="n"/>
      <c r="AE80" s="3934" t="n"/>
      <c r="AF80" s="3934" t="n"/>
      <c r="AG80" s="3934" t="n"/>
      <c r="AH80" s="3934" t="n"/>
      <c r="AI80" s="3934" t="n"/>
      <c r="AJ80" s="3934" t="n"/>
      <c r="AK80" s="3934" t="n"/>
      <c r="AL80" s="3934" t="n"/>
      <c r="AM80" s="3934" t="n"/>
      <c r="AN80" s="3934" t="n"/>
      <c r="AO80" s="3934" t="n"/>
      <c r="AP80" s="3934" t="n"/>
      <c r="AQ80" s="3934" t="n"/>
      <c r="AR80" s="3934" t="n"/>
    </row>
    <row r="81">
      <c r="A81" s="3944" t="n"/>
      <c r="B81" s="3944" t="n"/>
      <c r="C81" s="3944" t="inlineStr"/>
      <c r="D81" s="3944" t="n"/>
      <c r="E81" s="3944" t="n"/>
      <c r="F81" s="3934" t="n"/>
      <c r="G81" s="3934" t="n"/>
      <c r="H81" s="3934" t="n"/>
      <c r="I81" s="3934" t="n"/>
      <c r="J81" s="3934" t="n"/>
      <c r="K81" s="3934" t="n"/>
      <c r="L81" s="3934" t="n"/>
      <c r="M81" s="3934" t="n"/>
      <c r="N81" s="3934" t="n"/>
      <c r="O81" s="3934" t="n"/>
      <c r="P81" s="3934" t="n"/>
      <c r="Q81" s="3934" t="n"/>
      <c r="R81" s="3934" t="n"/>
      <c r="S81" s="3934" t="n"/>
      <c r="T81" s="3934" t="n"/>
      <c r="U81" s="3934" t="n"/>
      <c r="V81" s="3934" t="n"/>
      <c r="W81" s="3934" t="n"/>
      <c r="X81" s="3934" t="n"/>
      <c r="Y81" s="3934" t="n"/>
      <c r="Z81" s="3934" t="n"/>
      <c r="AA81" s="3934" t="n"/>
      <c r="AB81" s="3934" t="n"/>
      <c r="AC81" s="3934" t="n"/>
      <c r="AD81" s="3934" t="n"/>
      <c r="AE81" s="3934" t="n"/>
      <c r="AF81" s="3934" t="n"/>
      <c r="AG81" s="3934" t="n"/>
      <c r="AH81" s="3934" t="n"/>
      <c r="AI81" s="3934" t="n"/>
      <c r="AJ81" s="3934" t="n"/>
      <c r="AK81" s="3934" t="n"/>
      <c r="AL81" s="3934" t="n"/>
      <c r="AM81" s="3934" t="n"/>
      <c r="AN81" s="3934" t="n"/>
      <c r="AO81" s="3934" t="n"/>
      <c r="AP81" s="3934" t="n"/>
      <c r="AQ81" s="3934" t="n"/>
      <c r="AR81" s="3934" t="n"/>
    </row>
    <row r="82">
      <c r="A82" s="3944" t="n"/>
      <c r="B82" s="3944" t="n"/>
      <c r="C82" s="3944" t="inlineStr"/>
      <c r="D82" s="3944" t="n"/>
      <c r="E82" s="3944" t="n"/>
      <c r="F82" s="3934" t="n"/>
      <c r="G82" s="3934" t="n"/>
      <c r="H82" s="3934" t="n"/>
      <c r="I82" s="3934" t="n"/>
      <c r="J82" s="3934" t="n"/>
      <c r="K82" s="3934" t="n"/>
      <c r="L82" s="3934" t="n"/>
      <c r="M82" s="3934" t="n"/>
      <c r="N82" s="3934" t="n"/>
      <c r="O82" s="3934" t="n"/>
      <c r="P82" s="3934" t="n"/>
      <c r="Q82" s="3934" t="n"/>
      <c r="R82" s="3934" t="n"/>
      <c r="S82" s="3934" t="n"/>
      <c r="T82" s="3934" t="n"/>
      <c r="U82" s="3934" t="n"/>
      <c r="V82" s="3934" t="n"/>
      <c r="W82" s="3934" t="n"/>
      <c r="X82" s="3934" t="n"/>
      <c r="Y82" s="3934" t="n"/>
      <c r="Z82" s="3934" t="n"/>
      <c r="AA82" s="3934" t="n"/>
      <c r="AB82" s="3934" t="n"/>
      <c r="AC82" s="3934" t="n"/>
      <c r="AD82" s="3934" t="n"/>
      <c r="AE82" s="3934" t="n"/>
      <c r="AF82" s="3934" t="n"/>
      <c r="AG82" s="3934" t="n"/>
      <c r="AH82" s="3934" t="n"/>
      <c r="AI82" s="3934" t="n"/>
      <c r="AJ82" s="3934" t="n"/>
      <c r="AK82" s="3934" t="n"/>
      <c r="AL82" s="3934" t="n"/>
      <c r="AM82" s="3934" t="n"/>
      <c r="AN82" s="3934" t="n"/>
      <c r="AO82" s="3934" t="n"/>
      <c r="AP82" s="3934" t="n"/>
      <c r="AQ82" s="3934" t="n"/>
      <c r="AR82" s="3934" t="n"/>
    </row>
    <row r="83">
      <c r="A83" s="3944" t="n"/>
      <c r="B83" s="3944" t="n"/>
      <c r="C83" s="3944" t="inlineStr"/>
      <c r="D83" s="3944" t="n"/>
      <c r="E83" s="3944" t="n"/>
      <c r="F83" s="3934" t="n"/>
      <c r="G83" s="3934" t="n"/>
      <c r="H83" s="3934" t="n"/>
      <c r="I83" s="3934" t="n"/>
      <c r="J83" s="3934" t="n"/>
      <c r="K83" s="3934" t="n"/>
      <c r="L83" s="3934" t="n"/>
      <c r="M83" s="3934" t="n"/>
      <c r="N83" s="3934" t="n"/>
      <c r="O83" s="3934" t="n"/>
      <c r="P83" s="3934" t="n"/>
      <c r="Q83" s="3934" t="n"/>
      <c r="R83" s="3934" t="n"/>
      <c r="S83" s="3934" t="n"/>
      <c r="T83" s="3934" t="n"/>
      <c r="U83" s="3934" t="n"/>
      <c r="V83" s="3934" t="n"/>
      <c r="W83" s="3934" t="n"/>
      <c r="X83" s="3934" t="n"/>
      <c r="Y83" s="3934" t="n"/>
      <c r="Z83" s="3934" t="n"/>
      <c r="AA83" s="3934" t="n"/>
      <c r="AB83" s="3934" t="n"/>
      <c r="AC83" s="3934" t="n"/>
      <c r="AD83" s="3934" t="n"/>
      <c r="AE83" s="3934" t="n"/>
      <c r="AF83" s="3934" t="n"/>
      <c r="AG83" s="3934" t="n"/>
      <c r="AH83" s="3934" t="n"/>
      <c r="AI83" s="3934" t="n"/>
      <c r="AJ83" s="3934" t="n"/>
      <c r="AK83" s="3934" t="n"/>
      <c r="AL83" s="3934" t="n"/>
      <c r="AM83" s="3934" t="n"/>
      <c r="AN83" s="3934" t="n"/>
      <c r="AO83" s="3934" t="n"/>
      <c r="AP83" s="3934" t="n"/>
      <c r="AQ83" s="3934" t="n"/>
      <c r="AR83" s="3934" t="n"/>
    </row>
    <row r="84">
      <c r="A84" s="3944" t="n"/>
      <c r="B84" s="3944" t="n"/>
      <c r="C84" s="3944" t="inlineStr"/>
      <c r="D84" s="3944" t="n"/>
      <c r="E84" s="3944" t="n"/>
      <c r="F84" s="3934" t="n"/>
      <c r="G84" s="3934" t="n"/>
      <c r="H84" s="3934" t="n"/>
      <c r="I84" s="3934" t="n"/>
      <c r="J84" s="3934" t="n"/>
      <c r="K84" s="3934" t="n"/>
      <c r="L84" s="3934" t="n"/>
      <c r="M84" s="3934" t="n"/>
      <c r="N84" s="3934" t="n"/>
      <c r="O84" s="3934" t="n"/>
      <c r="P84" s="3934" t="n"/>
      <c r="Q84" s="3934" t="n"/>
      <c r="R84" s="3934" t="n"/>
      <c r="S84" s="3934" t="n"/>
      <c r="T84" s="3934" t="n"/>
      <c r="U84" s="3934" t="n"/>
      <c r="V84" s="3934" t="n"/>
      <c r="W84" s="3934" t="n"/>
      <c r="X84" s="3934" t="n"/>
      <c r="Y84" s="3934" t="n"/>
      <c r="Z84" s="3934" t="n"/>
      <c r="AA84" s="3934" t="n"/>
      <c r="AB84" s="3934" t="n"/>
      <c r="AC84" s="3934" t="n"/>
      <c r="AD84" s="3934" t="n"/>
      <c r="AE84" s="3934" t="n"/>
      <c r="AF84" s="3934" t="n"/>
      <c r="AG84" s="3934" t="n"/>
      <c r="AH84" s="3934" t="n"/>
      <c r="AI84" s="3934" t="n"/>
      <c r="AJ84" s="3934" t="n"/>
      <c r="AK84" s="3934" t="n"/>
      <c r="AL84" s="3934" t="n"/>
      <c r="AM84" s="3934" t="n"/>
      <c r="AN84" s="3934" t="n"/>
      <c r="AO84" s="3934" t="n"/>
      <c r="AP84" s="3934" t="n"/>
      <c r="AQ84" s="3934" t="n"/>
      <c r="AR84" s="3934" t="n"/>
    </row>
    <row r="85">
      <c r="A85" s="3944" t="n"/>
      <c r="B85" s="3944" t="n"/>
      <c r="C85" s="3944" t="inlineStr"/>
      <c r="D85" s="3944" t="n"/>
      <c r="E85" s="3944" t="n"/>
      <c r="F85" s="3934" t="n"/>
      <c r="G85" s="3934" t="n"/>
      <c r="H85" s="3934" t="n"/>
      <c r="I85" s="3934" t="n"/>
      <c r="J85" s="3934" t="n"/>
      <c r="K85" s="3934" t="n"/>
      <c r="L85" s="3934" t="n"/>
      <c r="M85" s="3934" t="n"/>
      <c r="N85" s="3934" t="n"/>
      <c r="O85" s="3934" t="n"/>
      <c r="P85" s="3934" t="n"/>
      <c r="Q85" s="3934" t="n"/>
      <c r="R85" s="3934" t="n"/>
      <c r="S85" s="3934" t="n"/>
      <c r="T85" s="3934" t="n"/>
      <c r="U85" s="3934" t="n"/>
      <c r="V85" s="3934" t="n"/>
      <c r="W85" s="3934" t="n"/>
      <c r="X85" s="3934" t="n"/>
      <c r="Y85" s="3934" t="n"/>
      <c r="Z85" s="3934" t="n"/>
      <c r="AA85" s="3934" t="n"/>
      <c r="AB85" s="3934" t="n"/>
      <c r="AC85" s="3934" t="n"/>
      <c r="AD85" s="3934" t="n"/>
      <c r="AE85" s="3934" t="n"/>
      <c r="AF85" s="3934" t="n"/>
      <c r="AG85" s="3934" t="n"/>
      <c r="AH85" s="3934" t="n"/>
      <c r="AI85" s="3934" t="n"/>
      <c r="AJ85" s="3934" t="n"/>
      <c r="AK85" s="3934" t="n"/>
      <c r="AL85" s="3934" t="n"/>
      <c r="AM85" s="3934" t="n"/>
      <c r="AN85" s="3934" t="n"/>
      <c r="AO85" s="3934" t="n"/>
      <c r="AP85" s="3934" t="n"/>
      <c r="AQ85" s="3934" t="n"/>
      <c r="AR85" s="3934" t="n"/>
    </row>
    <row r="86">
      <c r="A86" s="3944" t="n"/>
      <c r="B86" s="3944" t="n"/>
      <c r="C86" s="3944" t="inlineStr"/>
      <c r="D86" s="3944" t="n"/>
      <c r="E86" s="3944" t="n"/>
      <c r="F86" s="3934" t="n"/>
      <c r="G86" s="3934" t="n"/>
      <c r="H86" s="3934" t="n"/>
      <c r="I86" s="3934" t="n"/>
      <c r="J86" s="3934" t="n"/>
      <c r="K86" s="3934" t="n"/>
      <c r="L86" s="3934" t="n"/>
      <c r="M86" s="3934" t="n"/>
      <c r="N86" s="3934" t="n"/>
      <c r="O86" s="3934" t="n"/>
      <c r="P86" s="3934" t="n"/>
      <c r="Q86" s="3934" t="n"/>
      <c r="R86" s="3934" t="n"/>
      <c r="S86" s="3934" t="n"/>
      <c r="T86" s="3934" t="n"/>
      <c r="U86" s="3934" t="n"/>
      <c r="V86" s="3934" t="n"/>
      <c r="W86" s="3934" t="n"/>
      <c r="X86" s="3934" t="n"/>
      <c r="Y86" s="3934" t="n"/>
      <c r="Z86" s="3934" t="n"/>
      <c r="AA86" s="3934" t="n"/>
      <c r="AB86" s="3934" t="n"/>
      <c r="AC86" s="3934" t="n"/>
      <c r="AD86" s="3934" t="n"/>
      <c r="AE86" s="3934" t="n"/>
      <c r="AF86" s="3934" t="n"/>
      <c r="AG86" s="3934" t="n"/>
      <c r="AH86" s="3934" t="n"/>
      <c r="AI86" s="3934" t="n"/>
      <c r="AJ86" s="3934" t="n"/>
      <c r="AK86" s="3934" t="n"/>
      <c r="AL86" s="3934" t="n"/>
      <c r="AM86" s="3934" t="n"/>
      <c r="AN86" s="3934" t="n"/>
      <c r="AO86" s="3934" t="n"/>
      <c r="AP86" s="3934" t="n"/>
      <c r="AQ86" s="3934" t="n"/>
      <c r="AR86" s="3934" t="n"/>
    </row>
    <row r="87">
      <c r="A87" s="3944" t="n"/>
      <c r="B87" s="3944" t="n"/>
      <c r="C87" s="3944" t="inlineStr"/>
      <c r="D87" s="3944" t="n"/>
      <c r="E87" s="3944" t="n"/>
      <c r="F87" s="3934" t="n"/>
      <c r="G87" s="3934" t="n"/>
      <c r="H87" s="3934" t="n"/>
      <c r="I87" s="3934" t="n"/>
      <c r="J87" s="3934" t="n"/>
      <c r="K87" s="3934" t="n"/>
      <c r="L87" s="3934" t="n"/>
      <c r="M87" s="3934" t="n"/>
      <c r="N87" s="3934" t="n"/>
      <c r="O87" s="3934" t="n"/>
      <c r="P87" s="3934" t="n"/>
      <c r="Q87" s="3934" t="n"/>
      <c r="R87" s="3934" t="n"/>
      <c r="S87" s="3934" t="n"/>
      <c r="T87" s="3934" t="n"/>
      <c r="U87" s="3934" t="n"/>
      <c r="V87" s="3934" t="n"/>
      <c r="W87" s="3934" t="n"/>
      <c r="X87" s="3934" t="n"/>
      <c r="Y87" s="3934" t="n"/>
      <c r="Z87" s="3934" t="n"/>
      <c r="AA87" s="3934" t="n"/>
      <c r="AB87" s="3934" t="n"/>
      <c r="AC87" s="3934" t="n"/>
      <c r="AD87" s="3934" t="n"/>
      <c r="AE87" s="3934" t="n"/>
      <c r="AF87" s="3934" t="n"/>
      <c r="AG87" s="3934" t="n"/>
      <c r="AH87" s="3934" t="n"/>
      <c r="AI87" s="3934" t="n"/>
      <c r="AJ87" s="3934" t="n"/>
      <c r="AK87" s="3934" t="n"/>
      <c r="AL87" s="3934" t="n"/>
      <c r="AM87" s="3934" t="n"/>
      <c r="AN87" s="3934" t="n"/>
      <c r="AO87" s="3934" t="n"/>
      <c r="AP87" s="3934" t="n"/>
      <c r="AQ87" s="3934" t="n"/>
      <c r="AR87" s="3934" t="n"/>
    </row>
    <row r="88">
      <c r="A88" s="3944" t="n"/>
      <c r="B88" s="3944" t="n"/>
      <c r="C88" s="3944" t="inlineStr"/>
      <c r="D88" s="3944" t="n"/>
      <c r="E88" s="3944" t="n"/>
      <c r="F88" s="3934" t="n"/>
      <c r="G88" s="3934" t="n"/>
      <c r="H88" s="3934" t="n"/>
      <c r="I88" s="3934" t="n"/>
      <c r="J88" s="3934" t="n"/>
      <c r="K88" s="3934" t="n"/>
      <c r="L88" s="3934" t="n"/>
      <c r="M88" s="3934" t="n"/>
      <c r="N88" s="3934" t="n"/>
      <c r="O88" s="3934" t="n"/>
      <c r="P88" s="3934" t="n"/>
      <c r="Q88" s="3934" t="n"/>
      <c r="R88" s="3934" t="n"/>
      <c r="S88" s="3934" t="n"/>
      <c r="T88" s="3934" t="n"/>
      <c r="U88" s="3934" t="n"/>
      <c r="V88" s="3934" t="n"/>
      <c r="W88" s="3934" t="n"/>
      <c r="X88" s="3934" t="n"/>
      <c r="Y88" s="3934" t="n"/>
      <c r="Z88" s="3934" t="n"/>
      <c r="AA88" s="3934" t="n"/>
      <c r="AB88" s="3934" t="n"/>
      <c r="AC88" s="3934" t="n"/>
      <c r="AD88" s="3934" t="n"/>
      <c r="AE88" s="3934" t="n"/>
      <c r="AF88" s="3934" t="n"/>
      <c r="AG88" s="3934" t="n"/>
      <c r="AH88" s="3934" t="n"/>
      <c r="AI88" s="3934" t="n"/>
      <c r="AJ88" s="3934" t="n"/>
      <c r="AK88" s="3934" t="n"/>
      <c r="AL88" s="3934" t="n"/>
      <c r="AM88" s="3934" t="n"/>
      <c r="AN88" s="3934" t="n"/>
      <c r="AO88" s="3934" t="n"/>
      <c r="AP88" s="3934" t="n"/>
      <c r="AQ88" s="3934" t="n"/>
      <c r="AR88" s="3934" t="n"/>
    </row>
    <row r="89">
      <c r="A89" s="3944" t="n"/>
      <c r="B89" s="3944" t="n"/>
      <c r="C89" s="3944" t="inlineStr"/>
      <c r="D89" s="3944" t="n"/>
      <c r="E89" s="3944" t="n"/>
      <c r="F89" s="3934" t="n"/>
      <c r="G89" s="3934" t="n"/>
      <c r="H89" s="3934" t="n"/>
      <c r="I89" s="3934" t="n"/>
      <c r="J89" s="3934" t="n"/>
      <c r="K89" s="3934" t="n"/>
      <c r="L89" s="3934" t="n"/>
      <c r="M89" s="3934" t="n"/>
      <c r="N89" s="3934" t="n"/>
      <c r="O89" s="3934" t="n"/>
      <c r="P89" s="3934" t="n"/>
      <c r="Q89" s="3934" t="n"/>
      <c r="R89" s="3934" t="n"/>
      <c r="S89" s="3934" t="n"/>
      <c r="T89" s="3934" t="n"/>
      <c r="U89" s="3934" t="n"/>
      <c r="V89" s="3934" t="n"/>
      <c r="W89" s="3934" t="n"/>
      <c r="X89" s="3934" t="n"/>
      <c r="Y89" s="3934" t="n"/>
      <c r="Z89" s="3934" t="n"/>
      <c r="AA89" s="3934" t="n"/>
      <c r="AB89" s="3934" t="n"/>
      <c r="AC89" s="3934" t="n"/>
      <c r="AD89" s="3934" t="n"/>
      <c r="AE89" s="3934" t="n"/>
      <c r="AF89" s="3934" t="n"/>
      <c r="AG89" s="3934" t="n"/>
      <c r="AH89" s="3934" t="n"/>
      <c r="AI89" s="3934" t="n"/>
      <c r="AJ89" s="3934" t="n"/>
      <c r="AK89" s="3934" t="n"/>
      <c r="AL89" s="3934" t="n"/>
      <c r="AM89" s="3934" t="n"/>
      <c r="AN89" s="3934" t="n"/>
      <c r="AO89" s="3934" t="n"/>
      <c r="AP89" s="3934" t="n"/>
      <c r="AQ89" s="3934" t="n"/>
      <c r="AR89" s="3934" t="n"/>
    </row>
    <row r="90">
      <c r="A90" s="3944" t="n"/>
      <c r="B90" s="3944" t="n"/>
      <c r="C90" s="3944" t="inlineStr"/>
      <c r="D90" s="3944" t="n"/>
      <c r="E90" s="3944" t="n"/>
      <c r="F90" s="3934" t="n"/>
      <c r="G90" s="3934" t="n"/>
      <c r="H90" s="3934" t="n"/>
      <c r="I90" s="3934" t="n"/>
      <c r="J90" s="3934" t="n"/>
      <c r="K90" s="3934" t="n"/>
      <c r="L90" s="3934" t="n"/>
      <c r="M90" s="3934" t="n"/>
      <c r="N90" s="3934" t="n"/>
      <c r="O90" s="3934" t="n"/>
      <c r="P90" s="3934" t="n"/>
      <c r="Q90" s="3934" t="n"/>
      <c r="R90" s="3934" t="n"/>
      <c r="S90" s="3934" t="n"/>
      <c r="T90" s="3934" t="n"/>
      <c r="U90" s="3934" t="n"/>
      <c r="V90" s="3934" t="n"/>
      <c r="W90" s="3934" t="n"/>
      <c r="X90" s="3934" t="n"/>
      <c r="Y90" s="3934" t="n"/>
      <c r="Z90" s="3934" t="n"/>
      <c r="AA90" s="3934" t="n"/>
      <c r="AB90" s="3934" t="n"/>
      <c r="AC90" s="3934" t="n"/>
      <c r="AD90" s="3934" t="n"/>
      <c r="AE90" s="3934" t="n"/>
      <c r="AF90" s="3934" t="n"/>
      <c r="AG90" s="3934" t="n"/>
      <c r="AH90" s="3934" t="n"/>
      <c r="AI90" s="3934" t="n"/>
      <c r="AJ90" s="3934" t="n"/>
      <c r="AK90" s="3934" t="n"/>
      <c r="AL90" s="3934" t="n"/>
      <c r="AM90" s="3934" t="n"/>
      <c r="AN90" s="3934" t="n"/>
      <c r="AO90" s="3934" t="n"/>
      <c r="AP90" s="3934" t="n"/>
      <c r="AQ90" s="3934" t="n"/>
      <c r="AR90" s="3934" t="n"/>
    </row>
    <row r="91">
      <c r="A91" s="3944" t="n"/>
      <c r="B91" s="3944" t="n"/>
      <c r="C91" s="3944" t="inlineStr"/>
      <c r="D91" s="3944" t="n"/>
      <c r="E91" s="3944" t="n"/>
      <c r="F91" s="3934" t="n"/>
      <c r="G91" s="3934" t="n"/>
      <c r="H91" s="3934" t="n"/>
      <c r="I91" s="3934" t="n"/>
      <c r="J91" s="3934" t="n"/>
      <c r="K91" s="3934" t="n"/>
      <c r="L91" s="3934" t="n"/>
      <c r="M91" s="3934" t="n"/>
      <c r="N91" s="3934" t="n"/>
      <c r="O91" s="3934" t="n"/>
      <c r="P91" s="3934" t="n"/>
      <c r="Q91" s="3934" t="n"/>
      <c r="R91" s="3934" t="n"/>
      <c r="S91" s="3934" t="n"/>
      <c r="T91" s="3934" t="n"/>
      <c r="U91" s="3934" t="n"/>
      <c r="V91" s="3934" t="n"/>
      <c r="W91" s="3934" t="n"/>
      <c r="X91" s="3934" t="n"/>
      <c r="Y91" s="3934" t="n"/>
      <c r="Z91" s="3934" t="n"/>
      <c r="AA91" s="3934" t="n"/>
      <c r="AB91" s="3934" t="n"/>
      <c r="AC91" s="3934" t="n"/>
      <c r="AD91" s="3934" t="n"/>
      <c r="AE91" s="3934" t="n"/>
      <c r="AF91" s="3934" t="n"/>
      <c r="AG91" s="3934" t="n"/>
      <c r="AH91" s="3934" t="n"/>
      <c r="AI91" s="3934" t="n"/>
      <c r="AJ91" s="3934" t="n"/>
      <c r="AK91" s="3934" t="n"/>
      <c r="AL91" s="3934" t="n"/>
      <c r="AM91" s="3934" t="n"/>
      <c r="AN91" s="3934" t="n"/>
      <c r="AO91" s="3934" t="n"/>
      <c r="AP91" s="3934" t="n"/>
      <c r="AQ91" s="3934" t="n"/>
      <c r="AR91" s="3934" t="n"/>
    </row>
    <row r="92">
      <c r="A92" s="3944" t="n"/>
      <c r="B92" s="3944" t="n"/>
      <c r="C92" s="3944" t="inlineStr"/>
      <c r="D92" s="3944" t="n"/>
      <c r="E92" s="3944" t="n"/>
      <c r="F92" s="3934" t="n"/>
      <c r="G92" s="3934" t="n"/>
      <c r="H92" s="3934" t="n"/>
      <c r="I92" s="3934" t="n"/>
      <c r="J92" s="3934" t="n"/>
      <c r="K92" s="3934" t="n"/>
      <c r="L92" s="3934" t="n"/>
      <c r="M92" s="3934" t="n"/>
      <c r="N92" s="3934" t="n"/>
      <c r="O92" s="3934" t="n"/>
      <c r="P92" s="3934" t="n"/>
      <c r="Q92" s="3934" t="n"/>
      <c r="R92" s="3934" t="n"/>
      <c r="S92" s="3934" t="n"/>
      <c r="T92" s="3934" t="n"/>
      <c r="U92" s="3934" t="n"/>
      <c r="V92" s="3934" t="n"/>
      <c r="W92" s="3934" t="n"/>
      <c r="X92" s="3934" t="n"/>
      <c r="Y92" s="3934" t="n"/>
      <c r="Z92" s="3934" t="n"/>
      <c r="AA92" s="3934" t="n"/>
      <c r="AB92" s="3934" t="n"/>
      <c r="AC92" s="3934" t="n"/>
      <c r="AD92" s="3934" t="n"/>
      <c r="AE92" s="3934" t="n"/>
      <c r="AF92" s="3934" t="n"/>
      <c r="AG92" s="3934" t="n"/>
      <c r="AH92" s="3934" t="n"/>
      <c r="AI92" s="3934" t="n"/>
      <c r="AJ92" s="3934" t="n"/>
      <c r="AK92" s="3934" t="n"/>
      <c r="AL92" s="3934" t="n"/>
      <c r="AM92" s="3934" t="n"/>
      <c r="AN92" s="3934" t="n"/>
      <c r="AO92" s="3934" t="n"/>
      <c r="AP92" s="3934" t="n"/>
      <c r="AQ92" s="3934" t="n"/>
      <c r="AR92" s="3934" t="n"/>
    </row>
    <row r="93">
      <c r="A93" s="3944" t="n"/>
      <c r="B93" s="3944" t="n"/>
      <c r="C93" s="3944" t="inlineStr"/>
      <c r="D93" s="3944" t="n"/>
      <c r="E93" s="3944" t="n"/>
      <c r="F93" s="3934" t="n"/>
      <c r="G93" s="3934" t="n"/>
      <c r="H93" s="3934" t="n"/>
      <c r="I93" s="3934" t="n"/>
      <c r="J93" s="3934" t="n"/>
      <c r="K93" s="3934" t="n"/>
      <c r="L93" s="3934" t="n"/>
      <c r="M93" s="3934" t="n"/>
      <c r="N93" s="3934" t="n"/>
      <c r="O93" s="3934" t="n"/>
      <c r="P93" s="3934" t="n"/>
      <c r="Q93" s="3934" t="n"/>
      <c r="R93" s="3934" t="n"/>
      <c r="S93" s="3934" t="n"/>
      <c r="T93" s="3934" t="n"/>
      <c r="U93" s="3934" t="n"/>
      <c r="V93" s="3934" t="n"/>
      <c r="W93" s="3934" t="n"/>
      <c r="X93" s="3934" t="n"/>
      <c r="Y93" s="3934" t="n"/>
      <c r="Z93" s="3934" t="n"/>
      <c r="AA93" s="3934" t="n"/>
      <c r="AB93" s="3934" t="n"/>
      <c r="AC93" s="3934" t="n"/>
      <c r="AD93" s="3934" t="n"/>
      <c r="AE93" s="3934" t="n"/>
      <c r="AF93" s="3934" t="n"/>
      <c r="AG93" s="3934" t="n"/>
      <c r="AH93" s="3934" t="n"/>
      <c r="AI93" s="3934" t="n"/>
      <c r="AJ93" s="3934" t="n"/>
      <c r="AK93" s="3934" t="n"/>
      <c r="AL93" s="3934" t="n"/>
      <c r="AM93" s="3934" t="n"/>
      <c r="AN93" s="3934" t="n"/>
      <c r="AO93" s="3934" t="n"/>
      <c r="AP93" s="3934" t="n"/>
      <c r="AQ93" s="3934" t="n"/>
      <c r="AR93" s="3934" t="n"/>
    </row>
    <row r="94">
      <c r="A94" s="3944" t="n"/>
      <c r="B94" s="3944" t="n"/>
      <c r="C94" s="3944" t="inlineStr"/>
      <c r="D94" s="3944" t="n"/>
      <c r="E94" s="3944" t="n"/>
      <c r="F94" s="3934" t="n"/>
      <c r="G94" s="3934" t="n"/>
      <c r="H94" s="3934" t="n"/>
      <c r="I94" s="3934" t="n"/>
      <c r="J94" s="3934" t="n"/>
      <c r="K94" s="3934" t="n"/>
      <c r="L94" s="3934" t="n"/>
      <c r="M94" s="3934" t="n"/>
      <c r="N94" s="3934" t="n"/>
      <c r="O94" s="3934" t="n"/>
      <c r="P94" s="3934" t="n"/>
      <c r="Q94" s="3934" t="n"/>
      <c r="R94" s="3934" t="n"/>
      <c r="S94" s="3934" t="n"/>
      <c r="T94" s="3934" t="n"/>
      <c r="U94" s="3934" t="n"/>
      <c r="V94" s="3934" t="n"/>
      <c r="W94" s="3934" t="n"/>
      <c r="X94" s="3934" t="n"/>
      <c r="Y94" s="3934" t="n"/>
      <c r="Z94" s="3934" t="n"/>
      <c r="AA94" s="3934" t="n"/>
      <c r="AB94" s="3934" t="n"/>
      <c r="AC94" s="3934" t="n"/>
      <c r="AD94" s="3934" t="n"/>
      <c r="AE94" s="3934" t="n"/>
      <c r="AF94" s="3934" t="n"/>
      <c r="AG94" s="3934" t="n"/>
      <c r="AH94" s="3934" t="n"/>
      <c r="AI94" s="3934" t="n"/>
      <c r="AJ94" s="3934" t="n"/>
      <c r="AK94" s="3934" t="n"/>
      <c r="AL94" s="3934" t="n"/>
      <c r="AM94" s="3934" t="n"/>
      <c r="AN94" s="3934" t="n"/>
      <c r="AO94" s="3934" t="n"/>
      <c r="AP94" s="3934" t="n"/>
      <c r="AQ94" s="3934" t="n"/>
      <c r="AR94" s="3934" t="n"/>
    </row>
    <row r="95">
      <c r="A95" s="3944" t="n"/>
      <c r="B95" s="3944" t="n"/>
      <c r="C95" s="3944" t="inlineStr"/>
      <c r="D95" s="3944" t="n"/>
      <c r="E95" s="3944" t="n"/>
      <c r="F95" s="3934" t="n"/>
      <c r="G95" s="3934" t="n"/>
      <c r="H95" s="3934" t="n"/>
      <c r="I95" s="3934" t="n"/>
      <c r="J95" s="3934" t="n"/>
      <c r="K95" s="3934" t="n"/>
      <c r="L95" s="3934" t="n"/>
      <c r="M95" s="3934" t="n"/>
      <c r="N95" s="3934" t="n"/>
      <c r="O95" s="3934" t="n"/>
      <c r="P95" s="3934" t="n"/>
      <c r="Q95" s="3934" t="n"/>
      <c r="R95" s="3934" t="n"/>
      <c r="S95" s="3934" t="n"/>
      <c r="T95" s="3934" t="n"/>
      <c r="U95" s="3934" t="n"/>
      <c r="V95" s="3934" t="n"/>
      <c r="W95" s="3934" t="n"/>
      <c r="X95" s="3934" t="n"/>
      <c r="Y95" s="3934" t="n"/>
      <c r="Z95" s="3934" t="n"/>
      <c r="AA95" s="3934" t="n"/>
      <c r="AB95" s="3934" t="n"/>
      <c r="AC95" s="3934" t="n"/>
      <c r="AD95" s="3934" t="n"/>
      <c r="AE95" s="3934" t="n"/>
      <c r="AF95" s="3934" t="n"/>
      <c r="AG95" s="3934" t="n"/>
      <c r="AH95" s="3934" t="n"/>
      <c r="AI95" s="3934" t="n"/>
      <c r="AJ95" s="3934" t="n"/>
      <c r="AK95" s="3934" t="n"/>
      <c r="AL95" s="3934" t="n"/>
      <c r="AM95" s="3934" t="n"/>
      <c r="AN95" s="3934" t="n"/>
      <c r="AO95" s="3934" t="n"/>
      <c r="AP95" s="3934" t="n"/>
      <c r="AQ95" s="3934" t="n"/>
      <c r="AR95" s="3934" t="n"/>
    </row>
    <row r="96">
      <c r="A96" s="3944" t="n"/>
      <c r="B96" s="3944" t="n"/>
      <c r="C96" s="3944" t="inlineStr"/>
      <c r="D96" s="3944" t="n"/>
      <c r="E96" s="3944" t="n"/>
      <c r="F96" s="3934" t="n"/>
      <c r="G96" s="3934" t="n"/>
      <c r="H96" s="3934" t="n"/>
      <c r="I96" s="3934" t="n"/>
      <c r="J96" s="3934" t="n"/>
      <c r="K96" s="3934" t="n"/>
      <c r="L96" s="3934" t="n"/>
      <c r="M96" s="3934" t="n"/>
      <c r="N96" s="3934" t="n"/>
      <c r="O96" s="3934" t="n"/>
      <c r="P96" s="3934" t="n"/>
      <c r="Q96" s="3934" t="n"/>
      <c r="R96" s="3934" t="n"/>
      <c r="S96" s="3934" t="n"/>
      <c r="T96" s="3934" t="n"/>
      <c r="U96" s="3934" t="n"/>
      <c r="V96" s="3934" t="n"/>
      <c r="W96" s="3934" t="n"/>
      <c r="X96" s="3934" t="n"/>
      <c r="Y96" s="3934" t="n"/>
      <c r="Z96" s="3934" t="n"/>
      <c r="AA96" s="3934" t="n"/>
      <c r="AB96" s="3934" t="n"/>
      <c r="AC96" s="3934" t="n"/>
      <c r="AD96" s="3934" t="n"/>
      <c r="AE96" s="3934" t="n"/>
      <c r="AF96" s="3934" t="n"/>
      <c r="AG96" s="3934" t="n"/>
      <c r="AH96" s="3934" t="n"/>
      <c r="AI96" s="3934" t="n"/>
      <c r="AJ96" s="3934" t="n"/>
      <c r="AK96" s="3934" t="n"/>
      <c r="AL96" s="3934" t="n"/>
      <c r="AM96" s="3934" t="n"/>
      <c r="AN96" s="3934" t="n"/>
      <c r="AO96" s="3934" t="n"/>
      <c r="AP96" s="3934" t="n"/>
      <c r="AQ96" s="3934" t="n"/>
      <c r="AR96" s="3934" t="n"/>
    </row>
    <row r="97">
      <c r="A97" s="3944" t="n"/>
      <c r="B97" s="3944" t="n"/>
      <c r="C97" s="3944" t="inlineStr"/>
      <c r="D97" s="3944" t="n"/>
      <c r="E97" s="3944" t="n"/>
      <c r="F97" s="3934" t="n"/>
      <c r="G97" s="3934" t="n"/>
      <c r="H97" s="3934" t="n"/>
      <c r="I97" s="3934" t="n"/>
      <c r="J97" s="3934" t="n"/>
      <c r="K97" s="3934" t="n"/>
      <c r="L97" s="3934" t="n"/>
      <c r="M97" s="3934" t="n"/>
      <c r="N97" s="3934" t="n"/>
      <c r="O97" s="3934" t="n"/>
      <c r="P97" s="3934" t="n"/>
      <c r="Q97" s="3934" t="n"/>
      <c r="R97" s="3934" t="n"/>
      <c r="S97" s="3934" t="n"/>
      <c r="T97" s="3934" t="n"/>
      <c r="U97" s="3934" t="n"/>
      <c r="V97" s="3934" t="n"/>
      <c r="W97" s="3934" t="n"/>
      <c r="X97" s="3934" t="n"/>
      <c r="Y97" s="3934" t="n"/>
      <c r="Z97" s="3934" t="n"/>
      <c r="AA97" s="3934" t="n"/>
      <c r="AB97" s="3934" t="n"/>
      <c r="AC97" s="3934" t="n"/>
      <c r="AD97" s="3934" t="n"/>
      <c r="AE97" s="3934" t="n"/>
      <c r="AF97" s="3934" t="n"/>
      <c r="AG97" s="3934" t="n"/>
      <c r="AH97" s="3934" t="n"/>
      <c r="AI97" s="3934" t="n"/>
      <c r="AJ97" s="3934" t="n"/>
      <c r="AK97" s="3934" t="n"/>
      <c r="AL97" s="3934" t="n"/>
      <c r="AM97" s="3934" t="n"/>
      <c r="AN97" s="3934" t="n"/>
      <c r="AO97" s="3934" t="n"/>
      <c r="AP97" s="3934" t="n"/>
      <c r="AQ97" s="3934" t="n"/>
      <c r="AR97" s="3934" t="n"/>
    </row>
    <row r="98">
      <c r="A98" s="3944" t="n"/>
      <c r="B98" s="3944" t="n"/>
      <c r="C98" s="3944" t="inlineStr"/>
      <c r="D98" s="3944" t="n"/>
      <c r="E98" s="3944" t="n"/>
      <c r="F98" s="3934" t="n"/>
      <c r="G98" s="3934" t="n"/>
      <c r="H98" s="3934" t="n"/>
      <c r="I98" s="3934" t="n"/>
      <c r="J98" s="3934" t="n"/>
      <c r="K98" s="3934" t="n"/>
      <c r="L98" s="3934" t="n"/>
      <c r="M98" s="3934" t="n"/>
      <c r="N98" s="3934" t="n"/>
      <c r="O98" s="3934" t="n"/>
      <c r="P98" s="3934" t="n"/>
      <c r="Q98" s="3934" t="n"/>
      <c r="R98" s="3934" t="n"/>
      <c r="S98" s="3934" t="n"/>
      <c r="T98" s="3934" t="n"/>
      <c r="U98" s="3934" t="n"/>
      <c r="V98" s="3934" t="n"/>
      <c r="W98" s="3934" t="n"/>
      <c r="X98" s="3934" t="n"/>
      <c r="Y98" s="3934" t="n"/>
      <c r="Z98" s="3934" t="n"/>
      <c r="AA98" s="3934" t="n"/>
      <c r="AB98" s="3934" t="n"/>
      <c r="AC98" s="3934" t="n"/>
      <c r="AD98" s="3934" t="n"/>
      <c r="AE98" s="3934" t="n"/>
      <c r="AF98" s="3934" t="n"/>
      <c r="AG98" s="3934" t="n"/>
      <c r="AH98" s="3934" t="n"/>
      <c r="AI98" s="3934" t="n"/>
      <c r="AJ98" s="3934" t="n"/>
      <c r="AK98" s="3934" t="n"/>
      <c r="AL98" s="3934" t="n"/>
      <c r="AM98" s="3934" t="n"/>
      <c r="AN98" s="3934" t="n"/>
      <c r="AO98" s="3934" t="n"/>
      <c r="AP98" s="3934" t="n"/>
      <c r="AQ98" s="3934" t="n"/>
      <c r="AR98" s="3934" t="n"/>
    </row>
    <row r="99">
      <c r="A99" s="3944" t="n"/>
      <c r="B99" s="3944" t="n"/>
      <c r="C99" s="3944" t="inlineStr"/>
      <c r="D99" s="3944" t="n"/>
      <c r="E99" s="3944" t="n"/>
      <c r="F99" s="3934" t="n"/>
      <c r="G99" s="3934" t="n"/>
      <c r="H99" s="3934" t="n"/>
      <c r="I99" s="3934" t="n"/>
      <c r="J99" s="3934" t="n"/>
      <c r="K99" s="3934" t="n"/>
      <c r="L99" s="3934" t="n"/>
      <c r="M99" s="3934" t="n"/>
      <c r="N99" s="3934" t="n"/>
      <c r="O99" s="3934" t="n"/>
      <c r="P99" s="3934" t="n"/>
      <c r="Q99" s="3934" t="n"/>
      <c r="R99" s="3934" t="n"/>
      <c r="S99" s="3934" t="n"/>
      <c r="T99" s="3934" t="n"/>
      <c r="U99" s="3934" t="n"/>
      <c r="V99" s="3934" t="n"/>
      <c r="W99" s="3934" t="n"/>
      <c r="X99" s="3934" t="n"/>
      <c r="Y99" s="3934" t="n"/>
      <c r="Z99" s="3934" t="n"/>
      <c r="AA99" s="3934" t="n"/>
      <c r="AB99" s="3934" t="n"/>
      <c r="AC99" s="3934" t="n"/>
      <c r="AD99" s="3934" t="n"/>
      <c r="AE99" s="3934" t="n"/>
      <c r="AF99" s="3934" t="n"/>
      <c r="AG99" s="3934" t="n"/>
      <c r="AH99" s="3934" t="n"/>
      <c r="AI99" s="3934" t="n"/>
      <c r="AJ99" s="3934" t="n"/>
      <c r="AK99" s="3934" t="n"/>
      <c r="AL99" s="3934" t="n"/>
      <c r="AM99" s="3934" t="n"/>
      <c r="AN99" s="3934" t="n"/>
      <c r="AO99" s="3934" t="n"/>
      <c r="AP99" s="3934" t="n"/>
      <c r="AQ99" s="3934" t="n"/>
      <c r="AR99" s="3934" t="n"/>
    </row>
    <row r="100">
      <c r="A100" s="3944" t="n"/>
      <c r="B100" s="3944" t="n"/>
      <c r="C100" s="3944" t="inlineStr"/>
      <c r="D100" s="3944" t="n"/>
      <c r="E100" s="3944" t="n"/>
      <c r="F100" s="3934" t="n"/>
      <c r="G100" s="3934" t="n"/>
      <c r="H100" s="3934" t="n"/>
      <c r="I100" s="3934" t="n"/>
      <c r="J100" s="3934" t="n"/>
      <c r="K100" s="3934" t="n"/>
      <c r="L100" s="3934" t="n"/>
      <c r="M100" s="3934" t="n"/>
      <c r="N100" s="3934" t="n"/>
      <c r="O100" s="3934" t="n"/>
      <c r="P100" s="3934" t="n"/>
      <c r="Q100" s="3934" t="n"/>
      <c r="R100" s="3934" t="n"/>
      <c r="S100" s="3934" t="n"/>
      <c r="T100" s="3934" t="n"/>
      <c r="U100" s="3934" t="n"/>
      <c r="V100" s="3934" t="n"/>
      <c r="W100" s="3934" t="n"/>
      <c r="X100" s="3934" t="n"/>
      <c r="Y100" s="3934" t="n"/>
      <c r="Z100" s="3934" t="n"/>
      <c r="AA100" s="3934" t="n"/>
      <c r="AB100" s="3934" t="n"/>
      <c r="AC100" s="3934" t="n"/>
      <c r="AD100" s="3934" t="n"/>
      <c r="AE100" s="3934" t="n"/>
      <c r="AF100" s="3934" t="n"/>
      <c r="AG100" s="3934" t="n"/>
      <c r="AH100" s="3934" t="n"/>
      <c r="AI100" s="3934" t="n"/>
      <c r="AJ100" s="3934" t="n"/>
      <c r="AK100" s="3934" t="n"/>
      <c r="AL100" s="3934" t="n"/>
      <c r="AM100" s="3934" t="n"/>
      <c r="AN100" s="3934" t="n"/>
      <c r="AO100" s="3934" t="n"/>
      <c r="AP100" s="3934" t="n"/>
      <c r="AQ100" s="3934" t="n"/>
      <c r="AR100" s="3934" t="n"/>
    </row>
    <row r="101">
      <c r="A101" s="3944" t="n"/>
      <c r="B101" s="3944" t="n"/>
      <c r="C101" s="3944" t="inlineStr"/>
      <c r="D101" s="3944" t="n"/>
      <c r="E101" s="3944" t="n"/>
      <c r="F101" s="3934" t="n"/>
      <c r="G101" s="3934" t="n"/>
      <c r="H101" s="3934" t="n"/>
      <c r="I101" s="3934" t="n"/>
      <c r="J101" s="3934" t="n"/>
      <c r="K101" s="3934" t="n"/>
      <c r="L101" s="3934" t="n"/>
      <c r="M101" s="3934" t="n"/>
      <c r="N101" s="3934" t="n"/>
      <c r="O101" s="3934" t="n"/>
      <c r="P101" s="3934" t="n"/>
      <c r="Q101" s="3934" t="n"/>
      <c r="R101" s="3934" t="n"/>
      <c r="S101" s="3934" t="n"/>
      <c r="T101" s="3934" t="n"/>
      <c r="U101" s="3934" t="n"/>
      <c r="V101" s="3934" t="n"/>
      <c r="W101" s="3934" t="n"/>
      <c r="X101" s="3934" t="n"/>
      <c r="Y101" s="3934" t="n"/>
      <c r="Z101" s="3934" t="n"/>
      <c r="AA101" s="3934" t="n"/>
      <c r="AB101" s="3934" t="n"/>
      <c r="AC101" s="3934" t="n"/>
      <c r="AD101" s="3934" t="n"/>
      <c r="AE101" s="3934" t="n"/>
      <c r="AF101" s="3934" t="n"/>
      <c r="AG101" s="3934" t="n"/>
      <c r="AH101" s="3934" t="n"/>
      <c r="AI101" s="3934" t="n"/>
      <c r="AJ101" s="3934" t="n"/>
      <c r="AK101" s="3934" t="n"/>
      <c r="AL101" s="3934" t="n"/>
      <c r="AM101" s="3934" t="n"/>
      <c r="AN101" s="3934" t="n"/>
      <c r="AO101" s="3934" t="n"/>
      <c r="AP101" s="3934" t="n"/>
      <c r="AQ101" s="3934" t="n"/>
      <c r="AR101" s="3934" t="n"/>
    </row>
    <row r="102">
      <c r="A102" s="3944" t="n"/>
      <c r="B102" s="3944" t="n"/>
      <c r="C102" s="3944" t="inlineStr"/>
      <c r="D102" s="3944" t="n"/>
      <c r="E102" s="3944" t="n"/>
      <c r="F102" s="3934" t="n"/>
      <c r="G102" s="3934" t="n"/>
      <c r="H102" s="3934" t="n"/>
      <c r="I102" s="3934" t="n"/>
      <c r="J102" s="3934" t="n"/>
      <c r="K102" s="3934" t="n"/>
      <c r="L102" s="3934" t="n"/>
      <c r="M102" s="3934" t="n"/>
      <c r="N102" s="3934" t="n"/>
      <c r="O102" s="3934" t="n"/>
      <c r="P102" s="3934" t="n"/>
      <c r="Q102" s="3934" t="n"/>
      <c r="R102" s="3934" t="n"/>
      <c r="S102" s="3934" t="n"/>
      <c r="T102" s="3934" t="n"/>
      <c r="U102" s="3934" t="n"/>
      <c r="V102" s="3934" t="n"/>
      <c r="W102" s="3934" t="n"/>
      <c r="X102" s="3934" t="n"/>
      <c r="Y102" s="3934" t="n"/>
      <c r="Z102" s="3934" t="n"/>
      <c r="AA102" s="3934" t="n"/>
      <c r="AB102" s="3934" t="n"/>
      <c r="AC102" s="3934" t="n"/>
      <c r="AD102" s="3934" t="n"/>
      <c r="AE102" s="3934" t="n"/>
      <c r="AF102" s="3934" t="n"/>
      <c r="AG102" s="3934" t="n"/>
      <c r="AH102" s="3934" t="n"/>
      <c r="AI102" s="3934" t="n"/>
      <c r="AJ102" s="3934" t="n"/>
      <c r="AK102" s="3934" t="n"/>
      <c r="AL102" s="3934" t="n"/>
      <c r="AM102" s="3934" t="n"/>
      <c r="AN102" s="3934" t="n"/>
      <c r="AO102" s="3934" t="n"/>
      <c r="AP102" s="3934" t="n"/>
      <c r="AQ102" s="3934" t="n"/>
      <c r="AR102" s="3934" t="n"/>
    </row>
    <row r="103">
      <c r="A103" s="3944" t="n"/>
      <c r="B103" s="3944" t="n"/>
      <c r="C103" s="3944" t="inlineStr"/>
      <c r="D103" s="3944" t="n"/>
      <c r="E103" s="3944" t="n"/>
      <c r="F103" s="3934" t="n"/>
      <c r="G103" s="3934" t="n"/>
      <c r="H103" s="3934" t="n"/>
      <c r="I103" s="3934" t="n"/>
      <c r="J103" s="3934" t="n"/>
      <c r="K103" s="3934" t="n"/>
      <c r="L103" s="3934" t="n"/>
      <c r="M103" s="3934" t="n"/>
      <c r="N103" s="3934" t="n"/>
      <c r="O103" s="3934" t="n"/>
      <c r="P103" s="3934" t="n"/>
      <c r="Q103" s="3934" t="n"/>
      <c r="R103" s="3934" t="n"/>
      <c r="S103" s="3934" t="n"/>
      <c r="T103" s="3934" t="n"/>
      <c r="U103" s="3934" t="n"/>
      <c r="V103" s="3934" t="n"/>
      <c r="W103" s="3934" t="n"/>
      <c r="X103" s="3934" t="n"/>
      <c r="Y103" s="3934" t="n"/>
      <c r="Z103" s="3934" t="n"/>
      <c r="AA103" s="3934" t="n"/>
      <c r="AB103" s="3934" t="n"/>
      <c r="AC103" s="3934" t="n"/>
      <c r="AD103" s="3934" t="n"/>
      <c r="AE103" s="3934" t="n"/>
      <c r="AF103" s="3934" t="n"/>
      <c r="AG103" s="3934" t="n"/>
      <c r="AH103" s="3934" t="n"/>
      <c r="AI103" s="3934" t="n"/>
      <c r="AJ103" s="3934" t="n"/>
      <c r="AK103" s="3934" t="n"/>
      <c r="AL103" s="3934" t="n"/>
      <c r="AM103" s="3934" t="n"/>
      <c r="AN103" s="3934" t="n"/>
      <c r="AO103" s="3934" t="n"/>
      <c r="AP103" s="3934" t="n"/>
      <c r="AQ103" s="3934" t="n"/>
      <c r="AR103" s="3934" t="n"/>
    </row>
    <row r="104">
      <c r="A104" s="3944" t="n"/>
      <c r="B104" s="3944" t="n"/>
      <c r="C104" s="3944" t="inlineStr"/>
      <c r="D104" s="3944" t="n"/>
      <c r="E104" s="3944" t="n"/>
      <c r="F104" s="3934" t="n"/>
      <c r="G104" s="3934" t="n"/>
      <c r="H104" s="3934" t="n"/>
      <c r="I104" s="3934" t="n"/>
      <c r="J104" s="3934" t="n"/>
      <c r="K104" s="3934" t="n"/>
      <c r="L104" s="3934" t="n"/>
      <c r="M104" s="3934" t="n"/>
      <c r="N104" s="3934" t="n"/>
      <c r="O104" s="3934" t="n"/>
      <c r="P104" s="3934" t="n"/>
      <c r="Q104" s="3934" t="n"/>
      <c r="R104" s="3934" t="n"/>
      <c r="S104" s="3934" t="n"/>
      <c r="T104" s="3934" t="n"/>
      <c r="U104" s="3934" t="n"/>
      <c r="V104" s="3934" t="n"/>
      <c r="W104" s="3934" t="n"/>
      <c r="X104" s="3934" t="n"/>
      <c r="Y104" s="3934" t="n"/>
      <c r="Z104" s="3934" t="n"/>
      <c r="AA104" s="3934" t="n"/>
      <c r="AB104" s="3934" t="n"/>
      <c r="AC104" s="3934" t="n"/>
      <c r="AD104" s="3934" t="n"/>
      <c r="AE104" s="3934" t="n"/>
      <c r="AF104" s="3934" t="n"/>
      <c r="AG104" s="3934" t="n"/>
      <c r="AH104" s="3934" t="n"/>
      <c r="AI104" s="3934" t="n"/>
      <c r="AJ104" s="3934" t="n"/>
      <c r="AK104" s="3934" t="n"/>
      <c r="AL104" s="3934" t="n"/>
      <c r="AM104" s="3934" t="n"/>
      <c r="AN104" s="3934" t="n"/>
      <c r="AO104" s="3934" t="n"/>
      <c r="AP104" s="3934" t="n"/>
      <c r="AQ104" s="3934" t="n"/>
      <c r="AR104" s="3934" t="n"/>
    </row>
    <row r="105">
      <c r="A105" s="3944" t="n"/>
      <c r="B105" s="3944" t="n"/>
      <c r="C105" s="3944" t="inlineStr"/>
      <c r="D105" s="3944" t="n"/>
      <c r="E105" s="3944" t="n"/>
      <c r="F105" s="3934" t="n"/>
      <c r="G105" s="3934" t="n"/>
      <c r="H105" s="3934" t="n"/>
      <c r="I105" s="3934" t="n"/>
      <c r="J105" s="3934" t="n"/>
      <c r="K105" s="3934" t="n"/>
      <c r="L105" s="3934" t="n"/>
      <c r="M105" s="3934" t="n"/>
      <c r="N105" s="3934" t="n"/>
      <c r="O105" s="3934" t="n"/>
      <c r="P105" s="3934" t="n"/>
      <c r="Q105" s="3934" t="n"/>
      <c r="R105" s="3934" t="n"/>
      <c r="S105" s="3934" t="n"/>
      <c r="T105" s="3934" t="n"/>
      <c r="U105" s="3934" t="n"/>
      <c r="V105" s="3934" t="n"/>
      <c r="W105" s="3934" t="n"/>
      <c r="X105" s="3934" t="n"/>
      <c r="Y105" s="3934" t="n"/>
      <c r="Z105" s="3934" t="n"/>
      <c r="AA105" s="3934" t="n"/>
      <c r="AB105" s="3934" t="n"/>
      <c r="AC105" s="3934" t="n"/>
      <c r="AD105" s="3934" t="n"/>
      <c r="AE105" s="3934" t="n"/>
      <c r="AF105" s="3934" t="n"/>
      <c r="AG105" s="3934" t="n"/>
      <c r="AH105" s="3934" t="n"/>
      <c r="AI105" s="3934" t="n"/>
      <c r="AJ105" s="3934" t="n"/>
      <c r="AK105" s="3934" t="n"/>
      <c r="AL105" s="3934" t="n"/>
      <c r="AM105" s="3934" t="n"/>
      <c r="AN105" s="3934" t="n"/>
      <c r="AO105" s="3934" t="n"/>
      <c r="AP105" s="3934" t="n"/>
      <c r="AQ105" s="3934" t="n"/>
      <c r="AR105" s="3934" t="n"/>
    </row>
    <row r="106">
      <c r="A106" s="3944" t="n"/>
      <c r="B106" s="3944" t="n"/>
      <c r="C106" s="3944" t="inlineStr"/>
      <c r="D106" s="3944" t="n"/>
      <c r="E106" s="3944" t="n"/>
      <c r="F106" s="3934" t="n"/>
      <c r="G106" s="3934" t="n"/>
      <c r="H106" s="3934" t="n"/>
      <c r="I106" s="3934" t="n"/>
      <c r="J106" s="3934" t="n"/>
      <c r="K106" s="3934" t="n"/>
      <c r="L106" s="3934" t="n"/>
      <c r="M106" s="3934" t="n"/>
      <c r="N106" s="3934" t="n"/>
      <c r="O106" s="3934" t="n"/>
      <c r="P106" s="3934" t="n"/>
      <c r="Q106" s="3934" t="n"/>
      <c r="R106" s="3934" t="n"/>
      <c r="S106" s="3934" t="n"/>
      <c r="T106" s="3934" t="n"/>
      <c r="U106" s="3934" t="n"/>
      <c r="V106" s="3934" t="n"/>
      <c r="W106" s="3934" t="n"/>
      <c r="X106" s="3934" t="n"/>
      <c r="Y106" s="3934" t="n"/>
      <c r="Z106" s="3934" t="n"/>
      <c r="AA106" s="3934" t="n"/>
      <c r="AB106" s="3934" t="n"/>
      <c r="AC106" s="3934" t="n"/>
      <c r="AD106" s="3934" t="n"/>
      <c r="AE106" s="3934" t="n"/>
      <c r="AF106" s="3934" t="n"/>
      <c r="AG106" s="3934" t="n"/>
      <c r="AH106" s="3934" t="n"/>
      <c r="AI106" s="3934" t="n"/>
      <c r="AJ106" s="3934" t="n"/>
      <c r="AK106" s="3934" t="n"/>
      <c r="AL106" s="3934" t="n"/>
      <c r="AM106" s="3934" t="n"/>
      <c r="AN106" s="3934" t="n"/>
      <c r="AO106" s="3934" t="n"/>
      <c r="AP106" s="3934" t="n"/>
      <c r="AQ106" s="3934" t="n"/>
      <c r="AR106" s="3934" t="n"/>
    </row>
    <row r="107">
      <c r="A107" s="3944" t="n"/>
      <c r="B107" s="3944" t="n"/>
      <c r="C107" s="3944" t="inlineStr"/>
      <c r="D107" s="3944" t="n"/>
      <c r="E107" s="3944" t="n"/>
      <c r="F107" s="3934" t="n"/>
      <c r="G107" s="3934" t="n"/>
      <c r="H107" s="3934" t="n"/>
      <c r="I107" s="3934" t="n"/>
      <c r="J107" s="3934" t="n"/>
      <c r="K107" s="3934" t="n"/>
      <c r="L107" s="3934" t="n"/>
      <c r="M107" s="3934" t="n"/>
      <c r="N107" s="3934" t="n"/>
      <c r="O107" s="3934" t="n"/>
      <c r="P107" s="3934" t="n"/>
      <c r="Q107" s="3934" t="n"/>
      <c r="R107" s="3934" t="n"/>
      <c r="S107" s="3934" t="n"/>
      <c r="T107" s="3934" t="n"/>
      <c r="U107" s="3934" t="n"/>
      <c r="V107" s="3934" t="n"/>
      <c r="W107" s="3934" t="n"/>
      <c r="X107" s="3934" t="n"/>
      <c r="Y107" s="3934" t="n"/>
      <c r="Z107" s="3934" t="n"/>
      <c r="AA107" s="3934" t="n"/>
      <c r="AB107" s="3934" t="n"/>
      <c r="AC107" s="3934" t="n"/>
      <c r="AD107" s="3934" t="n"/>
      <c r="AE107" s="3934" t="n"/>
      <c r="AF107" s="3934" t="n"/>
      <c r="AG107" s="3934" t="n"/>
      <c r="AH107" s="3934" t="n"/>
      <c r="AI107" s="3934" t="n"/>
      <c r="AJ107" s="3934" t="n"/>
      <c r="AK107" s="3934" t="n"/>
      <c r="AL107" s="3934" t="n"/>
      <c r="AM107" s="3934" t="n"/>
      <c r="AN107" s="3934" t="n"/>
      <c r="AO107" s="3934" t="n"/>
      <c r="AP107" s="3934" t="n"/>
      <c r="AQ107" s="3934" t="n"/>
      <c r="AR107" s="3934" t="n"/>
    </row>
    <row r="108">
      <c r="A108" s="3944" t="n"/>
      <c r="B108" s="3944" t="n"/>
      <c r="C108" s="3944" t="inlineStr"/>
      <c r="D108" s="3944" t="n"/>
      <c r="E108" s="3944" t="n"/>
      <c r="F108" s="3934" t="n"/>
      <c r="G108" s="3934" t="n"/>
      <c r="H108" s="3934" t="n"/>
      <c r="I108" s="3934" t="n"/>
      <c r="J108" s="3934" t="n"/>
      <c r="K108" s="3934" t="n"/>
      <c r="L108" s="3934" t="n"/>
      <c r="M108" s="3934" t="n"/>
      <c r="N108" s="3934" t="n"/>
      <c r="O108" s="3934" t="n"/>
      <c r="P108" s="3934" t="n"/>
      <c r="Q108" s="3934" t="n"/>
      <c r="R108" s="3934" t="n"/>
      <c r="S108" s="3934" t="n"/>
      <c r="T108" s="3934" t="n"/>
      <c r="U108" s="3934" t="n"/>
      <c r="V108" s="3934" t="n"/>
      <c r="W108" s="3934" t="n"/>
      <c r="X108" s="3934" t="n"/>
      <c r="Y108" s="3934" t="n"/>
      <c r="Z108" s="3934" t="n"/>
      <c r="AA108" s="3934" t="n"/>
      <c r="AB108" s="3934" t="n"/>
      <c r="AC108" s="3934" t="n"/>
      <c r="AD108" s="3934" t="n"/>
      <c r="AE108" s="3934" t="n"/>
      <c r="AF108" s="3934" t="n"/>
      <c r="AG108" s="3934" t="n"/>
      <c r="AH108" s="3934" t="n"/>
      <c r="AI108" s="3934" t="n"/>
      <c r="AJ108" s="3934" t="n"/>
      <c r="AK108" s="3934" t="n"/>
      <c r="AL108" s="3934" t="n"/>
      <c r="AM108" s="3934" t="n"/>
      <c r="AN108" s="3934" t="n"/>
      <c r="AO108" s="3934" t="n"/>
      <c r="AP108" s="3934" t="n"/>
      <c r="AQ108" s="3934" t="n"/>
      <c r="AR108" s="3934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0"/>
  <sheetViews>
    <sheetView showGridLines="0" view="pageBreakPreview" zoomScale="100" zoomScaleNormal="100" workbookViewId="0">
      <selection activeCell="A1" sqref="A1"/>
    </sheetView>
  </sheetViews>
  <sheetFormatPr baseColWidth="8" defaultRowHeight="15"/>
  <cols>
    <col width="36" customWidth="1" min="1" max="1"/>
  </cols>
  <sheetData>
    <row r="1">
      <c r="A1" s="3921" t="inlineStr">
        <is>
          <t>Financials&gt;&gt;</t>
        </is>
      </c>
    </row>
    <row r="2">
      <c r="A2" s="3935" t="inlineStr">
        <is>
          <t>Navigation divider for financial statement scaffolds.</t>
        </is>
      </c>
    </row>
    <row r="3">
      <c r="A3" s="3934" t="n"/>
    </row>
    <row r="4">
      <c r="A4" s="3945">
        <f>HYPERLINK("#'Combined | IS'!A1","Go to Combined | IS")</f>
        <v/>
      </c>
    </row>
    <row r="5">
      <c r="A5" s="3979" t="inlineStr">
        <is>
          <t>Financials&gt;&gt;</t>
        </is>
      </c>
    </row>
    <row r="6">
      <c r="A6" s="3923">
        <f>HYPERLINK("#'Combined | CF'!A1","Go to Combined | CF")</f>
        <v/>
      </c>
    </row>
    <row r="7">
      <c r="A7" s="3945">
        <f>HYPERLINK("#'Entity 1 | IS'!A1","Go to Entity 1 | IS")</f>
        <v/>
      </c>
    </row>
    <row r="8">
      <c r="A8" s="3945">
        <f>HYPERLINK("#'Entity 1 | BS'!A1","Go to Entity 1 | BS")</f>
        <v/>
      </c>
    </row>
    <row r="9">
      <c r="A9" s="3945">
        <f>HYPERLINK("#'Entity 1 | CF'!A1","Go to Entity 1 | CF")</f>
        <v/>
      </c>
    </row>
    <row r="10">
      <c r="A10" s="3934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S29"/>
  <sheetViews>
    <sheetView showGridLines="0" zoomScale="100" zoomScaleNormal="100" workbookViewId="0">
      <pane xSplit="6" ySplit="8" topLeftCell="G9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7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30" customWidth="1" min="46" max="46"/>
    <col width="30" customWidth="1" min="47" max="47"/>
  </cols>
  <sheetData>
    <row r="1">
      <c r="A1" s="3921" t="inlineStr">
        <is>
          <t>Combined IS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  <c r="AS1" s="3934" t="n"/>
    </row>
    <row r="2">
      <c r="A2" s="3978" t="inlineStr">
        <is>
          <t>Source: &lt;document_source&gt;</t>
        </is>
      </c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  <c r="AS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  <c r="AS3" s="3934" t="n"/>
    </row>
    <row r="4">
      <c r="A4" s="3956" t="n"/>
      <c r="B4" s="3956" t="n"/>
      <c r="C4" s="3934" t="n"/>
      <c r="D4" s="3957" t="n"/>
      <c r="E4" s="3958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  <c r="AS4" s="3934" t="n"/>
    </row>
    <row r="5">
      <c r="A5" s="3956" t="n"/>
      <c r="B5" s="3956" t="n"/>
      <c r="C5" s="3934" t="n"/>
      <c r="D5" s="3956" t="n"/>
      <c r="E5" s="3956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  <c r="AS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  <c r="AS6" s="3934" t="n"/>
    </row>
    <row r="7">
      <c r="A7" s="3979" t="inlineStr">
        <is>
          <t>Combined IS</t>
        </is>
      </c>
      <c r="B7" s="3980" t="n"/>
      <c r="C7" s="3980" t="n"/>
      <c r="D7" s="3980" t="n"/>
      <c r="E7" s="3980" t="n"/>
      <c r="F7" s="3980" t="n"/>
      <c r="G7" s="3980" t="n"/>
      <c r="H7" s="3980" t="n"/>
      <c r="I7" s="3980" t="n"/>
      <c r="J7" s="3980" t="n"/>
      <c r="K7" s="3980" t="n"/>
      <c r="L7" s="3980" t="n"/>
      <c r="M7" s="3980" t="n"/>
      <c r="N7" s="3980" t="n"/>
      <c r="O7" s="3980" t="n"/>
      <c r="P7" s="3980" t="n"/>
      <c r="Q7" s="3980" t="n"/>
      <c r="R7" s="3980" t="n"/>
      <c r="S7" s="3980" t="n"/>
      <c r="T7" s="3980" t="n"/>
      <c r="U7" s="3980" t="n"/>
      <c r="V7" s="3980" t="n"/>
      <c r="W7" s="3980" t="n"/>
      <c r="X7" s="3980" t="n"/>
      <c r="Y7" s="3980" t="n"/>
      <c r="Z7" s="3980" t="n"/>
      <c r="AA7" s="3980" t="n"/>
      <c r="AB7" s="3980" t="n"/>
      <c r="AC7" s="3980" t="n"/>
      <c r="AD7" s="3980" t="n"/>
      <c r="AE7" s="3980" t="n"/>
      <c r="AF7" s="3980" t="n"/>
      <c r="AG7" s="3980" t="n"/>
      <c r="AH7" s="3980" t="n"/>
      <c r="AI7" s="3980" t="n"/>
      <c r="AJ7" s="3980" t="n"/>
      <c r="AK7" s="3980" t="n"/>
      <c r="AL7" s="3980" t="n"/>
      <c r="AM7" s="3980" t="n"/>
      <c r="AN7" s="3980" t="n"/>
      <c r="AO7" s="3980" t="n"/>
      <c r="AP7" s="3980" t="n"/>
      <c r="AQ7" s="3980" t="n"/>
      <c r="AR7" s="3980" t="n"/>
      <c r="AS7" s="3980" t="n"/>
    </row>
    <row r="8">
      <c r="A8" s="3923" t="inlineStr">
        <is>
          <t>LineKey</t>
        </is>
      </c>
      <c r="B8" s="3923" t="inlineStr">
        <is>
          <t>$'000</t>
        </is>
      </c>
      <c r="C8" s="3923" t="inlineStr">
        <is>
          <t>TB Account No.</t>
        </is>
      </c>
      <c r="D8" s="3923" t="inlineStr">
        <is>
          <t>Sign</t>
        </is>
      </c>
      <c r="E8" s="3923" t="inlineStr">
        <is>
          <t>Source</t>
        </is>
      </c>
      <c r="F8" s="3923" t="inlineStr">
        <is>
          <t>Comments</t>
        </is>
      </c>
      <c r="G8" s="3947">
        <f>'Control | Setup'!A22</f>
        <v/>
      </c>
      <c r="H8" s="3947">
        <f>'Control | Setup'!A23</f>
        <v/>
      </c>
      <c r="I8" s="3947">
        <f>'Control | Setup'!A24</f>
        <v/>
      </c>
      <c r="J8" s="3947">
        <f>'Control | Setup'!A25</f>
        <v/>
      </c>
      <c r="K8" s="3947">
        <f>'Control | Setup'!A26</f>
        <v/>
      </c>
      <c r="L8" s="3947">
        <f>'Control | Setup'!A27</f>
        <v/>
      </c>
      <c r="M8" s="3947">
        <f>'Control | Setup'!A28</f>
        <v/>
      </c>
      <c r="N8" s="3947">
        <f>'Control | Setup'!A29</f>
        <v/>
      </c>
      <c r="O8" s="3947">
        <f>'Control | Setup'!A30</f>
        <v/>
      </c>
      <c r="P8" s="3947">
        <f>'Control | Setup'!A31</f>
        <v/>
      </c>
      <c r="Q8" s="3947">
        <f>'Control | Setup'!A32</f>
        <v/>
      </c>
      <c r="R8" s="3947">
        <f>'Control | Setup'!A33</f>
        <v/>
      </c>
      <c r="S8" s="3947">
        <f>'Control | Setup'!A34</f>
        <v/>
      </c>
      <c r="T8" s="3947">
        <f>'Control | Setup'!A35</f>
        <v/>
      </c>
      <c r="U8" s="3947">
        <f>'Control | Setup'!A36</f>
        <v/>
      </c>
      <c r="V8" s="3947">
        <f>'Control | Setup'!A37</f>
        <v/>
      </c>
      <c r="W8" s="3947">
        <f>'Control | Setup'!A38</f>
        <v/>
      </c>
      <c r="X8" s="3947">
        <f>'Control | Setup'!A39</f>
        <v/>
      </c>
      <c r="Y8" s="3947">
        <f>'Control | Setup'!A40</f>
        <v/>
      </c>
      <c r="Z8" s="3947">
        <f>'Control | Setup'!A41</f>
        <v/>
      </c>
      <c r="AA8" s="3947">
        <f>'Control | Setup'!A42</f>
        <v/>
      </c>
      <c r="AB8" s="3947">
        <f>'Control | Setup'!A43</f>
        <v/>
      </c>
      <c r="AC8" s="3947">
        <f>'Control | Setup'!A44</f>
        <v/>
      </c>
      <c r="AD8" s="3947">
        <f>'Control | Setup'!A45</f>
        <v/>
      </c>
      <c r="AE8" s="3947">
        <f>'Control | Setup'!A46</f>
        <v/>
      </c>
      <c r="AF8" s="3947">
        <f>'Control | Setup'!A47</f>
        <v/>
      </c>
      <c r="AG8" s="3947">
        <f>'Control | Setup'!A48</f>
        <v/>
      </c>
      <c r="AH8" s="3947">
        <f>'Control | Setup'!A49</f>
        <v/>
      </c>
      <c r="AI8" s="3947">
        <f>'Control | Setup'!A50</f>
        <v/>
      </c>
      <c r="AJ8" s="3947">
        <f>'Control | Setup'!A51</f>
        <v/>
      </c>
      <c r="AK8" s="3947">
        <f>'Control | Setup'!A52</f>
        <v/>
      </c>
      <c r="AL8" s="3947">
        <f>'Control | Setup'!A53</f>
        <v/>
      </c>
      <c r="AM8" s="3947">
        <f>'Control | Setup'!A54</f>
        <v/>
      </c>
      <c r="AN8" s="3947">
        <f>'Control | Setup'!A55</f>
        <v/>
      </c>
      <c r="AO8" s="3947">
        <f>'Control | Setup'!A56</f>
        <v/>
      </c>
      <c r="AP8" s="3947">
        <f>'Control | Setup'!A57</f>
        <v/>
      </c>
      <c r="AQ8" s="3947" t="inlineStr">
        <is>
          <t>FY-2</t>
        </is>
      </c>
      <c r="AR8" s="3947" t="inlineStr">
        <is>
          <t>FY-1</t>
        </is>
      </c>
      <c r="AS8" s="3947" t="inlineStr">
        <is>
          <t>TTM</t>
        </is>
      </c>
    </row>
    <row r="9">
      <c r="A9" s="3959" t="inlineStr">
        <is>
          <t>IS_REV</t>
        </is>
      </c>
      <c r="B9" s="3959" t="inlineStr">
        <is>
          <t>Revenue</t>
        </is>
      </c>
      <c r="C9" s="3959" t="inlineStr"/>
      <c r="D9" s="3959" t="inlineStr">
        <is>
          <t>+</t>
        </is>
      </c>
      <c r="E9" s="3959" t="inlineStr">
        <is>
          <t>TB/Map</t>
        </is>
      </c>
      <c r="F9" s="3959" t="inlineStr"/>
      <c r="G9" s="3929" t="n"/>
      <c r="H9" s="3929" t="n"/>
      <c r="I9" s="3929" t="n"/>
      <c r="J9" s="3929" t="n"/>
      <c r="K9" s="3929" t="n"/>
      <c r="L9" s="3929" t="n"/>
      <c r="M9" s="3929" t="n"/>
      <c r="N9" s="3929" t="n"/>
      <c r="O9" s="3929" t="n"/>
      <c r="P9" s="3929" t="n"/>
      <c r="Q9" s="3929" t="n"/>
      <c r="R9" s="3929" t="n"/>
      <c r="S9" s="3929" t="n"/>
      <c r="T9" s="3929" t="n"/>
      <c r="U9" s="3929" t="n"/>
      <c r="V9" s="3929" t="n"/>
      <c r="W9" s="3929" t="n"/>
      <c r="X9" s="3929" t="n"/>
      <c r="Y9" s="3929" t="n"/>
      <c r="Z9" s="3929" t="n"/>
      <c r="AA9" s="3929" t="n"/>
      <c r="AB9" s="3929" t="n"/>
      <c r="AC9" s="3929" t="n"/>
      <c r="AD9" s="3929" t="n"/>
      <c r="AE9" s="3929" t="n"/>
      <c r="AF9" s="3929" t="n"/>
      <c r="AG9" s="3929" t="n"/>
      <c r="AH9" s="3929" t="n"/>
      <c r="AI9" s="3929" t="n"/>
      <c r="AJ9" s="3929" t="n"/>
      <c r="AK9" s="3929" t="n"/>
      <c r="AL9" s="3929" t="n"/>
      <c r="AM9" s="3929" t="n"/>
      <c r="AN9" s="3929" t="n"/>
      <c r="AO9" s="3929" t="n"/>
      <c r="AP9" s="3929" t="n"/>
      <c r="AQ9" s="3949">
        <f>IF(COUNT(G9:R9)=0,"",SUM(G9:R9))</f>
        <v/>
      </c>
      <c r="AR9" s="3949">
        <f>IF(COUNT(S9:AD9)=0,"",SUM(S9:AD9))</f>
        <v/>
      </c>
      <c r="AS9" s="3949">
        <f>IF(COUNT(AE9:AP9)=0,"",SUM(AE9:AP9))</f>
        <v/>
      </c>
    </row>
    <row r="10">
      <c r="A10" s="3959" t="inlineStr">
        <is>
          <t>IS_COGS</t>
        </is>
      </c>
      <c r="B10" s="3959" t="inlineStr">
        <is>
          <t>Cost of goods sold</t>
        </is>
      </c>
      <c r="C10" s="3959" t="inlineStr"/>
      <c r="D10" s="3959" t="inlineStr">
        <is>
          <t>+</t>
        </is>
      </c>
      <c r="E10" s="3959" t="inlineStr">
        <is>
          <t>TB/Map</t>
        </is>
      </c>
      <c r="F10" s="3959" t="inlineStr"/>
      <c r="G10" s="3929" t="n"/>
      <c r="H10" s="3929" t="n"/>
      <c r="I10" s="3929" t="n"/>
      <c r="J10" s="3929" t="n"/>
      <c r="K10" s="3929" t="n"/>
      <c r="L10" s="3929" t="n"/>
      <c r="M10" s="3929" t="n"/>
      <c r="N10" s="3929" t="n"/>
      <c r="O10" s="3929" t="n"/>
      <c r="P10" s="3929" t="n"/>
      <c r="Q10" s="3929" t="n"/>
      <c r="R10" s="3929" t="n"/>
      <c r="S10" s="3929" t="n"/>
      <c r="T10" s="3929" t="n"/>
      <c r="U10" s="3929" t="n"/>
      <c r="V10" s="3929" t="n"/>
      <c r="W10" s="3929" t="n"/>
      <c r="X10" s="3929" t="n"/>
      <c r="Y10" s="3929" t="n"/>
      <c r="Z10" s="3929" t="n"/>
      <c r="AA10" s="3929" t="n"/>
      <c r="AB10" s="3929" t="n"/>
      <c r="AC10" s="3929" t="n"/>
      <c r="AD10" s="3929" t="n"/>
      <c r="AE10" s="3929" t="n"/>
      <c r="AF10" s="3929" t="n"/>
      <c r="AG10" s="3929" t="n"/>
      <c r="AH10" s="3929" t="n"/>
      <c r="AI10" s="3929" t="n"/>
      <c r="AJ10" s="3929" t="n"/>
      <c r="AK10" s="3929" t="n"/>
      <c r="AL10" s="3929" t="n"/>
      <c r="AM10" s="3929" t="n"/>
      <c r="AN10" s="3929" t="n"/>
      <c r="AO10" s="3929" t="n"/>
      <c r="AP10" s="3929" t="n"/>
      <c r="AQ10" s="3949">
        <f>IF(COUNT(G10:R10)=0,"",SUM(G10:R10))</f>
        <v/>
      </c>
      <c r="AR10" s="3949">
        <f>IF(COUNT(S10:AD10)=0,"",SUM(S10:AD10))</f>
        <v/>
      </c>
      <c r="AS10" s="3949">
        <f>IF(COUNT(AE10:AP10)=0,"",SUM(AE10:AP10))</f>
        <v/>
      </c>
    </row>
    <row r="11">
      <c r="A11" s="3959" t="inlineStr">
        <is>
          <t>IS_GP</t>
        </is>
      </c>
      <c r="B11" s="3959" t="inlineStr">
        <is>
          <t>Gross profit</t>
        </is>
      </c>
      <c r="C11" s="3959" t="inlineStr"/>
      <c r="D11" s="3959" t="inlineStr">
        <is>
          <t>+</t>
        </is>
      </c>
      <c r="E11" s="3959" t="inlineStr">
        <is>
          <t>Formula</t>
        </is>
      </c>
      <c r="F11" s="3959" t="inlineStr">
        <is>
          <t>Derived</t>
        </is>
      </c>
      <c r="G11" s="3960">
        <f>IF(OR(G9="",G10=""),"",G9+G10)</f>
        <v/>
      </c>
      <c r="H11" s="3960">
        <f>IF(OR(H9="",H10=""),"",H9+H10)</f>
        <v/>
      </c>
      <c r="I11" s="3960">
        <f>IF(OR(I9="",I10=""),"",I9+I10)</f>
        <v/>
      </c>
      <c r="J11" s="3960">
        <f>IF(OR(J9="",J10=""),"",J9+J10)</f>
        <v/>
      </c>
      <c r="K11" s="3960">
        <f>IF(OR(K9="",K10=""),"",K9+K10)</f>
        <v/>
      </c>
      <c r="L11" s="3960">
        <f>IF(OR(L9="",L10=""),"",L9+L10)</f>
        <v/>
      </c>
      <c r="M11" s="3960">
        <f>IF(OR(M9="",M10=""),"",M9+M10)</f>
        <v/>
      </c>
      <c r="N11" s="3960">
        <f>IF(OR(N9="",N10=""),"",N9+N10)</f>
        <v/>
      </c>
      <c r="O11" s="3960">
        <f>IF(OR(O9="",O10=""),"",O9+O10)</f>
        <v/>
      </c>
      <c r="P11" s="3960">
        <f>IF(OR(P9="",P10=""),"",P9+P10)</f>
        <v/>
      </c>
      <c r="Q11" s="3960">
        <f>IF(OR(Q9="",Q10=""),"",Q9+Q10)</f>
        <v/>
      </c>
      <c r="R11" s="3960">
        <f>IF(OR(R9="",R10=""),"",R9+R10)</f>
        <v/>
      </c>
      <c r="S11" s="3960">
        <f>IF(OR(S9="",S10=""),"",S9+S10)</f>
        <v/>
      </c>
      <c r="T11" s="3960">
        <f>IF(OR(T9="",T10=""),"",T9+T10)</f>
        <v/>
      </c>
      <c r="U11" s="3960">
        <f>IF(OR(U9="",U10=""),"",U9+U10)</f>
        <v/>
      </c>
      <c r="V11" s="3960">
        <f>IF(OR(V9="",V10=""),"",V9+V10)</f>
        <v/>
      </c>
      <c r="W11" s="3960">
        <f>IF(OR(W9="",W10=""),"",W9+W10)</f>
        <v/>
      </c>
      <c r="X11" s="3960">
        <f>IF(OR(X9="",X10=""),"",X9+X10)</f>
        <v/>
      </c>
      <c r="Y11" s="3960">
        <f>IF(OR(Y9="",Y10=""),"",Y9+Y10)</f>
        <v/>
      </c>
      <c r="Z11" s="3960">
        <f>IF(OR(Z9="",Z10=""),"",Z9+Z10)</f>
        <v/>
      </c>
      <c r="AA11" s="3960">
        <f>IF(OR(AA9="",AA10=""),"",AA9+AA10)</f>
        <v/>
      </c>
      <c r="AB11" s="3960">
        <f>IF(OR(AB9="",AB10=""),"",AB9+AB10)</f>
        <v/>
      </c>
      <c r="AC11" s="3960">
        <f>IF(OR(AC9="",AC10=""),"",AC9+AC10)</f>
        <v/>
      </c>
      <c r="AD11" s="3960">
        <f>IF(OR(AD9="",AD10=""),"",AD9+AD10)</f>
        <v/>
      </c>
      <c r="AE11" s="3960">
        <f>IF(OR(AE9="",AE10=""),"",AE9+AE10)</f>
        <v/>
      </c>
      <c r="AF11" s="3960">
        <f>IF(OR(AF9="",AF10=""),"",AF9+AF10)</f>
        <v/>
      </c>
      <c r="AG11" s="3960">
        <f>IF(OR(AG9="",AG10=""),"",AG9+AG10)</f>
        <v/>
      </c>
      <c r="AH11" s="3960">
        <f>IF(OR(AH9="",AH10=""),"",AH9+AH10)</f>
        <v/>
      </c>
      <c r="AI11" s="3960">
        <f>IF(OR(AI9="",AI10=""),"",AI9+AI10)</f>
        <v/>
      </c>
      <c r="AJ11" s="3960">
        <f>IF(OR(AJ9="",AJ10=""),"",AJ9+AJ10)</f>
        <v/>
      </c>
      <c r="AK11" s="3960">
        <f>IF(OR(AK9="",AK10=""),"",AK9+AK10)</f>
        <v/>
      </c>
      <c r="AL11" s="3960">
        <f>IF(OR(AL9="",AL10=""),"",AL9+AL10)</f>
        <v/>
      </c>
      <c r="AM11" s="3960">
        <f>IF(OR(AM9="",AM10=""),"",AM9+AM10)</f>
        <v/>
      </c>
      <c r="AN11" s="3960">
        <f>IF(OR(AN9="",AN10=""),"",AN9+AN10)</f>
        <v/>
      </c>
      <c r="AO11" s="3960">
        <f>IF(OR(AO9="",AO10=""),"",AO9+AO10)</f>
        <v/>
      </c>
      <c r="AP11" s="3960">
        <f>IF(OR(AP9="",AP10=""),"",AP9+AP10)</f>
        <v/>
      </c>
      <c r="AQ11" s="3949">
        <f>IF(COUNT(G11:R11)=0,"",SUM(G11:R11))</f>
        <v/>
      </c>
      <c r="AR11" s="3949">
        <f>IF(COUNT(S11:AD11)=0,"",SUM(S11:AD11))</f>
        <v/>
      </c>
      <c r="AS11" s="3949">
        <f>IF(COUNT(AE11:AP11)=0,"",SUM(AE11:AP11))</f>
        <v/>
      </c>
    </row>
    <row r="12">
      <c r="A12" s="3959" t="inlineStr">
        <is>
          <t>IS_OPEX</t>
        </is>
      </c>
      <c r="B12" s="3959" t="inlineStr">
        <is>
          <t>Operating expenses</t>
        </is>
      </c>
      <c r="C12" s="3959" t="inlineStr"/>
      <c r="D12" s="3959" t="inlineStr">
        <is>
          <t>+</t>
        </is>
      </c>
      <c r="E12" s="3959" t="inlineStr">
        <is>
          <t>TB/Map</t>
        </is>
      </c>
      <c r="F12" s="3959" t="inlineStr"/>
      <c r="G12" s="3929" t="n"/>
      <c r="H12" s="3929" t="n"/>
      <c r="I12" s="3929" t="n"/>
      <c r="J12" s="3929" t="n"/>
      <c r="K12" s="3929" t="n"/>
      <c r="L12" s="3929" t="n"/>
      <c r="M12" s="3929" t="n"/>
      <c r="N12" s="3929" t="n"/>
      <c r="O12" s="3929" t="n"/>
      <c r="P12" s="3929" t="n"/>
      <c r="Q12" s="3929" t="n"/>
      <c r="R12" s="3929" t="n"/>
      <c r="S12" s="3929" t="n"/>
      <c r="T12" s="3929" t="n"/>
      <c r="U12" s="3929" t="n"/>
      <c r="V12" s="3929" t="n"/>
      <c r="W12" s="3929" t="n"/>
      <c r="X12" s="3929" t="n"/>
      <c r="Y12" s="3929" t="n"/>
      <c r="Z12" s="3929" t="n"/>
      <c r="AA12" s="3929" t="n"/>
      <c r="AB12" s="3929" t="n"/>
      <c r="AC12" s="3929" t="n"/>
      <c r="AD12" s="3929" t="n"/>
      <c r="AE12" s="3929" t="n"/>
      <c r="AF12" s="3929" t="n"/>
      <c r="AG12" s="3929" t="n"/>
      <c r="AH12" s="3929" t="n"/>
      <c r="AI12" s="3929" t="n"/>
      <c r="AJ12" s="3929" t="n"/>
      <c r="AK12" s="3929" t="n"/>
      <c r="AL12" s="3929" t="n"/>
      <c r="AM12" s="3929" t="n"/>
      <c r="AN12" s="3929" t="n"/>
      <c r="AO12" s="3929" t="n"/>
      <c r="AP12" s="3929" t="n"/>
      <c r="AQ12" s="3949">
        <f>IF(COUNT(G12:R12)=0,"",SUM(G12:R12))</f>
        <v/>
      </c>
      <c r="AR12" s="3949">
        <f>IF(COUNT(S12:AD12)=0,"",SUM(S12:AD12))</f>
        <v/>
      </c>
      <c r="AS12" s="3949">
        <f>IF(COUNT(AE12:AP12)=0,"",SUM(AE12:AP12))</f>
        <v/>
      </c>
    </row>
    <row r="13">
      <c r="A13" s="3959" t="inlineStr">
        <is>
          <t>IS_OPINC</t>
        </is>
      </c>
      <c r="B13" s="3959" t="inlineStr">
        <is>
          <t>Operating income</t>
        </is>
      </c>
      <c r="C13" s="3959" t="inlineStr"/>
      <c r="D13" s="3959" t="inlineStr">
        <is>
          <t>+</t>
        </is>
      </c>
      <c r="E13" s="3959" t="inlineStr">
        <is>
          <t>Formula</t>
        </is>
      </c>
      <c r="F13" s="3959" t="inlineStr">
        <is>
          <t>Derived</t>
        </is>
      </c>
      <c r="G13" s="3960">
        <f>IF(OR(G11="",G12=""),"",G11+G12)</f>
        <v/>
      </c>
      <c r="H13" s="3960">
        <f>IF(OR(H11="",H12=""),"",H11+H12)</f>
        <v/>
      </c>
      <c r="I13" s="3960">
        <f>IF(OR(I11="",I12=""),"",I11+I12)</f>
        <v/>
      </c>
      <c r="J13" s="3960">
        <f>IF(OR(J11="",J12=""),"",J11+J12)</f>
        <v/>
      </c>
      <c r="K13" s="3960">
        <f>IF(OR(K11="",K12=""),"",K11+K12)</f>
        <v/>
      </c>
      <c r="L13" s="3960">
        <f>IF(OR(L11="",L12=""),"",L11+L12)</f>
        <v/>
      </c>
      <c r="M13" s="3960">
        <f>IF(OR(M11="",M12=""),"",M11+M12)</f>
        <v/>
      </c>
      <c r="N13" s="3960">
        <f>IF(OR(N11="",N12=""),"",N11+N12)</f>
        <v/>
      </c>
      <c r="O13" s="3960">
        <f>IF(OR(O11="",O12=""),"",O11+O12)</f>
        <v/>
      </c>
      <c r="P13" s="3960">
        <f>IF(OR(P11="",P12=""),"",P11+P12)</f>
        <v/>
      </c>
      <c r="Q13" s="3960">
        <f>IF(OR(Q11="",Q12=""),"",Q11+Q12)</f>
        <v/>
      </c>
      <c r="R13" s="3960">
        <f>IF(OR(R11="",R12=""),"",R11+R12)</f>
        <v/>
      </c>
      <c r="S13" s="3960">
        <f>IF(OR(S11="",S12=""),"",S11+S12)</f>
        <v/>
      </c>
      <c r="T13" s="3960">
        <f>IF(OR(T11="",T12=""),"",T11+T12)</f>
        <v/>
      </c>
      <c r="U13" s="3960">
        <f>IF(OR(U11="",U12=""),"",U11+U12)</f>
        <v/>
      </c>
      <c r="V13" s="3960">
        <f>IF(OR(V11="",V12=""),"",V11+V12)</f>
        <v/>
      </c>
      <c r="W13" s="3960">
        <f>IF(OR(W11="",W12=""),"",W11+W12)</f>
        <v/>
      </c>
      <c r="X13" s="3960">
        <f>IF(OR(X11="",X12=""),"",X11+X12)</f>
        <v/>
      </c>
      <c r="Y13" s="3960">
        <f>IF(OR(Y11="",Y12=""),"",Y11+Y12)</f>
        <v/>
      </c>
      <c r="Z13" s="3960">
        <f>IF(OR(Z11="",Z12=""),"",Z11+Z12)</f>
        <v/>
      </c>
      <c r="AA13" s="3960">
        <f>IF(OR(AA11="",AA12=""),"",AA11+AA12)</f>
        <v/>
      </c>
      <c r="AB13" s="3960">
        <f>IF(OR(AB11="",AB12=""),"",AB11+AB12)</f>
        <v/>
      </c>
      <c r="AC13" s="3960">
        <f>IF(OR(AC11="",AC12=""),"",AC11+AC12)</f>
        <v/>
      </c>
      <c r="AD13" s="3960">
        <f>IF(OR(AD11="",AD12=""),"",AD11+AD12)</f>
        <v/>
      </c>
      <c r="AE13" s="3960">
        <f>IF(OR(AE11="",AE12=""),"",AE11+AE12)</f>
        <v/>
      </c>
      <c r="AF13" s="3960">
        <f>IF(OR(AF11="",AF12=""),"",AF11+AF12)</f>
        <v/>
      </c>
      <c r="AG13" s="3960">
        <f>IF(OR(AG11="",AG12=""),"",AG11+AG12)</f>
        <v/>
      </c>
      <c r="AH13" s="3960">
        <f>IF(OR(AH11="",AH12=""),"",AH11+AH12)</f>
        <v/>
      </c>
      <c r="AI13" s="3960">
        <f>IF(OR(AI11="",AI12=""),"",AI11+AI12)</f>
        <v/>
      </c>
      <c r="AJ13" s="3960">
        <f>IF(OR(AJ11="",AJ12=""),"",AJ11+AJ12)</f>
        <v/>
      </c>
      <c r="AK13" s="3960">
        <f>IF(OR(AK11="",AK12=""),"",AK11+AK12)</f>
        <v/>
      </c>
      <c r="AL13" s="3960">
        <f>IF(OR(AL11="",AL12=""),"",AL11+AL12)</f>
        <v/>
      </c>
      <c r="AM13" s="3960">
        <f>IF(OR(AM11="",AM12=""),"",AM11+AM12)</f>
        <v/>
      </c>
      <c r="AN13" s="3960">
        <f>IF(OR(AN11="",AN12=""),"",AN11+AN12)</f>
        <v/>
      </c>
      <c r="AO13" s="3960">
        <f>IF(OR(AO11="",AO12=""),"",AO11+AO12)</f>
        <v/>
      </c>
      <c r="AP13" s="3960">
        <f>IF(OR(AP11="",AP12=""),"",AP11+AP12)</f>
        <v/>
      </c>
      <c r="AQ13" s="3949">
        <f>IF(COUNT(G13:R13)=0,"",SUM(G13:R13))</f>
        <v/>
      </c>
      <c r="AR13" s="3949">
        <f>IF(COUNT(S13:AD13)=0,"",SUM(S13:AD13))</f>
        <v/>
      </c>
      <c r="AS13" s="3949">
        <f>IF(COUNT(AE13:AP13)=0,"",SUM(AE13:AP13))</f>
        <v/>
      </c>
    </row>
    <row r="14">
      <c r="A14" s="3959" t="inlineStr">
        <is>
          <t>IS_INT</t>
        </is>
      </c>
      <c r="B14" s="3959" t="inlineStr">
        <is>
          <t>Interest expense</t>
        </is>
      </c>
      <c r="C14" s="3959" t="inlineStr"/>
      <c r="D14" s="3959" t="inlineStr">
        <is>
          <t>+</t>
        </is>
      </c>
      <c r="E14" s="3959" t="inlineStr">
        <is>
          <t>TB/Map</t>
        </is>
      </c>
      <c r="F14" s="3959" t="inlineStr"/>
      <c r="G14" s="3929" t="n"/>
      <c r="H14" s="3929" t="n"/>
      <c r="I14" s="3929" t="n"/>
      <c r="J14" s="3929" t="n"/>
      <c r="K14" s="3929" t="n"/>
      <c r="L14" s="3929" t="n"/>
      <c r="M14" s="3929" t="n"/>
      <c r="N14" s="3929" t="n"/>
      <c r="O14" s="3929" t="n"/>
      <c r="P14" s="3929" t="n"/>
      <c r="Q14" s="3929" t="n"/>
      <c r="R14" s="3929" t="n"/>
      <c r="S14" s="3929" t="n"/>
      <c r="T14" s="3929" t="n"/>
      <c r="U14" s="3929" t="n"/>
      <c r="V14" s="3929" t="n"/>
      <c r="W14" s="3929" t="n"/>
      <c r="X14" s="3929" t="n"/>
      <c r="Y14" s="3929" t="n"/>
      <c r="Z14" s="3929" t="n"/>
      <c r="AA14" s="3929" t="n"/>
      <c r="AB14" s="3929" t="n"/>
      <c r="AC14" s="3929" t="n"/>
      <c r="AD14" s="3929" t="n"/>
      <c r="AE14" s="3929" t="n"/>
      <c r="AF14" s="3929" t="n"/>
      <c r="AG14" s="3929" t="n"/>
      <c r="AH14" s="3929" t="n"/>
      <c r="AI14" s="3929" t="n"/>
      <c r="AJ14" s="3929" t="n"/>
      <c r="AK14" s="3929" t="n"/>
      <c r="AL14" s="3929" t="n"/>
      <c r="AM14" s="3929" t="n"/>
      <c r="AN14" s="3929" t="n"/>
      <c r="AO14" s="3929" t="n"/>
      <c r="AP14" s="3929" t="n"/>
      <c r="AQ14" s="3949">
        <f>IF(COUNT(G14:R14)=0,"",SUM(G14:R14))</f>
        <v/>
      </c>
      <c r="AR14" s="3949">
        <f>IF(COUNT(S14:AD14)=0,"",SUM(S14:AD14))</f>
        <v/>
      </c>
      <c r="AS14" s="3949">
        <f>IF(COUNT(AE14:AP14)=0,"",SUM(AE14:AP14))</f>
        <v/>
      </c>
    </row>
    <row r="15">
      <c r="A15" s="3959" t="inlineStr">
        <is>
          <t>IS_TAX</t>
        </is>
      </c>
      <c r="B15" s="3959" t="inlineStr">
        <is>
          <t>Taxes</t>
        </is>
      </c>
      <c r="C15" s="3959" t="inlineStr"/>
      <c r="D15" s="3959" t="inlineStr">
        <is>
          <t>+</t>
        </is>
      </c>
      <c r="E15" s="3959" t="inlineStr">
        <is>
          <t>TB/Map</t>
        </is>
      </c>
      <c r="F15" s="3959" t="inlineStr"/>
      <c r="G15" s="3929" t="n"/>
      <c r="H15" s="3929" t="n"/>
      <c r="I15" s="3929" t="n"/>
      <c r="J15" s="3929" t="n"/>
      <c r="K15" s="3929" t="n"/>
      <c r="L15" s="3929" t="n"/>
      <c r="M15" s="3929" t="n"/>
      <c r="N15" s="3929" t="n"/>
      <c r="O15" s="3929" t="n"/>
      <c r="P15" s="3929" t="n"/>
      <c r="Q15" s="3929" t="n"/>
      <c r="R15" s="3929" t="n"/>
      <c r="S15" s="3929" t="n"/>
      <c r="T15" s="3929" t="n"/>
      <c r="U15" s="3929" t="n"/>
      <c r="V15" s="3929" t="n"/>
      <c r="W15" s="3929" t="n"/>
      <c r="X15" s="3929" t="n"/>
      <c r="Y15" s="3929" t="n"/>
      <c r="Z15" s="3929" t="n"/>
      <c r="AA15" s="3929" t="n"/>
      <c r="AB15" s="3929" t="n"/>
      <c r="AC15" s="3929" t="n"/>
      <c r="AD15" s="3929" t="n"/>
      <c r="AE15" s="3929" t="n"/>
      <c r="AF15" s="3929" t="n"/>
      <c r="AG15" s="3929" t="n"/>
      <c r="AH15" s="3929" t="n"/>
      <c r="AI15" s="3929" t="n"/>
      <c r="AJ15" s="3929" t="n"/>
      <c r="AK15" s="3929" t="n"/>
      <c r="AL15" s="3929" t="n"/>
      <c r="AM15" s="3929" t="n"/>
      <c r="AN15" s="3929" t="n"/>
      <c r="AO15" s="3929" t="n"/>
      <c r="AP15" s="3929" t="n"/>
      <c r="AQ15" s="3949">
        <f>IF(COUNT(G15:R15)=0,"",SUM(G15:R15))</f>
        <v/>
      </c>
      <c r="AR15" s="3949">
        <f>IF(COUNT(S15:AD15)=0,"",SUM(S15:AD15))</f>
        <v/>
      </c>
      <c r="AS15" s="3949">
        <f>IF(COUNT(AE15:AP15)=0,"",SUM(AE15:AP15))</f>
        <v/>
      </c>
    </row>
    <row r="16">
      <c r="A16" s="3959" t="inlineStr">
        <is>
          <t>IS_NI</t>
        </is>
      </c>
      <c r="B16" s="3959" t="inlineStr">
        <is>
          <t>Net income</t>
        </is>
      </c>
      <c r="C16" s="3959" t="inlineStr"/>
      <c r="D16" s="3959" t="inlineStr">
        <is>
          <t>+</t>
        </is>
      </c>
      <c r="E16" s="3959" t="inlineStr">
        <is>
          <t>Formula</t>
        </is>
      </c>
      <c r="F16" s="3959" t="inlineStr">
        <is>
          <t>Main total</t>
        </is>
      </c>
      <c r="G16" s="3960">
        <f>IF(OR(G13="",G14="",G15=""),"",G13+G14+G15)</f>
        <v/>
      </c>
      <c r="H16" s="3960">
        <f>IF(OR(H13="",H14="",H15=""),"",H13+H14+H15)</f>
        <v/>
      </c>
      <c r="I16" s="3960">
        <f>IF(OR(I13="",I14="",I15=""),"",I13+I14+I15)</f>
        <v/>
      </c>
      <c r="J16" s="3960">
        <f>IF(OR(J13="",J14="",J15=""),"",J13+J14+J15)</f>
        <v/>
      </c>
      <c r="K16" s="3960">
        <f>IF(OR(K13="",K14="",K15=""),"",K13+K14+K15)</f>
        <v/>
      </c>
      <c r="L16" s="3960">
        <f>IF(OR(L13="",L14="",L15=""),"",L13+L14+L15)</f>
        <v/>
      </c>
      <c r="M16" s="3960">
        <f>IF(OR(M13="",M14="",M15=""),"",M13+M14+M15)</f>
        <v/>
      </c>
      <c r="N16" s="3960">
        <f>IF(OR(N13="",N14="",N15=""),"",N13+N14+N15)</f>
        <v/>
      </c>
      <c r="O16" s="3960">
        <f>IF(OR(O13="",O14="",O15=""),"",O13+O14+O15)</f>
        <v/>
      </c>
      <c r="P16" s="3960">
        <f>IF(OR(P13="",P14="",P15=""),"",P13+P14+P15)</f>
        <v/>
      </c>
      <c r="Q16" s="3960">
        <f>IF(OR(Q13="",Q14="",Q15=""),"",Q13+Q14+Q15)</f>
        <v/>
      </c>
      <c r="R16" s="3960">
        <f>IF(OR(R13="",R14="",R15=""),"",R13+R14+R15)</f>
        <v/>
      </c>
      <c r="S16" s="3960">
        <f>IF(OR(S13="",S14="",S15=""),"",S13+S14+S15)</f>
        <v/>
      </c>
      <c r="T16" s="3960">
        <f>IF(OR(T13="",T14="",T15=""),"",T13+T14+T15)</f>
        <v/>
      </c>
      <c r="U16" s="3960">
        <f>IF(OR(U13="",U14="",U15=""),"",U13+U14+U15)</f>
        <v/>
      </c>
      <c r="V16" s="3960">
        <f>IF(OR(V13="",V14="",V15=""),"",V13+V14+V15)</f>
        <v/>
      </c>
      <c r="W16" s="3960">
        <f>IF(OR(W13="",W14="",W15=""),"",W13+W14+W15)</f>
        <v/>
      </c>
      <c r="X16" s="3960">
        <f>IF(OR(X13="",X14="",X15=""),"",X13+X14+X15)</f>
        <v/>
      </c>
      <c r="Y16" s="3960">
        <f>IF(OR(Y13="",Y14="",Y15=""),"",Y13+Y14+Y15)</f>
        <v/>
      </c>
      <c r="Z16" s="3960">
        <f>IF(OR(Z13="",Z14="",Z15=""),"",Z13+Z14+Z15)</f>
        <v/>
      </c>
      <c r="AA16" s="3960">
        <f>IF(OR(AA13="",AA14="",AA15=""),"",AA13+AA14+AA15)</f>
        <v/>
      </c>
      <c r="AB16" s="3960">
        <f>IF(OR(AB13="",AB14="",AB15=""),"",AB13+AB14+AB15)</f>
        <v/>
      </c>
      <c r="AC16" s="3960">
        <f>IF(OR(AC13="",AC14="",AC15=""),"",AC13+AC14+AC15)</f>
        <v/>
      </c>
      <c r="AD16" s="3960">
        <f>IF(OR(AD13="",AD14="",AD15=""),"",AD13+AD14+AD15)</f>
        <v/>
      </c>
      <c r="AE16" s="3960">
        <f>IF(OR(AE13="",AE14="",AE15=""),"",AE13+AE14+AE15)</f>
        <v/>
      </c>
      <c r="AF16" s="3960">
        <f>IF(OR(AF13="",AF14="",AF15=""),"",AF13+AF14+AF15)</f>
        <v/>
      </c>
      <c r="AG16" s="3960">
        <f>IF(OR(AG13="",AG14="",AG15=""),"",AG13+AG14+AG15)</f>
        <v/>
      </c>
      <c r="AH16" s="3960">
        <f>IF(OR(AH13="",AH14="",AH15=""),"",AH13+AH14+AH15)</f>
        <v/>
      </c>
      <c r="AI16" s="3960">
        <f>IF(OR(AI13="",AI14="",AI15=""),"",AI13+AI14+AI15)</f>
        <v/>
      </c>
      <c r="AJ16" s="3960">
        <f>IF(OR(AJ13="",AJ14="",AJ15=""),"",AJ13+AJ14+AJ15)</f>
        <v/>
      </c>
      <c r="AK16" s="3960">
        <f>IF(OR(AK13="",AK14="",AK15=""),"",AK13+AK14+AK15)</f>
        <v/>
      </c>
      <c r="AL16" s="3960">
        <f>IF(OR(AL13="",AL14="",AL15=""),"",AL13+AL14+AL15)</f>
        <v/>
      </c>
      <c r="AM16" s="3960">
        <f>IF(OR(AM13="",AM14="",AM15=""),"",AM13+AM14+AM15)</f>
        <v/>
      </c>
      <c r="AN16" s="3960">
        <f>IF(OR(AN13="",AN14="",AN15=""),"",AN13+AN14+AN15)</f>
        <v/>
      </c>
      <c r="AO16" s="3960">
        <f>IF(OR(AO13="",AO14="",AO15=""),"",AO13+AO14+AO15)</f>
        <v/>
      </c>
      <c r="AP16" s="3960">
        <f>IF(OR(AP13="",AP14="",AP15=""),"",AP13+AP14+AP15)</f>
        <v/>
      </c>
      <c r="AQ16" s="3949">
        <f>IF(COUNT(G16:R16)=0,"",SUM(G16:R16))</f>
        <v/>
      </c>
      <c r="AR16" s="3949">
        <f>IF(COUNT(S16:AD16)=0,"",SUM(S16:AD16))</f>
        <v/>
      </c>
      <c r="AS16" s="3949">
        <f>IF(COUNT(AE16:AP16)=0,"",SUM(AE16:AP16))</f>
        <v/>
      </c>
    </row>
    <row r="17">
      <c r="A17" s="3959" t="inlineStr">
        <is>
          <t>IS_ADD_DA</t>
        </is>
      </c>
      <c r="B17" s="3959" t="inlineStr">
        <is>
          <t>Add back: Depreciation &amp; amortization</t>
        </is>
      </c>
      <c r="C17" s="3959" t="inlineStr"/>
      <c r="D17" s="3959" t="inlineStr">
        <is>
          <t>+</t>
        </is>
      </c>
      <c r="E17" s="3959" t="inlineStr">
        <is>
          <t>TB/Map</t>
        </is>
      </c>
      <c r="F17" s="3959" t="inlineStr"/>
      <c r="G17" s="3929" t="n"/>
      <c r="H17" s="3929" t="n"/>
      <c r="I17" s="3929" t="n"/>
      <c r="J17" s="3929" t="n"/>
      <c r="K17" s="3929" t="n"/>
      <c r="L17" s="3929" t="n"/>
      <c r="M17" s="3929" t="n"/>
      <c r="N17" s="3929" t="n"/>
      <c r="O17" s="3929" t="n"/>
      <c r="P17" s="3929" t="n"/>
      <c r="Q17" s="3929" t="n"/>
      <c r="R17" s="3929" t="n"/>
      <c r="S17" s="3929" t="n"/>
      <c r="T17" s="3929" t="n"/>
      <c r="U17" s="3929" t="n"/>
      <c r="V17" s="3929" t="n"/>
      <c r="W17" s="3929" t="n"/>
      <c r="X17" s="3929" t="n"/>
      <c r="Y17" s="3929" t="n"/>
      <c r="Z17" s="3929" t="n"/>
      <c r="AA17" s="3929" t="n"/>
      <c r="AB17" s="3929" t="n"/>
      <c r="AC17" s="3929" t="n"/>
      <c r="AD17" s="3929" t="n"/>
      <c r="AE17" s="3929" t="n"/>
      <c r="AF17" s="3929" t="n"/>
      <c r="AG17" s="3929" t="n"/>
      <c r="AH17" s="3929" t="n"/>
      <c r="AI17" s="3929" t="n"/>
      <c r="AJ17" s="3929" t="n"/>
      <c r="AK17" s="3929" t="n"/>
      <c r="AL17" s="3929" t="n"/>
      <c r="AM17" s="3929" t="n"/>
      <c r="AN17" s="3929" t="n"/>
      <c r="AO17" s="3929" t="n"/>
      <c r="AP17" s="3929" t="n"/>
      <c r="AQ17" s="3949">
        <f>IF(COUNT(G17:R17)=0,"",SUM(G17:R17))</f>
        <v/>
      </c>
      <c r="AR17" s="3949">
        <f>IF(COUNT(S17:AD17)=0,"",SUM(S17:AD17))</f>
        <v/>
      </c>
      <c r="AS17" s="3949">
        <f>IF(COUNT(AE17:AP17)=0,"",SUM(AE17:AP17))</f>
        <v/>
      </c>
    </row>
    <row r="18">
      <c r="A18" s="3959" t="inlineStr">
        <is>
          <t>IS_ADD_INT</t>
        </is>
      </c>
      <c r="B18" s="3959" t="inlineStr">
        <is>
          <t>Add back: Interest</t>
        </is>
      </c>
      <c r="C18" s="3959" t="inlineStr"/>
      <c r="D18" s="3959" t="inlineStr">
        <is>
          <t>+</t>
        </is>
      </c>
      <c r="E18" s="3959" t="inlineStr">
        <is>
          <t>TB/Map</t>
        </is>
      </c>
      <c r="F18" s="3959" t="inlineStr"/>
      <c r="G18" s="3929" t="n"/>
      <c r="H18" s="3929" t="n"/>
      <c r="I18" s="3929" t="n"/>
      <c r="J18" s="3929" t="n"/>
      <c r="K18" s="3929" t="n"/>
      <c r="L18" s="3929" t="n"/>
      <c r="M18" s="3929" t="n"/>
      <c r="N18" s="3929" t="n"/>
      <c r="O18" s="3929" t="n"/>
      <c r="P18" s="3929" t="n"/>
      <c r="Q18" s="3929" t="n"/>
      <c r="R18" s="3929" t="n"/>
      <c r="S18" s="3929" t="n"/>
      <c r="T18" s="3929" t="n"/>
      <c r="U18" s="3929" t="n"/>
      <c r="V18" s="3929" t="n"/>
      <c r="W18" s="3929" t="n"/>
      <c r="X18" s="3929" t="n"/>
      <c r="Y18" s="3929" t="n"/>
      <c r="Z18" s="3929" t="n"/>
      <c r="AA18" s="3929" t="n"/>
      <c r="AB18" s="3929" t="n"/>
      <c r="AC18" s="3929" t="n"/>
      <c r="AD18" s="3929" t="n"/>
      <c r="AE18" s="3929" t="n"/>
      <c r="AF18" s="3929" t="n"/>
      <c r="AG18" s="3929" t="n"/>
      <c r="AH18" s="3929" t="n"/>
      <c r="AI18" s="3929" t="n"/>
      <c r="AJ18" s="3929" t="n"/>
      <c r="AK18" s="3929" t="n"/>
      <c r="AL18" s="3929" t="n"/>
      <c r="AM18" s="3929" t="n"/>
      <c r="AN18" s="3929" t="n"/>
      <c r="AO18" s="3929" t="n"/>
      <c r="AP18" s="3929" t="n"/>
      <c r="AQ18" s="3949">
        <f>IF(COUNT(G18:R18)=0,"",SUM(G18:R18))</f>
        <v/>
      </c>
      <c r="AR18" s="3949">
        <f>IF(COUNT(S18:AD18)=0,"",SUM(S18:AD18))</f>
        <v/>
      </c>
      <c r="AS18" s="3949">
        <f>IF(COUNT(AE18:AP18)=0,"",SUM(AE18:AP18))</f>
        <v/>
      </c>
    </row>
    <row r="19">
      <c r="A19" s="3959" t="inlineStr">
        <is>
          <t>IS_ADD_TAX</t>
        </is>
      </c>
      <c r="B19" s="3959" t="inlineStr">
        <is>
          <t>Add back: Taxes</t>
        </is>
      </c>
      <c r="C19" s="3959" t="inlineStr"/>
      <c r="D19" s="3959" t="inlineStr">
        <is>
          <t>+</t>
        </is>
      </c>
      <c r="E19" s="3959" t="inlineStr">
        <is>
          <t>TB/Map</t>
        </is>
      </c>
      <c r="F19" s="3959" t="inlineStr"/>
      <c r="G19" s="3929" t="n"/>
      <c r="H19" s="3929" t="n"/>
      <c r="I19" s="3929" t="n"/>
      <c r="J19" s="3929" t="n"/>
      <c r="K19" s="3929" t="n"/>
      <c r="L19" s="3929" t="n"/>
      <c r="M19" s="3929" t="n"/>
      <c r="N19" s="3929" t="n"/>
      <c r="O19" s="3929" t="n"/>
      <c r="P19" s="3929" t="n"/>
      <c r="Q19" s="3929" t="n"/>
      <c r="R19" s="3929" t="n"/>
      <c r="S19" s="3929" t="n"/>
      <c r="T19" s="3929" t="n"/>
      <c r="U19" s="3929" t="n"/>
      <c r="V19" s="3929" t="n"/>
      <c r="W19" s="3929" t="n"/>
      <c r="X19" s="3929" t="n"/>
      <c r="Y19" s="3929" t="n"/>
      <c r="Z19" s="3929" t="n"/>
      <c r="AA19" s="3929" t="n"/>
      <c r="AB19" s="3929" t="n"/>
      <c r="AC19" s="3929" t="n"/>
      <c r="AD19" s="3929" t="n"/>
      <c r="AE19" s="3929" t="n"/>
      <c r="AF19" s="3929" t="n"/>
      <c r="AG19" s="3929" t="n"/>
      <c r="AH19" s="3929" t="n"/>
      <c r="AI19" s="3929" t="n"/>
      <c r="AJ19" s="3929" t="n"/>
      <c r="AK19" s="3929" t="n"/>
      <c r="AL19" s="3929" t="n"/>
      <c r="AM19" s="3929" t="n"/>
      <c r="AN19" s="3929" t="n"/>
      <c r="AO19" s="3929" t="n"/>
      <c r="AP19" s="3929" t="n"/>
      <c r="AQ19" s="3949">
        <f>IF(COUNT(G19:R19)=0,"",SUM(G19:R19))</f>
        <v/>
      </c>
      <c r="AR19" s="3949">
        <f>IF(COUNT(S19:AD19)=0,"",SUM(S19:AD19))</f>
        <v/>
      </c>
      <c r="AS19" s="3949">
        <f>IF(COUNT(AE19:AP19)=0,"",SUM(AE19:AP19))</f>
        <v/>
      </c>
    </row>
    <row r="20">
      <c r="A20" s="3959" t="inlineStr">
        <is>
          <t>IS_EBITDA</t>
        </is>
      </c>
      <c r="B20" s="3959" t="inlineStr">
        <is>
          <t>EBITDA</t>
        </is>
      </c>
      <c r="C20" s="3959" t="inlineStr"/>
      <c r="D20" s="3959" t="inlineStr">
        <is>
          <t>+</t>
        </is>
      </c>
      <c r="E20" s="3959" t="inlineStr">
        <is>
          <t>Formula</t>
        </is>
      </c>
      <c r="F20" s="3959" t="inlineStr">
        <is>
          <t>Secondary total</t>
        </is>
      </c>
      <c r="G20" s="3960">
        <f>IF(OR(G16="",G17="",G18="",G19=""),"",G16+G17+G18+G19)</f>
        <v/>
      </c>
      <c r="H20" s="3960">
        <f>IF(OR(H16="",H17="",H18="",H19=""),"",H16+H17+H18+H19)</f>
        <v/>
      </c>
      <c r="I20" s="3960">
        <f>IF(OR(I16="",I17="",I18="",I19=""),"",I16+I17+I18+I19)</f>
        <v/>
      </c>
      <c r="J20" s="3960">
        <f>IF(OR(J16="",J17="",J18="",J19=""),"",J16+J17+J18+J19)</f>
        <v/>
      </c>
      <c r="K20" s="3960">
        <f>IF(OR(K16="",K17="",K18="",K19=""),"",K16+K17+K18+K19)</f>
        <v/>
      </c>
      <c r="L20" s="3960">
        <f>IF(OR(L16="",L17="",L18="",L19=""),"",L16+L17+L18+L19)</f>
        <v/>
      </c>
      <c r="M20" s="3960">
        <f>IF(OR(M16="",M17="",M18="",M19=""),"",M16+M17+M18+M19)</f>
        <v/>
      </c>
      <c r="N20" s="3960">
        <f>IF(OR(N16="",N17="",N18="",N19=""),"",N16+N17+N18+N19)</f>
        <v/>
      </c>
      <c r="O20" s="3960">
        <f>IF(OR(O16="",O17="",O18="",O19=""),"",O16+O17+O18+O19)</f>
        <v/>
      </c>
      <c r="P20" s="3960">
        <f>IF(OR(P16="",P17="",P18="",P19=""),"",P16+P17+P18+P19)</f>
        <v/>
      </c>
      <c r="Q20" s="3960">
        <f>IF(OR(Q16="",Q17="",Q18="",Q19=""),"",Q16+Q17+Q18+Q19)</f>
        <v/>
      </c>
      <c r="R20" s="3960">
        <f>IF(OR(R16="",R17="",R18="",R19=""),"",R16+R17+R18+R19)</f>
        <v/>
      </c>
      <c r="S20" s="3960">
        <f>IF(OR(S16="",S17="",S18="",S19=""),"",S16+S17+S18+S19)</f>
        <v/>
      </c>
      <c r="T20" s="3960">
        <f>IF(OR(T16="",T17="",T18="",T19=""),"",T16+T17+T18+T19)</f>
        <v/>
      </c>
      <c r="U20" s="3960">
        <f>IF(OR(U16="",U17="",U18="",U19=""),"",U16+U17+U18+U19)</f>
        <v/>
      </c>
      <c r="V20" s="3960">
        <f>IF(OR(V16="",V17="",V18="",V19=""),"",V16+V17+V18+V19)</f>
        <v/>
      </c>
      <c r="W20" s="3960">
        <f>IF(OR(W16="",W17="",W18="",W19=""),"",W16+W17+W18+W19)</f>
        <v/>
      </c>
      <c r="X20" s="3960">
        <f>IF(OR(X16="",X17="",X18="",X19=""),"",X16+X17+X18+X19)</f>
        <v/>
      </c>
      <c r="Y20" s="3960">
        <f>IF(OR(Y16="",Y17="",Y18="",Y19=""),"",Y16+Y17+Y18+Y19)</f>
        <v/>
      </c>
      <c r="Z20" s="3960">
        <f>IF(OR(Z16="",Z17="",Z18="",Z19=""),"",Z16+Z17+Z18+Z19)</f>
        <v/>
      </c>
      <c r="AA20" s="3960">
        <f>IF(OR(AA16="",AA17="",AA18="",AA19=""),"",AA16+AA17+AA18+AA19)</f>
        <v/>
      </c>
      <c r="AB20" s="3960">
        <f>IF(OR(AB16="",AB17="",AB18="",AB19=""),"",AB16+AB17+AB18+AB19)</f>
        <v/>
      </c>
      <c r="AC20" s="3960">
        <f>IF(OR(AC16="",AC17="",AC18="",AC19=""),"",AC16+AC17+AC18+AC19)</f>
        <v/>
      </c>
      <c r="AD20" s="3960">
        <f>IF(OR(AD16="",AD17="",AD18="",AD19=""),"",AD16+AD17+AD18+AD19)</f>
        <v/>
      </c>
      <c r="AE20" s="3960">
        <f>IF(OR(AE16="",AE17="",AE18="",AE19=""),"",AE16+AE17+AE18+AE19)</f>
        <v/>
      </c>
      <c r="AF20" s="3960">
        <f>IF(OR(AF16="",AF17="",AF18="",AF19=""),"",AF16+AF17+AF18+AF19)</f>
        <v/>
      </c>
      <c r="AG20" s="3960">
        <f>IF(OR(AG16="",AG17="",AG18="",AG19=""),"",AG16+AG17+AG18+AG19)</f>
        <v/>
      </c>
      <c r="AH20" s="3960">
        <f>IF(OR(AH16="",AH17="",AH18="",AH19=""),"",AH16+AH17+AH18+AH19)</f>
        <v/>
      </c>
      <c r="AI20" s="3960">
        <f>IF(OR(AI16="",AI17="",AI18="",AI19=""),"",AI16+AI17+AI18+AI19)</f>
        <v/>
      </c>
      <c r="AJ20" s="3960">
        <f>IF(OR(AJ16="",AJ17="",AJ18="",AJ19=""),"",AJ16+AJ17+AJ18+AJ19)</f>
        <v/>
      </c>
      <c r="AK20" s="3960">
        <f>IF(OR(AK16="",AK17="",AK18="",AK19=""),"",AK16+AK17+AK18+AK19)</f>
        <v/>
      </c>
      <c r="AL20" s="3960">
        <f>IF(OR(AL16="",AL17="",AL18="",AL19=""),"",AL16+AL17+AL18+AL19)</f>
        <v/>
      </c>
      <c r="AM20" s="3960">
        <f>IF(OR(AM16="",AM17="",AM18="",AM19=""),"",AM16+AM17+AM18+AM19)</f>
        <v/>
      </c>
      <c r="AN20" s="3960">
        <f>IF(OR(AN16="",AN17="",AN18="",AN19=""),"",AN16+AN17+AN18+AN19)</f>
        <v/>
      </c>
      <c r="AO20" s="3960">
        <f>IF(OR(AO16="",AO17="",AO18="",AO19=""),"",AO16+AO17+AO18+AO19)</f>
        <v/>
      </c>
      <c r="AP20" s="3960">
        <f>IF(OR(AP16="",AP17="",AP18="",AP19=""),"",AP16+AP17+AP18+AP19)</f>
        <v/>
      </c>
      <c r="AQ20" s="3949">
        <f>IF(COUNT(G20:R20)=0,"",SUM(G20:R20))</f>
        <v/>
      </c>
      <c r="AR20" s="3949">
        <f>IF(COUNT(S20:AD20)=0,"",SUM(S20:AD20))</f>
        <v/>
      </c>
      <c r="AS20" s="3949">
        <f>IF(COUNT(AE20:AP20)=0,"",SUM(AE20:AP20))</f>
        <v/>
      </c>
    </row>
    <row r="21">
      <c r="A21" s="3959" t="n"/>
      <c r="B21" s="3959" t="n"/>
      <c r="C21" s="3959" t="n"/>
      <c r="D21" s="3959" t="n"/>
      <c r="E21" s="3959" t="n"/>
      <c r="F21" s="3959" t="n"/>
      <c r="G21" s="3960" t="n"/>
      <c r="H21" s="3960" t="n"/>
      <c r="I21" s="3960" t="n"/>
      <c r="J21" s="3960" t="n"/>
      <c r="K21" s="3960" t="n"/>
      <c r="L21" s="3960" t="n"/>
      <c r="M21" s="3960" t="n"/>
      <c r="N21" s="3960" t="n"/>
      <c r="O21" s="3960" t="n"/>
      <c r="P21" s="3960" t="n"/>
      <c r="Q21" s="3960" t="n"/>
      <c r="R21" s="3960" t="n"/>
      <c r="S21" s="3960" t="n"/>
      <c r="T21" s="3960" t="n"/>
      <c r="U21" s="3960" t="n"/>
      <c r="V21" s="3960" t="n"/>
      <c r="W21" s="3960" t="n"/>
      <c r="X21" s="3960" t="n"/>
      <c r="Y21" s="3960" t="n"/>
      <c r="Z21" s="3960" t="n"/>
      <c r="AA21" s="3960" t="n"/>
      <c r="AB21" s="3960" t="n"/>
      <c r="AC21" s="3960" t="n"/>
      <c r="AD21" s="3960" t="n"/>
      <c r="AE21" s="3960" t="n"/>
      <c r="AF21" s="3960" t="n"/>
      <c r="AG21" s="3960" t="n"/>
      <c r="AH21" s="3960" t="n"/>
      <c r="AI21" s="3960" t="n"/>
      <c r="AJ21" s="3960" t="n"/>
      <c r="AK21" s="3960" t="n"/>
      <c r="AL21" s="3960" t="n"/>
      <c r="AM21" s="3960" t="n"/>
      <c r="AN21" s="3960" t="n"/>
      <c r="AO21" s="3960" t="n"/>
      <c r="AP21" s="3960" t="n"/>
      <c r="AQ21" s="3960" t="n"/>
      <c r="AR21" s="3960" t="n"/>
      <c r="AS21" s="3960" t="n"/>
    </row>
    <row r="22">
      <c r="A22" s="3959" t="n"/>
      <c r="B22" s="3959" t="n"/>
      <c r="C22" s="3959" t="n"/>
      <c r="D22" s="3959" t="n"/>
      <c r="E22" s="3959" t="n"/>
      <c r="F22" s="3959" t="n"/>
      <c r="G22" s="3960" t="n"/>
      <c r="H22" s="3960" t="n"/>
      <c r="I22" s="3960" t="n"/>
      <c r="J22" s="3960" t="n"/>
      <c r="K22" s="3960" t="n"/>
      <c r="L22" s="3960" t="n"/>
      <c r="M22" s="3960" t="n"/>
      <c r="N22" s="3960" t="n"/>
      <c r="O22" s="3960" t="n"/>
      <c r="P22" s="3960" t="n"/>
      <c r="Q22" s="3960" t="n"/>
      <c r="R22" s="3960" t="n"/>
      <c r="S22" s="3960" t="n"/>
      <c r="T22" s="3960" t="n"/>
      <c r="U22" s="3960" t="n"/>
      <c r="V22" s="3960" t="n"/>
      <c r="W22" s="3960" t="n"/>
      <c r="X22" s="3960" t="n"/>
      <c r="Y22" s="3960" t="n"/>
      <c r="Z22" s="3960" t="n"/>
      <c r="AA22" s="3960" t="n"/>
      <c r="AB22" s="3960" t="n"/>
      <c r="AC22" s="3960" t="n"/>
      <c r="AD22" s="3960" t="n"/>
      <c r="AE22" s="3960" t="n"/>
      <c r="AF22" s="3960" t="n"/>
      <c r="AG22" s="3960" t="n"/>
      <c r="AH22" s="3960" t="n"/>
      <c r="AI22" s="3960" t="n"/>
      <c r="AJ22" s="3960" t="n"/>
      <c r="AK22" s="3960" t="n"/>
      <c r="AL22" s="3960" t="n"/>
      <c r="AM22" s="3960" t="n"/>
      <c r="AN22" s="3960" t="n"/>
      <c r="AO22" s="3960" t="n"/>
      <c r="AP22" s="3960" t="n"/>
      <c r="AQ22" s="3960" t="n"/>
      <c r="AR22" s="3960" t="n"/>
      <c r="AS22" s="3960" t="n"/>
    </row>
    <row r="23">
      <c r="A23" s="3959" t="n"/>
      <c r="B23" s="3959" t="n"/>
      <c r="C23" s="3959" t="n"/>
      <c r="D23" s="3959" t="n"/>
      <c r="E23" s="3959" t="n"/>
      <c r="F23" s="3959" t="n"/>
      <c r="G23" s="3960" t="n"/>
      <c r="H23" s="3960" t="n"/>
      <c r="I23" s="3960" t="n"/>
      <c r="J23" s="3960" t="n"/>
      <c r="K23" s="3960" t="n"/>
      <c r="L23" s="3960" t="n"/>
      <c r="M23" s="3960" t="n"/>
      <c r="N23" s="3960" t="n"/>
      <c r="O23" s="3960" t="n"/>
      <c r="P23" s="3960" t="n"/>
      <c r="Q23" s="3960" t="n"/>
      <c r="R23" s="3960" t="n"/>
      <c r="S23" s="3960" t="n"/>
      <c r="T23" s="3960" t="n"/>
      <c r="U23" s="3960" t="n"/>
      <c r="V23" s="3960" t="n"/>
      <c r="W23" s="3960" t="n"/>
      <c r="X23" s="3960" t="n"/>
      <c r="Y23" s="3960" t="n"/>
      <c r="Z23" s="3960" t="n"/>
      <c r="AA23" s="3960" t="n"/>
      <c r="AB23" s="3960" t="n"/>
      <c r="AC23" s="3960" t="n"/>
      <c r="AD23" s="3960" t="n"/>
      <c r="AE23" s="3960" t="n"/>
      <c r="AF23" s="3960" t="n"/>
      <c r="AG23" s="3960" t="n"/>
      <c r="AH23" s="3960" t="n"/>
      <c r="AI23" s="3960" t="n"/>
      <c r="AJ23" s="3960" t="n"/>
      <c r="AK23" s="3960" t="n"/>
      <c r="AL23" s="3960" t="n"/>
      <c r="AM23" s="3960" t="n"/>
      <c r="AN23" s="3960" t="n"/>
      <c r="AO23" s="3960" t="n"/>
      <c r="AP23" s="3960" t="n"/>
      <c r="AQ23" s="3960" t="n"/>
      <c r="AR23" s="3960" t="n"/>
      <c r="AS23" s="3960" t="n"/>
    </row>
    <row r="24">
      <c r="A24" s="3959" t="n"/>
      <c r="B24" s="3959" t="n"/>
      <c r="C24" s="3959" t="n"/>
      <c r="D24" s="3959" t="n"/>
      <c r="E24" s="3959" t="n"/>
      <c r="F24" s="3959" t="n"/>
      <c r="G24" s="3960" t="n"/>
      <c r="H24" s="3960" t="n"/>
      <c r="I24" s="3960" t="n"/>
      <c r="J24" s="3960" t="n"/>
      <c r="K24" s="3960" t="n"/>
      <c r="L24" s="3960" t="n"/>
      <c r="M24" s="3960" t="n"/>
      <c r="N24" s="3960" t="n"/>
      <c r="O24" s="3960" t="n"/>
      <c r="P24" s="3960" t="n"/>
      <c r="Q24" s="3960" t="n"/>
      <c r="R24" s="3960" t="n"/>
      <c r="S24" s="3960" t="n"/>
      <c r="T24" s="3960" t="n"/>
      <c r="U24" s="3960" t="n"/>
      <c r="V24" s="3960" t="n"/>
      <c r="W24" s="3960" t="n"/>
      <c r="X24" s="3960" t="n"/>
      <c r="Y24" s="3960" t="n"/>
      <c r="Z24" s="3960" t="n"/>
      <c r="AA24" s="3960" t="n"/>
      <c r="AB24" s="3960" t="n"/>
      <c r="AC24" s="3960" t="n"/>
      <c r="AD24" s="3960" t="n"/>
      <c r="AE24" s="3960" t="n"/>
      <c r="AF24" s="3960" t="n"/>
      <c r="AG24" s="3960" t="n"/>
      <c r="AH24" s="3960" t="n"/>
      <c r="AI24" s="3960" t="n"/>
      <c r="AJ24" s="3960" t="n"/>
      <c r="AK24" s="3960" t="n"/>
      <c r="AL24" s="3960" t="n"/>
      <c r="AM24" s="3960" t="n"/>
      <c r="AN24" s="3960" t="n"/>
      <c r="AO24" s="3960" t="n"/>
      <c r="AP24" s="3960" t="n"/>
      <c r="AQ24" s="3960" t="n"/>
      <c r="AR24" s="3960" t="n"/>
      <c r="AS24" s="3960" t="n"/>
    </row>
    <row r="25">
      <c r="A25" s="3959" t="n"/>
      <c r="B25" s="3959" t="n"/>
      <c r="C25" s="3959" t="n"/>
      <c r="D25" s="3959" t="n"/>
      <c r="E25" s="3959" t="n"/>
      <c r="F25" s="3959" t="n"/>
      <c r="G25" s="3960" t="n"/>
      <c r="H25" s="3960" t="n"/>
      <c r="I25" s="3960" t="n"/>
      <c r="J25" s="3960" t="n"/>
      <c r="K25" s="3960" t="n"/>
      <c r="L25" s="3960" t="n"/>
      <c r="M25" s="3960" t="n"/>
      <c r="N25" s="3960" t="n"/>
      <c r="O25" s="3960" t="n"/>
      <c r="P25" s="3960" t="n"/>
      <c r="Q25" s="3960" t="n"/>
      <c r="R25" s="3960" t="n"/>
      <c r="S25" s="3960" t="n"/>
      <c r="T25" s="3960" t="n"/>
      <c r="U25" s="3960" t="n"/>
      <c r="V25" s="3960" t="n"/>
      <c r="W25" s="3960" t="n"/>
      <c r="X25" s="3960" t="n"/>
      <c r="Y25" s="3960" t="n"/>
      <c r="Z25" s="3960" t="n"/>
      <c r="AA25" s="3960" t="n"/>
      <c r="AB25" s="3960" t="n"/>
      <c r="AC25" s="3960" t="n"/>
      <c r="AD25" s="3960" t="n"/>
      <c r="AE25" s="3960" t="n"/>
      <c r="AF25" s="3960" t="n"/>
      <c r="AG25" s="3960" t="n"/>
      <c r="AH25" s="3960" t="n"/>
      <c r="AI25" s="3960" t="n"/>
      <c r="AJ25" s="3960" t="n"/>
      <c r="AK25" s="3960" t="n"/>
      <c r="AL25" s="3960" t="n"/>
      <c r="AM25" s="3960" t="n"/>
      <c r="AN25" s="3960" t="n"/>
      <c r="AO25" s="3960" t="n"/>
      <c r="AP25" s="3960" t="n"/>
      <c r="AQ25" s="3960" t="n"/>
      <c r="AR25" s="3960" t="n"/>
      <c r="AS25" s="3960" t="n"/>
    </row>
    <row r="26">
      <c r="A26" s="3959" t="n"/>
      <c r="B26" s="3959" t="n"/>
      <c r="C26" s="3959" t="n"/>
      <c r="D26" s="3959" t="n"/>
      <c r="E26" s="3959" t="n"/>
      <c r="F26" s="3959" t="n"/>
      <c r="G26" s="3960" t="n"/>
      <c r="H26" s="3960" t="n"/>
      <c r="I26" s="3960" t="n"/>
      <c r="J26" s="3960" t="n"/>
      <c r="K26" s="3960" t="n"/>
      <c r="L26" s="3960" t="n"/>
      <c r="M26" s="3960" t="n"/>
      <c r="N26" s="3960" t="n"/>
      <c r="O26" s="3960" t="n"/>
      <c r="P26" s="3960" t="n"/>
      <c r="Q26" s="3960" t="n"/>
      <c r="R26" s="3960" t="n"/>
      <c r="S26" s="3960" t="n"/>
      <c r="T26" s="3960" t="n"/>
      <c r="U26" s="3960" t="n"/>
      <c r="V26" s="3960" t="n"/>
      <c r="W26" s="3960" t="n"/>
      <c r="X26" s="3960" t="n"/>
      <c r="Y26" s="3960" t="n"/>
      <c r="Z26" s="3960" t="n"/>
      <c r="AA26" s="3960" t="n"/>
      <c r="AB26" s="3960" t="n"/>
      <c r="AC26" s="3960" t="n"/>
      <c r="AD26" s="3960" t="n"/>
      <c r="AE26" s="3960" t="n"/>
      <c r="AF26" s="3960" t="n"/>
      <c r="AG26" s="3960" t="n"/>
      <c r="AH26" s="3960" t="n"/>
      <c r="AI26" s="3960" t="n"/>
      <c r="AJ26" s="3960" t="n"/>
      <c r="AK26" s="3960" t="n"/>
      <c r="AL26" s="3960" t="n"/>
      <c r="AM26" s="3960" t="n"/>
      <c r="AN26" s="3960" t="n"/>
      <c r="AO26" s="3960" t="n"/>
      <c r="AP26" s="3960" t="n"/>
      <c r="AQ26" s="3960" t="n"/>
      <c r="AR26" s="3960" t="n"/>
      <c r="AS26" s="3960" t="n"/>
    </row>
    <row r="27">
      <c r="A27" s="3979" t="inlineStr">
        <is>
          <t>IS_CHECKS</t>
        </is>
      </c>
      <c r="B27" s="3980" t="n"/>
      <c r="C27" s="3980" t="n"/>
      <c r="D27" s="3980" t="n"/>
      <c r="E27" s="3980" t="n"/>
      <c r="F27" s="3980" t="n"/>
      <c r="G27" s="3981" t="n"/>
      <c r="H27" s="3981" t="n"/>
      <c r="I27" s="3981" t="n"/>
      <c r="J27" s="3981" t="n"/>
      <c r="K27" s="3981" t="n"/>
      <c r="L27" s="3981" t="n"/>
      <c r="M27" s="3981" t="n"/>
      <c r="N27" s="3981" t="n"/>
      <c r="O27" s="3981" t="n"/>
      <c r="P27" s="3981" t="n"/>
      <c r="Q27" s="3981" t="n"/>
      <c r="R27" s="3981" t="n"/>
      <c r="S27" s="3981" t="n"/>
      <c r="T27" s="3981" t="n"/>
      <c r="U27" s="3981" t="n"/>
      <c r="V27" s="3981" t="n"/>
      <c r="W27" s="3981" t="n"/>
      <c r="X27" s="3981" t="n"/>
      <c r="Y27" s="3981" t="n"/>
      <c r="Z27" s="3981" t="n"/>
      <c r="AA27" s="3981" t="n"/>
      <c r="AB27" s="3981" t="n"/>
      <c r="AC27" s="3981" t="n"/>
      <c r="AD27" s="3981" t="n"/>
      <c r="AE27" s="3981" t="n"/>
      <c r="AF27" s="3981" t="n"/>
      <c r="AG27" s="3981" t="n"/>
      <c r="AH27" s="3981" t="n"/>
      <c r="AI27" s="3981" t="n"/>
      <c r="AJ27" s="3981" t="n"/>
      <c r="AK27" s="3981" t="n"/>
      <c r="AL27" s="3981" t="n"/>
      <c r="AM27" s="3981" t="n"/>
      <c r="AN27" s="3981" t="n"/>
      <c r="AO27" s="3981" t="n"/>
      <c r="AP27" s="3981" t="n"/>
      <c r="AQ27" s="3981" t="n"/>
      <c r="AR27" s="3981" t="n"/>
      <c r="AS27" s="3981" t="n"/>
    </row>
    <row r="28">
      <c r="A28" s="3959" t="inlineStr">
        <is>
          <t>Net income tie-out</t>
        </is>
      </c>
      <c r="B28" s="3959" t="n"/>
      <c r="C28" s="3959" t="n"/>
      <c r="D28" s="3959" t="n"/>
      <c r="E28" s="3959" t="n"/>
      <c r="F28" s="3959" t="n"/>
      <c r="G28" s="3961">
        <f>IF(G16="","",G16-(G13+G14+G15))</f>
        <v/>
      </c>
      <c r="H28" s="3961">
        <f>IF(H16="","",H16-(H13+H14+H15))</f>
        <v/>
      </c>
      <c r="I28" s="3961">
        <f>IF(I16="","",I16-(I13+I14+I15))</f>
        <v/>
      </c>
      <c r="J28" s="3961">
        <f>IF(J16="","",J16-(J13+J14+J15))</f>
        <v/>
      </c>
      <c r="K28" s="3961">
        <f>IF(K16="","",K16-(K13+K14+K15))</f>
        <v/>
      </c>
      <c r="L28" s="3961">
        <f>IF(L16="","",L16-(L13+L14+L15))</f>
        <v/>
      </c>
      <c r="M28" s="3961">
        <f>IF(M16="","",M16-(M13+M14+M15))</f>
        <v/>
      </c>
      <c r="N28" s="3961">
        <f>IF(N16="","",N16-(N13+N14+N15))</f>
        <v/>
      </c>
      <c r="O28" s="3961">
        <f>IF(O16="","",O16-(O13+O14+O15))</f>
        <v/>
      </c>
      <c r="P28" s="3961">
        <f>IF(P16="","",P16-(P13+P14+P15))</f>
        <v/>
      </c>
      <c r="Q28" s="3961">
        <f>IF(Q16="","",Q16-(Q13+Q14+Q15))</f>
        <v/>
      </c>
      <c r="R28" s="3961">
        <f>IF(R16="","",R16-(R13+R14+R15))</f>
        <v/>
      </c>
      <c r="S28" s="3961">
        <f>IF(S16="","",S16-(S13+S14+S15))</f>
        <v/>
      </c>
      <c r="T28" s="3961">
        <f>IF(T16="","",T16-(T13+T14+T15))</f>
        <v/>
      </c>
      <c r="U28" s="3961">
        <f>IF(U16="","",U16-(U13+U14+U15))</f>
        <v/>
      </c>
      <c r="V28" s="3961">
        <f>IF(V16="","",V16-(V13+V14+V15))</f>
        <v/>
      </c>
      <c r="W28" s="3961">
        <f>IF(W16="","",W16-(W13+W14+W15))</f>
        <v/>
      </c>
      <c r="X28" s="3961">
        <f>IF(X16="","",X16-(X13+X14+X15))</f>
        <v/>
      </c>
      <c r="Y28" s="3961">
        <f>IF(Y16="","",Y16-(Y13+Y14+Y15))</f>
        <v/>
      </c>
      <c r="Z28" s="3961">
        <f>IF(Z16="","",Z16-(Z13+Z14+Z15))</f>
        <v/>
      </c>
      <c r="AA28" s="3961">
        <f>IF(AA16="","",AA16-(AA13+AA14+AA15))</f>
        <v/>
      </c>
      <c r="AB28" s="3961">
        <f>IF(AB16="","",AB16-(AB13+AB14+AB15))</f>
        <v/>
      </c>
      <c r="AC28" s="3961">
        <f>IF(AC16="","",AC16-(AC13+AC14+AC15))</f>
        <v/>
      </c>
      <c r="AD28" s="3961">
        <f>IF(AD16="","",AD16-(AD13+AD14+AD15))</f>
        <v/>
      </c>
      <c r="AE28" s="3961">
        <f>IF(AE16="","",AE16-(AE13+AE14+AE15))</f>
        <v/>
      </c>
      <c r="AF28" s="3961">
        <f>IF(AF16="","",AF16-(AF13+AF14+AF15))</f>
        <v/>
      </c>
      <c r="AG28" s="3961">
        <f>IF(AG16="","",AG16-(AG13+AG14+AG15))</f>
        <v/>
      </c>
      <c r="AH28" s="3961">
        <f>IF(AH16="","",AH16-(AH13+AH14+AH15))</f>
        <v/>
      </c>
      <c r="AI28" s="3961">
        <f>IF(AI16="","",AI16-(AI13+AI14+AI15))</f>
        <v/>
      </c>
      <c r="AJ28" s="3961">
        <f>IF(AJ16="","",AJ16-(AJ13+AJ14+AJ15))</f>
        <v/>
      </c>
      <c r="AK28" s="3961">
        <f>IF(AK16="","",AK16-(AK13+AK14+AK15))</f>
        <v/>
      </c>
      <c r="AL28" s="3961">
        <f>IF(AL16="","",AL16-(AL13+AL14+AL15))</f>
        <v/>
      </c>
      <c r="AM28" s="3961">
        <f>IF(AM16="","",AM16-(AM13+AM14+AM15))</f>
        <v/>
      </c>
      <c r="AN28" s="3961">
        <f>IF(AN16="","",AN16-(AN13+AN14+AN15))</f>
        <v/>
      </c>
      <c r="AO28" s="3961">
        <f>IF(AO16="","",AO16-(AO13+AO14+AO15))</f>
        <v/>
      </c>
      <c r="AP28" s="3961">
        <f>IF(AP16="","",AP16-(AP13+AP14+AP15))</f>
        <v/>
      </c>
      <c r="AQ28" s="3961">
        <f>IF(AQ16="","",AQ16-(AQ13+AQ14+AQ15))</f>
        <v/>
      </c>
      <c r="AR28" s="3961">
        <f>IF(AR16="","",AR16-(AR13+AR14+AR15))</f>
        <v/>
      </c>
      <c r="AS28" s="3961">
        <f>IF(AS16="","",AS16-(AS13+AS14+AS15))</f>
        <v/>
      </c>
    </row>
    <row r="29">
      <c r="A29" s="3959" t="inlineStr">
        <is>
          <t>EBITDA tie-out</t>
        </is>
      </c>
      <c r="B29" s="3959" t="n"/>
      <c r="C29" s="3959" t="n"/>
      <c r="D29" s="3959" t="n"/>
      <c r="E29" s="3959" t="n"/>
      <c r="F29" s="3959" t="n"/>
      <c r="G29" s="3961">
        <f>IF(G20="","",G20-(G16+G17+G18+G19))</f>
        <v/>
      </c>
      <c r="H29" s="3961">
        <f>IF(H20="","",H20-(H16+H17+H18+H19))</f>
        <v/>
      </c>
      <c r="I29" s="3961">
        <f>IF(I20="","",I20-(I16+I17+I18+I19))</f>
        <v/>
      </c>
      <c r="J29" s="3961">
        <f>IF(J20="","",J20-(J16+J17+J18+J19))</f>
        <v/>
      </c>
      <c r="K29" s="3961">
        <f>IF(K20="","",K20-(K16+K17+K18+K19))</f>
        <v/>
      </c>
      <c r="L29" s="3961">
        <f>IF(L20="","",L20-(L16+L17+L18+L19))</f>
        <v/>
      </c>
      <c r="M29" s="3961">
        <f>IF(M20="","",M20-(M16+M17+M18+M19))</f>
        <v/>
      </c>
      <c r="N29" s="3961">
        <f>IF(N20="","",N20-(N16+N17+N18+N19))</f>
        <v/>
      </c>
      <c r="O29" s="3961">
        <f>IF(O20="","",O20-(O16+O17+O18+O19))</f>
        <v/>
      </c>
      <c r="P29" s="3961">
        <f>IF(P20="","",P20-(P16+P17+P18+P19))</f>
        <v/>
      </c>
      <c r="Q29" s="3961">
        <f>IF(Q20="","",Q20-(Q16+Q17+Q18+Q19))</f>
        <v/>
      </c>
      <c r="R29" s="3961">
        <f>IF(R20="","",R20-(R16+R17+R18+R19))</f>
        <v/>
      </c>
      <c r="S29" s="3961">
        <f>IF(S20="","",S20-(S16+S17+S18+S19))</f>
        <v/>
      </c>
      <c r="T29" s="3961">
        <f>IF(T20="","",T20-(T16+T17+T18+T19))</f>
        <v/>
      </c>
      <c r="U29" s="3961">
        <f>IF(U20="","",U20-(U16+U17+U18+U19))</f>
        <v/>
      </c>
      <c r="V29" s="3961">
        <f>IF(V20="","",V20-(V16+V17+V18+V19))</f>
        <v/>
      </c>
      <c r="W29" s="3961">
        <f>IF(W20="","",W20-(W16+W17+W18+W19))</f>
        <v/>
      </c>
      <c r="X29" s="3961">
        <f>IF(X20="","",X20-(X16+X17+X18+X19))</f>
        <v/>
      </c>
      <c r="Y29" s="3961">
        <f>IF(Y20="","",Y20-(Y16+Y17+Y18+Y19))</f>
        <v/>
      </c>
      <c r="Z29" s="3961">
        <f>IF(Z20="","",Z20-(Z16+Z17+Z18+Z19))</f>
        <v/>
      </c>
      <c r="AA29" s="3961">
        <f>IF(AA20="","",AA20-(AA16+AA17+AA18+AA19))</f>
        <v/>
      </c>
      <c r="AB29" s="3961">
        <f>IF(AB20="","",AB20-(AB16+AB17+AB18+AB19))</f>
        <v/>
      </c>
      <c r="AC29" s="3961">
        <f>IF(AC20="","",AC20-(AC16+AC17+AC18+AC19))</f>
        <v/>
      </c>
      <c r="AD29" s="3961">
        <f>IF(AD20="","",AD20-(AD16+AD17+AD18+AD19))</f>
        <v/>
      </c>
      <c r="AE29" s="3961">
        <f>IF(AE20="","",AE20-(AE16+AE17+AE18+AE19))</f>
        <v/>
      </c>
      <c r="AF29" s="3961">
        <f>IF(AF20="","",AF20-(AF16+AF17+AF18+AF19))</f>
        <v/>
      </c>
      <c r="AG29" s="3961">
        <f>IF(AG20="","",AG20-(AG16+AG17+AG18+AG19))</f>
        <v/>
      </c>
      <c r="AH29" s="3961">
        <f>IF(AH20="","",AH20-(AH16+AH17+AH18+AH19))</f>
        <v/>
      </c>
      <c r="AI29" s="3961">
        <f>IF(AI20="","",AI20-(AI16+AI17+AI18+AI19))</f>
        <v/>
      </c>
      <c r="AJ29" s="3961">
        <f>IF(AJ20="","",AJ20-(AJ16+AJ17+AJ18+AJ19))</f>
        <v/>
      </c>
      <c r="AK29" s="3961">
        <f>IF(AK20="","",AK20-(AK16+AK17+AK18+AK19))</f>
        <v/>
      </c>
      <c r="AL29" s="3961">
        <f>IF(AL20="","",AL20-(AL16+AL17+AL18+AL19))</f>
        <v/>
      </c>
      <c r="AM29" s="3961">
        <f>IF(AM20="","",AM20-(AM16+AM17+AM18+AM19))</f>
        <v/>
      </c>
      <c r="AN29" s="3961">
        <f>IF(AN20="","",AN20-(AN16+AN17+AN18+AN19))</f>
        <v/>
      </c>
      <c r="AO29" s="3961">
        <f>IF(AO20="","",AO20-(AO16+AO17+AO18+AO19))</f>
        <v/>
      </c>
      <c r="AP29" s="3961">
        <f>IF(AP20="","",AP20-(AP16+AP17+AP18+AP19))</f>
        <v/>
      </c>
      <c r="AQ29" s="3961">
        <f>IF(AQ20="","",AQ20-(AQ16+AQ17+AQ18+AQ19))</f>
        <v/>
      </c>
      <c r="AR29" s="3961">
        <f>IF(AR20="","",AR20-(AR16+AR17+AR18+AR19))</f>
        <v/>
      </c>
      <c r="AS29" s="3961">
        <f>IF(AS20="","",AS20-(AS16+AS17+AS18+AS19))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S28"/>
  <sheetViews>
    <sheetView showGridLines="0" zoomScale="100" zoomScaleNormal="100" workbookViewId="0">
      <pane xSplit="6" ySplit="8" topLeftCell="G9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7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30" customWidth="1" min="46" max="46"/>
    <col width="30" customWidth="1" min="47" max="47"/>
  </cols>
  <sheetData>
    <row r="1">
      <c r="A1" s="3921" t="inlineStr">
        <is>
          <t>Combined BS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  <c r="AS1" s="3934" t="n"/>
    </row>
    <row r="2">
      <c r="A2" s="3978" t="inlineStr">
        <is>
          <t>Source: &lt;document_source&gt;</t>
        </is>
      </c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  <c r="AS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  <c r="AS3" s="3934" t="n"/>
    </row>
    <row r="4">
      <c r="A4" s="3956" t="n"/>
      <c r="B4" s="3956" t="n"/>
      <c r="C4" s="3934" t="n"/>
      <c r="D4" s="3957" t="n"/>
      <c r="E4" s="3958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  <c r="AS4" s="3934" t="n"/>
    </row>
    <row r="5">
      <c r="A5" s="3956" t="n"/>
      <c r="B5" s="3956" t="n"/>
      <c r="C5" s="3934" t="n"/>
      <c r="D5" s="3956" t="n"/>
      <c r="E5" s="3956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  <c r="AS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  <c r="AS6" s="3934" t="n"/>
    </row>
    <row r="7">
      <c r="A7" s="3979" t="inlineStr">
        <is>
          <t>Combined BS</t>
        </is>
      </c>
      <c r="B7" s="3980" t="n"/>
      <c r="C7" s="3980" t="n"/>
      <c r="D7" s="3980" t="n"/>
      <c r="E7" s="3980" t="n"/>
      <c r="F7" s="3980" t="n"/>
      <c r="G7" s="3980" t="n"/>
      <c r="H7" s="3980" t="n"/>
      <c r="I7" s="3980" t="n"/>
      <c r="J7" s="3980" t="n"/>
      <c r="K7" s="3980" t="n"/>
      <c r="L7" s="3980" t="n"/>
      <c r="M7" s="3980" t="n"/>
      <c r="N7" s="3980" t="n"/>
      <c r="O7" s="3980" t="n"/>
      <c r="P7" s="3980" t="n"/>
      <c r="Q7" s="3980" t="n"/>
      <c r="R7" s="3980" t="n"/>
      <c r="S7" s="3980" t="n"/>
      <c r="T7" s="3980" t="n"/>
      <c r="U7" s="3980" t="n"/>
      <c r="V7" s="3980" t="n"/>
      <c r="W7" s="3980" t="n"/>
      <c r="X7" s="3980" t="n"/>
      <c r="Y7" s="3980" t="n"/>
      <c r="Z7" s="3980" t="n"/>
      <c r="AA7" s="3980" t="n"/>
      <c r="AB7" s="3980" t="n"/>
      <c r="AC7" s="3980" t="n"/>
      <c r="AD7" s="3980" t="n"/>
      <c r="AE7" s="3980" t="n"/>
      <c r="AF7" s="3980" t="n"/>
      <c r="AG7" s="3980" t="n"/>
      <c r="AH7" s="3980" t="n"/>
      <c r="AI7" s="3980" t="n"/>
      <c r="AJ7" s="3980" t="n"/>
      <c r="AK7" s="3980" t="n"/>
      <c r="AL7" s="3980" t="n"/>
      <c r="AM7" s="3980" t="n"/>
      <c r="AN7" s="3980" t="n"/>
      <c r="AO7" s="3980" t="n"/>
      <c r="AP7" s="3980" t="n"/>
      <c r="AQ7" s="3980" t="n"/>
      <c r="AR7" s="3980" t="n"/>
      <c r="AS7" s="3980" t="n"/>
    </row>
    <row r="8">
      <c r="A8" s="3923" t="inlineStr">
        <is>
          <t>LineKey</t>
        </is>
      </c>
      <c r="B8" s="3923" t="inlineStr">
        <is>
          <t>$'000</t>
        </is>
      </c>
      <c r="C8" s="3923" t="inlineStr">
        <is>
          <t>TB Account No.</t>
        </is>
      </c>
      <c r="D8" s="3923" t="inlineStr">
        <is>
          <t>Sign</t>
        </is>
      </c>
      <c r="E8" s="3923" t="inlineStr">
        <is>
          <t>Source</t>
        </is>
      </c>
      <c r="F8" s="3923" t="inlineStr">
        <is>
          <t>Comments</t>
        </is>
      </c>
      <c r="G8" s="3947">
        <f>'Control | Setup'!A22</f>
        <v/>
      </c>
      <c r="H8" s="3947">
        <f>'Control | Setup'!A23</f>
        <v/>
      </c>
      <c r="I8" s="3947">
        <f>'Control | Setup'!A24</f>
        <v/>
      </c>
      <c r="J8" s="3947">
        <f>'Control | Setup'!A25</f>
        <v/>
      </c>
      <c r="K8" s="3947">
        <f>'Control | Setup'!A26</f>
        <v/>
      </c>
      <c r="L8" s="3947">
        <f>'Control | Setup'!A27</f>
        <v/>
      </c>
      <c r="M8" s="3947">
        <f>'Control | Setup'!A28</f>
        <v/>
      </c>
      <c r="N8" s="3947">
        <f>'Control | Setup'!A29</f>
        <v/>
      </c>
      <c r="O8" s="3947">
        <f>'Control | Setup'!A30</f>
        <v/>
      </c>
      <c r="P8" s="3947">
        <f>'Control | Setup'!A31</f>
        <v/>
      </c>
      <c r="Q8" s="3947">
        <f>'Control | Setup'!A32</f>
        <v/>
      </c>
      <c r="R8" s="3947">
        <f>'Control | Setup'!A33</f>
        <v/>
      </c>
      <c r="S8" s="3947">
        <f>'Control | Setup'!A34</f>
        <v/>
      </c>
      <c r="T8" s="3947">
        <f>'Control | Setup'!A35</f>
        <v/>
      </c>
      <c r="U8" s="3947">
        <f>'Control | Setup'!A36</f>
        <v/>
      </c>
      <c r="V8" s="3947">
        <f>'Control | Setup'!A37</f>
        <v/>
      </c>
      <c r="W8" s="3947">
        <f>'Control | Setup'!A38</f>
        <v/>
      </c>
      <c r="X8" s="3947">
        <f>'Control | Setup'!A39</f>
        <v/>
      </c>
      <c r="Y8" s="3947">
        <f>'Control | Setup'!A40</f>
        <v/>
      </c>
      <c r="Z8" s="3947">
        <f>'Control | Setup'!A41</f>
        <v/>
      </c>
      <c r="AA8" s="3947">
        <f>'Control | Setup'!A42</f>
        <v/>
      </c>
      <c r="AB8" s="3947">
        <f>'Control | Setup'!A43</f>
        <v/>
      </c>
      <c r="AC8" s="3947">
        <f>'Control | Setup'!A44</f>
        <v/>
      </c>
      <c r="AD8" s="3947">
        <f>'Control | Setup'!A45</f>
        <v/>
      </c>
      <c r="AE8" s="3947">
        <f>'Control | Setup'!A46</f>
        <v/>
      </c>
      <c r="AF8" s="3947">
        <f>'Control | Setup'!A47</f>
        <v/>
      </c>
      <c r="AG8" s="3947">
        <f>'Control | Setup'!A48</f>
        <v/>
      </c>
      <c r="AH8" s="3947">
        <f>'Control | Setup'!A49</f>
        <v/>
      </c>
      <c r="AI8" s="3947">
        <f>'Control | Setup'!A50</f>
        <v/>
      </c>
      <c r="AJ8" s="3947">
        <f>'Control | Setup'!A51</f>
        <v/>
      </c>
      <c r="AK8" s="3947">
        <f>'Control | Setup'!A52</f>
        <v/>
      </c>
      <c r="AL8" s="3947">
        <f>'Control | Setup'!A53</f>
        <v/>
      </c>
      <c r="AM8" s="3947">
        <f>'Control | Setup'!A54</f>
        <v/>
      </c>
      <c r="AN8" s="3947">
        <f>'Control | Setup'!A55</f>
        <v/>
      </c>
      <c r="AO8" s="3947">
        <f>'Control | Setup'!A56</f>
        <v/>
      </c>
      <c r="AP8" s="3947">
        <f>'Control | Setup'!A57</f>
        <v/>
      </c>
      <c r="AQ8" s="3947" t="inlineStr">
        <is>
          <t>FY-2</t>
        </is>
      </c>
      <c r="AR8" s="3947" t="inlineStr">
        <is>
          <t>FY-1</t>
        </is>
      </c>
      <c r="AS8" s="3947" t="inlineStr">
        <is>
          <t>TTM</t>
        </is>
      </c>
    </row>
    <row r="9">
      <c r="A9" s="3959" t="inlineStr">
        <is>
          <t>BS_CASH</t>
        </is>
      </c>
      <c r="B9" s="3959" t="inlineStr">
        <is>
          <t>Cash</t>
        </is>
      </c>
      <c r="C9" s="3959" t="inlineStr"/>
      <c r="D9" s="3959" t="inlineStr">
        <is>
          <t>+</t>
        </is>
      </c>
      <c r="E9" s="3959" t="inlineStr">
        <is>
          <t>TB/Map</t>
        </is>
      </c>
      <c r="F9" s="3959" t="inlineStr"/>
      <c r="G9" s="3929" t="n"/>
      <c r="H9" s="3929" t="n"/>
      <c r="I9" s="3929" t="n"/>
      <c r="J9" s="3929" t="n"/>
      <c r="K9" s="3929" t="n"/>
      <c r="L9" s="3929" t="n"/>
      <c r="M9" s="3929" t="n"/>
      <c r="N9" s="3929" t="n"/>
      <c r="O9" s="3929" t="n"/>
      <c r="P9" s="3929" t="n"/>
      <c r="Q9" s="3929" t="n"/>
      <c r="R9" s="3929" t="n"/>
      <c r="S9" s="3929" t="n"/>
      <c r="T9" s="3929" t="n"/>
      <c r="U9" s="3929" t="n"/>
      <c r="V9" s="3929" t="n"/>
      <c r="W9" s="3929" t="n"/>
      <c r="X9" s="3929" t="n"/>
      <c r="Y9" s="3929" t="n"/>
      <c r="Z9" s="3929" t="n"/>
      <c r="AA9" s="3929" t="n"/>
      <c r="AB9" s="3929" t="n"/>
      <c r="AC9" s="3929" t="n"/>
      <c r="AD9" s="3929" t="n"/>
      <c r="AE9" s="3929" t="n"/>
      <c r="AF9" s="3929" t="n"/>
      <c r="AG9" s="3929" t="n"/>
      <c r="AH9" s="3929" t="n"/>
      <c r="AI9" s="3929" t="n"/>
      <c r="AJ9" s="3929" t="n"/>
      <c r="AK9" s="3929" t="n"/>
      <c r="AL9" s="3929" t="n"/>
      <c r="AM9" s="3929" t="n"/>
      <c r="AN9" s="3929" t="n"/>
      <c r="AO9" s="3929" t="n"/>
      <c r="AP9" s="3929" t="n"/>
      <c r="AQ9" s="3949">
        <f>R9</f>
        <v/>
      </c>
      <c r="AR9" s="3949">
        <f>AD9</f>
        <v/>
      </c>
      <c r="AS9" s="3949">
        <f>AP9</f>
        <v/>
      </c>
    </row>
    <row r="10">
      <c r="A10" s="3959" t="inlineStr">
        <is>
          <t>BS_AR</t>
        </is>
      </c>
      <c r="B10" s="3959" t="inlineStr">
        <is>
          <t>Accounts receivable</t>
        </is>
      </c>
      <c r="C10" s="3959" t="inlineStr"/>
      <c r="D10" s="3959" t="inlineStr">
        <is>
          <t>+</t>
        </is>
      </c>
      <c r="E10" s="3959" t="inlineStr">
        <is>
          <t>TB/Map</t>
        </is>
      </c>
      <c r="F10" s="3959" t="inlineStr"/>
      <c r="G10" s="3929" t="n"/>
      <c r="H10" s="3929" t="n"/>
      <c r="I10" s="3929" t="n"/>
      <c r="J10" s="3929" t="n"/>
      <c r="K10" s="3929" t="n"/>
      <c r="L10" s="3929" t="n"/>
      <c r="M10" s="3929" t="n"/>
      <c r="N10" s="3929" t="n"/>
      <c r="O10" s="3929" t="n"/>
      <c r="P10" s="3929" t="n"/>
      <c r="Q10" s="3929" t="n"/>
      <c r="R10" s="3929" t="n"/>
      <c r="S10" s="3929" t="n"/>
      <c r="T10" s="3929" t="n"/>
      <c r="U10" s="3929" t="n"/>
      <c r="V10" s="3929" t="n"/>
      <c r="W10" s="3929" t="n"/>
      <c r="X10" s="3929" t="n"/>
      <c r="Y10" s="3929" t="n"/>
      <c r="Z10" s="3929" t="n"/>
      <c r="AA10" s="3929" t="n"/>
      <c r="AB10" s="3929" t="n"/>
      <c r="AC10" s="3929" t="n"/>
      <c r="AD10" s="3929" t="n"/>
      <c r="AE10" s="3929" t="n"/>
      <c r="AF10" s="3929" t="n"/>
      <c r="AG10" s="3929" t="n"/>
      <c r="AH10" s="3929" t="n"/>
      <c r="AI10" s="3929" t="n"/>
      <c r="AJ10" s="3929" t="n"/>
      <c r="AK10" s="3929" t="n"/>
      <c r="AL10" s="3929" t="n"/>
      <c r="AM10" s="3929" t="n"/>
      <c r="AN10" s="3929" t="n"/>
      <c r="AO10" s="3929" t="n"/>
      <c r="AP10" s="3929" t="n"/>
      <c r="AQ10" s="3949">
        <f>R10</f>
        <v/>
      </c>
      <c r="AR10" s="3949">
        <f>AD10</f>
        <v/>
      </c>
      <c r="AS10" s="3949">
        <f>AP10</f>
        <v/>
      </c>
    </row>
    <row r="11">
      <c r="A11" s="3959" t="inlineStr">
        <is>
          <t>BS_INV</t>
        </is>
      </c>
      <c r="B11" s="3959" t="inlineStr">
        <is>
          <t>Inventory</t>
        </is>
      </c>
      <c r="C11" s="3959" t="inlineStr"/>
      <c r="D11" s="3959" t="inlineStr">
        <is>
          <t>+</t>
        </is>
      </c>
      <c r="E11" s="3959" t="inlineStr">
        <is>
          <t>TB/Map</t>
        </is>
      </c>
      <c r="F11" s="3959" t="inlineStr"/>
      <c r="G11" s="3929" t="n"/>
      <c r="H11" s="3929" t="n"/>
      <c r="I11" s="3929" t="n"/>
      <c r="J11" s="3929" t="n"/>
      <c r="K11" s="3929" t="n"/>
      <c r="L11" s="3929" t="n"/>
      <c r="M11" s="3929" t="n"/>
      <c r="N11" s="3929" t="n"/>
      <c r="O11" s="3929" t="n"/>
      <c r="P11" s="3929" t="n"/>
      <c r="Q11" s="3929" t="n"/>
      <c r="R11" s="3929" t="n"/>
      <c r="S11" s="3929" t="n"/>
      <c r="T11" s="3929" t="n"/>
      <c r="U11" s="3929" t="n"/>
      <c r="V11" s="3929" t="n"/>
      <c r="W11" s="3929" t="n"/>
      <c r="X11" s="3929" t="n"/>
      <c r="Y11" s="3929" t="n"/>
      <c r="Z11" s="3929" t="n"/>
      <c r="AA11" s="3929" t="n"/>
      <c r="AB11" s="3929" t="n"/>
      <c r="AC11" s="3929" t="n"/>
      <c r="AD11" s="3929" t="n"/>
      <c r="AE11" s="3929" t="n"/>
      <c r="AF11" s="3929" t="n"/>
      <c r="AG11" s="3929" t="n"/>
      <c r="AH11" s="3929" t="n"/>
      <c r="AI11" s="3929" t="n"/>
      <c r="AJ11" s="3929" t="n"/>
      <c r="AK11" s="3929" t="n"/>
      <c r="AL11" s="3929" t="n"/>
      <c r="AM11" s="3929" t="n"/>
      <c r="AN11" s="3929" t="n"/>
      <c r="AO11" s="3929" t="n"/>
      <c r="AP11" s="3929" t="n"/>
      <c r="AQ11" s="3949">
        <f>R11</f>
        <v/>
      </c>
      <c r="AR11" s="3949">
        <f>AD11</f>
        <v/>
      </c>
      <c r="AS11" s="3949">
        <f>AP11</f>
        <v/>
      </c>
    </row>
    <row r="12">
      <c r="A12" s="3959" t="inlineStr">
        <is>
          <t>BS_OCA</t>
        </is>
      </c>
      <c r="B12" s="3959" t="inlineStr">
        <is>
          <t>Other current assets</t>
        </is>
      </c>
      <c r="C12" s="3959" t="inlineStr"/>
      <c r="D12" s="3959" t="inlineStr">
        <is>
          <t>+</t>
        </is>
      </c>
      <c r="E12" s="3959" t="inlineStr">
        <is>
          <t>TB/Map</t>
        </is>
      </c>
      <c r="F12" s="3959" t="inlineStr"/>
      <c r="G12" s="3929" t="n"/>
      <c r="H12" s="3929" t="n"/>
      <c r="I12" s="3929" t="n"/>
      <c r="J12" s="3929" t="n"/>
      <c r="K12" s="3929" t="n"/>
      <c r="L12" s="3929" t="n"/>
      <c r="M12" s="3929" t="n"/>
      <c r="N12" s="3929" t="n"/>
      <c r="O12" s="3929" t="n"/>
      <c r="P12" s="3929" t="n"/>
      <c r="Q12" s="3929" t="n"/>
      <c r="R12" s="3929" t="n"/>
      <c r="S12" s="3929" t="n"/>
      <c r="T12" s="3929" t="n"/>
      <c r="U12" s="3929" t="n"/>
      <c r="V12" s="3929" t="n"/>
      <c r="W12" s="3929" t="n"/>
      <c r="X12" s="3929" t="n"/>
      <c r="Y12" s="3929" t="n"/>
      <c r="Z12" s="3929" t="n"/>
      <c r="AA12" s="3929" t="n"/>
      <c r="AB12" s="3929" t="n"/>
      <c r="AC12" s="3929" t="n"/>
      <c r="AD12" s="3929" t="n"/>
      <c r="AE12" s="3929" t="n"/>
      <c r="AF12" s="3929" t="n"/>
      <c r="AG12" s="3929" t="n"/>
      <c r="AH12" s="3929" t="n"/>
      <c r="AI12" s="3929" t="n"/>
      <c r="AJ12" s="3929" t="n"/>
      <c r="AK12" s="3929" t="n"/>
      <c r="AL12" s="3929" t="n"/>
      <c r="AM12" s="3929" t="n"/>
      <c r="AN12" s="3929" t="n"/>
      <c r="AO12" s="3929" t="n"/>
      <c r="AP12" s="3929" t="n"/>
      <c r="AQ12" s="3949">
        <f>R12</f>
        <v/>
      </c>
      <c r="AR12" s="3949">
        <f>AD12</f>
        <v/>
      </c>
      <c r="AS12" s="3949">
        <f>AP12</f>
        <v/>
      </c>
    </row>
    <row r="13">
      <c r="A13" s="3959" t="inlineStr">
        <is>
          <t>BS_TCA</t>
        </is>
      </c>
      <c r="B13" s="3959" t="inlineStr">
        <is>
          <t>Total current assets</t>
        </is>
      </c>
      <c r="C13" s="3959" t="inlineStr"/>
      <c r="D13" s="3959" t="inlineStr">
        <is>
          <t>+</t>
        </is>
      </c>
      <c r="E13" s="3959" t="inlineStr">
        <is>
          <t>Formula</t>
        </is>
      </c>
      <c r="F13" s="3959" t="inlineStr">
        <is>
          <t>Derived</t>
        </is>
      </c>
      <c r="G13" s="3960">
        <f>IF(COUNT(G9:G12)=0,"",SUM(G9:G12))</f>
        <v/>
      </c>
      <c r="H13" s="3960">
        <f>IF(COUNT(H9:H12)=0,"",SUM(H9:H12))</f>
        <v/>
      </c>
      <c r="I13" s="3960">
        <f>IF(COUNT(I9:I12)=0,"",SUM(I9:I12))</f>
        <v/>
      </c>
      <c r="J13" s="3960">
        <f>IF(COUNT(J9:J12)=0,"",SUM(J9:J12))</f>
        <v/>
      </c>
      <c r="K13" s="3960">
        <f>IF(COUNT(K9:K12)=0,"",SUM(K9:K12))</f>
        <v/>
      </c>
      <c r="L13" s="3960">
        <f>IF(COUNT(L9:L12)=0,"",SUM(L9:L12))</f>
        <v/>
      </c>
      <c r="M13" s="3960">
        <f>IF(COUNT(M9:M12)=0,"",SUM(M9:M12))</f>
        <v/>
      </c>
      <c r="N13" s="3960">
        <f>IF(COUNT(N9:N12)=0,"",SUM(N9:N12))</f>
        <v/>
      </c>
      <c r="O13" s="3960">
        <f>IF(COUNT(O9:O12)=0,"",SUM(O9:O12))</f>
        <v/>
      </c>
      <c r="P13" s="3960">
        <f>IF(COUNT(P9:P12)=0,"",SUM(P9:P12))</f>
        <v/>
      </c>
      <c r="Q13" s="3960">
        <f>IF(COUNT(Q9:Q12)=0,"",SUM(Q9:Q12))</f>
        <v/>
      </c>
      <c r="R13" s="3960">
        <f>IF(COUNT(R9:R12)=0,"",SUM(R9:R12))</f>
        <v/>
      </c>
      <c r="S13" s="3960">
        <f>IF(COUNT(S9:S12)=0,"",SUM(S9:S12))</f>
        <v/>
      </c>
      <c r="T13" s="3960">
        <f>IF(COUNT(T9:T12)=0,"",SUM(T9:T12))</f>
        <v/>
      </c>
      <c r="U13" s="3960">
        <f>IF(COUNT(U9:U12)=0,"",SUM(U9:U12))</f>
        <v/>
      </c>
      <c r="V13" s="3960">
        <f>IF(COUNT(V9:V12)=0,"",SUM(V9:V12))</f>
        <v/>
      </c>
      <c r="W13" s="3960">
        <f>IF(COUNT(W9:W12)=0,"",SUM(W9:W12))</f>
        <v/>
      </c>
      <c r="X13" s="3960">
        <f>IF(COUNT(X9:X12)=0,"",SUM(X9:X12))</f>
        <v/>
      </c>
      <c r="Y13" s="3960">
        <f>IF(COUNT(Y9:Y12)=0,"",SUM(Y9:Y12))</f>
        <v/>
      </c>
      <c r="Z13" s="3960">
        <f>IF(COUNT(Z9:Z12)=0,"",SUM(Z9:Z12))</f>
        <v/>
      </c>
      <c r="AA13" s="3960">
        <f>IF(COUNT(AA9:AA12)=0,"",SUM(AA9:AA12))</f>
        <v/>
      </c>
      <c r="AB13" s="3960">
        <f>IF(COUNT(AB9:AB12)=0,"",SUM(AB9:AB12))</f>
        <v/>
      </c>
      <c r="AC13" s="3960">
        <f>IF(COUNT(AC9:AC12)=0,"",SUM(AC9:AC12))</f>
        <v/>
      </c>
      <c r="AD13" s="3960">
        <f>IF(COUNT(AD9:AD12)=0,"",SUM(AD9:AD12))</f>
        <v/>
      </c>
      <c r="AE13" s="3960">
        <f>IF(COUNT(AE9:AE12)=0,"",SUM(AE9:AE12))</f>
        <v/>
      </c>
      <c r="AF13" s="3960">
        <f>IF(COUNT(AF9:AF12)=0,"",SUM(AF9:AF12))</f>
        <v/>
      </c>
      <c r="AG13" s="3960">
        <f>IF(COUNT(AG9:AG12)=0,"",SUM(AG9:AG12))</f>
        <v/>
      </c>
      <c r="AH13" s="3960">
        <f>IF(COUNT(AH9:AH12)=0,"",SUM(AH9:AH12))</f>
        <v/>
      </c>
      <c r="AI13" s="3960">
        <f>IF(COUNT(AI9:AI12)=0,"",SUM(AI9:AI12))</f>
        <v/>
      </c>
      <c r="AJ13" s="3960">
        <f>IF(COUNT(AJ9:AJ12)=0,"",SUM(AJ9:AJ12))</f>
        <v/>
      </c>
      <c r="AK13" s="3960">
        <f>IF(COUNT(AK9:AK12)=0,"",SUM(AK9:AK12))</f>
        <v/>
      </c>
      <c r="AL13" s="3960">
        <f>IF(COUNT(AL9:AL12)=0,"",SUM(AL9:AL12))</f>
        <v/>
      </c>
      <c r="AM13" s="3960">
        <f>IF(COUNT(AM9:AM12)=0,"",SUM(AM9:AM12))</f>
        <v/>
      </c>
      <c r="AN13" s="3960">
        <f>IF(COUNT(AN9:AN12)=0,"",SUM(AN9:AN12))</f>
        <v/>
      </c>
      <c r="AO13" s="3960">
        <f>IF(COUNT(AO9:AO12)=0,"",SUM(AO9:AO12))</f>
        <v/>
      </c>
      <c r="AP13" s="3960">
        <f>IF(COUNT(AP9:AP12)=0,"",SUM(AP9:AP12))</f>
        <v/>
      </c>
      <c r="AQ13" s="3949">
        <f>R13</f>
        <v/>
      </c>
      <c r="AR13" s="3949">
        <f>AD13</f>
        <v/>
      </c>
      <c r="AS13" s="3949">
        <f>AP13</f>
        <v/>
      </c>
    </row>
    <row r="14">
      <c r="A14" s="3959" t="inlineStr">
        <is>
          <t>BS_PPE</t>
        </is>
      </c>
      <c r="B14" s="3959" t="inlineStr">
        <is>
          <t>PP&amp;E</t>
        </is>
      </c>
      <c r="C14" s="3959" t="inlineStr"/>
      <c r="D14" s="3959" t="inlineStr">
        <is>
          <t>+</t>
        </is>
      </c>
      <c r="E14" s="3959" t="inlineStr">
        <is>
          <t>TB/Map</t>
        </is>
      </c>
      <c r="F14" s="3959" t="inlineStr"/>
      <c r="G14" s="3929" t="n"/>
      <c r="H14" s="3929" t="n"/>
      <c r="I14" s="3929" t="n"/>
      <c r="J14" s="3929" t="n"/>
      <c r="K14" s="3929" t="n"/>
      <c r="L14" s="3929" t="n"/>
      <c r="M14" s="3929" t="n"/>
      <c r="N14" s="3929" t="n"/>
      <c r="O14" s="3929" t="n"/>
      <c r="P14" s="3929" t="n"/>
      <c r="Q14" s="3929" t="n"/>
      <c r="R14" s="3929" t="n"/>
      <c r="S14" s="3929" t="n"/>
      <c r="T14" s="3929" t="n"/>
      <c r="U14" s="3929" t="n"/>
      <c r="V14" s="3929" t="n"/>
      <c r="W14" s="3929" t="n"/>
      <c r="X14" s="3929" t="n"/>
      <c r="Y14" s="3929" t="n"/>
      <c r="Z14" s="3929" t="n"/>
      <c r="AA14" s="3929" t="n"/>
      <c r="AB14" s="3929" t="n"/>
      <c r="AC14" s="3929" t="n"/>
      <c r="AD14" s="3929" t="n"/>
      <c r="AE14" s="3929" t="n"/>
      <c r="AF14" s="3929" t="n"/>
      <c r="AG14" s="3929" t="n"/>
      <c r="AH14" s="3929" t="n"/>
      <c r="AI14" s="3929" t="n"/>
      <c r="AJ14" s="3929" t="n"/>
      <c r="AK14" s="3929" t="n"/>
      <c r="AL14" s="3929" t="n"/>
      <c r="AM14" s="3929" t="n"/>
      <c r="AN14" s="3929" t="n"/>
      <c r="AO14" s="3929" t="n"/>
      <c r="AP14" s="3929" t="n"/>
      <c r="AQ14" s="3949">
        <f>R14</f>
        <v/>
      </c>
      <c r="AR14" s="3949">
        <f>AD14</f>
        <v/>
      </c>
      <c r="AS14" s="3949">
        <f>AP14</f>
        <v/>
      </c>
    </row>
    <row r="15">
      <c r="A15" s="3959" t="inlineStr">
        <is>
          <t>BS_OTA</t>
        </is>
      </c>
      <c r="B15" s="3959" t="inlineStr">
        <is>
          <t>Other assets</t>
        </is>
      </c>
      <c r="C15" s="3959" t="inlineStr"/>
      <c r="D15" s="3959" t="inlineStr">
        <is>
          <t>+</t>
        </is>
      </c>
      <c r="E15" s="3959" t="inlineStr">
        <is>
          <t>TB/Map</t>
        </is>
      </c>
      <c r="F15" s="3959" t="inlineStr"/>
      <c r="G15" s="3929" t="n"/>
      <c r="H15" s="3929" t="n"/>
      <c r="I15" s="3929" t="n"/>
      <c r="J15" s="3929" t="n"/>
      <c r="K15" s="3929" t="n"/>
      <c r="L15" s="3929" t="n"/>
      <c r="M15" s="3929" t="n"/>
      <c r="N15" s="3929" t="n"/>
      <c r="O15" s="3929" t="n"/>
      <c r="P15" s="3929" t="n"/>
      <c r="Q15" s="3929" t="n"/>
      <c r="R15" s="3929" t="n"/>
      <c r="S15" s="3929" t="n"/>
      <c r="T15" s="3929" t="n"/>
      <c r="U15" s="3929" t="n"/>
      <c r="V15" s="3929" t="n"/>
      <c r="W15" s="3929" t="n"/>
      <c r="X15" s="3929" t="n"/>
      <c r="Y15" s="3929" t="n"/>
      <c r="Z15" s="3929" t="n"/>
      <c r="AA15" s="3929" t="n"/>
      <c r="AB15" s="3929" t="n"/>
      <c r="AC15" s="3929" t="n"/>
      <c r="AD15" s="3929" t="n"/>
      <c r="AE15" s="3929" t="n"/>
      <c r="AF15" s="3929" t="n"/>
      <c r="AG15" s="3929" t="n"/>
      <c r="AH15" s="3929" t="n"/>
      <c r="AI15" s="3929" t="n"/>
      <c r="AJ15" s="3929" t="n"/>
      <c r="AK15" s="3929" t="n"/>
      <c r="AL15" s="3929" t="n"/>
      <c r="AM15" s="3929" t="n"/>
      <c r="AN15" s="3929" t="n"/>
      <c r="AO15" s="3929" t="n"/>
      <c r="AP15" s="3929" t="n"/>
      <c r="AQ15" s="3949">
        <f>R15</f>
        <v/>
      </c>
      <c r="AR15" s="3949">
        <f>AD15</f>
        <v/>
      </c>
      <c r="AS15" s="3949">
        <f>AP15</f>
        <v/>
      </c>
    </row>
    <row r="16">
      <c r="A16" s="3959" t="inlineStr">
        <is>
          <t>BS_TA</t>
        </is>
      </c>
      <c r="B16" s="3959" t="inlineStr">
        <is>
          <t>Total assets</t>
        </is>
      </c>
      <c r="C16" s="3959" t="inlineStr"/>
      <c r="D16" s="3959" t="inlineStr">
        <is>
          <t>+</t>
        </is>
      </c>
      <c r="E16" s="3959" t="inlineStr">
        <is>
          <t>Formula</t>
        </is>
      </c>
      <c r="F16" s="3959" t="inlineStr">
        <is>
          <t>Main total</t>
        </is>
      </c>
      <c r="G16" s="3960">
        <f>IF(COUNT(G13:G15)=0,"",SUM(G13:G15))</f>
        <v/>
      </c>
      <c r="H16" s="3960">
        <f>IF(COUNT(H13:H15)=0,"",SUM(H13:H15))</f>
        <v/>
      </c>
      <c r="I16" s="3960">
        <f>IF(COUNT(I13:I15)=0,"",SUM(I13:I15))</f>
        <v/>
      </c>
      <c r="J16" s="3960">
        <f>IF(COUNT(J13:J15)=0,"",SUM(J13:J15))</f>
        <v/>
      </c>
      <c r="K16" s="3960">
        <f>IF(COUNT(K13:K15)=0,"",SUM(K13:K15))</f>
        <v/>
      </c>
      <c r="L16" s="3960">
        <f>IF(COUNT(L13:L15)=0,"",SUM(L13:L15))</f>
        <v/>
      </c>
      <c r="M16" s="3960">
        <f>IF(COUNT(M13:M15)=0,"",SUM(M13:M15))</f>
        <v/>
      </c>
      <c r="N16" s="3960">
        <f>IF(COUNT(N13:N15)=0,"",SUM(N13:N15))</f>
        <v/>
      </c>
      <c r="O16" s="3960">
        <f>IF(COUNT(O13:O15)=0,"",SUM(O13:O15))</f>
        <v/>
      </c>
      <c r="P16" s="3960">
        <f>IF(COUNT(P13:P15)=0,"",SUM(P13:P15))</f>
        <v/>
      </c>
      <c r="Q16" s="3960">
        <f>IF(COUNT(Q13:Q15)=0,"",SUM(Q13:Q15))</f>
        <v/>
      </c>
      <c r="R16" s="3960">
        <f>IF(COUNT(R13:R15)=0,"",SUM(R13:R15))</f>
        <v/>
      </c>
      <c r="S16" s="3960">
        <f>IF(COUNT(S13:S15)=0,"",SUM(S13:S15))</f>
        <v/>
      </c>
      <c r="T16" s="3960">
        <f>IF(COUNT(T13:T15)=0,"",SUM(T13:T15))</f>
        <v/>
      </c>
      <c r="U16" s="3960">
        <f>IF(COUNT(U13:U15)=0,"",SUM(U13:U15))</f>
        <v/>
      </c>
      <c r="V16" s="3960">
        <f>IF(COUNT(V13:V15)=0,"",SUM(V13:V15))</f>
        <v/>
      </c>
      <c r="W16" s="3960">
        <f>IF(COUNT(W13:W15)=0,"",SUM(W13:W15))</f>
        <v/>
      </c>
      <c r="X16" s="3960">
        <f>IF(COUNT(X13:X15)=0,"",SUM(X13:X15))</f>
        <v/>
      </c>
      <c r="Y16" s="3960">
        <f>IF(COUNT(Y13:Y15)=0,"",SUM(Y13:Y15))</f>
        <v/>
      </c>
      <c r="Z16" s="3960">
        <f>IF(COUNT(Z13:Z15)=0,"",SUM(Z13:Z15))</f>
        <v/>
      </c>
      <c r="AA16" s="3960">
        <f>IF(COUNT(AA13:AA15)=0,"",SUM(AA13:AA15))</f>
        <v/>
      </c>
      <c r="AB16" s="3960">
        <f>IF(COUNT(AB13:AB15)=0,"",SUM(AB13:AB15))</f>
        <v/>
      </c>
      <c r="AC16" s="3960">
        <f>IF(COUNT(AC13:AC15)=0,"",SUM(AC13:AC15))</f>
        <v/>
      </c>
      <c r="AD16" s="3960">
        <f>IF(COUNT(AD13:AD15)=0,"",SUM(AD13:AD15))</f>
        <v/>
      </c>
      <c r="AE16" s="3960">
        <f>IF(COUNT(AE13:AE15)=0,"",SUM(AE13:AE15))</f>
        <v/>
      </c>
      <c r="AF16" s="3960">
        <f>IF(COUNT(AF13:AF15)=0,"",SUM(AF13:AF15))</f>
        <v/>
      </c>
      <c r="AG16" s="3960">
        <f>IF(COUNT(AG13:AG15)=0,"",SUM(AG13:AG15))</f>
        <v/>
      </c>
      <c r="AH16" s="3960">
        <f>IF(COUNT(AH13:AH15)=0,"",SUM(AH13:AH15))</f>
        <v/>
      </c>
      <c r="AI16" s="3960">
        <f>IF(COUNT(AI13:AI15)=0,"",SUM(AI13:AI15))</f>
        <v/>
      </c>
      <c r="AJ16" s="3960">
        <f>IF(COUNT(AJ13:AJ15)=0,"",SUM(AJ13:AJ15))</f>
        <v/>
      </c>
      <c r="AK16" s="3960">
        <f>IF(COUNT(AK13:AK15)=0,"",SUM(AK13:AK15))</f>
        <v/>
      </c>
      <c r="AL16" s="3960">
        <f>IF(COUNT(AL13:AL15)=0,"",SUM(AL13:AL15))</f>
        <v/>
      </c>
      <c r="AM16" s="3960">
        <f>IF(COUNT(AM13:AM15)=0,"",SUM(AM13:AM15))</f>
        <v/>
      </c>
      <c r="AN16" s="3960">
        <f>IF(COUNT(AN13:AN15)=0,"",SUM(AN13:AN15))</f>
        <v/>
      </c>
      <c r="AO16" s="3960">
        <f>IF(COUNT(AO13:AO15)=0,"",SUM(AO13:AO15))</f>
        <v/>
      </c>
      <c r="AP16" s="3960">
        <f>IF(COUNT(AP13:AP15)=0,"",SUM(AP13:AP15))</f>
        <v/>
      </c>
      <c r="AQ16" s="3949">
        <f>R16</f>
        <v/>
      </c>
      <c r="AR16" s="3949">
        <f>AD16</f>
        <v/>
      </c>
      <c r="AS16" s="3949">
        <f>AP16</f>
        <v/>
      </c>
    </row>
    <row r="17">
      <c r="A17" s="3959" t="inlineStr">
        <is>
          <t>BS_AP</t>
        </is>
      </c>
      <c r="B17" s="3959" t="inlineStr">
        <is>
          <t>Accounts payable</t>
        </is>
      </c>
      <c r="C17" s="3959" t="inlineStr"/>
      <c r="D17" s="3959" t="inlineStr">
        <is>
          <t>+</t>
        </is>
      </c>
      <c r="E17" s="3959" t="inlineStr">
        <is>
          <t>TB/Map</t>
        </is>
      </c>
      <c r="F17" s="3959" t="inlineStr"/>
      <c r="G17" s="3929" t="n"/>
      <c r="H17" s="3929" t="n"/>
      <c r="I17" s="3929" t="n"/>
      <c r="J17" s="3929" t="n"/>
      <c r="K17" s="3929" t="n"/>
      <c r="L17" s="3929" t="n"/>
      <c r="M17" s="3929" t="n"/>
      <c r="N17" s="3929" t="n"/>
      <c r="O17" s="3929" t="n"/>
      <c r="P17" s="3929" t="n"/>
      <c r="Q17" s="3929" t="n"/>
      <c r="R17" s="3929" t="n"/>
      <c r="S17" s="3929" t="n"/>
      <c r="T17" s="3929" t="n"/>
      <c r="U17" s="3929" t="n"/>
      <c r="V17" s="3929" t="n"/>
      <c r="W17" s="3929" t="n"/>
      <c r="X17" s="3929" t="n"/>
      <c r="Y17" s="3929" t="n"/>
      <c r="Z17" s="3929" t="n"/>
      <c r="AA17" s="3929" t="n"/>
      <c r="AB17" s="3929" t="n"/>
      <c r="AC17" s="3929" t="n"/>
      <c r="AD17" s="3929" t="n"/>
      <c r="AE17" s="3929" t="n"/>
      <c r="AF17" s="3929" t="n"/>
      <c r="AG17" s="3929" t="n"/>
      <c r="AH17" s="3929" t="n"/>
      <c r="AI17" s="3929" t="n"/>
      <c r="AJ17" s="3929" t="n"/>
      <c r="AK17" s="3929" t="n"/>
      <c r="AL17" s="3929" t="n"/>
      <c r="AM17" s="3929" t="n"/>
      <c r="AN17" s="3929" t="n"/>
      <c r="AO17" s="3929" t="n"/>
      <c r="AP17" s="3929" t="n"/>
      <c r="AQ17" s="3949">
        <f>R17</f>
        <v/>
      </c>
      <c r="AR17" s="3949">
        <f>AD17</f>
        <v/>
      </c>
      <c r="AS17" s="3949">
        <f>AP17</f>
        <v/>
      </c>
    </row>
    <row r="18">
      <c r="A18" s="3959" t="inlineStr">
        <is>
          <t>BS_ACCR</t>
        </is>
      </c>
      <c r="B18" s="3959" t="inlineStr">
        <is>
          <t>Accrued liabilities</t>
        </is>
      </c>
      <c r="C18" s="3959" t="inlineStr"/>
      <c r="D18" s="3959" t="inlineStr">
        <is>
          <t>+</t>
        </is>
      </c>
      <c r="E18" s="3959" t="inlineStr">
        <is>
          <t>TB/Map</t>
        </is>
      </c>
      <c r="F18" s="3959" t="inlineStr"/>
      <c r="G18" s="3929" t="n"/>
      <c r="H18" s="3929" t="n"/>
      <c r="I18" s="3929" t="n"/>
      <c r="J18" s="3929" t="n"/>
      <c r="K18" s="3929" t="n"/>
      <c r="L18" s="3929" t="n"/>
      <c r="M18" s="3929" t="n"/>
      <c r="N18" s="3929" t="n"/>
      <c r="O18" s="3929" t="n"/>
      <c r="P18" s="3929" t="n"/>
      <c r="Q18" s="3929" t="n"/>
      <c r="R18" s="3929" t="n"/>
      <c r="S18" s="3929" t="n"/>
      <c r="T18" s="3929" t="n"/>
      <c r="U18" s="3929" t="n"/>
      <c r="V18" s="3929" t="n"/>
      <c r="W18" s="3929" t="n"/>
      <c r="X18" s="3929" t="n"/>
      <c r="Y18" s="3929" t="n"/>
      <c r="Z18" s="3929" t="n"/>
      <c r="AA18" s="3929" t="n"/>
      <c r="AB18" s="3929" t="n"/>
      <c r="AC18" s="3929" t="n"/>
      <c r="AD18" s="3929" t="n"/>
      <c r="AE18" s="3929" t="n"/>
      <c r="AF18" s="3929" t="n"/>
      <c r="AG18" s="3929" t="n"/>
      <c r="AH18" s="3929" t="n"/>
      <c r="AI18" s="3929" t="n"/>
      <c r="AJ18" s="3929" t="n"/>
      <c r="AK18" s="3929" t="n"/>
      <c r="AL18" s="3929" t="n"/>
      <c r="AM18" s="3929" t="n"/>
      <c r="AN18" s="3929" t="n"/>
      <c r="AO18" s="3929" t="n"/>
      <c r="AP18" s="3929" t="n"/>
      <c r="AQ18" s="3949">
        <f>R18</f>
        <v/>
      </c>
      <c r="AR18" s="3949">
        <f>AD18</f>
        <v/>
      </c>
      <c r="AS18" s="3949">
        <f>AP18</f>
        <v/>
      </c>
    </row>
    <row r="19">
      <c r="A19" s="3959" t="inlineStr">
        <is>
          <t>BS_DEBT</t>
        </is>
      </c>
      <c r="B19" s="3959" t="inlineStr">
        <is>
          <t>Debt</t>
        </is>
      </c>
      <c r="C19" s="3959" t="inlineStr"/>
      <c r="D19" s="3959" t="inlineStr">
        <is>
          <t>+</t>
        </is>
      </c>
      <c r="E19" s="3959" t="inlineStr">
        <is>
          <t>TB/Map</t>
        </is>
      </c>
      <c r="F19" s="3959" t="inlineStr"/>
      <c r="G19" s="3929" t="n"/>
      <c r="H19" s="3929" t="n"/>
      <c r="I19" s="3929" t="n"/>
      <c r="J19" s="3929" t="n"/>
      <c r="K19" s="3929" t="n"/>
      <c r="L19" s="3929" t="n"/>
      <c r="M19" s="3929" t="n"/>
      <c r="N19" s="3929" t="n"/>
      <c r="O19" s="3929" t="n"/>
      <c r="P19" s="3929" t="n"/>
      <c r="Q19" s="3929" t="n"/>
      <c r="R19" s="3929" t="n"/>
      <c r="S19" s="3929" t="n"/>
      <c r="T19" s="3929" t="n"/>
      <c r="U19" s="3929" t="n"/>
      <c r="V19" s="3929" t="n"/>
      <c r="W19" s="3929" t="n"/>
      <c r="X19" s="3929" t="n"/>
      <c r="Y19" s="3929" t="n"/>
      <c r="Z19" s="3929" t="n"/>
      <c r="AA19" s="3929" t="n"/>
      <c r="AB19" s="3929" t="n"/>
      <c r="AC19" s="3929" t="n"/>
      <c r="AD19" s="3929" t="n"/>
      <c r="AE19" s="3929" t="n"/>
      <c r="AF19" s="3929" t="n"/>
      <c r="AG19" s="3929" t="n"/>
      <c r="AH19" s="3929" t="n"/>
      <c r="AI19" s="3929" t="n"/>
      <c r="AJ19" s="3929" t="n"/>
      <c r="AK19" s="3929" t="n"/>
      <c r="AL19" s="3929" t="n"/>
      <c r="AM19" s="3929" t="n"/>
      <c r="AN19" s="3929" t="n"/>
      <c r="AO19" s="3929" t="n"/>
      <c r="AP19" s="3929" t="n"/>
      <c r="AQ19" s="3949">
        <f>R19</f>
        <v/>
      </c>
      <c r="AR19" s="3949">
        <f>AD19</f>
        <v/>
      </c>
      <c r="AS19" s="3949">
        <f>AP19</f>
        <v/>
      </c>
    </row>
    <row r="20">
      <c r="A20" s="3959" t="inlineStr">
        <is>
          <t>BS_OL</t>
        </is>
      </c>
      <c r="B20" s="3959" t="inlineStr">
        <is>
          <t>Other liabilities</t>
        </is>
      </c>
      <c r="C20" s="3959" t="inlineStr"/>
      <c r="D20" s="3959" t="inlineStr">
        <is>
          <t>+</t>
        </is>
      </c>
      <c r="E20" s="3959" t="inlineStr">
        <is>
          <t>TB/Map</t>
        </is>
      </c>
      <c r="F20" s="3959" t="inlineStr"/>
      <c r="G20" s="3929" t="n"/>
      <c r="H20" s="3929" t="n"/>
      <c r="I20" s="3929" t="n"/>
      <c r="J20" s="3929" t="n"/>
      <c r="K20" s="3929" t="n"/>
      <c r="L20" s="3929" t="n"/>
      <c r="M20" s="3929" t="n"/>
      <c r="N20" s="3929" t="n"/>
      <c r="O20" s="3929" t="n"/>
      <c r="P20" s="3929" t="n"/>
      <c r="Q20" s="3929" t="n"/>
      <c r="R20" s="3929" t="n"/>
      <c r="S20" s="3929" t="n"/>
      <c r="T20" s="3929" t="n"/>
      <c r="U20" s="3929" t="n"/>
      <c r="V20" s="3929" t="n"/>
      <c r="W20" s="3929" t="n"/>
      <c r="X20" s="3929" t="n"/>
      <c r="Y20" s="3929" t="n"/>
      <c r="Z20" s="3929" t="n"/>
      <c r="AA20" s="3929" t="n"/>
      <c r="AB20" s="3929" t="n"/>
      <c r="AC20" s="3929" t="n"/>
      <c r="AD20" s="3929" t="n"/>
      <c r="AE20" s="3929" t="n"/>
      <c r="AF20" s="3929" t="n"/>
      <c r="AG20" s="3929" t="n"/>
      <c r="AH20" s="3929" t="n"/>
      <c r="AI20" s="3929" t="n"/>
      <c r="AJ20" s="3929" t="n"/>
      <c r="AK20" s="3929" t="n"/>
      <c r="AL20" s="3929" t="n"/>
      <c r="AM20" s="3929" t="n"/>
      <c r="AN20" s="3929" t="n"/>
      <c r="AO20" s="3929" t="n"/>
      <c r="AP20" s="3929" t="n"/>
      <c r="AQ20" s="3949">
        <f>R20</f>
        <v/>
      </c>
      <c r="AR20" s="3949">
        <f>AD20</f>
        <v/>
      </c>
      <c r="AS20" s="3949">
        <f>AP20</f>
        <v/>
      </c>
    </row>
    <row r="21">
      <c r="A21" s="3959" t="inlineStr">
        <is>
          <t>BS_TL</t>
        </is>
      </c>
      <c r="B21" s="3959" t="inlineStr">
        <is>
          <t>Total liabilities</t>
        </is>
      </c>
      <c r="C21" s="3959" t="inlineStr"/>
      <c r="D21" s="3959" t="inlineStr">
        <is>
          <t>+</t>
        </is>
      </c>
      <c r="E21" s="3959" t="inlineStr">
        <is>
          <t>Formula</t>
        </is>
      </c>
      <c r="F21" s="3959" t="inlineStr">
        <is>
          <t>Derived</t>
        </is>
      </c>
      <c r="G21" s="3960">
        <f>IF(COUNT(G17:G20)=0,"",SUM(G17:G20))</f>
        <v/>
      </c>
      <c r="H21" s="3960">
        <f>IF(COUNT(H17:H20)=0,"",SUM(H17:H20))</f>
        <v/>
      </c>
      <c r="I21" s="3960">
        <f>IF(COUNT(I17:I20)=0,"",SUM(I17:I20))</f>
        <v/>
      </c>
      <c r="J21" s="3960">
        <f>IF(COUNT(J17:J20)=0,"",SUM(J17:J20))</f>
        <v/>
      </c>
      <c r="K21" s="3960">
        <f>IF(COUNT(K17:K20)=0,"",SUM(K17:K20))</f>
        <v/>
      </c>
      <c r="L21" s="3960">
        <f>IF(COUNT(L17:L20)=0,"",SUM(L17:L20))</f>
        <v/>
      </c>
      <c r="M21" s="3960">
        <f>IF(COUNT(M17:M20)=0,"",SUM(M17:M20))</f>
        <v/>
      </c>
      <c r="N21" s="3960">
        <f>IF(COUNT(N17:N20)=0,"",SUM(N17:N20))</f>
        <v/>
      </c>
      <c r="O21" s="3960">
        <f>IF(COUNT(O17:O20)=0,"",SUM(O17:O20))</f>
        <v/>
      </c>
      <c r="P21" s="3960">
        <f>IF(COUNT(P17:P20)=0,"",SUM(P17:P20))</f>
        <v/>
      </c>
      <c r="Q21" s="3960">
        <f>IF(COUNT(Q17:Q20)=0,"",SUM(Q17:Q20))</f>
        <v/>
      </c>
      <c r="R21" s="3960">
        <f>IF(COUNT(R17:R20)=0,"",SUM(R17:R20))</f>
        <v/>
      </c>
      <c r="S21" s="3960">
        <f>IF(COUNT(S17:S20)=0,"",SUM(S17:S20))</f>
        <v/>
      </c>
      <c r="T21" s="3960">
        <f>IF(COUNT(T17:T20)=0,"",SUM(T17:T20))</f>
        <v/>
      </c>
      <c r="U21" s="3960">
        <f>IF(COUNT(U17:U20)=0,"",SUM(U17:U20))</f>
        <v/>
      </c>
      <c r="V21" s="3960">
        <f>IF(COUNT(V17:V20)=0,"",SUM(V17:V20))</f>
        <v/>
      </c>
      <c r="W21" s="3960">
        <f>IF(COUNT(W17:W20)=0,"",SUM(W17:W20))</f>
        <v/>
      </c>
      <c r="X21" s="3960">
        <f>IF(COUNT(X17:X20)=0,"",SUM(X17:X20))</f>
        <v/>
      </c>
      <c r="Y21" s="3960">
        <f>IF(COUNT(Y17:Y20)=0,"",SUM(Y17:Y20))</f>
        <v/>
      </c>
      <c r="Z21" s="3960">
        <f>IF(COUNT(Z17:Z20)=0,"",SUM(Z17:Z20))</f>
        <v/>
      </c>
      <c r="AA21" s="3960">
        <f>IF(COUNT(AA17:AA20)=0,"",SUM(AA17:AA20))</f>
        <v/>
      </c>
      <c r="AB21" s="3960">
        <f>IF(COUNT(AB17:AB20)=0,"",SUM(AB17:AB20))</f>
        <v/>
      </c>
      <c r="AC21" s="3960">
        <f>IF(COUNT(AC17:AC20)=0,"",SUM(AC17:AC20))</f>
        <v/>
      </c>
      <c r="AD21" s="3960">
        <f>IF(COUNT(AD17:AD20)=0,"",SUM(AD17:AD20))</f>
        <v/>
      </c>
      <c r="AE21" s="3960">
        <f>IF(COUNT(AE17:AE20)=0,"",SUM(AE17:AE20))</f>
        <v/>
      </c>
      <c r="AF21" s="3960">
        <f>IF(COUNT(AF17:AF20)=0,"",SUM(AF17:AF20))</f>
        <v/>
      </c>
      <c r="AG21" s="3960">
        <f>IF(COUNT(AG17:AG20)=0,"",SUM(AG17:AG20))</f>
        <v/>
      </c>
      <c r="AH21" s="3960">
        <f>IF(COUNT(AH17:AH20)=0,"",SUM(AH17:AH20))</f>
        <v/>
      </c>
      <c r="AI21" s="3960">
        <f>IF(COUNT(AI17:AI20)=0,"",SUM(AI17:AI20))</f>
        <v/>
      </c>
      <c r="AJ21" s="3960">
        <f>IF(COUNT(AJ17:AJ20)=0,"",SUM(AJ17:AJ20))</f>
        <v/>
      </c>
      <c r="AK21" s="3960">
        <f>IF(COUNT(AK17:AK20)=0,"",SUM(AK17:AK20))</f>
        <v/>
      </c>
      <c r="AL21" s="3960">
        <f>IF(COUNT(AL17:AL20)=0,"",SUM(AL17:AL20))</f>
        <v/>
      </c>
      <c r="AM21" s="3960">
        <f>IF(COUNT(AM17:AM20)=0,"",SUM(AM17:AM20))</f>
        <v/>
      </c>
      <c r="AN21" s="3960">
        <f>IF(COUNT(AN17:AN20)=0,"",SUM(AN17:AN20))</f>
        <v/>
      </c>
      <c r="AO21" s="3960">
        <f>IF(COUNT(AO17:AO20)=0,"",SUM(AO17:AO20))</f>
        <v/>
      </c>
      <c r="AP21" s="3960">
        <f>IF(COUNT(AP17:AP20)=0,"",SUM(AP17:AP20))</f>
        <v/>
      </c>
      <c r="AQ21" s="3949">
        <f>R21</f>
        <v/>
      </c>
      <c r="AR21" s="3949">
        <f>AD21</f>
        <v/>
      </c>
      <c r="AS21" s="3949">
        <f>AP21</f>
        <v/>
      </c>
    </row>
    <row r="22">
      <c r="A22" s="3959" t="inlineStr">
        <is>
          <t>BS_EQ</t>
        </is>
      </c>
      <c r="B22" s="3959" t="inlineStr">
        <is>
          <t>Equity</t>
        </is>
      </c>
      <c r="C22" s="3959" t="inlineStr"/>
      <c r="D22" s="3959" t="inlineStr">
        <is>
          <t>+</t>
        </is>
      </c>
      <c r="E22" s="3959" t="inlineStr">
        <is>
          <t>TB/Map</t>
        </is>
      </c>
      <c r="F22" s="3959" t="inlineStr"/>
      <c r="G22" s="3929" t="n"/>
      <c r="H22" s="3929" t="n"/>
      <c r="I22" s="3929" t="n"/>
      <c r="J22" s="3929" t="n"/>
      <c r="K22" s="3929" t="n"/>
      <c r="L22" s="3929" t="n"/>
      <c r="M22" s="3929" t="n"/>
      <c r="N22" s="3929" t="n"/>
      <c r="O22" s="3929" t="n"/>
      <c r="P22" s="3929" t="n"/>
      <c r="Q22" s="3929" t="n"/>
      <c r="R22" s="3929" t="n"/>
      <c r="S22" s="3929" t="n"/>
      <c r="T22" s="3929" t="n"/>
      <c r="U22" s="3929" t="n"/>
      <c r="V22" s="3929" t="n"/>
      <c r="W22" s="3929" t="n"/>
      <c r="X22" s="3929" t="n"/>
      <c r="Y22" s="3929" t="n"/>
      <c r="Z22" s="3929" t="n"/>
      <c r="AA22" s="3929" t="n"/>
      <c r="AB22" s="3929" t="n"/>
      <c r="AC22" s="3929" t="n"/>
      <c r="AD22" s="3929" t="n"/>
      <c r="AE22" s="3929" t="n"/>
      <c r="AF22" s="3929" t="n"/>
      <c r="AG22" s="3929" t="n"/>
      <c r="AH22" s="3929" t="n"/>
      <c r="AI22" s="3929" t="n"/>
      <c r="AJ22" s="3929" t="n"/>
      <c r="AK22" s="3929" t="n"/>
      <c r="AL22" s="3929" t="n"/>
      <c r="AM22" s="3929" t="n"/>
      <c r="AN22" s="3929" t="n"/>
      <c r="AO22" s="3929" t="n"/>
      <c r="AP22" s="3929" t="n"/>
      <c r="AQ22" s="3949">
        <f>R22</f>
        <v/>
      </c>
      <c r="AR22" s="3949">
        <f>AD22</f>
        <v/>
      </c>
      <c r="AS22" s="3949">
        <f>AP22</f>
        <v/>
      </c>
    </row>
    <row r="23">
      <c r="A23" s="3959" t="inlineStr">
        <is>
          <t>BS_TLE</t>
        </is>
      </c>
      <c r="B23" s="3959" t="inlineStr">
        <is>
          <t>Total liabilities + equity</t>
        </is>
      </c>
      <c r="C23" s="3959" t="inlineStr"/>
      <c r="D23" s="3959" t="inlineStr">
        <is>
          <t>+</t>
        </is>
      </c>
      <c r="E23" s="3959" t="inlineStr">
        <is>
          <t>Formula</t>
        </is>
      </c>
      <c r="F23" s="3959" t="inlineStr">
        <is>
          <t>Derived</t>
        </is>
      </c>
      <c r="G23" s="3960">
        <f>IF(COUNT(G21:G22)=0,"",SUM(G21:G22))</f>
        <v/>
      </c>
      <c r="H23" s="3960">
        <f>IF(COUNT(H21:H22)=0,"",SUM(H21:H22))</f>
        <v/>
      </c>
      <c r="I23" s="3960">
        <f>IF(COUNT(I21:I22)=0,"",SUM(I21:I22))</f>
        <v/>
      </c>
      <c r="J23" s="3960">
        <f>IF(COUNT(J21:J22)=0,"",SUM(J21:J22))</f>
        <v/>
      </c>
      <c r="K23" s="3960">
        <f>IF(COUNT(K21:K22)=0,"",SUM(K21:K22))</f>
        <v/>
      </c>
      <c r="L23" s="3960">
        <f>IF(COUNT(L21:L22)=0,"",SUM(L21:L22))</f>
        <v/>
      </c>
      <c r="M23" s="3960">
        <f>IF(COUNT(M21:M22)=0,"",SUM(M21:M22))</f>
        <v/>
      </c>
      <c r="N23" s="3960">
        <f>IF(COUNT(N21:N22)=0,"",SUM(N21:N22))</f>
        <v/>
      </c>
      <c r="O23" s="3960">
        <f>IF(COUNT(O21:O22)=0,"",SUM(O21:O22))</f>
        <v/>
      </c>
      <c r="P23" s="3960">
        <f>IF(COUNT(P21:P22)=0,"",SUM(P21:P22))</f>
        <v/>
      </c>
      <c r="Q23" s="3960">
        <f>IF(COUNT(Q21:Q22)=0,"",SUM(Q21:Q22))</f>
        <v/>
      </c>
      <c r="R23" s="3960">
        <f>IF(COUNT(R21:R22)=0,"",SUM(R21:R22))</f>
        <v/>
      </c>
      <c r="S23" s="3960">
        <f>IF(COUNT(S21:S22)=0,"",SUM(S21:S22))</f>
        <v/>
      </c>
      <c r="T23" s="3960">
        <f>IF(COUNT(T21:T22)=0,"",SUM(T21:T22))</f>
        <v/>
      </c>
      <c r="U23" s="3960">
        <f>IF(COUNT(U21:U22)=0,"",SUM(U21:U22))</f>
        <v/>
      </c>
      <c r="V23" s="3960">
        <f>IF(COUNT(V21:V22)=0,"",SUM(V21:V22))</f>
        <v/>
      </c>
      <c r="W23" s="3960">
        <f>IF(COUNT(W21:W22)=0,"",SUM(W21:W22))</f>
        <v/>
      </c>
      <c r="X23" s="3960">
        <f>IF(COUNT(X21:X22)=0,"",SUM(X21:X22))</f>
        <v/>
      </c>
      <c r="Y23" s="3960">
        <f>IF(COUNT(Y21:Y22)=0,"",SUM(Y21:Y22))</f>
        <v/>
      </c>
      <c r="Z23" s="3960">
        <f>IF(COUNT(Z21:Z22)=0,"",SUM(Z21:Z22))</f>
        <v/>
      </c>
      <c r="AA23" s="3960">
        <f>IF(COUNT(AA21:AA22)=0,"",SUM(AA21:AA22))</f>
        <v/>
      </c>
      <c r="AB23" s="3960">
        <f>IF(COUNT(AB21:AB22)=0,"",SUM(AB21:AB22))</f>
        <v/>
      </c>
      <c r="AC23" s="3960">
        <f>IF(COUNT(AC21:AC22)=0,"",SUM(AC21:AC22))</f>
        <v/>
      </c>
      <c r="AD23" s="3960">
        <f>IF(COUNT(AD21:AD22)=0,"",SUM(AD21:AD22))</f>
        <v/>
      </c>
      <c r="AE23" s="3960">
        <f>IF(COUNT(AE21:AE22)=0,"",SUM(AE21:AE22))</f>
        <v/>
      </c>
      <c r="AF23" s="3960">
        <f>IF(COUNT(AF21:AF22)=0,"",SUM(AF21:AF22))</f>
        <v/>
      </c>
      <c r="AG23" s="3960">
        <f>IF(COUNT(AG21:AG22)=0,"",SUM(AG21:AG22))</f>
        <v/>
      </c>
      <c r="AH23" s="3960">
        <f>IF(COUNT(AH21:AH22)=0,"",SUM(AH21:AH22))</f>
        <v/>
      </c>
      <c r="AI23" s="3960">
        <f>IF(COUNT(AI21:AI22)=0,"",SUM(AI21:AI22))</f>
        <v/>
      </c>
      <c r="AJ23" s="3960">
        <f>IF(COUNT(AJ21:AJ22)=0,"",SUM(AJ21:AJ22))</f>
        <v/>
      </c>
      <c r="AK23" s="3960">
        <f>IF(COUNT(AK21:AK22)=0,"",SUM(AK21:AK22))</f>
        <v/>
      </c>
      <c r="AL23" s="3960">
        <f>IF(COUNT(AL21:AL22)=0,"",SUM(AL21:AL22))</f>
        <v/>
      </c>
      <c r="AM23" s="3960">
        <f>IF(COUNT(AM21:AM22)=0,"",SUM(AM21:AM22))</f>
        <v/>
      </c>
      <c r="AN23" s="3960">
        <f>IF(COUNT(AN21:AN22)=0,"",SUM(AN21:AN22))</f>
        <v/>
      </c>
      <c r="AO23" s="3960">
        <f>IF(COUNT(AO21:AO22)=0,"",SUM(AO21:AO22))</f>
        <v/>
      </c>
      <c r="AP23" s="3960">
        <f>IF(COUNT(AP21:AP22)=0,"",SUM(AP21:AP22))</f>
        <v/>
      </c>
      <c r="AQ23" s="3949">
        <f>R23</f>
        <v/>
      </c>
      <c r="AR23" s="3949">
        <f>AD23</f>
        <v/>
      </c>
      <c r="AS23" s="3949">
        <f>AP23</f>
        <v/>
      </c>
    </row>
    <row r="24">
      <c r="A24" s="3959" t="n"/>
      <c r="B24" s="3959" t="n"/>
      <c r="C24" s="3959" t="n"/>
      <c r="D24" s="3959" t="n"/>
      <c r="E24" s="3959" t="n"/>
      <c r="F24" s="3959" t="n"/>
      <c r="G24" s="3960" t="n"/>
      <c r="H24" s="3960" t="n"/>
      <c r="I24" s="3960" t="n"/>
      <c r="J24" s="3960" t="n"/>
      <c r="K24" s="3960" t="n"/>
      <c r="L24" s="3960" t="n"/>
      <c r="M24" s="3960" t="n"/>
      <c r="N24" s="3960" t="n"/>
      <c r="O24" s="3960" t="n"/>
      <c r="P24" s="3960" t="n"/>
      <c r="Q24" s="3960" t="n"/>
      <c r="R24" s="3960" t="n"/>
      <c r="S24" s="3960" t="n"/>
      <c r="T24" s="3960" t="n"/>
      <c r="U24" s="3960" t="n"/>
      <c r="V24" s="3960" t="n"/>
      <c r="W24" s="3960" t="n"/>
      <c r="X24" s="3960" t="n"/>
      <c r="Y24" s="3960" t="n"/>
      <c r="Z24" s="3960" t="n"/>
      <c r="AA24" s="3960" t="n"/>
      <c r="AB24" s="3960" t="n"/>
      <c r="AC24" s="3960" t="n"/>
      <c r="AD24" s="3960" t="n"/>
      <c r="AE24" s="3960" t="n"/>
      <c r="AF24" s="3960" t="n"/>
      <c r="AG24" s="3960" t="n"/>
      <c r="AH24" s="3960" t="n"/>
      <c r="AI24" s="3960" t="n"/>
      <c r="AJ24" s="3960" t="n"/>
      <c r="AK24" s="3960" t="n"/>
      <c r="AL24" s="3960" t="n"/>
      <c r="AM24" s="3960" t="n"/>
      <c r="AN24" s="3960" t="n"/>
      <c r="AO24" s="3960" t="n"/>
      <c r="AP24" s="3960" t="n"/>
      <c r="AQ24" s="3960" t="n"/>
      <c r="AR24" s="3960" t="n"/>
      <c r="AS24" s="3960" t="n"/>
    </row>
    <row r="25">
      <c r="A25" s="3959" t="n"/>
      <c r="B25" s="3959" t="n"/>
      <c r="C25" s="3959" t="n"/>
      <c r="D25" s="3959" t="n"/>
      <c r="E25" s="3959" t="n"/>
      <c r="F25" s="3959" t="n"/>
      <c r="G25" s="3960" t="n"/>
      <c r="H25" s="3960" t="n"/>
      <c r="I25" s="3960" t="n"/>
      <c r="J25" s="3960" t="n"/>
      <c r="K25" s="3960" t="n"/>
      <c r="L25" s="3960" t="n"/>
      <c r="M25" s="3960" t="n"/>
      <c r="N25" s="3960" t="n"/>
      <c r="O25" s="3960" t="n"/>
      <c r="P25" s="3960" t="n"/>
      <c r="Q25" s="3960" t="n"/>
      <c r="R25" s="3960" t="n"/>
      <c r="S25" s="3960" t="n"/>
      <c r="T25" s="3960" t="n"/>
      <c r="U25" s="3960" t="n"/>
      <c r="V25" s="3960" t="n"/>
      <c r="W25" s="3960" t="n"/>
      <c r="X25" s="3960" t="n"/>
      <c r="Y25" s="3960" t="n"/>
      <c r="Z25" s="3960" t="n"/>
      <c r="AA25" s="3960" t="n"/>
      <c r="AB25" s="3960" t="n"/>
      <c r="AC25" s="3960" t="n"/>
      <c r="AD25" s="3960" t="n"/>
      <c r="AE25" s="3960" t="n"/>
      <c r="AF25" s="3960" t="n"/>
      <c r="AG25" s="3960" t="n"/>
      <c r="AH25" s="3960" t="n"/>
      <c r="AI25" s="3960" t="n"/>
      <c r="AJ25" s="3960" t="n"/>
      <c r="AK25" s="3960" t="n"/>
      <c r="AL25" s="3960" t="n"/>
      <c r="AM25" s="3960" t="n"/>
      <c r="AN25" s="3960" t="n"/>
      <c r="AO25" s="3960" t="n"/>
      <c r="AP25" s="3960" t="n"/>
      <c r="AQ25" s="3960" t="n"/>
      <c r="AR25" s="3960" t="n"/>
      <c r="AS25" s="3960" t="n"/>
    </row>
    <row r="26">
      <c r="A26" s="3959" t="n"/>
      <c r="B26" s="3959" t="n"/>
      <c r="C26" s="3959" t="n"/>
      <c r="D26" s="3959" t="n"/>
      <c r="E26" s="3959" t="n"/>
      <c r="F26" s="3959" t="n"/>
      <c r="G26" s="3960" t="n"/>
      <c r="H26" s="3960" t="n"/>
      <c r="I26" s="3960" t="n"/>
      <c r="J26" s="3960" t="n"/>
      <c r="K26" s="3960" t="n"/>
      <c r="L26" s="3960" t="n"/>
      <c r="M26" s="3960" t="n"/>
      <c r="N26" s="3960" t="n"/>
      <c r="O26" s="3960" t="n"/>
      <c r="P26" s="3960" t="n"/>
      <c r="Q26" s="3960" t="n"/>
      <c r="R26" s="3960" t="n"/>
      <c r="S26" s="3960" t="n"/>
      <c r="T26" s="3960" t="n"/>
      <c r="U26" s="3960" t="n"/>
      <c r="V26" s="3960" t="n"/>
      <c r="W26" s="3960" t="n"/>
      <c r="X26" s="3960" t="n"/>
      <c r="Y26" s="3960" t="n"/>
      <c r="Z26" s="3960" t="n"/>
      <c r="AA26" s="3960" t="n"/>
      <c r="AB26" s="3960" t="n"/>
      <c r="AC26" s="3960" t="n"/>
      <c r="AD26" s="3960" t="n"/>
      <c r="AE26" s="3960" t="n"/>
      <c r="AF26" s="3960" t="n"/>
      <c r="AG26" s="3960" t="n"/>
      <c r="AH26" s="3960" t="n"/>
      <c r="AI26" s="3960" t="n"/>
      <c r="AJ26" s="3960" t="n"/>
      <c r="AK26" s="3960" t="n"/>
      <c r="AL26" s="3960" t="n"/>
      <c r="AM26" s="3960" t="n"/>
      <c r="AN26" s="3960" t="n"/>
      <c r="AO26" s="3960" t="n"/>
      <c r="AP26" s="3960" t="n"/>
      <c r="AQ26" s="3960" t="n"/>
      <c r="AR26" s="3960" t="n"/>
      <c r="AS26" s="3960" t="n"/>
    </row>
    <row r="27">
      <c r="A27" s="3979" t="inlineStr">
        <is>
          <t>BS_CHECKS</t>
        </is>
      </c>
      <c r="B27" s="3980" t="n"/>
      <c r="C27" s="3980" t="n"/>
      <c r="D27" s="3980" t="n"/>
      <c r="E27" s="3980" t="n"/>
      <c r="F27" s="3980" t="n"/>
      <c r="G27" s="3981" t="n"/>
      <c r="H27" s="3981" t="n"/>
      <c r="I27" s="3981" t="n"/>
      <c r="J27" s="3981" t="n"/>
      <c r="K27" s="3981" t="n"/>
      <c r="L27" s="3981" t="n"/>
      <c r="M27" s="3981" t="n"/>
      <c r="N27" s="3981" t="n"/>
      <c r="O27" s="3981" t="n"/>
      <c r="P27" s="3981" t="n"/>
      <c r="Q27" s="3981" t="n"/>
      <c r="R27" s="3981" t="n"/>
      <c r="S27" s="3981" t="n"/>
      <c r="T27" s="3981" t="n"/>
      <c r="U27" s="3981" t="n"/>
      <c r="V27" s="3981" t="n"/>
      <c r="W27" s="3981" t="n"/>
      <c r="X27" s="3981" t="n"/>
      <c r="Y27" s="3981" t="n"/>
      <c r="Z27" s="3981" t="n"/>
      <c r="AA27" s="3981" t="n"/>
      <c r="AB27" s="3981" t="n"/>
      <c r="AC27" s="3981" t="n"/>
      <c r="AD27" s="3981" t="n"/>
      <c r="AE27" s="3981" t="n"/>
      <c r="AF27" s="3981" t="n"/>
      <c r="AG27" s="3981" t="n"/>
      <c r="AH27" s="3981" t="n"/>
      <c r="AI27" s="3981" t="n"/>
      <c r="AJ27" s="3981" t="n"/>
      <c r="AK27" s="3981" t="n"/>
      <c r="AL27" s="3981" t="n"/>
      <c r="AM27" s="3981" t="n"/>
      <c r="AN27" s="3981" t="n"/>
      <c r="AO27" s="3981" t="n"/>
      <c r="AP27" s="3981" t="n"/>
      <c r="AQ27" s="3981" t="n"/>
      <c r="AR27" s="3981" t="n"/>
      <c r="AS27" s="3981" t="n"/>
    </row>
    <row r="28">
      <c r="A28" s="3959" t="inlineStr">
        <is>
          <t>Balance check (Assets - Liabilities &amp; Equity)</t>
        </is>
      </c>
      <c r="B28" s="3959" t="n"/>
      <c r="C28" s="3959" t="n"/>
      <c r="D28" s="3959" t="n"/>
      <c r="E28" s="3959" t="n"/>
      <c r="F28" s="3959" t="n"/>
      <c r="G28" s="3961">
        <f>IF(OR(G16="",G23=""),"",G16-G23)</f>
        <v/>
      </c>
      <c r="H28" s="3961">
        <f>IF(OR(H16="",H23=""),"",H16-H23)</f>
        <v/>
      </c>
      <c r="I28" s="3961">
        <f>IF(OR(I16="",I23=""),"",I16-I23)</f>
        <v/>
      </c>
      <c r="J28" s="3961">
        <f>IF(OR(J16="",J23=""),"",J16-J23)</f>
        <v/>
      </c>
      <c r="K28" s="3961">
        <f>IF(OR(K16="",K23=""),"",K16-K23)</f>
        <v/>
      </c>
      <c r="L28" s="3961">
        <f>IF(OR(L16="",L23=""),"",L16-L23)</f>
        <v/>
      </c>
      <c r="M28" s="3961">
        <f>IF(OR(M16="",M23=""),"",M16-M23)</f>
        <v/>
      </c>
      <c r="N28" s="3961">
        <f>IF(OR(N16="",N23=""),"",N16-N23)</f>
        <v/>
      </c>
      <c r="O28" s="3961">
        <f>IF(OR(O16="",O23=""),"",O16-O23)</f>
        <v/>
      </c>
      <c r="P28" s="3961">
        <f>IF(OR(P16="",P23=""),"",P16-P23)</f>
        <v/>
      </c>
      <c r="Q28" s="3961">
        <f>IF(OR(Q16="",Q23=""),"",Q16-Q23)</f>
        <v/>
      </c>
      <c r="R28" s="3961">
        <f>IF(OR(R16="",R23=""),"",R16-R23)</f>
        <v/>
      </c>
      <c r="S28" s="3961">
        <f>IF(OR(S16="",S23=""),"",S16-S23)</f>
        <v/>
      </c>
      <c r="T28" s="3961">
        <f>IF(OR(T16="",T23=""),"",T16-T23)</f>
        <v/>
      </c>
      <c r="U28" s="3961">
        <f>IF(OR(U16="",U23=""),"",U16-U23)</f>
        <v/>
      </c>
      <c r="V28" s="3961">
        <f>IF(OR(V16="",V23=""),"",V16-V23)</f>
        <v/>
      </c>
      <c r="W28" s="3961">
        <f>IF(OR(W16="",W23=""),"",W16-W23)</f>
        <v/>
      </c>
      <c r="X28" s="3961">
        <f>IF(OR(X16="",X23=""),"",X16-X23)</f>
        <v/>
      </c>
      <c r="Y28" s="3961">
        <f>IF(OR(Y16="",Y23=""),"",Y16-Y23)</f>
        <v/>
      </c>
      <c r="Z28" s="3961">
        <f>IF(OR(Z16="",Z23=""),"",Z16-Z23)</f>
        <v/>
      </c>
      <c r="AA28" s="3961">
        <f>IF(OR(AA16="",AA23=""),"",AA16-AA23)</f>
        <v/>
      </c>
      <c r="AB28" s="3961">
        <f>IF(OR(AB16="",AB23=""),"",AB16-AB23)</f>
        <v/>
      </c>
      <c r="AC28" s="3961">
        <f>IF(OR(AC16="",AC23=""),"",AC16-AC23)</f>
        <v/>
      </c>
      <c r="AD28" s="3961">
        <f>IF(OR(AD16="",AD23=""),"",AD16-AD23)</f>
        <v/>
      </c>
      <c r="AE28" s="3961">
        <f>IF(OR(AE16="",AE23=""),"",AE16-AE23)</f>
        <v/>
      </c>
      <c r="AF28" s="3961">
        <f>IF(OR(AF16="",AF23=""),"",AF16-AF23)</f>
        <v/>
      </c>
      <c r="AG28" s="3961">
        <f>IF(OR(AG16="",AG23=""),"",AG16-AG23)</f>
        <v/>
      </c>
      <c r="AH28" s="3961">
        <f>IF(OR(AH16="",AH23=""),"",AH16-AH23)</f>
        <v/>
      </c>
      <c r="AI28" s="3961">
        <f>IF(OR(AI16="",AI23=""),"",AI16-AI23)</f>
        <v/>
      </c>
      <c r="AJ28" s="3961">
        <f>IF(OR(AJ16="",AJ23=""),"",AJ16-AJ23)</f>
        <v/>
      </c>
      <c r="AK28" s="3961">
        <f>IF(OR(AK16="",AK23=""),"",AK16-AK23)</f>
        <v/>
      </c>
      <c r="AL28" s="3961">
        <f>IF(OR(AL16="",AL23=""),"",AL16-AL23)</f>
        <v/>
      </c>
      <c r="AM28" s="3961">
        <f>IF(OR(AM16="",AM23=""),"",AM16-AM23)</f>
        <v/>
      </c>
      <c r="AN28" s="3961">
        <f>IF(OR(AN16="",AN23=""),"",AN16-AN23)</f>
        <v/>
      </c>
      <c r="AO28" s="3961">
        <f>IF(OR(AO16="",AO23=""),"",AO16-AO23)</f>
        <v/>
      </c>
      <c r="AP28" s="3961">
        <f>IF(OR(AP16="",AP23=""),"",AP16-AP23)</f>
        <v/>
      </c>
      <c r="AQ28" s="3961">
        <f>IF(OR(AQ16="",AQ23=""),"",AQ16-AQ23)</f>
        <v/>
      </c>
      <c r="AR28" s="3961">
        <f>IF(OR(AR16="",AR23=""),"",AR16-AR23)</f>
        <v/>
      </c>
      <c r="AS28" s="3961">
        <f>IF(OR(AS16="",AS23=""),"",AS16-AS23)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S28"/>
  <sheetViews>
    <sheetView showGridLines="0" zoomScale="100" zoomScaleNormal="100" workbookViewId="0">
      <pane xSplit="6" ySplit="8" topLeftCell="G9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7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30" customWidth="1" min="46" max="46"/>
    <col width="30" customWidth="1" min="47" max="47"/>
  </cols>
  <sheetData>
    <row r="1">
      <c r="A1" s="3921" t="inlineStr">
        <is>
          <t>Combined CF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  <c r="AS1" s="3934" t="n"/>
    </row>
    <row r="2">
      <c r="A2" s="3978" t="inlineStr">
        <is>
          <t>Source: &lt;document_source&gt;</t>
        </is>
      </c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  <c r="AS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  <c r="AS3" s="3934" t="n"/>
    </row>
    <row r="4">
      <c r="A4" s="3956" t="n"/>
      <c r="B4" s="3956" t="n"/>
      <c r="C4" s="3934" t="n"/>
      <c r="D4" s="3957" t="n"/>
      <c r="E4" s="3958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  <c r="AS4" s="3934" t="n"/>
    </row>
    <row r="5">
      <c r="A5" s="3956" t="n"/>
      <c r="B5" s="3956" t="n"/>
      <c r="C5" s="3934" t="n"/>
      <c r="D5" s="3956" t="n"/>
      <c r="E5" s="3956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  <c r="AS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  <c r="AS6" s="3934" t="n"/>
    </row>
    <row r="7">
      <c r="A7" s="3979" t="inlineStr">
        <is>
          <t>Combined CF</t>
        </is>
      </c>
      <c r="B7" s="3980" t="n"/>
      <c r="C7" s="3980" t="n"/>
      <c r="D7" s="3980" t="n"/>
      <c r="E7" s="3980" t="n"/>
      <c r="F7" s="3980" t="n"/>
      <c r="G7" s="3980" t="n"/>
      <c r="H7" s="3980" t="n"/>
      <c r="I7" s="3980" t="n"/>
      <c r="J7" s="3980" t="n"/>
      <c r="K7" s="3980" t="n"/>
      <c r="L7" s="3980" t="n"/>
      <c r="M7" s="3980" t="n"/>
      <c r="N7" s="3980" t="n"/>
      <c r="O7" s="3980" t="n"/>
      <c r="P7" s="3980" t="n"/>
      <c r="Q7" s="3980" t="n"/>
      <c r="R7" s="3980" t="n"/>
      <c r="S7" s="3980" t="n"/>
      <c r="T7" s="3980" t="n"/>
      <c r="U7" s="3980" t="n"/>
      <c r="V7" s="3980" t="n"/>
      <c r="W7" s="3980" t="n"/>
      <c r="X7" s="3980" t="n"/>
      <c r="Y7" s="3980" t="n"/>
      <c r="Z7" s="3980" t="n"/>
      <c r="AA7" s="3980" t="n"/>
      <c r="AB7" s="3980" t="n"/>
      <c r="AC7" s="3980" t="n"/>
      <c r="AD7" s="3980" t="n"/>
      <c r="AE7" s="3980" t="n"/>
      <c r="AF7" s="3980" t="n"/>
      <c r="AG7" s="3980" t="n"/>
      <c r="AH7" s="3980" t="n"/>
      <c r="AI7" s="3980" t="n"/>
      <c r="AJ7" s="3980" t="n"/>
      <c r="AK7" s="3980" t="n"/>
      <c r="AL7" s="3980" t="n"/>
      <c r="AM7" s="3980" t="n"/>
      <c r="AN7" s="3980" t="n"/>
      <c r="AO7" s="3980" t="n"/>
      <c r="AP7" s="3980" t="n"/>
      <c r="AQ7" s="3980" t="n"/>
      <c r="AR7" s="3980" t="n"/>
      <c r="AS7" s="3980" t="n"/>
    </row>
    <row r="8">
      <c r="A8" s="3923" t="inlineStr">
        <is>
          <t>LineKey</t>
        </is>
      </c>
      <c r="B8" s="3923" t="inlineStr">
        <is>
          <t>$'000</t>
        </is>
      </c>
      <c r="C8" s="3923" t="inlineStr">
        <is>
          <t>TB Account No.</t>
        </is>
      </c>
      <c r="D8" s="3923" t="inlineStr">
        <is>
          <t>Sign</t>
        </is>
      </c>
      <c r="E8" s="3923" t="inlineStr">
        <is>
          <t>Source</t>
        </is>
      </c>
      <c r="F8" s="3923" t="inlineStr">
        <is>
          <t>Comments</t>
        </is>
      </c>
      <c r="G8" s="3947">
        <f>'Control | Setup'!A22</f>
        <v/>
      </c>
      <c r="H8" s="3947">
        <f>'Control | Setup'!A23</f>
        <v/>
      </c>
      <c r="I8" s="3947">
        <f>'Control | Setup'!A24</f>
        <v/>
      </c>
      <c r="J8" s="3947">
        <f>'Control | Setup'!A25</f>
        <v/>
      </c>
      <c r="K8" s="3947">
        <f>'Control | Setup'!A26</f>
        <v/>
      </c>
      <c r="L8" s="3947">
        <f>'Control | Setup'!A27</f>
        <v/>
      </c>
      <c r="M8" s="3947">
        <f>'Control | Setup'!A28</f>
        <v/>
      </c>
      <c r="N8" s="3947">
        <f>'Control | Setup'!A29</f>
        <v/>
      </c>
      <c r="O8" s="3947">
        <f>'Control | Setup'!A30</f>
        <v/>
      </c>
      <c r="P8" s="3947">
        <f>'Control | Setup'!A31</f>
        <v/>
      </c>
      <c r="Q8" s="3947">
        <f>'Control | Setup'!A32</f>
        <v/>
      </c>
      <c r="R8" s="3947">
        <f>'Control | Setup'!A33</f>
        <v/>
      </c>
      <c r="S8" s="3947">
        <f>'Control | Setup'!A34</f>
        <v/>
      </c>
      <c r="T8" s="3947">
        <f>'Control | Setup'!A35</f>
        <v/>
      </c>
      <c r="U8" s="3947">
        <f>'Control | Setup'!A36</f>
        <v/>
      </c>
      <c r="V8" s="3947">
        <f>'Control | Setup'!A37</f>
        <v/>
      </c>
      <c r="W8" s="3947">
        <f>'Control | Setup'!A38</f>
        <v/>
      </c>
      <c r="X8" s="3947">
        <f>'Control | Setup'!A39</f>
        <v/>
      </c>
      <c r="Y8" s="3947">
        <f>'Control | Setup'!A40</f>
        <v/>
      </c>
      <c r="Z8" s="3947">
        <f>'Control | Setup'!A41</f>
        <v/>
      </c>
      <c r="AA8" s="3947">
        <f>'Control | Setup'!A42</f>
        <v/>
      </c>
      <c r="AB8" s="3947">
        <f>'Control | Setup'!A43</f>
        <v/>
      </c>
      <c r="AC8" s="3947">
        <f>'Control | Setup'!A44</f>
        <v/>
      </c>
      <c r="AD8" s="3947">
        <f>'Control | Setup'!A45</f>
        <v/>
      </c>
      <c r="AE8" s="3947">
        <f>'Control | Setup'!A46</f>
        <v/>
      </c>
      <c r="AF8" s="3947">
        <f>'Control | Setup'!A47</f>
        <v/>
      </c>
      <c r="AG8" s="3947">
        <f>'Control | Setup'!A48</f>
        <v/>
      </c>
      <c r="AH8" s="3947">
        <f>'Control | Setup'!A49</f>
        <v/>
      </c>
      <c r="AI8" s="3947">
        <f>'Control | Setup'!A50</f>
        <v/>
      </c>
      <c r="AJ8" s="3947">
        <f>'Control | Setup'!A51</f>
        <v/>
      </c>
      <c r="AK8" s="3947">
        <f>'Control | Setup'!A52</f>
        <v/>
      </c>
      <c r="AL8" s="3947">
        <f>'Control | Setup'!A53</f>
        <v/>
      </c>
      <c r="AM8" s="3947">
        <f>'Control | Setup'!A54</f>
        <v/>
      </c>
      <c r="AN8" s="3947">
        <f>'Control | Setup'!A55</f>
        <v/>
      </c>
      <c r="AO8" s="3947">
        <f>'Control | Setup'!A56</f>
        <v/>
      </c>
      <c r="AP8" s="3947">
        <f>'Control | Setup'!A57</f>
        <v/>
      </c>
      <c r="AQ8" s="3947" t="inlineStr">
        <is>
          <t>FY-2</t>
        </is>
      </c>
      <c r="AR8" s="3947" t="inlineStr">
        <is>
          <t>FY-1</t>
        </is>
      </c>
      <c r="AS8" s="3947" t="inlineStr">
        <is>
          <t>TTM</t>
        </is>
      </c>
    </row>
    <row r="9">
      <c r="A9" s="3959" t="inlineStr">
        <is>
          <t>CF_EBITDA</t>
        </is>
      </c>
      <c r="B9" s="3959" t="inlineStr">
        <is>
          <t>EBITDA</t>
        </is>
      </c>
      <c r="C9" s="3959" t="inlineStr"/>
      <c r="D9" s="3959" t="inlineStr">
        <is>
          <t>+</t>
        </is>
      </c>
      <c r="E9" s="3959" t="inlineStr">
        <is>
          <t>Link/Map</t>
        </is>
      </c>
      <c r="F9" s="3959" t="inlineStr"/>
      <c r="G9" s="3929" t="n"/>
      <c r="H9" s="3929" t="n"/>
      <c r="I9" s="3929" t="n"/>
      <c r="J9" s="3929" t="n"/>
      <c r="K9" s="3929" t="n"/>
      <c r="L9" s="3929" t="n"/>
      <c r="M9" s="3929" t="n"/>
      <c r="N9" s="3929" t="n"/>
      <c r="O9" s="3929" t="n"/>
      <c r="P9" s="3929" t="n"/>
      <c r="Q9" s="3929" t="n"/>
      <c r="R9" s="3929" t="n"/>
      <c r="S9" s="3929" t="n"/>
      <c r="T9" s="3929" t="n"/>
      <c r="U9" s="3929" t="n"/>
      <c r="V9" s="3929" t="n"/>
      <c r="W9" s="3929" t="n"/>
      <c r="X9" s="3929" t="n"/>
      <c r="Y9" s="3929" t="n"/>
      <c r="Z9" s="3929" t="n"/>
      <c r="AA9" s="3929" t="n"/>
      <c r="AB9" s="3929" t="n"/>
      <c r="AC9" s="3929" t="n"/>
      <c r="AD9" s="3929" t="n"/>
      <c r="AE9" s="3929" t="n"/>
      <c r="AF9" s="3929" t="n"/>
      <c r="AG9" s="3929" t="n"/>
      <c r="AH9" s="3929" t="n"/>
      <c r="AI9" s="3929" t="n"/>
      <c r="AJ9" s="3929" t="n"/>
      <c r="AK9" s="3929" t="n"/>
      <c r="AL9" s="3929" t="n"/>
      <c r="AM9" s="3929" t="n"/>
      <c r="AN9" s="3929" t="n"/>
      <c r="AO9" s="3929" t="n"/>
      <c r="AP9" s="3929" t="n"/>
      <c r="AQ9" s="3949">
        <f>IF(COUNT(G9:R9)=0,"",SUM(G9:R9))</f>
        <v/>
      </c>
      <c r="AR9" s="3949">
        <f>IF(COUNT(S9:AD9)=0,"",SUM(S9:AD9))</f>
        <v/>
      </c>
      <c r="AS9" s="3949">
        <f>IF(COUNT(AE9:AP9)=0,"",SUM(AE9:AP9))</f>
        <v/>
      </c>
    </row>
    <row r="10">
      <c r="A10" s="3959" t="inlineStr">
        <is>
          <t>CF_CHG_NWC</t>
        </is>
      </c>
      <c r="B10" s="3959" t="inlineStr">
        <is>
          <t>Change in NWC</t>
        </is>
      </c>
      <c r="C10" s="3959" t="inlineStr"/>
      <c r="D10" s="3959" t="inlineStr">
        <is>
          <t>+</t>
        </is>
      </c>
      <c r="E10" s="3959" t="inlineStr">
        <is>
          <t>Link/Map</t>
        </is>
      </c>
      <c r="F10" s="3959" t="inlineStr"/>
      <c r="G10" s="3929" t="n"/>
      <c r="H10" s="3929" t="n"/>
      <c r="I10" s="3929" t="n"/>
      <c r="J10" s="3929" t="n"/>
      <c r="K10" s="3929" t="n"/>
      <c r="L10" s="3929" t="n"/>
      <c r="M10" s="3929" t="n"/>
      <c r="N10" s="3929" t="n"/>
      <c r="O10" s="3929" t="n"/>
      <c r="P10" s="3929" t="n"/>
      <c r="Q10" s="3929" t="n"/>
      <c r="R10" s="3929" t="n"/>
      <c r="S10" s="3929" t="n"/>
      <c r="T10" s="3929" t="n"/>
      <c r="U10" s="3929" t="n"/>
      <c r="V10" s="3929" t="n"/>
      <c r="W10" s="3929" t="n"/>
      <c r="X10" s="3929" t="n"/>
      <c r="Y10" s="3929" t="n"/>
      <c r="Z10" s="3929" t="n"/>
      <c r="AA10" s="3929" t="n"/>
      <c r="AB10" s="3929" t="n"/>
      <c r="AC10" s="3929" t="n"/>
      <c r="AD10" s="3929" t="n"/>
      <c r="AE10" s="3929" t="n"/>
      <c r="AF10" s="3929" t="n"/>
      <c r="AG10" s="3929" t="n"/>
      <c r="AH10" s="3929" t="n"/>
      <c r="AI10" s="3929" t="n"/>
      <c r="AJ10" s="3929" t="n"/>
      <c r="AK10" s="3929" t="n"/>
      <c r="AL10" s="3929" t="n"/>
      <c r="AM10" s="3929" t="n"/>
      <c r="AN10" s="3929" t="n"/>
      <c r="AO10" s="3929" t="n"/>
      <c r="AP10" s="3929" t="n"/>
      <c r="AQ10" s="3949">
        <f>IF(COUNT(G10:R10)=0,"",SUM(G10:R10))</f>
        <v/>
      </c>
      <c r="AR10" s="3949">
        <f>IF(COUNT(S10:AD10)=0,"",SUM(S10:AD10))</f>
        <v/>
      </c>
      <c r="AS10" s="3949">
        <f>IF(COUNT(AE10:AP10)=0,"",SUM(AE10:AP10))</f>
        <v/>
      </c>
    </row>
    <row r="11">
      <c r="A11" s="3959" t="inlineStr">
        <is>
          <t>CF_CAPEX</t>
        </is>
      </c>
      <c r="B11" s="3959" t="inlineStr">
        <is>
          <t>Capex</t>
        </is>
      </c>
      <c r="C11" s="3959" t="inlineStr"/>
      <c r="D11" s="3959" t="inlineStr">
        <is>
          <t>+</t>
        </is>
      </c>
      <c r="E11" s="3959" t="inlineStr">
        <is>
          <t>Link/Map</t>
        </is>
      </c>
      <c r="F11" s="3959" t="inlineStr"/>
      <c r="G11" s="3929" t="n"/>
      <c r="H11" s="3929" t="n"/>
      <c r="I11" s="3929" t="n"/>
      <c r="J11" s="3929" t="n"/>
      <c r="K11" s="3929" t="n"/>
      <c r="L11" s="3929" t="n"/>
      <c r="M11" s="3929" t="n"/>
      <c r="N11" s="3929" t="n"/>
      <c r="O11" s="3929" t="n"/>
      <c r="P11" s="3929" t="n"/>
      <c r="Q11" s="3929" t="n"/>
      <c r="R11" s="3929" t="n"/>
      <c r="S11" s="3929" t="n"/>
      <c r="T11" s="3929" t="n"/>
      <c r="U11" s="3929" t="n"/>
      <c r="V11" s="3929" t="n"/>
      <c r="W11" s="3929" t="n"/>
      <c r="X11" s="3929" t="n"/>
      <c r="Y11" s="3929" t="n"/>
      <c r="Z11" s="3929" t="n"/>
      <c r="AA11" s="3929" t="n"/>
      <c r="AB11" s="3929" t="n"/>
      <c r="AC11" s="3929" t="n"/>
      <c r="AD11" s="3929" t="n"/>
      <c r="AE11" s="3929" t="n"/>
      <c r="AF11" s="3929" t="n"/>
      <c r="AG11" s="3929" t="n"/>
      <c r="AH11" s="3929" t="n"/>
      <c r="AI11" s="3929" t="n"/>
      <c r="AJ11" s="3929" t="n"/>
      <c r="AK11" s="3929" t="n"/>
      <c r="AL11" s="3929" t="n"/>
      <c r="AM11" s="3929" t="n"/>
      <c r="AN11" s="3929" t="n"/>
      <c r="AO11" s="3929" t="n"/>
      <c r="AP11" s="3929" t="n"/>
      <c r="AQ11" s="3949">
        <f>IF(COUNT(G11:R11)=0,"",SUM(G11:R11))</f>
        <v/>
      </c>
      <c r="AR11" s="3949">
        <f>IF(COUNT(S11:AD11)=0,"",SUM(S11:AD11))</f>
        <v/>
      </c>
      <c r="AS11" s="3949">
        <f>IF(COUNT(AE11:AP11)=0,"",SUM(AE11:AP11))</f>
        <v/>
      </c>
    </row>
    <row r="12">
      <c r="A12" s="3959" t="inlineStr">
        <is>
          <t>CF_OTHER</t>
        </is>
      </c>
      <c r="B12" s="3959" t="inlineStr">
        <is>
          <t>Other</t>
        </is>
      </c>
      <c r="C12" s="3959" t="inlineStr"/>
      <c r="D12" s="3959" t="inlineStr">
        <is>
          <t>+</t>
        </is>
      </c>
      <c r="E12" s="3959" t="inlineStr">
        <is>
          <t>Link/Map</t>
        </is>
      </c>
      <c r="F12" s="3959" t="inlineStr"/>
      <c r="G12" s="3929" t="n"/>
      <c r="H12" s="3929" t="n"/>
      <c r="I12" s="3929" t="n"/>
      <c r="J12" s="3929" t="n"/>
      <c r="K12" s="3929" t="n"/>
      <c r="L12" s="3929" t="n"/>
      <c r="M12" s="3929" t="n"/>
      <c r="N12" s="3929" t="n"/>
      <c r="O12" s="3929" t="n"/>
      <c r="P12" s="3929" t="n"/>
      <c r="Q12" s="3929" t="n"/>
      <c r="R12" s="3929" t="n"/>
      <c r="S12" s="3929" t="n"/>
      <c r="T12" s="3929" t="n"/>
      <c r="U12" s="3929" t="n"/>
      <c r="V12" s="3929" t="n"/>
      <c r="W12" s="3929" t="n"/>
      <c r="X12" s="3929" t="n"/>
      <c r="Y12" s="3929" t="n"/>
      <c r="Z12" s="3929" t="n"/>
      <c r="AA12" s="3929" t="n"/>
      <c r="AB12" s="3929" t="n"/>
      <c r="AC12" s="3929" t="n"/>
      <c r="AD12" s="3929" t="n"/>
      <c r="AE12" s="3929" t="n"/>
      <c r="AF12" s="3929" t="n"/>
      <c r="AG12" s="3929" t="n"/>
      <c r="AH12" s="3929" t="n"/>
      <c r="AI12" s="3929" t="n"/>
      <c r="AJ12" s="3929" t="n"/>
      <c r="AK12" s="3929" t="n"/>
      <c r="AL12" s="3929" t="n"/>
      <c r="AM12" s="3929" t="n"/>
      <c r="AN12" s="3929" t="n"/>
      <c r="AO12" s="3929" t="n"/>
      <c r="AP12" s="3929" t="n"/>
      <c r="AQ12" s="3949">
        <f>IF(COUNT(G12:R12)=0,"",SUM(G12:R12))</f>
        <v/>
      </c>
      <c r="AR12" s="3949">
        <f>IF(COUNT(S12:AD12)=0,"",SUM(S12:AD12))</f>
        <v/>
      </c>
      <c r="AS12" s="3949">
        <f>IF(COUNT(AE12:AP12)=0,"",SUM(AE12:AP12))</f>
        <v/>
      </c>
    </row>
    <row r="13">
      <c r="A13" s="3959" t="inlineStr">
        <is>
          <t>CF_NET</t>
        </is>
      </c>
      <c r="B13" s="3959" t="inlineStr">
        <is>
          <t>Net cash flow</t>
        </is>
      </c>
      <c r="C13" s="3959" t="inlineStr"/>
      <c r="D13" s="3959" t="inlineStr">
        <is>
          <t>+</t>
        </is>
      </c>
      <c r="E13" s="3959" t="inlineStr">
        <is>
          <t>Formula</t>
        </is>
      </c>
      <c r="F13" s="3959" t="inlineStr">
        <is>
          <t>Derived</t>
        </is>
      </c>
      <c r="G13" s="3960">
        <f>IF(COUNT(G9:G12)=0,"",SUM(G9:G12))</f>
        <v/>
      </c>
      <c r="H13" s="3960">
        <f>IF(COUNT(H9:H12)=0,"",SUM(H9:H12))</f>
        <v/>
      </c>
      <c r="I13" s="3960">
        <f>IF(COUNT(I9:I12)=0,"",SUM(I9:I12))</f>
        <v/>
      </c>
      <c r="J13" s="3960">
        <f>IF(COUNT(J9:J12)=0,"",SUM(J9:J12))</f>
        <v/>
      </c>
      <c r="K13" s="3960">
        <f>IF(COUNT(K9:K12)=0,"",SUM(K9:K12))</f>
        <v/>
      </c>
      <c r="L13" s="3960">
        <f>IF(COUNT(L9:L12)=0,"",SUM(L9:L12))</f>
        <v/>
      </c>
      <c r="M13" s="3960">
        <f>IF(COUNT(M9:M12)=0,"",SUM(M9:M12))</f>
        <v/>
      </c>
      <c r="N13" s="3960">
        <f>IF(COUNT(N9:N12)=0,"",SUM(N9:N12))</f>
        <v/>
      </c>
      <c r="O13" s="3960">
        <f>IF(COUNT(O9:O12)=0,"",SUM(O9:O12))</f>
        <v/>
      </c>
      <c r="P13" s="3960">
        <f>IF(COUNT(P9:P12)=0,"",SUM(P9:P12))</f>
        <v/>
      </c>
      <c r="Q13" s="3960">
        <f>IF(COUNT(Q9:Q12)=0,"",SUM(Q9:Q12))</f>
        <v/>
      </c>
      <c r="R13" s="3960">
        <f>IF(COUNT(R9:R12)=0,"",SUM(R9:R12))</f>
        <v/>
      </c>
      <c r="S13" s="3960">
        <f>IF(COUNT(S9:S12)=0,"",SUM(S9:S12))</f>
        <v/>
      </c>
      <c r="T13" s="3960">
        <f>IF(COUNT(T9:T12)=0,"",SUM(T9:T12))</f>
        <v/>
      </c>
      <c r="U13" s="3960">
        <f>IF(COUNT(U9:U12)=0,"",SUM(U9:U12))</f>
        <v/>
      </c>
      <c r="V13" s="3960">
        <f>IF(COUNT(V9:V12)=0,"",SUM(V9:V12))</f>
        <v/>
      </c>
      <c r="W13" s="3960">
        <f>IF(COUNT(W9:W12)=0,"",SUM(W9:W12))</f>
        <v/>
      </c>
      <c r="X13" s="3960">
        <f>IF(COUNT(X9:X12)=0,"",SUM(X9:X12))</f>
        <v/>
      </c>
      <c r="Y13" s="3960">
        <f>IF(COUNT(Y9:Y12)=0,"",SUM(Y9:Y12))</f>
        <v/>
      </c>
      <c r="Z13" s="3960">
        <f>IF(COUNT(Z9:Z12)=0,"",SUM(Z9:Z12))</f>
        <v/>
      </c>
      <c r="AA13" s="3960">
        <f>IF(COUNT(AA9:AA12)=0,"",SUM(AA9:AA12))</f>
        <v/>
      </c>
      <c r="AB13" s="3960">
        <f>IF(COUNT(AB9:AB12)=0,"",SUM(AB9:AB12))</f>
        <v/>
      </c>
      <c r="AC13" s="3960">
        <f>IF(COUNT(AC9:AC12)=0,"",SUM(AC9:AC12))</f>
        <v/>
      </c>
      <c r="AD13" s="3960">
        <f>IF(COUNT(AD9:AD12)=0,"",SUM(AD9:AD12))</f>
        <v/>
      </c>
      <c r="AE13" s="3960">
        <f>IF(COUNT(AE9:AE12)=0,"",SUM(AE9:AE12))</f>
        <v/>
      </c>
      <c r="AF13" s="3960">
        <f>IF(COUNT(AF9:AF12)=0,"",SUM(AF9:AF12))</f>
        <v/>
      </c>
      <c r="AG13" s="3960">
        <f>IF(COUNT(AG9:AG12)=0,"",SUM(AG9:AG12))</f>
        <v/>
      </c>
      <c r="AH13" s="3960">
        <f>IF(COUNT(AH9:AH12)=0,"",SUM(AH9:AH12))</f>
        <v/>
      </c>
      <c r="AI13" s="3960">
        <f>IF(COUNT(AI9:AI12)=0,"",SUM(AI9:AI12))</f>
        <v/>
      </c>
      <c r="AJ13" s="3960">
        <f>IF(COUNT(AJ9:AJ12)=0,"",SUM(AJ9:AJ12))</f>
        <v/>
      </c>
      <c r="AK13" s="3960">
        <f>IF(COUNT(AK9:AK12)=0,"",SUM(AK9:AK12))</f>
        <v/>
      </c>
      <c r="AL13" s="3960">
        <f>IF(COUNT(AL9:AL12)=0,"",SUM(AL9:AL12))</f>
        <v/>
      </c>
      <c r="AM13" s="3960">
        <f>IF(COUNT(AM9:AM12)=0,"",SUM(AM9:AM12))</f>
        <v/>
      </c>
      <c r="AN13" s="3960">
        <f>IF(COUNT(AN9:AN12)=0,"",SUM(AN9:AN12))</f>
        <v/>
      </c>
      <c r="AO13" s="3960">
        <f>IF(COUNT(AO9:AO12)=0,"",SUM(AO9:AO12))</f>
        <v/>
      </c>
      <c r="AP13" s="3960">
        <f>IF(COUNT(AP9:AP12)=0,"",SUM(AP9:AP12))</f>
        <v/>
      </c>
      <c r="AQ13" s="3949">
        <f>IF(COUNT(G13:R13)=0,"",SUM(G13:R13))</f>
        <v/>
      </c>
      <c r="AR13" s="3949">
        <f>IF(COUNT(S13:AD13)=0,"",SUM(S13:AD13))</f>
        <v/>
      </c>
      <c r="AS13" s="3949">
        <f>IF(COUNT(AE13:AP13)=0,"",SUM(AE13:AP13))</f>
        <v/>
      </c>
    </row>
    <row r="14">
      <c r="A14" s="3959" t="n"/>
      <c r="B14" s="3959" t="n"/>
      <c r="C14" s="3959" t="n"/>
      <c r="D14" s="3959" t="n"/>
      <c r="E14" s="3959" t="n"/>
      <c r="F14" s="3959" t="n"/>
      <c r="G14" s="3960" t="n"/>
      <c r="H14" s="3960" t="n"/>
      <c r="I14" s="3960" t="n"/>
      <c r="J14" s="3960" t="n"/>
      <c r="K14" s="3960" t="n"/>
      <c r="L14" s="3960" t="n"/>
      <c r="M14" s="3960" t="n"/>
      <c r="N14" s="3960" t="n"/>
      <c r="O14" s="3960" t="n"/>
      <c r="P14" s="3960" t="n"/>
      <c r="Q14" s="3960" t="n"/>
      <c r="R14" s="3960" t="n"/>
      <c r="S14" s="3960" t="n"/>
      <c r="T14" s="3960" t="n"/>
      <c r="U14" s="3960" t="n"/>
      <c r="V14" s="3960" t="n"/>
      <c r="W14" s="3960" t="n"/>
      <c r="X14" s="3960" t="n"/>
      <c r="Y14" s="3960" t="n"/>
      <c r="Z14" s="3960" t="n"/>
      <c r="AA14" s="3960" t="n"/>
      <c r="AB14" s="3960" t="n"/>
      <c r="AC14" s="3960" t="n"/>
      <c r="AD14" s="3960" t="n"/>
      <c r="AE14" s="3960" t="n"/>
      <c r="AF14" s="3960" t="n"/>
      <c r="AG14" s="3960" t="n"/>
      <c r="AH14" s="3960" t="n"/>
      <c r="AI14" s="3960" t="n"/>
      <c r="AJ14" s="3960" t="n"/>
      <c r="AK14" s="3960" t="n"/>
      <c r="AL14" s="3960" t="n"/>
      <c r="AM14" s="3960" t="n"/>
      <c r="AN14" s="3960" t="n"/>
      <c r="AO14" s="3960" t="n"/>
      <c r="AP14" s="3960" t="n"/>
      <c r="AQ14" s="3960" t="n"/>
      <c r="AR14" s="3960" t="n"/>
      <c r="AS14" s="3960" t="n"/>
    </row>
    <row r="15">
      <c r="A15" s="3959" t="n"/>
      <c r="B15" s="3959" t="n"/>
      <c r="C15" s="3959" t="n"/>
      <c r="D15" s="3959" t="n"/>
      <c r="E15" s="3959" t="n"/>
      <c r="F15" s="3959" t="n"/>
      <c r="G15" s="3960" t="n"/>
      <c r="H15" s="3960" t="n"/>
      <c r="I15" s="3960" t="n"/>
      <c r="J15" s="3960" t="n"/>
      <c r="K15" s="3960" t="n"/>
      <c r="L15" s="3960" t="n"/>
      <c r="M15" s="3960" t="n"/>
      <c r="N15" s="3960" t="n"/>
      <c r="O15" s="3960" t="n"/>
      <c r="P15" s="3960" t="n"/>
      <c r="Q15" s="3960" t="n"/>
      <c r="R15" s="3960" t="n"/>
      <c r="S15" s="3960" t="n"/>
      <c r="T15" s="3960" t="n"/>
      <c r="U15" s="3960" t="n"/>
      <c r="V15" s="3960" t="n"/>
      <c r="W15" s="3960" t="n"/>
      <c r="X15" s="3960" t="n"/>
      <c r="Y15" s="3960" t="n"/>
      <c r="Z15" s="3960" t="n"/>
      <c r="AA15" s="3960" t="n"/>
      <c r="AB15" s="3960" t="n"/>
      <c r="AC15" s="3960" t="n"/>
      <c r="AD15" s="3960" t="n"/>
      <c r="AE15" s="3960" t="n"/>
      <c r="AF15" s="3960" t="n"/>
      <c r="AG15" s="3960" t="n"/>
      <c r="AH15" s="3960" t="n"/>
      <c r="AI15" s="3960" t="n"/>
      <c r="AJ15" s="3960" t="n"/>
      <c r="AK15" s="3960" t="n"/>
      <c r="AL15" s="3960" t="n"/>
      <c r="AM15" s="3960" t="n"/>
      <c r="AN15" s="3960" t="n"/>
      <c r="AO15" s="3960" t="n"/>
      <c r="AP15" s="3960" t="n"/>
      <c r="AQ15" s="3960" t="n"/>
      <c r="AR15" s="3960" t="n"/>
      <c r="AS15" s="3960" t="n"/>
    </row>
    <row r="16">
      <c r="A16" s="3959" t="n"/>
      <c r="B16" s="3959" t="n"/>
      <c r="C16" s="3959" t="n"/>
      <c r="D16" s="3959" t="n"/>
      <c r="E16" s="3959" t="n"/>
      <c r="F16" s="3959" t="n"/>
      <c r="G16" s="3960" t="n"/>
      <c r="H16" s="3960" t="n"/>
      <c r="I16" s="3960" t="n"/>
      <c r="J16" s="3960" t="n"/>
      <c r="K16" s="3960" t="n"/>
      <c r="L16" s="3960" t="n"/>
      <c r="M16" s="3960" t="n"/>
      <c r="N16" s="3960" t="n"/>
      <c r="O16" s="3960" t="n"/>
      <c r="P16" s="3960" t="n"/>
      <c r="Q16" s="3960" t="n"/>
      <c r="R16" s="3960" t="n"/>
      <c r="S16" s="3960" t="n"/>
      <c r="T16" s="3960" t="n"/>
      <c r="U16" s="3960" t="n"/>
      <c r="V16" s="3960" t="n"/>
      <c r="W16" s="3960" t="n"/>
      <c r="X16" s="3960" t="n"/>
      <c r="Y16" s="3960" t="n"/>
      <c r="Z16" s="3960" t="n"/>
      <c r="AA16" s="3960" t="n"/>
      <c r="AB16" s="3960" t="n"/>
      <c r="AC16" s="3960" t="n"/>
      <c r="AD16" s="3960" t="n"/>
      <c r="AE16" s="3960" t="n"/>
      <c r="AF16" s="3960" t="n"/>
      <c r="AG16" s="3960" t="n"/>
      <c r="AH16" s="3960" t="n"/>
      <c r="AI16" s="3960" t="n"/>
      <c r="AJ16" s="3960" t="n"/>
      <c r="AK16" s="3960" t="n"/>
      <c r="AL16" s="3960" t="n"/>
      <c r="AM16" s="3960" t="n"/>
      <c r="AN16" s="3960" t="n"/>
      <c r="AO16" s="3960" t="n"/>
      <c r="AP16" s="3960" t="n"/>
      <c r="AQ16" s="3960" t="n"/>
      <c r="AR16" s="3960" t="n"/>
      <c r="AS16" s="3960" t="n"/>
    </row>
    <row r="17">
      <c r="A17" s="3959" t="n"/>
      <c r="B17" s="3959" t="n"/>
      <c r="C17" s="3959" t="n"/>
      <c r="D17" s="3959" t="n"/>
      <c r="E17" s="3959" t="n"/>
      <c r="F17" s="3959" t="n"/>
      <c r="G17" s="3960" t="n"/>
      <c r="H17" s="3960" t="n"/>
      <c r="I17" s="3960" t="n"/>
      <c r="J17" s="3960" t="n"/>
      <c r="K17" s="3960" t="n"/>
      <c r="L17" s="3960" t="n"/>
      <c r="M17" s="3960" t="n"/>
      <c r="N17" s="3960" t="n"/>
      <c r="O17" s="3960" t="n"/>
      <c r="P17" s="3960" t="n"/>
      <c r="Q17" s="3960" t="n"/>
      <c r="R17" s="3960" t="n"/>
      <c r="S17" s="3960" t="n"/>
      <c r="T17" s="3960" t="n"/>
      <c r="U17" s="3960" t="n"/>
      <c r="V17" s="3960" t="n"/>
      <c r="W17" s="3960" t="n"/>
      <c r="X17" s="3960" t="n"/>
      <c r="Y17" s="3960" t="n"/>
      <c r="Z17" s="3960" t="n"/>
      <c r="AA17" s="3960" t="n"/>
      <c r="AB17" s="3960" t="n"/>
      <c r="AC17" s="3960" t="n"/>
      <c r="AD17" s="3960" t="n"/>
      <c r="AE17" s="3960" t="n"/>
      <c r="AF17" s="3960" t="n"/>
      <c r="AG17" s="3960" t="n"/>
      <c r="AH17" s="3960" t="n"/>
      <c r="AI17" s="3960" t="n"/>
      <c r="AJ17" s="3960" t="n"/>
      <c r="AK17" s="3960" t="n"/>
      <c r="AL17" s="3960" t="n"/>
      <c r="AM17" s="3960" t="n"/>
      <c r="AN17" s="3960" t="n"/>
      <c r="AO17" s="3960" t="n"/>
      <c r="AP17" s="3960" t="n"/>
      <c r="AQ17" s="3960" t="n"/>
      <c r="AR17" s="3960" t="n"/>
      <c r="AS17" s="3960" t="n"/>
    </row>
    <row r="18">
      <c r="A18" s="3959" t="n"/>
      <c r="B18" s="3959" t="n"/>
      <c r="C18" s="3959" t="n"/>
      <c r="D18" s="3959" t="n"/>
      <c r="E18" s="3959" t="n"/>
      <c r="F18" s="3959" t="n"/>
      <c r="G18" s="3960" t="n"/>
      <c r="H18" s="3960" t="n"/>
      <c r="I18" s="3960" t="n"/>
      <c r="J18" s="3960" t="n"/>
      <c r="K18" s="3960" t="n"/>
      <c r="L18" s="3960" t="n"/>
      <c r="M18" s="3960" t="n"/>
      <c r="N18" s="3960" t="n"/>
      <c r="O18" s="3960" t="n"/>
      <c r="P18" s="3960" t="n"/>
      <c r="Q18" s="3960" t="n"/>
      <c r="R18" s="3960" t="n"/>
      <c r="S18" s="3960" t="n"/>
      <c r="T18" s="3960" t="n"/>
      <c r="U18" s="3960" t="n"/>
      <c r="V18" s="3960" t="n"/>
      <c r="W18" s="3960" t="n"/>
      <c r="X18" s="3960" t="n"/>
      <c r="Y18" s="3960" t="n"/>
      <c r="Z18" s="3960" t="n"/>
      <c r="AA18" s="3960" t="n"/>
      <c r="AB18" s="3960" t="n"/>
      <c r="AC18" s="3960" t="n"/>
      <c r="AD18" s="3960" t="n"/>
      <c r="AE18" s="3960" t="n"/>
      <c r="AF18" s="3960" t="n"/>
      <c r="AG18" s="3960" t="n"/>
      <c r="AH18" s="3960" t="n"/>
      <c r="AI18" s="3960" t="n"/>
      <c r="AJ18" s="3960" t="n"/>
      <c r="AK18" s="3960" t="n"/>
      <c r="AL18" s="3960" t="n"/>
      <c r="AM18" s="3960" t="n"/>
      <c r="AN18" s="3960" t="n"/>
      <c r="AO18" s="3960" t="n"/>
      <c r="AP18" s="3960" t="n"/>
      <c r="AQ18" s="3960" t="n"/>
      <c r="AR18" s="3960" t="n"/>
      <c r="AS18" s="3960" t="n"/>
    </row>
    <row r="19">
      <c r="A19" s="3959" t="n"/>
      <c r="B19" s="3959" t="n"/>
      <c r="C19" s="3959" t="n"/>
      <c r="D19" s="3959" t="n"/>
      <c r="E19" s="3959" t="n"/>
      <c r="F19" s="3959" t="n"/>
      <c r="G19" s="3960" t="n"/>
      <c r="H19" s="3960" t="n"/>
      <c r="I19" s="3960" t="n"/>
      <c r="J19" s="3960" t="n"/>
      <c r="K19" s="3960" t="n"/>
      <c r="L19" s="3960" t="n"/>
      <c r="M19" s="3960" t="n"/>
      <c r="N19" s="3960" t="n"/>
      <c r="O19" s="3960" t="n"/>
      <c r="P19" s="3960" t="n"/>
      <c r="Q19" s="3960" t="n"/>
      <c r="R19" s="3960" t="n"/>
      <c r="S19" s="3960" t="n"/>
      <c r="T19" s="3960" t="n"/>
      <c r="U19" s="3960" t="n"/>
      <c r="V19" s="3960" t="n"/>
      <c r="W19" s="3960" t="n"/>
      <c r="X19" s="3960" t="n"/>
      <c r="Y19" s="3960" t="n"/>
      <c r="Z19" s="3960" t="n"/>
      <c r="AA19" s="3960" t="n"/>
      <c r="AB19" s="3960" t="n"/>
      <c r="AC19" s="3960" t="n"/>
      <c r="AD19" s="3960" t="n"/>
      <c r="AE19" s="3960" t="n"/>
      <c r="AF19" s="3960" t="n"/>
      <c r="AG19" s="3960" t="n"/>
      <c r="AH19" s="3960" t="n"/>
      <c r="AI19" s="3960" t="n"/>
      <c r="AJ19" s="3960" t="n"/>
      <c r="AK19" s="3960" t="n"/>
      <c r="AL19" s="3960" t="n"/>
      <c r="AM19" s="3960" t="n"/>
      <c r="AN19" s="3960" t="n"/>
      <c r="AO19" s="3960" t="n"/>
      <c r="AP19" s="3960" t="n"/>
      <c r="AQ19" s="3960" t="n"/>
      <c r="AR19" s="3960" t="n"/>
      <c r="AS19" s="3960" t="n"/>
    </row>
    <row r="20">
      <c r="A20" s="3959" t="n"/>
      <c r="B20" s="3959" t="n"/>
      <c r="C20" s="3959" t="n"/>
      <c r="D20" s="3959" t="n"/>
      <c r="E20" s="3959" t="n"/>
      <c r="F20" s="3959" t="n"/>
      <c r="G20" s="3960" t="n"/>
      <c r="H20" s="3960" t="n"/>
      <c r="I20" s="3960" t="n"/>
      <c r="J20" s="3960" t="n"/>
      <c r="K20" s="3960" t="n"/>
      <c r="L20" s="3960" t="n"/>
      <c r="M20" s="3960" t="n"/>
      <c r="N20" s="3960" t="n"/>
      <c r="O20" s="3960" t="n"/>
      <c r="P20" s="3960" t="n"/>
      <c r="Q20" s="3960" t="n"/>
      <c r="R20" s="3960" t="n"/>
      <c r="S20" s="3960" t="n"/>
      <c r="T20" s="3960" t="n"/>
      <c r="U20" s="3960" t="n"/>
      <c r="V20" s="3960" t="n"/>
      <c r="W20" s="3960" t="n"/>
      <c r="X20" s="3960" t="n"/>
      <c r="Y20" s="3960" t="n"/>
      <c r="Z20" s="3960" t="n"/>
      <c r="AA20" s="3960" t="n"/>
      <c r="AB20" s="3960" t="n"/>
      <c r="AC20" s="3960" t="n"/>
      <c r="AD20" s="3960" t="n"/>
      <c r="AE20" s="3960" t="n"/>
      <c r="AF20" s="3960" t="n"/>
      <c r="AG20" s="3960" t="n"/>
      <c r="AH20" s="3960" t="n"/>
      <c r="AI20" s="3960" t="n"/>
      <c r="AJ20" s="3960" t="n"/>
      <c r="AK20" s="3960" t="n"/>
      <c r="AL20" s="3960" t="n"/>
      <c r="AM20" s="3960" t="n"/>
      <c r="AN20" s="3960" t="n"/>
      <c r="AO20" s="3960" t="n"/>
      <c r="AP20" s="3960" t="n"/>
      <c r="AQ20" s="3960" t="n"/>
      <c r="AR20" s="3960" t="n"/>
      <c r="AS20" s="3960" t="n"/>
    </row>
    <row r="21">
      <c r="A21" s="3959" t="n"/>
      <c r="B21" s="3959" t="n"/>
      <c r="C21" s="3959" t="n"/>
      <c r="D21" s="3959" t="n"/>
      <c r="E21" s="3959" t="n"/>
      <c r="F21" s="3959" t="n"/>
      <c r="G21" s="3960" t="n"/>
      <c r="H21" s="3960" t="n"/>
      <c r="I21" s="3960" t="n"/>
      <c r="J21" s="3960" t="n"/>
      <c r="K21" s="3960" t="n"/>
      <c r="L21" s="3960" t="n"/>
      <c r="M21" s="3960" t="n"/>
      <c r="N21" s="3960" t="n"/>
      <c r="O21" s="3960" t="n"/>
      <c r="P21" s="3960" t="n"/>
      <c r="Q21" s="3960" t="n"/>
      <c r="R21" s="3960" t="n"/>
      <c r="S21" s="3960" t="n"/>
      <c r="T21" s="3960" t="n"/>
      <c r="U21" s="3960" t="n"/>
      <c r="V21" s="3960" t="n"/>
      <c r="W21" s="3960" t="n"/>
      <c r="X21" s="3960" t="n"/>
      <c r="Y21" s="3960" t="n"/>
      <c r="Z21" s="3960" t="n"/>
      <c r="AA21" s="3960" t="n"/>
      <c r="AB21" s="3960" t="n"/>
      <c r="AC21" s="3960" t="n"/>
      <c r="AD21" s="3960" t="n"/>
      <c r="AE21" s="3960" t="n"/>
      <c r="AF21" s="3960" t="n"/>
      <c r="AG21" s="3960" t="n"/>
      <c r="AH21" s="3960" t="n"/>
      <c r="AI21" s="3960" t="n"/>
      <c r="AJ21" s="3960" t="n"/>
      <c r="AK21" s="3960" t="n"/>
      <c r="AL21" s="3960" t="n"/>
      <c r="AM21" s="3960" t="n"/>
      <c r="AN21" s="3960" t="n"/>
      <c r="AO21" s="3960" t="n"/>
      <c r="AP21" s="3960" t="n"/>
      <c r="AQ21" s="3960" t="n"/>
      <c r="AR21" s="3960" t="n"/>
      <c r="AS21" s="3960" t="n"/>
    </row>
    <row r="22">
      <c r="A22" s="3959" t="n"/>
      <c r="B22" s="3959" t="n"/>
      <c r="C22" s="3959" t="n"/>
      <c r="D22" s="3959" t="n"/>
      <c r="E22" s="3959" t="n"/>
      <c r="F22" s="3959" t="n"/>
      <c r="G22" s="3960" t="n"/>
      <c r="H22" s="3960" t="n"/>
      <c r="I22" s="3960" t="n"/>
      <c r="J22" s="3960" t="n"/>
      <c r="K22" s="3960" t="n"/>
      <c r="L22" s="3960" t="n"/>
      <c r="M22" s="3960" t="n"/>
      <c r="N22" s="3960" t="n"/>
      <c r="O22" s="3960" t="n"/>
      <c r="P22" s="3960" t="n"/>
      <c r="Q22" s="3960" t="n"/>
      <c r="R22" s="3960" t="n"/>
      <c r="S22" s="3960" t="n"/>
      <c r="T22" s="3960" t="n"/>
      <c r="U22" s="3960" t="n"/>
      <c r="V22" s="3960" t="n"/>
      <c r="W22" s="3960" t="n"/>
      <c r="X22" s="3960" t="n"/>
      <c r="Y22" s="3960" t="n"/>
      <c r="Z22" s="3960" t="n"/>
      <c r="AA22" s="3960" t="n"/>
      <c r="AB22" s="3960" t="n"/>
      <c r="AC22" s="3960" t="n"/>
      <c r="AD22" s="3960" t="n"/>
      <c r="AE22" s="3960" t="n"/>
      <c r="AF22" s="3960" t="n"/>
      <c r="AG22" s="3960" t="n"/>
      <c r="AH22" s="3960" t="n"/>
      <c r="AI22" s="3960" t="n"/>
      <c r="AJ22" s="3960" t="n"/>
      <c r="AK22" s="3960" t="n"/>
      <c r="AL22" s="3960" t="n"/>
      <c r="AM22" s="3960" t="n"/>
      <c r="AN22" s="3960" t="n"/>
      <c r="AO22" s="3960" t="n"/>
      <c r="AP22" s="3960" t="n"/>
      <c r="AQ22" s="3960" t="n"/>
      <c r="AR22" s="3960" t="n"/>
      <c r="AS22" s="3960" t="n"/>
    </row>
    <row r="23">
      <c r="A23" s="3959" t="n"/>
      <c r="B23" s="3959" t="n"/>
      <c r="C23" s="3959" t="n"/>
      <c r="D23" s="3959" t="n"/>
      <c r="E23" s="3959" t="n"/>
      <c r="F23" s="3959" t="n"/>
      <c r="G23" s="3960" t="n"/>
      <c r="H23" s="3960" t="n"/>
      <c r="I23" s="3960" t="n"/>
      <c r="J23" s="3960" t="n"/>
      <c r="K23" s="3960" t="n"/>
      <c r="L23" s="3960" t="n"/>
      <c r="M23" s="3960" t="n"/>
      <c r="N23" s="3960" t="n"/>
      <c r="O23" s="3960" t="n"/>
      <c r="P23" s="3960" t="n"/>
      <c r="Q23" s="3960" t="n"/>
      <c r="R23" s="3960" t="n"/>
      <c r="S23" s="3960" t="n"/>
      <c r="T23" s="3960" t="n"/>
      <c r="U23" s="3960" t="n"/>
      <c r="V23" s="3960" t="n"/>
      <c r="W23" s="3960" t="n"/>
      <c r="X23" s="3960" t="n"/>
      <c r="Y23" s="3960" t="n"/>
      <c r="Z23" s="3960" t="n"/>
      <c r="AA23" s="3960" t="n"/>
      <c r="AB23" s="3960" t="n"/>
      <c r="AC23" s="3960" t="n"/>
      <c r="AD23" s="3960" t="n"/>
      <c r="AE23" s="3960" t="n"/>
      <c r="AF23" s="3960" t="n"/>
      <c r="AG23" s="3960" t="n"/>
      <c r="AH23" s="3960" t="n"/>
      <c r="AI23" s="3960" t="n"/>
      <c r="AJ23" s="3960" t="n"/>
      <c r="AK23" s="3960" t="n"/>
      <c r="AL23" s="3960" t="n"/>
      <c r="AM23" s="3960" t="n"/>
      <c r="AN23" s="3960" t="n"/>
      <c r="AO23" s="3960" t="n"/>
      <c r="AP23" s="3960" t="n"/>
      <c r="AQ23" s="3960" t="n"/>
      <c r="AR23" s="3960" t="n"/>
      <c r="AS23" s="3960" t="n"/>
    </row>
    <row r="24">
      <c r="A24" s="3959" t="n"/>
      <c r="B24" s="3959" t="n"/>
      <c r="C24" s="3959" t="n"/>
      <c r="D24" s="3959" t="n"/>
      <c r="E24" s="3959" t="n"/>
      <c r="F24" s="3959" t="n"/>
      <c r="G24" s="3960" t="n"/>
      <c r="H24" s="3960" t="n"/>
      <c r="I24" s="3960" t="n"/>
      <c r="J24" s="3960" t="n"/>
      <c r="K24" s="3960" t="n"/>
      <c r="L24" s="3960" t="n"/>
      <c r="M24" s="3960" t="n"/>
      <c r="N24" s="3960" t="n"/>
      <c r="O24" s="3960" t="n"/>
      <c r="P24" s="3960" t="n"/>
      <c r="Q24" s="3960" t="n"/>
      <c r="R24" s="3960" t="n"/>
      <c r="S24" s="3960" t="n"/>
      <c r="T24" s="3960" t="n"/>
      <c r="U24" s="3960" t="n"/>
      <c r="V24" s="3960" t="n"/>
      <c r="W24" s="3960" t="n"/>
      <c r="X24" s="3960" t="n"/>
      <c r="Y24" s="3960" t="n"/>
      <c r="Z24" s="3960" t="n"/>
      <c r="AA24" s="3960" t="n"/>
      <c r="AB24" s="3960" t="n"/>
      <c r="AC24" s="3960" t="n"/>
      <c r="AD24" s="3960" t="n"/>
      <c r="AE24" s="3960" t="n"/>
      <c r="AF24" s="3960" t="n"/>
      <c r="AG24" s="3960" t="n"/>
      <c r="AH24" s="3960" t="n"/>
      <c r="AI24" s="3960" t="n"/>
      <c r="AJ24" s="3960" t="n"/>
      <c r="AK24" s="3960" t="n"/>
      <c r="AL24" s="3960" t="n"/>
      <c r="AM24" s="3960" t="n"/>
      <c r="AN24" s="3960" t="n"/>
      <c r="AO24" s="3960" t="n"/>
      <c r="AP24" s="3960" t="n"/>
      <c r="AQ24" s="3960" t="n"/>
      <c r="AR24" s="3960" t="n"/>
      <c r="AS24" s="3960" t="n"/>
    </row>
    <row r="25">
      <c r="A25" s="3959" t="n"/>
      <c r="B25" s="3959" t="n"/>
      <c r="C25" s="3959" t="n"/>
      <c r="D25" s="3959" t="n"/>
      <c r="E25" s="3959" t="n"/>
      <c r="F25" s="3959" t="n"/>
      <c r="G25" s="3960" t="n"/>
      <c r="H25" s="3960" t="n"/>
      <c r="I25" s="3960" t="n"/>
      <c r="J25" s="3960" t="n"/>
      <c r="K25" s="3960" t="n"/>
      <c r="L25" s="3960" t="n"/>
      <c r="M25" s="3960" t="n"/>
      <c r="N25" s="3960" t="n"/>
      <c r="O25" s="3960" t="n"/>
      <c r="P25" s="3960" t="n"/>
      <c r="Q25" s="3960" t="n"/>
      <c r="R25" s="3960" t="n"/>
      <c r="S25" s="3960" t="n"/>
      <c r="T25" s="3960" t="n"/>
      <c r="U25" s="3960" t="n"/>
      <c r="V25" s="3960" t="n"/>
      <c r="W25" s="3960" t="n"/>
      <c r="X25" s="3960" t="n"/>
      <c r="Y25" s="3960" t="n"/>
      <c r="Z25" s="3960" t="n"/>
      <c r="AA25" s="3960" t="n"/>
      <c r="AB25" s="3960" t="n"/>
      <c r="AC25" s="3960" t="n"/>
      <c r="AD25" s="3960" t="n"/>
      <c r="AE25" s="3960" t="n"/>
      <c r="AF25" s="3960" t="n"/>
      <c r="AG25" s="3960" t="n"/>
      <c r="AH25" s="3960" t="n"/>
      <c r="AI25" s="3960" t="n"/>
      <c r="AJ25" s="3960" t="n"/>
      <c r="AK25" s="3960" t="n"/>
      <c r="AL25" s="3960" t="n"/>
      <c r="AM25" s="3960" t="n"/>
      <c r="AN25" s="3960" t="n"/>
      <c r="AO25" s="3960" t="n"/>
      <c r="AP25" s="3960" t="n"/>
      <c r="AQ25" s="3960" t="n"/>
      <c r="AR25" s="3960" t="n"/>
      <c r="AS25" s="3960" t="n"/>
    </row>
    <row r="26">
      <c r="A26" s="3959" t="n"/>
      <c r="B26" s="3959" t="n"/>
      <c r="C26" s="3959" t="n"/>
      <c r="D26" s="3959" t="n"/>
      <c r="E26" s="3959" t="n"/>
      <c r="F26" s="3959" t="n"/>
      <c r="G26" s="3960" t="n"/>
      <c r="H26" s="3960" t="n"/>
      <c r="I26" s="3960" t="n"/>
      <c r="J26" s="3960" t="n"/>
      <c r="K26" s="3960" t="n"/>
      <c r="L26" s="3960" t="n"/>
      <c r="M26" s="3960" t="n"/>
      <c r="N26" s="3960" t="n"/>
      <c r="O26" s="3960" t="n"/>
      <c r="P26" s="3960" t="n"/>
      <c r="Q26" s="3960" t="n"/>
      <c r="R26" s="3960" t="n"/>
      <c r="S26" s="3960" t="n"/>
      <c r="T26" s="3960" t="n"/>
      <c r="U26" s="3960" t="n"/>
      <c r="V26" s="3960" t="n"/>
      <c r="W26" s="3960" t="n"/>
      <c r="X26" s="3960" t="n"/>
      <c r="Y26" s="3960" t="n"/>
      <c r="Z26" s="3960" t="n"/>
      <c r="AA26" s="3960" t="n"/>
      <c r="AB26" s="3960" t="n"/>
      <c r="AC26" s="3960" t="n"/>
      <c r="AD26" s="3960" t="n"/>
      <c r="AE26" s="3960" t="n"/>
      <c r="AF26" s="3960" t="n"/>
      <c r="AG26" s="3960" t="n"/>
      <c r="AH26" s="3960" t="n"/>
      <c r="AI26" s="3960" t="n"/>
      <c r="AJ26" s="3960" t="n"/>
      <c r="AK26" s="3960" t="n"/>
      <c r="AL26" s="3960" t="n"/>
      <c r="AM26" s="3960" t="n"/>
      <c r="AN26" s="3960" t="n"/>
      <c r="AO26" s="3960" t="n"/>
      <c r="AP26" s="3960" t="n"/>
      <c r="AQ26" s="3960" t="n"/>
      <c r="AR26" s="3960" t="n"/>
      <c r="AS26" s="3960" t="n"/>
    </row>
    <row r="27">
      <c r="A27" s="3979" t="inlineStr">
        <is>
          <t>CF_CHECKS</t>
        </is>
      </c>
      <c r="B27" s="3980" t="n"/>
      <c r="C27" s="3980" t="n"/>
      <c r="D27" s="3980" t="n"/>
      <c r="E27" s="3980" t="n"/>
      <c r="F27" s="3980" t="n"/>
      <c r="G27" s="3981" t="n"/>
      <c r="H27" s="3981" t="n"/>
      <c r="I27" s="3981" t="n"/>
      <c r="J27" s="3981" t="n"/>
      <c r="K27" s="3981" t="n"/>
      <c r="L27" s="3981" t="n"/>
      <c r="M27" s="3981" t="n"/>
      <c r="N27" s="3981" t="n"/>
      <c r="O27" s="3981" t="n"/>
      <c r="P27" s="3981" t="n"/>
      <c r="Q27" s="3981" t="n"/>
      <c r="R27" s="3981" t="n"/>
      <c r="S27" s="3981" t="n"/>
      <c r="T27" s="3981" t="n"/>
      <c r="U27" s="3981" t="n"/>
      <c r="V27" s="3981" t="n"/>
      <c r="W27" s="3981" t="n"/>
      <c r="X27" s="3981" t="n"/>
      <c r="Y27" s="3981" t="n"/>
      <c r="Z27" s="3981" t="n"/>
      <c r="AA27" s="3981" t="n"/>
      <c r="AB27" s="3981" t="n"/>
      <c r="AC27" s="3981" t="n"/>
      <c r="AD27" s="3981" t="n"/>
      <c r="AE27" s="3981" t="n"/>
      <c r="AF27" s="3981" t="n"/>
      <c r="AG27" s="3981" t="n"/>
      <c r="AH27" s="3981" t="n"/>
      <c r="AI27" s="3981" t="n"/>
      <c r="AJ27" s="3981" t="n"/>
      <c r="AK27" s="3981" t="n"/>
      <c r="AL27" s="3981" t="n"/>
      <c r="AM27" s="3981" t="n"/>
      <c r="AN27" s="3981" t="n"/>
      <c r="AO27" s="3981" t="n"/>
      <c r="AP27" s="3981" t="n"/>
      <c r="AQ27" s="3981" t="n"/>
      <c r="AR27" s="3981" t="n"/>
      <c r="AS27" s="3981" t="n"/>
    </row>
    <row r="28">
      <c r="A28" s="3959" t="inlineStr">
        <is>
          <t>Net cash tie-out</t>
        </is>
      </c>
      <c r="B28" s="3959" t="n"/>
      <c r="C28" s="3959" t="n"/>
      <c r="D28" s="3959" t="n"/>
      <c r="E28" s="3959" t="n"/>
      <c r="F28" s="3959" t="n"/>
      <c r="G28" s="3961">
        <f>IF(G13="","",G13-SUM(G9:G12))</f>
        <v/>
      </c>
      <c r="H28" s="3961">
        <f>IF(H13="","",H13-SUM(H9:H12))</f>
        <v/>
      </c>
      <c r="I28" s="3961">
        <f>IF(I13="","",I13-SUM(I9:I12))</f>
        <v/>
      </c>
      <c r="J28" s="3961">
        <f>IF(J13="","",J13-SUM(J9:J12))</f>
        <v/>
      </c>
      <c r="K28" s="3961">
        <f>IF(K13="","",K13-SUM(K9:K12))</f>
        <v/>
      </c>
      <c r="L28" s="3961">
        <f>IF(L13="","",L13-SUM(L9:L12))</f>
        <v/>
      </c>
      <c r="M28" s="3961">
        <f>IF(M13="","",M13-SUM(M9:M12))</f>
        <v/>
      </c>
      <c r="N28" s="3961">
        <f>IF(N13="","",N13-SUM(N9:N12))</f>
        <v/>
      </c>
      <c r="O28" s="3961">
        <f>IF(O13="","",O13-SUM(O9:O12))</f>
        <v/>
      </c>
      <c r="P28" s="3961">
        <f>IF(P13="","",P13-SUM(P9:P12))</f>
        <v/>
      </c>
      <c r="Q28" s="3961">
        <f>IF(Q13="","",Q13-SUM(Q9:Q12))</f>
        <v/>
      </c>
      <c r="R28" s="3961">
        <f>IF(R13="","",R13-SUM(R9:R12))</f>
        <v/>
      </c>
      <c r="S28" s="3961">
        <f>IF(S13="","",S13-SUM(S9:S12))</f>
        <v/>
      </c>
      <c r="T28" s="3961">
        <f>IF(T13="","",T13-SUM(T9:T12))</f>
        <v/>
      </c>
      <c r="U28" s="3961">
        <f>IF(U13="","",U13-SUM(U9:U12))</f>
        <v/>
      </c>
      <c r="V28" s="3961">
        <f>IF(V13="","",V13-SUM(V9:V12))</f>
        <v/>
      </c>
      <c r="W28" s="3961">
        <f>IF(W13="","",W13-SUM(W9:W12))</f>
        <v/>
      </c>
      <c r="X28" s="3961">
        <f>IF(X13="","",X13-SUM(X9:X12))</f>
        <v/>
      </c>
      <c r="Y28" s="3961">
        <f>IF(Y13="","",Y13-SUM(Y9:Y12))</f>
        <v/>
      </c>
      <c r="Z28" s="3961">
        <f>IF(Z13="","",Z13-SUM(Z9:Z12))</f>
        <v/>
      </c>
      <c r="AA28" s="3961">
        <f>IF(AA13="","",AA13-SUM(AA9:AA12))</f>
        <v/>
      </c>
      <c r="AB28" s="3961">
        <f>IF(AB13="","",AB13-SUM(AB9:AB12))</f>
        <v/>
      </c>
      <c r="AC28" s="3961">
        <f>IF(AC13="","",AC13-SUM(AC9:AC12))</f>
        <v/>
      </c>
      <c r="AD28" s="3961">
        <f>IF(AD13="","",AD13-SUM(AD9:AD12))</f>
        <v/>
      </c>
      <c r="AE28" s="3961">
        <f>IF(AE13="","",AE13-SUM(AE9:AE12))</f>
        <v/>
      </c>
      <c r="AF28" s="3961">
        <f>IF(AF13="","",AF13-SUM(AF9:AF12))</f>
        <v/>
      </c>
      <c r="AG28" s="3961">
        <f>IF(AG13="","",AG13-SUM(AG9:AG12))</f>
        <v/>
      </c>
      <c r="AH28" s="3961">
        <f>IF(AH13="","",AH13-SUM(AH9:AH12))</f>
        <v/>
      </c>
      <c r="AI28" s="3961">
        <f>IF(AI13="","",AI13-SUM(AI9:AI12))</f>
        <v/>
      </c>
      <c r="AJ28" s="3961">
        <f>IF(AJ13="","",AJ13-SUM(AJ9:AJ12))</f>
        <v/>
      </c>
      <c r="AK28" s="3961">
        <f>IF(AK13="","",AK13-SUM(AK9:AK12))</f>
        <v/>
      </c>
      <c r="AL28" s="3961">
        <f>IF(AL13="","",AL13-SUM(AL9:AL12))</f>
        <v/>
      </c>
      <c r="AM28" s="3961">
        <f>IF(AM13="","",AM13-SUM(AM9:AM12))</f>
        <v/>
      </c>
      <c r="AN28" s="3961">
        <f>IF(AN13="","",AN13-SUM(AN9:AN12))</f>
        <v/>
      </c>
      <c r="AO28" s="3961">
        <f>IF(AO13="","",AO13-SUM(AO9:AO12))</f>
        <v/>
      </c>
      <c r="AP28" s="3961">
        <f>IF(AP13="","",AP13-SUM(AP9:AP12))</f>
        <v/>
      </c>
      <c r="AQ28" s="3961">
        <f>IF(AQ13="","",AQ13-SUM(AQ9:AQ12))</f>
        <v/>
      </c>
      <c r="AR28" s="3961">
        <f>IF(AR13="","",AR13-SUM(AR9:AR12))</f>
        <v/>
      </c>
      <c r="AS28" s="3961">
        <f>IF(AS13="","",AS13-SUM(AS9:AS12))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S29"/>
  <sheetViews>
    <sheetView showGridLines="0" zoomScale="100" zoomScaleNormal="100" workbookViewId="0">
      <pane xSplit="6" ySplit="8" topLeftCell="G9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7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30" customWidth="1" min="46" max="46"/>
    <col width="30" customWidth="1" min="47" max="47"/>
  </cols>
  <sheetData>
    <row r="1">
      <c r="A1" s="3921" t="inlineStr">
        <is>
          <t>Entity 1 IS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  <c r="AS1" s="3934" t="n"/>
    </row>
    <row r="2">
      <c r="A2" s="3978" t="inlineStr">
        <is>
          <t>Source: &lt;document_source&gt;</t>
        </is>
      </c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  <c r="AS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  <c r="AS3" s="3934" t="n"/>
    </row>
    <row r="4">
      <c r="A4" s="3956" t="n"/>
      <c r="B4" s="3956" t="n"/>
      <c r="C4" s="3934" t="n"/>
      <c r="D4" s="3957" t="n"/>
      <c r="E4" s="3958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  <c r="AS4" s="3934" t="n"/>
    </row>
    <row r="5">
      <c r="A5" s="3956" t="n"/>
      <c r="B5" s="3956" t="n"/>
      <c r="C5" s="3934" t="n"/>
      <c r="D5" s="3956" t="n"/>
      <c r="E5" s="3956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  <c r="AS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  <c r="AS6" s="3934" t="n"/>
    </row>
    <row r="7">
      <c r="A7" s="3979" t="inlineStr">
        <is>
          <t>Entity 1 IS</t>
        </is>
      </c>
      <c r="B7" s="3980" t="n"/>
      <c r="C7" s="3980" t="n"/>
      <c r="D7" s="3980" t="n"/>
      <c r="E7" s="3980" t="n"/>
      <c r="F7" s="3980" t="n"/>
      <c r="G7" s="3980" t="n"/>
      <c r="H7" s="3980" t="n"/>
      <c r="I7" s="3980" t="n"/>
      <c r="J7" s="3980" t="n"/>
      <c r="K7" s="3980" t="n"/>
      <c r="L7" s="3980" t="n"/>
      <c r="M7" s="3980" t="n"/>
      <c r="N7" s="3980" t="n"/>
      <c r="O7" s="3980" t="n"/>
      <c r="P7" s="3980" t="n"/>
      <c r="Q7" s="3980" t="n"/>
      <c r="R7" s="3980" t="n"/>
      <c r="S7" s="3980" t="n"/>
      <c r="T7" s="3980" t="n"/>
      <c r="U7" s="3980" t="n"/>
      <c r="V7" s="3980" t="n"/>
      <c r="W7" s="3980" t="n"/>
      <c r="X7" s="3980" t="n"/>
      <c r="Y7" s="3980" t="n"/>
      <c r="Z7" s="3980" t="n"/>
      <c r="AA7" s="3980" t="n"/>
      <c r="AB7" s="3980" t="n"/>
      <c r="AC7" s="3980" t="n"/>
      <c r="AD7" s="3980" t="n"/>
      <c r="AE7" s="3980" t="n"/>
      <c r="AF7" s="3980" t="n"/>
      <c r="AG7" s="3980" t="n"/>
      <c r="AH7" s="3980" t="n"/>
      <c r="AI7" s="3980" t="n"/>
      <c r="AJ7" s="3980" t="n"/>
      <c r="AK7" s="3980" t="n"/>
      <c r="AL7" s="3980" t="n"/>
      <c r="AM7" s="3980" t="n"/>
      <c r="AN7" s="3980" t="n"/>
      <c r="AO7" s="3980" t="n"/>
      <c r="AP7" s="3980" t="n"/>
      <c r="AQ7" s="3980" t="n"/>
      <c r="AR7" s="3980" t="n"/>
      <c r="AS7" s="3980" t="n"/>
    </row>
    <row r="8">
      <c r="A8" s="3923" t="inlineStr">
        <is>
          <t>LineKey</t>
        </is>
      </c>
      <c r="B8" s="3923" t="inlineStr">
        <is>
          <t>$'000</t>
        </is>
      </c>
      <c r="C8" s="3923" t="inlineStr">
        <is>
          <t>TB Account No.</t>
        </is>
      </c>
      <c r="D8" s="3923" t="inlineStr">
        <is>
          <t>Sign</t>
        </is>
      </c>
      <c r="E8" s="3923" t="inlineStr">
        <is>
          <t>Source</t>
        </is>
      </c>
      <c r="F8" s="3923" t="inlineStr">
        <is>
          <t>Comments</t>
        </is>
      </c>
      <c r="G8" s="3947">
        <f>'Control | Setup'!A22</f>
        <v/>
      </c>
      <c r="H8" s="3947">
        <f>'Control | Setup'!A23</f>
        <v/>
      </c>
      <c r="I8" s="3947">
        <f>'Control | Setup'!A24</f>
        <v/>
      </c>
      <c r="J8" s="3947">
        <f>'Control | Setup'!A25</f>
        <v/>
      </c>
      <c r="K8" s="3947">
        <f>'Control | Setup'!A26</f>
        <v/>
      </c>
      <c r="L8" s="3947">
        <f>'Control | Setup'!A27</f>
        <v/>
      </c>
      <c r="M8" s="3947">
        <f>'Control | Setup'!A28</f>
        <v/>
      </c>
      <c r="N8" s="3947">
        <f>'Control | Setup'!A29</f>
        <v/>
      </c>
      <c r="O8" s="3947">
        <f>'Control | Setup'!A30</f>
        <v/>
      </c>
      <c r="P8" s="3947">
        <f>'Control | Setup'!A31</f>
        <v/>
      </c>
      <c r="Q8" s="3947">
        <f>'Control | Setup'!A32</f>
        <v/>
      </c>
      <c r="R8" s="3947">
        <f>'Control | Setup'!A33</f>
        <v/>
      </c>
      <c r="S8" s="3947">
        <f>'Control | Setup'!A34</f>
        <v/>
      </c>
      <c r="T8" s="3947">
        <f>'Control | Setup'!A35</f>
        <v/>
      </c>
      <c r="U8" s="3947">
        <f>'Control | Setup'!A36</f>
        <v/>
      </c>
      <c r="V8" s="3947">
        <f>'Control | Setup'!A37</f>
        <v/>
      </c>
      <c r="W8" s="3947">
        <f>'Control | Setup'!A38</f>
        <v/>
      </c>
      <c r="X8" s="3947">
        <f>'Control | Setup'!A39</f>
        <v/>
      </c>
      <c r="Y8" s="3947">
        <f>'Control | Setup'!A40</f>
        <v/>
      </c>
      <c r="Z8" s="3947">
        <f>'Control | Setup'!A41</f>
        <v/>
      </c>
      <c r="AA8" s="3947">
        <f>'Control | Setup'!A42</f>
        <v/>
      </c>
      <c r="AB8" s="3947">
        <f>'Control | Setup'!A43</f>
        <v/>
      </c>
      <c r="AC8" s="3947">
        <f>'Control | Setup'!A44</f>
        <v/>
      </c>
      <c r="AD8" s="3947">
        <f>'Control | Setup'!A45</f>
        <v/>
      </c>
      <c r="AE8" s="3947">
        <f>'Control | Setup'!A46</f>
        <v/>
      </c>
      <c r="AF8" s="3947">
        <f>'Control | Setup'!A47</f>
        <v/>
      </c>
      <c r="AG8" s="3947">
        <f>'Control | Setup'!A48</f>
        <v/>
      </c>
      <c r="AH8" s="3947">
        <f>'Control | Setup'!A49</f>
        <v/>
      </c>
      <c r="AI8" s="3947">
        <f>'Control | Setup'!A50</f>
        <v/>
      </c>
      <c r="AJ8" s="3947">
        <f>'Control | Setup'!A51</f>
        <v/>
      </c>
      <c r="AK8" s="3947">
        <f>'Control | Setup'!A52</f>
        <v/>
      </c>
      <c r="AL8" s="3947">
        <f>'Control | Setup'!A53</f>
        <v/>
      </c>
      <c r="AM8" s="3947">
        <f>'Control | Setup'!A54</f>
        <v/>
      </c>
      <c r="AN8" s="3947">
        <f>'Control | Setup'!A55</f>
        <v/>
      </c>
      <c r="AO8" s="3947">
        <f>'Control | Setup'!A56</f>
        <v/>
      </c>
      <c r="AP8" s="3947">
        <f>'Control | Setup'!A57</f>
        <v/>
      </c>
      <c r="AQ8" s="3947" t="inlineStr">
        <is>
          <t>FY-2</t>
        </is>
      </c>
      <c r="AR8" s="3947" t="inlineStr">
        <is>
          <t>FY-1</t>
        </is>
      </c>
      <c r="AS8" s="3947" t="inlineStr">
        <is>
          <t>TTM</t>
        </is>
      </c>
    </row>
    <row r="9">
      <c r="A9" s="3959" t="inlineStr">
        <is>
          <t>IS_REV</t>
        </is>
      </c>
      <c r="B9" s="3959" t="inlineStr">
        <is>
          <t>Revenue</t>
        </is>
      </c>
      <c r="C9" s="3959" t="inlineStr"/>
      <c r="D9" s="3959" t="inlineStr">
        <is>
          <t>+</t>
        </is>
      </c>
      <c r="E9" s="3959" t="inlineStr">
        <is>
          <t>TB/Map</t>
        </is>
      </c>
      <c r="F9" s="3959" t="inlineStr"/>
      <c r="G9" s="3929" t="n"/>
      <c r="H9" s="3929" t="n"/>
      <c r="I9" s="3929" t="n"/>
      <c r="J9" s="3929" t="n"/>
      <c r="K9" s="3929" t="n"/>
      <c r="L9" s="3929" t="n"/>
      <c r="M9" s="3929" t="n"/>
      <c r="N9" s="3929" t="n"/>
      <c r="O9" s="3929" t="n"/>
      <c r="P9" s="3929" t="n"/>
      <c r="Q9" s="3929" t="n"/>
      <c r="R9" s="3929" t="n"/>
      <c r="S9" s="3929" t="n"/>
      <c r="T9" s="3929" t="n"/>
      <c r="U9" s="3929" t="n"/>
      <c r="V9" s="3929" t="n"/>
      <c r="W9" s="3929" t="n"/>
      <c r="X9" s="3929" t="n"/>
      <c r="Y9" s="3929" t="n"/>
      <c r="Z9" s="3929" t="n"/>
      <c r="AA9" s="3929" t="n"/>
      <c r="AB9" s="3929" t="n"/>
      <c r="AC9" s="3929" t="n"/>
      <c r="AD9" s="3929" t="n"/>
      <c r="AE9" s="3929" t="n"/>
      <c r="AF9" s="3929" t="n"/>
      <c r="AG9" s="3929" t="n"/>
      <c r="AH9" s="3929" t="n"/>
      <c r="AI9" s="3929" t="n"/>
      <c r="AJ9" s="3929" t="n"/>
      <c r="AK9" s="3929" t="n"/>
      <c r="AL9" s="3929" t="n"/>
      <c r="AM9" s="3929" t="n"/>
      <c r="AN9" s="3929" t="n"/>
      <c r="AO9" s="3929" t="n"/>
      <c r="AP9" s="3929" t="n"/>
      <c r="AQ9" s="3949">
        <f>IF(COUNT(G9:R9)=0,"",SUM(G9:R9))</f>
        <v/>
      </c>
      <c r="AR9" s="3949">
        <f>IF(COUNT(S9:AD9)=0,"",SUM(S9:AD9))</f>
        <v/>
      </c>
      <c r="AS9" s="3949">
        <f>IF(COUNT(AE9:AP9)=0,"",SUM(AE9:AP9))</f>
        <v/>
      </c>
    </row>
    <row r="10">
      <c r="A10" s="3959" t="inlineStr">
        <is>
          <t>IS_COGS</t>
        </is>
      </c>
      <c r="B10" s="3959" t="inlineStr">
        <is>
          <t>Cost of goods sold</t>
        </is>
      </c>
      <c r="C10" s="3959" t="inlineStr"/>
      <c r="D10" s="3959" t="inlineStr">
        <is>
          <t>+</t>
        </is>
      </c>
      <c r="E10" s="3959" t="inlineStr">
        <is>
          <t>TB/Map</t>
        </is>
      </c>
      <c r="F10" s="3959" t="inlineStr"/>
      <c r="G10" s="3929" t="n"/>
      <c r="H10" s="3929" t="n"/>
      <c r="I10" s="3929" t="n"/>
      <c r="J10" s="3929" t="n"/>
      <c r="K10" s="3929" t="n"/>
      <c r="L10" s="3929" t="n"/>
      <c r="M10" s="3929" t="n"/>
      <c r="N10" s="3929" t="n"/>
      <c r="O10" s="3929" t="n"/>
      <c r="P10" s="3929" t="n"/>
      <c r="Q10" s="3929" t="n"/>
      <c r="R10" s="3929" t="n"/>
      <c r="S10" s="3929" t="n"/>
      <c r="T10" s="3929" t="n"/>
      <c r="U10" s="3929" t="n"/>
      <c r="V10" s="3929" t="n"/>
      <c r="W10" s="3929" t="n"/>
      <c r="X10" s="3929" t="n"/>
      <c r="Y10" s="3929" t="n"/>
      <c r="Z10" s="3929" t="n"/>
      <c r="AA10" s="3929" t="n"/>
      <c r="AB10" s="3929" t="n"/>
      <c r="AC10" s="3929" t="n"/>
      <c r="AD10" s="3929" t="n"/>
      <c r="AE10" s="3929" t="n"/>
      <c r="AF10" s="3929" t="n"/>
      <c r="AG10" s="3929" t="n"/>
      <c r="AH10" s="3929" t="n"/>
      <c r="AI10" s="3929" t="n"/>
      <c r="AJ10" s="3929" t="n"/>
      <c r="AK10" s="3929" t="n"/>
      <c r="AL10" s="3929" t="n"/>
      <c r="AM10" s="3929" t="n"/>
      <c r="AN10" s="3929" t="n"/>
      <c r="AO10" s="3929" t="n"/>
      <c r="AP10" s="3929" t="n"/>
      <c r="AQ10" s="3949">
        <f>IF(COUNT(G10:R10)=0,"",SUM(G10:R10))</f>
        <v/>
      </c>
      <c r="AR10" s="3949">
        <f>IF(COUNT(S10:AD10)=0,"",SUM(S10:AD10))</f>
        <v/>
      </c>
      <c r="AS10" s="3949">
        <f>IF(COUNT(AE10:AP10)=0,"",SUM(AE10:AP10))</f>
        <v/>
      </c>
    </row>
    <row r="11">
      <c r="A11" s="3959" t="inlineStr">
        <is>
          <t>IS_GP</t>
        </is>
      </c>
      <c r="B11" s="3959" t="inlineStr">
        <is>
          <t>Gross profit</t>
        </is>
      </c>
      <c r="C11" s="3959" t="inlineStr"/>
      <c r="D11" s="3959" t="inlineStr">
        <is>
          <t>+</t>
        </is>
      </c>
      <c r="E11" s="3959" t="inlineStr">
        <is>
          <t>Formula</t>
        </is>
      </c>
      <c r="F11" s="3959" t="inlineStr">
        <is>
          <t>Derived</t>
        </is>
      </c>
      <c r="G11" s="3960">
        <f>IF(OR(G9="",G10=""),"",G9+G10)</f>
        <v/>
      </c>
      <c r="H11" s="3960">
        <f>IF(OR(H9="",H10=""),"",H9+H10)</f>
        <v/>
      </c>
      <c r="I11" s="3960">
        <f>IF(OR(I9="",I10=""),"",I9+I10)</f>
        <v/>
      </c>
      <c r="J11" s="3960">
        <f>IF(OR(J9="",J10=""),"",J9+J10)</f>
        <v/>
      </c>
      <c r="K11" s="3960">
        <f>IF(OR(K9="",K10=""),"",K9+K10)</f>
        <v/>
      </c>
      <c r="L11" s="3960">
        <f>IF(OR(L9="",L10=""),"",L9+L10)</f>
        <v/>
      </c>
      <c r="M11" s="3960">
        <f>IF(OR(M9="",M10=""),"",M9+M10)</f>
        <v/>
      </c>
      <c r="N11" s="3960">
        <f>IF(OR(N9="",N10=""),"",N9+N10)</f>
        <v/>
      </c>
      <c r="O11" s="3960">
        <f>IF(OR(O9="",O10=""),"",O9+O10)</f>
        <v/>
      </c>
      <c r="P11" s="3960">
        <f>IF(OR(P9="",P10=""),"",P9+P10)</f>
        <v/>
      </c>
      <c r="Q11" s="3960">
        <f>IF(OR(Q9="",Q10=""),"",Q9+Q10)</f>
        <v/>
      </c>
      <c r="R11" s="3960">
        <f>IF(OR(R9="",R10=""),"",R9+R10)</f>
        <v/>
      </c>
      <c r="S11" s="3960">
        <f>IF(OR(S9="",S10=""),"",S9+S10)</f>
        <v/>
      </c>
      <c r="T11" s="3960">
        <f>IF(OR(T9="",T10=""),"",T9+T10)</f>
        <v/>
      </c>
      <c r="U11" s="3960">
        <f>IF(OR(U9="",U10=""),"",U9+U10)</f>
        <v/>
      </c>
      <c r="V11" s="3960">
        <f>IF(OR(V9="",V10=""),"",V9+V10)</f>
        <v/>
      </c>
      <c r="W11" s="3960">
        <f>IF(OR(W9="",W10=""),"",W9+W10)</f>
        <v/>
      </c>
      <c r="X11" s="3960">
        <f>IF(OR(X9="",X10=""),"",X9+X10)</f>
        <v/>
      </c>
      <c r="Y11" s="3960">
        <f>IF(OR(Y9="",Y10=""),"",Y9+Y10)</f>
        <v/>
      </c>
      <c r="Z11" s="3960">
        <f>IF(OR(Z9="",Z10=""),"",Z9+Z10)</f>
        <v/>
      </c>
      <c r="AA11" s="3960">
        <f>IF(OR(AA9="",AA10=""),"",AA9+AA10)</f>
        <v/>
      </c>
      <c r="AB11" s="3960">
        <f>IF(OR(AB9="",AB10=""),"",AB9+AB10)</f>
        <v/>
      </c>
      <c r="AC11" s="3960">
        <f>IF(OR(AC9="",AC10=""),"",AC9+AC10)</f>
        <v/>
      </c>
      <c r="AD11" s="3960">
        <f>IF(OR(AD9="",AD10=""),"",AD9+AD10)</f>
        <v/>
      </c>
      <c r="AE11" s="3960">
        <f>IF(OR(AE9="",AE10=""),"",AE9+AE10)</f>
        <v/>
      </c>
      <c r="AF11" s="3960">
        <f>IF(OR(AF9="",AF10=""),"",AF9+AF10)</f>
        <v/>
      </c>
      <c r="AG11" s="3960">
        <f>IF(OR(AG9="",AG10=""),"",AG9+AG10)</f>
        <v/>
      </c>
      <c r="AH11" s="3960">
        <f>IF(OR(AH9="",AH10=""),"",AH9+AH10)</f>
        <v/>
      </c>
      <c r="AI11" s="3960">
        <f>IF(OR(AI9="",AI10=""),"",AI9+AI10)</f>
        <v/>
      </c>
      <c r="AJ11" s="3960">
        <f>IF(OR(AJ9="",AJ10=""),"",AJ9+AJ10)</f>
        <v/>
      </c>
      <c r="AK11" s="3960">
        <f>IF(OR(AK9="",AK10=""),"",AK9+AK10)</f>
        <v/>
      </c>
      <c r="AL11" s="3960">
        <f>IF(OR(AL9="",AL10=""),"",AL9+AL10)</f>
        <v/>
      </c>
      <c r="AM11" s="3960">
        <f>IF(OR(AM9="",AM10=""),"",AM9+AM10)</f>
        <v/>
      </c>
      <c r="AN11" s="3960">
        <f>IF(OR(AN9="",AN10=""),"",AN9+AN10)</f>
        <v/>
      </c>
      <c r="AO11" s="3960">
        <f>IF(OR(AO9="",AO10=""),"",AO9+AO10)</f>
        <v/>
      </c>
      <c r="AP11" s="3960">
        <f>IF(OR(AP9="",AP10=""),"",AP9+AP10)</f>
        <v/>
      </c>
      <c r="AQ11" s="3949">
        <f>IF(COUNT(G11:R11)=0,"",SUM(G11:R11))</f>
        <v/>
      </c>
      <c r="AR11" s="3949">
        <f>IF(COUNT(S11:AD11)=0,"",SUM(S11:AD11))</f>
        <v/>
      </c>
      <c r="AS11" s="3949">
        <f>IF(COUNT(AE11:AP11)=0,"",SUM(AE11:AP11))</f>
        <v/>
      </c>
    </row>
    <row r="12">
      <c r="A12" s="3959" t="inlineStr">
        <is>
          <t>IS_OPEX</t>
        </is>
      </c>
      <c r="B12" s="3959" t="inlineStr">
        <is>
          <t>Operating expenses</t>
        </is>
      </c>
      <c r="C12" s="3959" t="inlineStr"/>
      <c r="D12" s="3959" t="inlineStr">
        <is>
          <t>+</t>
        </is>
      </c>
      <c r="E12" s="3959" t="inlineStr">
        <is>
          <t>TB/Map</t>
        </is>
      </c>
      <c r="F12" s="3959" t="inlineStr"/>
      <c r="G12" s="3929" t="n"/>
      <c r="H12" s="3929" t="n"/>
      <c r="I12" s="3929" t="n"/>
      <c r="J12" s="3929" t="n"/>
      <c r="K12" s="3929" t="n"/>
      <c r="L12" s="3929" t="n"/>
      <c r="M12" s="3929" t="n"/>
      <c r="N12" s="3929" t="n"/>
      <c r="O12" s="3929" t="n"/>
      <c r="P12" s="3929" t="n"/>
      <c r="Q12" s="3929" t="n"/>
      <c r="R12" s="3929" t="n"/>
      <c r="S12" s="3929" t="n"/>
      <c r="T12" s="3929" t="n"/>
      <c r="U12" s="3929" t="n"/>
      <c r="V12" s="3929" t="n"/>
      <c r="W12" s="3929" t="n"/>
      <c r="X12" s="3929" t="n"/>
      <c r="Y12" s="3929" t="n"/>
      <c r="Z12" s="3929" t="n"/>
      <c r="AA12" s="3929" t="n"/>
      <c r="AB12" s="3929" t="n"/>
      <c r="AC12" s="3929" t="n"/>
      <c r="AD12" s="3929" t="n"/>
      <c r="AE12" s="3929" t="n"/>
      <c r="AF12" s="3929" t="n"/>
      <c r="AG12" s="3929" t="n"/>
      <c r="AH12" s="3929" t="n"/>
      <c r="AI12" s="3929" t="n"/>
      <c r="AJ12" s="3929" t="n"/>
      <c r="AK12" s="3929" t="n"/>
      <c r="AL12" s="3929" t="n"/>
      <c r="AM12" s="3929" t="n"/>
      <c r="AN12" s="3929" t="n"/>
      <c r="AO12" s="3929" t="n"/>
      <c r="AP12" s="3929" t="n"/>
      <c r="AQ12" s="3949">
        <f>IF(COUNT(G12:R12)=0,"",SUM(G12:R12))</f>
        <v/>
      </c>
      <c r="AR12" s="3949">
        <f>IF(COUNT(S12:AD12)=0,"",SUM(S12:AD12))</f>
        <v/>
      </c>
      <c r="AS12" s="3949">
        <f>IF(COUNT(AE12:AP12)=0,"",SUM(AE12:AP12))</f>
        <v/>
      </c>
    </row>
    <row r="13">
      <c r="A13" s="3959" t="inlineStr">
        <is>
          <t>IS_OPINC</t>
        </is>
      </c>
      <c r="B13" s="3959" t="inlineStr">
        <is>
          <t>Operating income</t>
        </is>
      </c>
      <c r="C13" s="3959" t="inlineStr"/>
      <c r="D13" s="3959" t="inlineStr">
        <is>
          <t>+</t>
        </is>
      </c>
      <c r="E13" s="3959" t="inlineStr">
        <is>
          <t>Formula</t>
        </is>
      </c>
      <c r="F13" s="3959" t="inlineStr">
        <is>
          <t>Derived</t>
        </is>
      </c>
      <c r="G13" s="3960">
        <f>IF(OR(G11="",G12=""),"",G11+G12)</f>
        <v/>
      </c>
      <c r="H13" s="3960">
        <f>IF(OR(H11="",H12=""),"",H11+H12)</f>
        <v/>
      </c>
      <c r="I13" s="3960">
        <f>IF(OR(I11="",I12=""),"",I11+I12)</f>
        <v/>
      </c>
      <c r="J13" s="3960">
        <f>IF(OR(J11="",J12=""),"",J11+J12)</f>
        <v/>
      </c>
      <c r="K13" s="3960">
        <f>IF(OR(K11="",K12=""),"",K11+K12)</f>
        <v/>
      </c>
      <c r="L13" s="3960">
        <f>IF(OR(L11="",L12=""),"",L11+L12)</f>
        <v/>
      </c>
      <c r="M13" s="3960">
        <f>IF(OR(M11="",M12=""),"",M11+M12)</f>
        <v/>
      </c>
      <c r="N13" s="3960">
        <f>IF(OR(N11="",N12=""),"",N11+N12)</f>
        <v/>
      </c>
      <c r="O13" s="3960">
        <f>IF(OR(O11="",O12=""),"",O11+O12)</f>
        <v/>
      </c>
      <c r="P13" s="3960">
        <f>IF(OR(P11="",P12=""),"",P11+P12)</f>
        <v/>
      </c>
      <c r="Q13" s="3960">
        <f>IF(OR(Q11="",Q12=""),"",Q11+Q12)</f>
        <v/>
      </c>
      <c r="R13" s="3960">
        <f>IF(OR(R11="",R12=""),"",R11+R12)</f>
        <v/>
      </c>
      <c r="S13" s="3960">
        <f>IF(OR(S11="",S12=""),"",S11+S12)</f>
        <v/>
      </c>
      <c r="T13" s="3960">
        <f>IF(OR(T11="",T12=""),"",T11+T12)</f>
        <v/>
      </c>
      <c r="U13" s="3960">
        <f>IF(OR(U11="",U12=""),"",U11+U12)</f>
        <v/>
      </c>
      <c r="V13" s="3960">
        <f>IF(OR(V11="",V12=""),"",V11+V12)</f>
        <v/>
      </c>
      <c r="W13" s="3960">
        <f>IF(OR(W11="",W12=""),"",W11+W12)</f>
        <v/>
      </c>
      <c r="X13" s="3960">
        <f>IF(OR(X11="",X12=""),"",X11+X12)</f>
        <v/>
      </c>
      <c r="Y13" s="3960">
        <f>IF(OR(Y11="",Y12=""),"",Y11+Y12)</f>
        <v/>
      </c>
      <c r="Z13" s="3960">
        <f>IF(OR(Z11="",Z12=""),"",Z11+Z12)</f>
        <v/>
      </c>
      <c r="AA13" s="3960">
        <f>IF(OR(AA11="",AA12=""),"",AA11+AA12)</f>
        <v/>
      </c>
      <c r="AB13" s="3960">
        <f>IF(OR(AB11="",AB12=""),"",AB11+AB12)</f>
        <v/>
      </c>
      <c r="AC13" s="3960">
        <f>IF(OR(AC11="",AC12=""),"",AC11+AC12)</f>
        <v/>
      </c>
      <c r="AD13" s="3960">
        <f>IF(OR(AD11="",AD12=""),"",AD11+AD12)</f>
        <v/>
      </c>
      <c r="AE13" s="3960">
        <f>IF(OR(AE11="",AE12=""),"",AE11+AE12)</f>
        <v/>
      </c>
      <c r="AF13" s="3960">
        <f>IF(OR(AF11="",AF12=""),"",AF11+AF12)</f>
        <v/>
      </c>
      <c r="AG13" s="3960">
        <f>IF(OR(AG11="",AG12=""),"",AG11+AG12)</f>
        <v/>
      </c>
      <c r="AH13" s="3960">
        <f>IF(OR(AH11="",AH12=""),"",AH11+AH12)</f>
        <v/>
      </c>
      <c r="AI13" s="3960">
        <f>IF(OR(AI11="",AI12=""),"",AI11+AI12)</f>
        <v/>
      </c>
      <c r="AJ13" s="3960">
        <f>IF(OR(AJ11="",AJ12=""),"",AJ11+AJ12)</f>
        <v/>
      </c>
      <c r="AK13" s="3960">
        <f>IF(OR(AK11="",AK12=""),"",AK11+AK12)</f>
        <v/>
      </c>
      <c r="AL13" s="3960">
        <f>IF(OR(AL11="",AL12=""),"",AL11+AL12)</f>
        <v/>
      </c>
      <c r="AM13" s="3960">
        <f>IF(OR(AM11="",AM12=""),"",AM11+AM12)</f>
        <v/>
      </c>
      <c r="AN13" s="3960">
        <f>IF(OR(AN11="",AN12=""),"",AN11+AN12)</f>
        <v/>
      </c>
      <c r="AO13" s="3960">
        <f>IF(OR(AO11="",AO12=""),"",AO11+AO12)</f>
        <v/>
      </c>
      <c r="AP13" s="3960">
        <f>IF(OR(AP11="",AP12=""),"",AP11+AP12)</f>
        <v/>
      </c>
      <c r="AQ13" s="3949">
        <f>IF(COUNT(G13:R13)=0,"",SUM(G13:R13))</f>
        <v/>
      </c>
      <c r="AR13" s="3949">
        <f>IF(COUNT(S13:AD13)=0,"",SUM(S13:AD13))</f>
        <v/>
      </c>
      <c r="AS13" s="3949">
        <f>IF(COUNT(AE13:AP13)=0,"",SUM(AE13:AP13))</f>
        <v/>
      </c>
    </row>
    <row r="14">
      <c r="A14" s="3959" t="inlineStr">
        <is>
          <t>IS_INT</t>
        </is>
      </c>
      <c r="B14" s="3959" t="inlineStr">
        <is>
          <t>Interest expense</t>
        </is>
      </c>
      <c r="C14" s="3959" t="inlineStr"/>
      <c r="D14" s="3959" t="inlineStr">
        <is>
          <t>+</t>
        </is>
      </c>
      <c r="E14" s="3959" t="inlineStr">
        <is>
          <t>TB/Map</t>
        </is>
      </c>
      <c r="F14" s="3959" t="inlineStr"/>
      <c r="G14" s="3929" t="n"/>
      <c r="H14" s="3929" t="n"/>
      <c r="I14" s="3929" t="n"/>
      <c r="J14" s="3929" t="n"/>
      <c r="K14" s="3929" t="n"/>
      <c r="L14" s="3929" t="n"/>
      <c r="M14" s="3929" t="n"/>
      <c r="N14" s="3929" t="n"/>
      <c r="O14" s="3929" t="n"/>
      <c r="P14" s="3929" t="n"/>
      <c r="Q14" s="3929" t="n"/>
      <c r="R14" s="3929" t="n"/>
      <c r="S14" s="3929" t="n"/>
      <c r="T14" s="3929" t="n"/>
      <c r="U14" s="3929" t="n"/>
      <c r="V14" s="3929" t="n"/>
      <c r="W14" s="3929" t="n"/>
      <c r="X14" s="3929" t="n"/>
      <c r="Y14" s="3929" t="n"/>
      <c r="Z14" s="3929" t="n"/>
      <c r="AA14" s="3929" t="n"/>
      <c r="AB14" s="3929" t="n"/>
      <c r="AC14" s="3929" t="n"/>
      <c r="AD14" s="3929" t="n"/>
      <c r="AE14" s="3929" t="n"/>
      <c r="AF14" s="3929" t="n"/>
      <c r="AG14" s="3929" t="n"/>
      <c r="AH14" s="3929" t="n"/>
      <c r="AI14" s="3929" t="n"/>
      <c r="AJ14" s="3929" t="n"/>
      <c r="AK14" s="3929" t="n"/>
      <c r="AL14" s="3929" t="n"/>
      <c r="AM14" s="3929" t="n"/>
      <c r="AN14" s="3929" t="n"/>
      <c r="AO14" s="3929" t="n"/>
      <c r="AP14" s="3929" t="n"/>
      <c r="AQ14" s="3949">
        <f>IF(COUNT(G14:R14)=0,"",SUM(G14:R14))</f>
        <v/>
      </c>
      <c r="AR14" s="3949">
        <f>IF(COUNT(S14:AD14)=0,"",SUM(S14:AD14))</f>
        <v/>
      </c>
      <c r="AS14" s="3949">
        <f>IF(COUNT(AE14:AP14)=0,"",SUM(AE14:AP14))</f>
        <v/>
      </c>
    </row>
    <row r="15">
      <c r="A15" s="3959" t="inlineStr">
        <is>
          <t>IS_TAX</t>
        </is>
      </c>
      <c r="B15" s="3959" t="inlineStr">
        <is>
          <t>Taxes</t>
        </is>
      </c>
      <c r="C15" s="3959" t="inlineStr"/>
      <c r="D15" s="3959" t="inlineStr">
        <is>
          <t>+</t>
        </is>
      </c>
      <c r="E15" s="3959" t="inlineStr">
        <is>
          <t>TB/Map</t>
        </is>
      </c>
      <c r="F15" s="3959" t="inlineStr"/>
      <c r="G15" s="3929" t="n"/>
      <c r="H15" s="3929" t="n"/>
      <c r="I15" s="3929" t="n"/>
      <c r="J15" s="3929" t="n"/>
      <c r="K15" s="3929" t="n"/>
      <c r="L15" s="3929" t="n"/>
      <c r="M15" s="3929" t="n"/>
      <c r="N15" s="3929" t="n"/>
      <c r="O15" s="3929" t="n"/>
      <c r="P15" s="3929" t="n"/>
      <c r="Q15" s="3929" t="n"/>
      <c r="R15" s="3929" t="n"/>
      <c r="S15" s="3929" t="n"/>
      <c r="T15" s="3929" t="n"/>
      <c r="U15" s="3929" t="n"/>
      <c r="V15" s="3929" t="n"/>
      <c r="W15" s="3929" t="n"/>
      <c r="X15" s="3929" t="n"/>
      <c r="Y15" s="3929" t="n"/>
      <c r="Z15" s="3929" t="n"/>
      <c r="AA15" s="3929" t="n"/>
      <c r="AB15" s="3929" t="n"/>
      <c r="AC15" s="3929" t="n"/>
      <c r="AD15" s="3929" t="n"/>
      <c r="AE15" s="3929" t="n"/>
      <c r="AF15" s="3929" t="n"/>
      <c r="AG15" s="3929" t="n"/>
      <c r="AH15" s="3929" t="n"/>
      <c r="AI15" s="3929" t="n"/>
      <c r="AJ15" s="3929" t="n"/>
      <c r="AK15" s="3929" t="n"/>
      <c r="AL15" s="3929" t="n"/>
      <c r="AM15" s="3929" t="n"/>
      <c r="AN15" s="3929" t="n"/>
      <c r="AO15" s="3929" t="n"/>
      <c r="AP15" s="3929" t="n"/>
      <c r="AQ15" s="3949">
        <f>IF(COUNT(G15:R15)=0,"",SUM(G15:R15))</f>
        <v/>
      </c>
      <c r="AR15" s="3949">
        <f>IF(COUNT(S15:AD15)=0,"",SUM(S15:AD15))</f>
        <v/>
      </c>
      <c r="AS15" s="3949">
        <f>IF(COUNT(AE15:AP15)=0,"",SUM(AE15:AP15))</f>
        <v/>
      </c>
    </row>
    <row r="16">
      <c r="A16" s="3959" t="inlineStr">
        <is>
          <t>IS_NI</t>
        </is>
      </c>
      <c r="B16" s="3959" t="inlineStr">
        <is>
          <t>Net income</t>
        </is>
      </c>
      <c r="C16" s="3959" t="inlineStr"/>
      <c r="D16" s="3959" t="inlineStr">
        <is>
          <t>+</t>
        </is>
      </c>
      <c r="E16" s="3959" t="inlineStr">
        <is>
          <t>Formula</t>
        </is>
      </c>
      <c r="F16" s="3959" t="inlineStr">
        <is>
          <t>Main total</t>
        </is>
      </c>
      <c r="G16" s="3960">
        <f>IF(OR(G13="",G14="",G15=""),"",G13+G14+G15)</f>
        <v/>
      </c>
      <c r="H16" s="3960">
        <f>IF(OR(H13="",H14="",H15=""),"",H13+H14+H15)</f>
        <v/>
      </c>
      <c r="I16" s="3960">
        <f>IF(OR(I13="",I14="",I15=""),"",I13+I14+I15)</f>
        <v/>
      </c>
      <c r="J16" s="3960">
        <f>IF(OR(J13="",J14="",J15=""),"",J13+J14+J15)</f>
        <v/>
      </c>
      <c r="K16" s="3960">
        <f>IF(OR(K13="",K14="",K15=""),"",K13+K14+K15)</f>
        <v/>
      </c>
      <c r="L16" s="3960">
        <f>IF(OR(L13="",L14="",L15=""),"",L13+L14+L15)</f>
        <v/>
      </c>
      <c r="M16" s="3960">
        <f>IF(OR(M13="",M14="",M15=""),"",M13+M14+M15)</f>
        <v/>
      </c>
      <c r="N16" s="3960">
        <f>IF(OR(N13="",N14="",N15=""),"",N13+N14+N15)</f>
        <v/>
      </c>
      <c r="O16" s="3960">
        <f>IF(OR(O13="",O14="",O15=""),"",O13+O14+O15)</f>
        <v/>
      </c>
      <c r="P16" s="3960">
        <f>IF(OR(P13="",P14="",P15=""),"",P13+P14+P15)</f>
        <v/>
      </c>
      <c r="Q16" s="3960">
        <f>IF(OR(Q13="",Q14="",Q15=""),"",Q13+Q14+Q15)</f>
        <v/>
      </c>
      <c r="R16" s="3960">
        <f>IF(OR(R13="",R14="",R15=""),"",R13+R14+R15)</f>
        <v/>
      </c>
      <c r="S16" s="3960">
        <f>IF(OR(S13="",S14="",S15=""),"",S13+S14+S15)</f>
        <v/>
      </c>
      <c r="T16" s="3960">
        <f>IF(OR(T13="",T14="",T15=""),"",T13+T14+T15)</f>
        <v/>
      </c>
      <c r="U16" s="3960">
        <f>IF(OR(U13="",U14="",U15=""),"",U13+U14+U15)</f>
        <v/>
      </c>
      <c r="V16" s="3960">
        <f>IF(OR(V13="",V14="",V15=""),"",V13+V14+V15)</f>
        <v/>
      </c>
      <c r="W16" s="3960">
        <f>IF(OR(W13="",W14="",W15=""),"",W13+W14+W15)</f>
        <v/>
      </c>
      <c r="X16" s="3960">
        <f>IF(OR(X13="",X14="",X15=""),"",X13+X14+X15)</f>
        <v/>
      </c>
      <c r="Y16" s="3960">
        <f>IF(OR(Y13="",Y14="",Y15=""),"",Y13+Y14+Y15)</f>
        <v/>
      </c>
      <c r="Z16" s="3960">
        <f>IF(OR(Z13="",Z14="",Z15=""),"",Z13+Z14+Z15)</f>
        <v/>
      </c>
      <c r="AA16" s="3960">
        <f>IF(OR(AA13="",AA14="",AA15=""),"",AA13+AA14+AA15)</f>
        <v/>
      </c>
      <c r="AB16" s="3960">
        <f>IF(OR(AB13="",AB14="",AB15=""),"",AB13+AB14+AB15)</f>
        <v/>
      </c>
      <c r="AC16" s="3960">
        <f>IF(OR(AC13="",AC14="",AC15=""),"",AC13+AC14+AC15)</f>
        <v/>
      </c>
      <c r="AD16" s="3960">
        <f>IF(OR(AD13="",AD14="",AD15=""),"",AD13+AD14+AD15)</f>
        <v/>
      </c>
      <c r="AE16" s="3960">
        <f>IF(OR(AE13="",AE14="",AE15=""),"",AE13+AE14+AE15)</f>
        <v/>
      </c>
      <c r="AF16" s="3960">
        <f>IF(OR(AF13="",AF14="",AF15=""),"",AF13+AF14+AF15)</f>
        <v/>
      </c>
      <c r="AG16" s="3960">
        <f>IF(OR(AG13="",AG14="",AG15=""),"",AG13+AG14+AG15)</f>
        <v/>
      </c>
      <c r="AH16" s="3960">
        <f>IF(OR(AH13="",AH14="",AH15=""),"",AH13+AH14+AH15)</f>
        <v/>
      </c>
      <c r="AI16" s="3960">
        <f>IF(OR(AI13="",AI14="",AI15=""),"",AI13+AI14+AI15)</f>
        <v/>
      </c>
      <c r="AJ16" s="3960">
        <f>IF(OR(AJ13="",AJ14="",AJ15=""),"",AJ13+AJ14+AJ15)</f>
        <v/>
      </c>
      <c r="AK16" s="3960">
        <f>IF(OR(AK13="",AK14="",AK15=""),"",AK13+AK14+AK15)</f>
        <v/>
      </c>
      <c r="AL16" s="3960">
        <f>IF(OR(AL13="",AL14="",AL15=""),"",AL13+AL14+AL15)</f>
        <v/>
      </c>
      <c r="AM16" s="3960">
        <f>IF(OR(AM13="",AM14="",AM15=""),"",AM13+AM14+AM15)</f>
        <v/>
      </c>
      <c r="AN16" s="3960">
        <f>IF(OR(AN13="",AN14="",AN15=""),"",AN13+AN14+AN15)</f>
        <v/>
      </c>
      <c r="AO16" s="3960">
        <f>IF(OR(AO13="",AO14="",AO15=""),"",AO13+AO14+AO15)</f>
        <v/>
      </c>
      <c r="AP16" s="3960">
        <f>IF(OR(AP13="",AP14="",AP15=""),"",AP13+AP14+AP15)</f>
        <v/>
      </c>
      <c r="AQ16" s="3949">
        <f>IF(COUNT(G16:R16)=0,"",SUM(G16:R16))</f>
        <v/>
      </c>
      <c r="AR16" s="3949">
        <f>IF(COUNT(S16:AD16)=0,"",SUM(S16:AD16))</f>
        <v/>
      </c>
      <c r="AS16" s="3949">
        <f>IF(COUNT(AE16:AP16)=0,"",SUM(AE16:AP16))</f>
        <v/>
      </c>
    </row>
    <row r="17">
      <c r="A17" s="3959" t="inlineStr">
        <is>
          <t>IS_ADD_DA</t>
        </is>
      </c>
      <c r="B17" s="3959" t="inlineStr">
        <is>
          <t>Add back: Depreciation &amp; amortization</t>
        </is>
      </c>
      <c r="C17" s="3959" t="inlineStr"/>
      <c r="D17" s="3959" t="inlineStr">
        <is>
          <t>+</t>
        </is>
      </c>
      <c r="E17" s="3959" t="inlineStr">
        <is>
          <t>TB/Map</t>
        </is>
      </c>
      <c r="F17" s="3959" t="inlineStr"/>
      <c r="G17" s="3929" t="n"/>
      <c r="H17" s="3929" t="n"/>
      <c r="I17" s="3929" t="n"/>
      <c r="J17" s="3929" t="n"/>
      <c r="K17" s="3929" t="n"/>
      <c r="L17" s="3929" t="n"/>
      <c r="M17" s="3929" t="n"/>
      <c r="N17" s="3929" t="n"/>
      <c r="O17" s="3929" t="n"/>
      <c r="P17" s="3929" t="n"/>
      <c r="Q17" s="3929" t="n"/>
      <c r="R17" s="3929" t="n"/>
      <c r="S17" s="3929" t="n"/>
      <c r="T17" s="3929" t="n"/>
      <c r="U17" s="3929" t="n"/>
      <c r="V17" s="3929" t="n"/>
      <c r="W17" s="3929" t="n"/>
      <c r="X17" s="3929" t="n"/>
      <c r="Y17" s="3929" t="n"/>
      <c r="Z17" s="3929" t="n"/>
      <c r="AA17" s="3929" t="n"/>
      <c r="AB17" s="3929" t="n"/>
      <c r="AC17" s="3929" t="n"/>
      <c r="AD17" s="3929" t="n"/>
      <c r="AE17" s="3929" t="n"/>
      <c r="AF17" s="3929" t="n"/>
      <c r="AG17" s="3929" t="n"/>
      <c r="AH17" s="3929" t="n"/>
      <c r="AI17" s="3929" t="n"/>
      <c r="AJ17" s="3929" t="n"/>
      <c r="AK17" s="3929" t="n"/>
      <c r="AL17" s="3929" t="n"/>
      <c r="AM17" s="3929" t="n"/>
      <c r="AN17" s="3929" t="n"/>
      <c r="AO17" s="3929" t="n"/>
      <c r="AP17" s="3929" t="n"/>
      <c r="AQ17" s="3949">
        <f>IF(COUNT(G17:R17)=0,"",SUM(G17:R17))</f>
        <v/>
      </c>
      <c r="AR17" s="3949">
        <f>IF(COUNT(S17:AD17)=0,"",SUM(S17:AD17))</f>
        <v/>
      </c>
      <c r="AS17" s="3949">
        <f>IF(COUNT(AE17:AP17)=0,"",SUM(AE17:AP17))</f>
        <v/>
      </c>
    </row>
    <row r="18">
      <c r="A18" s="3959" t="inlineStr">
        <is>
          <t>IS_ADD_INT</t>
        </is>
      </c>
      <c r="B18" s="3959" t="inlineStr">
        <is>
          <t>Add back: Interest</t>
        </is>
      </c>
      <c r="C18" s="3959" t="inlineStr"/>
      <c r="D18" s="3959" t="inlineStr">
        <is>
          <t>+</t>
        </is>
      </c>
      <c r="E18" s="3959" t="inlineStr">
        <is>
          <t>TB/Map</t>
        </is>
      </c>
      <c r="F18" s="3959" t="inlineStr"/>
      <c r="G18" s="3929" t="n"/>
      <c r="H18" s="3929" t="n"/>
      <c r="I18" s="3929" t="n"/>
      <c r="J18" s="3929" t="n"/>
      <c r="K18" s="3929" t="n"/>
      <c r="L18" s="3929" t="n"/>
      <c r="M18" s="3929" t="n"/>
      <c r="N18" s="3929" t="n"/>
      <c r="O18" s="3929" t="n"/>
      <c r="P18" s="3929" t="n"/>
      <c r="Q18" s="3929" t="n"/>
      <c r="R18" s="3929" t="n"/>
      <c r="S18" s="3929" t="n"/>
      <c r="T18" s="3929" t="n"/>
      <c r="U18" s="3929" t="n"/>
      <c r="V18" s="3929" t="n"/>
      <c r="W18" s="3929" t="n"/>
      <c r="X18" s="3929" t="n"/>
      <c r="Y18" s="3929" t="n"/>
      <c r="Z18" s="3929" t="n"/>
      <c r="AA18" s="3929" t="n"/>
      <c r="AB18" s="3929" t="n"/>
      <c r="AC18" s="3929" t="n"/>
      <c r="AD18" s="3929" t="n"/>
      <c r="AE18" s="3929" t="n"/>
      <c r="AF18" s="3929" t="n"/>
      <c r="AG18" s="3929" t="n"/>
      <c r="AH18" s="3929" t="n"/>
      <c r="AI18" s="3929" t="n"/>
      <c r="AJ18" s="3929" t="n"/>
      <c r="AK18" s="3929" t="n"/>
      <c r="AL18" s="3929" t="n"/>
      <c r="AM18" s="3929" t="n"/>
      <c r="AN18" s="3929" t="n"/>
      <c r="AO18" s="3929" t="n"/>
      <c r="AP18" s="3929" t="n"/>
      <c r="AQ18" s="3949">
        <f>IF(COUNT(G18:R18)=0,"",SUM(G18:R18))</f>
        <v/>
      </c>
      <c r="AR18" s="3949">
        <f>IF(COUNT(S18:AD18)=0,"",SUM(S18:AD18))</f>
        <v/>
      </c>
      <c r="AS18" s="3949">
        <f>IF(COUNT(AE18:AP18)=0,"",SUM(AE18:AP18))</f>
        <v/>
      </c>
    </row>
    <row r="19">
      <c r="A19" s="3959" t="inlineStr">
        <is>
          <t>IS_ADD_TAX</t>
        </is>
      </c>
      <c r="B19" s="3959" t="inlineStr">
        <is>
          <t>Add back: Taxes</t>
        </is>
      </c>
      <c r="C19" s="3959" t="inlineStr"/>
      <c r="D19" s="3959" t="inlineStr">
        <is>
          <t>+</t>
        </is>
      </c>
      <c r="E19" s="3959" t="inlineStr">
        <is>
          <t>TB/Map</t>
        </is>
      </c>
      <c r="F19" s="3959" t="inlineStr"/>
      <c r="G19" s="3929" t="n"/>
      <c r="H19" s="3929" t="n"/>
      <c r="I19" s="3929" t="n"/>
      <c r="J19" s="3929" t="n"/>
      <c r="K19" s="3929" t="n"/>
      <c r="L19" s="3929" t="n"/>
      <c r="M19" s="3929" t="n"/>
      <c r="N19" s="3929" t="n"/>
      <c r="O19" s="3929" t="n"/>
      <c r="P19" s="3929" t="n"/>
      <c r="Q19" s="3929" t="n"/>
      <c r="R19" s="3929" t="n"/>
      <c r="S19" s="3929" t="n"/>
      <c r="T19" s="3929" t="n"/>
      <c r="U19" s="3929" t="n"/>
      <c r="V19" s="3929" t="n"/>
      <c r="W19" s="3929" t="n"/>
      <c r="X19" s="3929" t="n"/>
      <c r="Y19" s="3929" t="n"/>
      <c r="Z19" s="3929" t="n"/>
      <c r="AA19" s="3929" t="n"/>
      <c r="AB19" s="3929" t="n"/>
      <c r="AC19" s="3929" t="n"/>
      <c r="AD19" s="3929" t="n"/>
      <c r="AE19" s="3929" t="n"/>
      <c r="AF19" s="3929" t="n"/>
      <c r="AG19" s="3929" t="n"/>
      <c r="AH19" s="3929" t="n"/>
      <c r="AI19" s="3929" t="n"/>
      <c r="AJ19" s="3929" t="n"/>
      <c r="AK19" s="3929" t="n"/>
      <c r="AL19" s="3929" t="n"/>
      <c r="AM19" s="3929" t="n"/>
      <c r="AN19" s="3929" t="n"/>
      <c r="AO19" s="3929" t="n"/>
      <c r="AP19" s="3929" t="n"/>
      <c r="AQ19" s="3949">
        <f>IF(COUNT(G19:R19)=0,"",SUM(G19:R19))</f>
        <v/>
      </c>
      <c r="AR19" s="3949">
        <f>IF(COUNT(S19:AD19)=0,"",SUM(S19:AD19))</f>
        <v/>
      </c>
      <c r="AS19" s="3949">
        <f>IF(COUNT(AE19:AP19)=0,"",SUM(AE19:AP19))</f>
        <v/>
      </c>
    </row>
    <row r="20">
      <c r="A20" s="3959" t="inlineStr">
        <is>
          <t>IS_EBITDA</t>
        </is>
      </c>
      <c r="B20" s="3959" t="inlineStr">
        <is>
          <t>EBITDA</t>
        </is>
      </c>
      <c r="C20" s="3959" t="inlineStr"/>
      <c r="D20" s="3959" t="inlineStr">
        <is>
          <t>+</t>
        </is>
      </c>
      <c r="E20" s="3959" t="inlineStr">
        <is>
          <t>Formula</t>
        </is>
      </c>
      <c r="F20" s="3959" t="inlineStr">
        <is>
          <t>Secondary total</t>
        </is>
      </c>
      <c r="G20" s="3960">
        <f>IF(OR(G16="",G17="",G18="",G19=""),"",G16+G17+G18+G19)</f>
        <v/>
      </c>
      <c r="H20" s="3960">
        <f>IF(OR(H16="",H17="",H18="",H19=""),"",H16+H17+H18+H19)</f>
        <v/>
      </c>
      <c r="I20" s="3960">
        <f>IF(OR(I16="",I17="",I18="",I19=""),"",I16+I17+I18+I19)</f>
        <v/>
      </c>
      <c r="J20" s="3960">
        <f>IF(OR(J16="",J17="",J18="",J19=""),"",J16+J17+J18+J19)</f>
        <v/>
      </c>
      <c r="K20" s="3960">
        <f>IF(OR(K16="",K17="",K18="",K19=""),"",K16+K17+K18+K19)</f>
        <v/>
      </c>
      <c r="L20" s="3960">
        <f>IF(OR(L16="",L17="",L18="",L19=""),"",L16+L17+L18+L19)</f>
        <v/>
      </c>
      <c r="M20" s="3960">
        <f>IF(OR(M16="",M17="",M18="",M19=""),"",M16+M17+M18+M19)</f>
        <v/>
      </c>
      <c r="N20" s="3960">
        <f>IF(OR(N16="",N17="",N18="",N19=""),"",N16+N17+N18+N19)</f>
        <v/>
      </c>
      <c r="O20" s="3960">
        <f>IF(OR(O16="",O17="",O18="",O19=""),"",O16+O17+O18+O19)</f>
        <v/>
      </c>
      <c r="P20" s="3960">
        <f>IF(OR(P16="",P17="",P18="",P19=""),"",P16+P17+P18+P19)</f>
        <v/>
      </c>
      <c r="Q20" s="3960">
        <f>IF(OR(Q16="",Q17="",Q18="",Q19=""),"",Q16+Q17+Q18+Q19)</f>
        <v/>
      </c>
      <c r="R20" s="3960">
        <f>IF(OR(R16="",R17="",R18="",R19=""),"",R16+R17+R18+R19)</f>
        <v/>
      </c>
      <c r="S20" s="3960">
        <f>IF(OR(S16="",S17="",S18="",S19=""),"",S16+S17+S18+S19)</f>
        <v/>
      </c>
      <c r="T20" s="3960">
        <f>IF(OR(T16="",T17="",T18="",T19=""),"",T16+T17+T18+T19)</f>
        <v/>
      </c>
      <c r="U20" s="3960">
        <f>IF(OR(U16="",U17="",U18="",U19=""),"",U16+U17+U18+U19)</f>
        <v/>
      </c>
      <c r="V20" s="3960">
        <f>IF(OR(V16="",V17="",V18="",V19=""),"",V16+V17+V18+V19)</f>
        <v/>
      </c>
      <c r="W20" s="3960">
        <f>IF(OR(W16="",W17="",W18="",W19=""),"",W16+W17+W18+W19)</f>
        <v/>
      </c>
      <c r="X20" s="3960">
        <f>IF(OR(X16="",X17="",X18="",X19=""),"",X16+X17+X18+X19)</f>
        <v/>
      </c>
      <c r="Y20" s="3960">
        <f>IF(OR(Y16="",Y17="",Y18="",Y19=""),"",Y16+Y17+Y18+Y19)</f>
        <v/>
      </c>
      <c r="Z20" s="3960">
        <f>IF(OR(Z16="",Z17="",Z18="",Z19=""),"",Z16+Z17+Z18+Z19)</f>
        <v/>
      </c>
      <c r="AA20" s="3960">
        <f>IF(OR(AA16="",AA17="",AA18="",AA19=""),"",AA16+AA17+AA18+AA19)</f>
        <v/>
      </c>
      <c r="AB20" s="3960">
        <f>IF(OR(AB16="",AB17="",AB18="",AB19=""),"",AB16+AB17+AB18+AB19)</f>
        <v/>
      </c>
      <c r="AC20" s="3960">
        <f>IF(OR(AC16="",AC17="",AC18="",AC19=""),"",AC16+AC17+AC18+AC19)</f>
        <v/>
      </c>
      <c r="AD20" s="3960">
        <f>IF(OR(AD16="",AD17="",AD18="",AD19=""),"",AD16+AD17+AD18+AD19)</f>
        <v/>
      </c>
      <c r="AE20" s="3960">
        <f>IF(OR(AE16="",AE17="",AE18="",AE19=""),"",AE16+AE17+AE18+AE19)</f>
        <v/>
      </c>
      <c r="AF20" s="3960">
        <f>IF(OR(AF16="",AF17="",AF18="",AF19=""),"",AF16+AF17+AF18+AF19)</f>
        <v/>
      </c>
      <c r="AG20" s="3960">
        <f>IF(OR(AG16="",AG17="",AG18="",AG19=""),"",AG16+AG17+AG18+AG19)</f>
        <v/>
      </c>
      <c r="AH20" s="3960">
        <f>IF(OR(AH16="",AH17="",AH18="",AH19=""),"",AH16+AH17+AH18+AH19)</f>
        <v/>
      </c>
      <c r="AI20" s="3960">
        <f>IF(OR(AI16="",AI17="",AI18="",AI19=""),"",AI16+AI17+AI18+AI19)</f>
        <v/>
      </c>
      <c r="AJ20" s="3960">
        <f>IF(OR(AJ16="",AJ17="",AJ18="",AJ19=""),"",AJ16+AJ17+AJ18+AJ19)</f>
        <v/>
      </c>
      <c r="AK20" s="3960">
        <f>IF(OR(AK16="",AK17="",AK18="",AK19=""),"",AK16+AK17+AK18+AK19)</f>
        <v/>
      </c>
      <c r="AL20" s="3960">
        <f>IF(OR(AL16="",AL17="",AL18="",AL19=""),"",AL16+AL17+AL18+AL19)</f>
        <v/>
      </c>
      <c r="AM20" s="3960">
        <f>IF(OR(AM16="",AM17="",AM18="",AM19=""),"",AM16+AM17+AM18+AM19)</f>
        <v/>
      </c>
      <c r="AN20" s="3960">
        <f>IF(OR(AN16="",AN17="",AN18="",AN19=""),"",AN16+AN17+AN18+AN19)</f>
        <v/>
      </c>
      <c r="AO20" s="3960">
        <f>IF(OR(AO16="",AO17="",AO18="",AO19=""),"",AO16+AO17+AO18+AO19)</f>
        <v/>
      </c>
      <c r="AP20" s="3960">
        <f>IF(OR(AP16="",AP17="",AP18="",AP19=""),"",AP16+AP17+AP18+AP19)</f>
        <v/>
      </c>
      <c r="AQ20" s="3949">
        <f>IF(COUNT(G20:R20)=0,"",SUM(G20:R20))</f>
        <v/>
      </c>
      <c r="AR20" s="3949">
        <f>IF(COUNT(S20:AD20)=0,"",SUM(S20:AD20))</f>
        <v/>
      </c>
      <c r="AS20" s="3949">
        <f>IF(COUNT(AE20:AP20)=0,"",SUM(AE20:AP20))</f>
        <v/>
      </c>
    </row>
    <row r="21">
      <c r="A21" s="3959" t="n"/>
      <c r="B21" s="3959" t="n"/>
      <c r="C21" s="3959" t="n"/>
      <c r="D21" s="3959" t="n"/>
      <c r="E21" s="3959" t="n"/>
      <c r="F21" s="3959" t="n"/>
      <c r="G21" s="3960" t="n"/>
      <c r="H21" s="3960" t="n"/>
      <c r="I21" s="3960" t="n"/>
      <c r="J21" s="3960" t="n"/>
      <c r="K21" s="3960" t="n"/>
      <c r="L21" s="3960" t="n"/>
      <c r="M21" s="3960" t="n"/>
      <c r="N21" s="3960" t="n"/>
      <c r="O21" s="3960" t="n"/>
      <c r="P21" s="3960" t="n"/>
      <c r="Q21" s="3960" t="n"/>
      <c r="R21" s="3960" t="n"/>
      <c r="S21" s="3960" t="n"/>
      <c r="T21" s="3960" t="n"/>
      <c r="U21" s="3960" t="n"/>
      <c r="V21" s="3960" t="n"/>
      <c r="W21" s="3960" t="n"/>
      <c r="X21" s="3960" t="n"/>
      <c r="Y21" s="3960" t="n"/>
      <c r="Z21" s="3960" t="n"/>
      <c r="AA21" s="3960" t="n"/>
      <c r="AB21" s="3960" t="n"/>
      <c r="AC21" s="3960" t="n"/>
      <c r="AD21" s="3960" t="n"/>
      <c r="AE21" s="3960" t="n"/>
      <c r="AF21" s="3960" t="n"/>
      <c r="AG21" s="3960" t="n"/>
      <c r="AH21" s="3960" t="n"/>
      <c r="AI21" s="3960" t="n"/>
      <c r="AJ21" s="3960" t="n"/>
      <c r="AK21" s="3960" t="n"/>
      <c r="AL21" s="3960" t="n"/>
      <c r="AM21" s="3960" t="n"/>
      <c r="AN21" s="3960" t="n"/>
      <c r="AO21" s="3960" t="n"/>
      <c r="AP21" s="3960" t="n"/>
      <c r="AQ21" s="3960" t="n"/>
      <c r="AR21" s="3960" t="n"/>
      <c r="AS21" s="3960" t="n"/>
    </row>
    <row r="22">
      <c r="A22" s="3959" t="n"/>
      <c r="B22" s="3959" t="n"/>
      <c r="C22" s="3959" t="n"/>
      <c r="D22" s="3959" t="n"/>
      <c r="E22" s="3959" t="n"/>
      <c r="F22" s="3959" t="n"/>
      <c r="G22" s="3960" t="n"/>
      <c r="H22" s="3960" t="n"/>
      <c r="I22" s="3960" t="n"/>
      <c r="J22" s="3960" t="n"/>
      <c r="K22" s="3960" t="n"/>
      <c r="L22" s="3960" t="n"/>
      <c r="M22" s="3960" t="n"/>
      <c r="N22" s="3960" t="n"/>
      <c r="O22" s="3960" t="n"/>
      <c r="P22" s="3960" t="n"/>
      <c r="Q22" s="3960" t="n"/>
      <c r="R22" s="3960" t="n"/>
      <c r="S22" s="3960" t="n"/>
      <c r="T22" s="3960" t="n"/>
      <c r="U22" s="3960" t="n"/>
      <c r="V22" s="3960" t="n"/>
      <c r="W22" s="3960" t="n"/>
      <c r="X22" s="3960" t="n"/>
      <c r="Y22" s="3960" t="n"/>
      <c r="Z22" s="3960" t="n"/>
      <c r="AA22" s="3960" t="n"/>
      <c r="AB22" s="3960" t="n"/>
      <c r="AC22" s="3960" t="n"/>
      <c r="AD22" s="3960" t="n"/>
      <c r="AE22" s="3960" t="n"/>
      <c r="AF22" s="3960" t="n"/>
      <c r="AG22" s="3960" t="n"/>
      <c r="AH22" s="3960" t="n"/>
      <c r="AI22" s="3960" t="n"/>
      <c r="AJ22" s="3960" t="n"/>
      <c r="AK22" s="3960" t="n"/>
      <c r="AL22" s="3960" t="n"/>
      <c r="AM22" s="3960" t="n"/>
      <c r="AN22" s="3960" t="n"/>
      <c r="AO22" s="3960" t="n"/>
      <c r="AP22" s="3960" t="n"/>
      <c r="AQ22" s="3960" t="n"/>
      <c r="AR22" s="3960" t="n"/>
      <c r="AS22" s="3960" t="n"/>
    </row>
    <row r="23">
      <c r="A23" s="3959" t="n"/>
      <c r="B23" s="3959" t="n"/>
      <c r="C23" s="3959" t="n"/>
      <c r="D23" s="3959" t="n"/>
      <c r="E23" s="3959" t="n"/>
      <c r="F23" s="3959" t="n"/>
      <c r="G23" s="3960" t="n"/>
      <c r="H23" s="3960" t="n"/>
      <c r="I23" s="3960" t="n"/>
      <c r="J23" s="3960" t="n"/>
      <c r="K23" s="3960" t="n"/>
      <c r="L23" s="3960" t="n"/>
      <c r="M23" s="3960" t="n"/>
      <c r="N23" s="3960" t="n"/>
      <c r="O23" s="3960" t="n"/>
      <c r="P23" s="3960" t="n"/>
      <c r="Q23" s="3960" t="n"/>
      <c r="R23" s="3960" t="n"/>
      <c r="S23" s="3960" t="n"/>
      <c r="T23" s="3960" t="n"/>
      <c r="U23" s="3960" t="n"/>
      <c r="V23" s="3960" t="n"/>
      <c r="W23" s="3960" t="n"/>
      <c r="X23" s="3960" t="n"/>
      <c r="Y23" s="3960" t="n"/>
      <c r="Z23" s="3960" t="n"/>
      <c r="AA23" s="3960" t="n"/>
      <c r="AB23" s="3960" t="n"/>
      <c r="AC23" s="3960" t="n"/>
      <c r="AD23" s="3960" t="n"/>
      <c r="AE23" s="3960" t="n"/>
      <c r="AF23" s="3960" t="n"/>
      <c r="AG23" s="3960" t="n"/>
      <c r="AH23" s="3960" t="n"/>
      <c r="AI23" s="3960" t="n"/>
      <c r="AJ23" s="3960" t="n"/>
      <c r="AK23" s="3960" t="n"/>
      <c r="AL23" s="3960" t="n"/>
      <c r="AM23" s="3960" t="n"/>
      <c r="AN23" s="3960" t="n"/>
      <c r="AO23" s="3960" t="n"/>
      <c r="AP23" s="3960" t="n"/>
      <c r="AQ23" s="3960" t="n"/>
      <c r="AR23" s="3960" t="n"/>
      <c r="AS23" s="3960" t="n"/>
    </row>
    <row r="24">
      <c r="A24" s="3959" t="n"/>
      <c r="B24" s="3959" t="n"/>
      <c r="C24" s="3959" t="n"/>
      <c r="D24" s="3959" t="n"/>
      <c r="E24" s="3959" t="n"/>
      <c r="F24" s="3959" t="n"/>
      <c r="G24" s="3960" t="n"/>
      <c r="H24" s="3960" t="n"/>
      <c r="I24" s="3960" t="n"/>
      <c r="J24" s="3960" t="n"/>
      <c r="K24" s="3960" t="n"/>
      <c r="L24" s="3960" t="n"/>
      <c r="M24" s="3960" t="n"/>
      <c r="N24" s="3960" t="n"/>
      <c r="O24" s="3960" t="n"/>
      <c r="P24" s="3960" t="n"/>
      <c r="Q24" s="3960" t="n"/>
      <c r="R24" s="3960" t="n"/>
      <c r="S24" s="3960" t="n"/>
      <c r="T24" s="3960" t="n"/>
      <c r="U24" s="3960" t="n"/>
      <c r="V24" s="3960" t="n"/>
      <c r="W24" s="3960" t="n"/>
      <c r="X24" s="3960" t="n"/>
      <c r="Y24" s="3960" t="n"/>
      <c r="Z24" s="3960" t="n"/>
      <c r="AA24" s="3960" t="n"/>
      <c r="AB24" s="3960" t="n"/>
      <c r="AC24" s="3960" t="n"/>
      <c r="AD24" s="3960" t="n"/>
      <c r="AE24" s="3960" t="n"/>
      <c r="AF24" s="3960" t="n"/>
      <c r="AG24" s="3960" t="n"/>
      <c r="AH24" s="3960" t="n"/>
      <c r="AI24" s="3960" t="n"/>
      <c r="AJ24" s="3960" t="n"/>
      <c r="AK24" s="3960" t="n"/>
      <c r="AL24" s="3960" t="n"/>
      <c r="AM24" s="3960" t="n"/>
      <c r="AN24" s="3960" t="n"/>
      <c r="AO24" s="3960" t="n"/>
      <c r="AP24" s="3960" t="n"/>
      <c r="AQ24" s="3960" t="n"/>
      <c r="AR24" s="3960" t="n"/>
      <c r="AS24" s="3960" t="n"/>
    </row>
    <row r="25">
      <c r="A25" s="3959" t="n"/>
      <c r="B25" s="3959" t="n"/>
      <c r="C25" s="3959" t="n"/>
      <c r="D25" s="3959" t="n"/>
      <c r="E25" s="3959" t="n"/>
      <c r="F25" s="3959" t="n"/>
      <c r="G25" s="3960" t="n"/>
      <c r="H25" s="3960" t="n"/>
      <c r="I25" s="3960" t="n"/>
      <c r="J25" s="3960" t="n"/>
      <c r="K25" s="3960" t="n"/>
      <c r="L25" s="3960" t="n"/>
      <c r="M25" s="3960" t="n"/>
      <c r="N25" s="3960" t="n"/>
      <c r="O25" s="3960" t="n"/>
      <c r="P25" s="3960" t="n"/>
      <c r="Q25" s="3960" t="n"/>
      <c r="R25" s="3960" t="n"/>
      <c r="S25" s="3960" t="n"/>
      <c r="T25" s="3960" t="n"/>
      <c r="U25" s="3960" t="n"/>
      <c r="V25" s="3960" t="n"/>
      <c r="W25" s="3960" t="n"/>
      <c r="X25" s="3960" t="n"/>
      <c r="Y25" s="3960" t="n"/>
      <c r="Z25" s="3960" t="n"/>
      <c r="AA25" s="3960" t="n"/>
      <c r="AB25" s="3960" t="n"/>
      <c r="AC25" s="3960" t="n"/>
      <c r="AD25" s="3960" t="n"/>
      <c r="AE25" s="3960" t="n"/>
      <c r="AF25" s="3960" t="n"/>
      <c r="AG25" s="3960" t="n"/>
      <c r="AH25" s="3960" t="n"/>
      <c r="AI25" s="3960" t="n"/>
      <c r="AJ25" s="3960" t="n"/>
      <c r="AK25" s="3960" t="n"/>
      <c r="AL25" s="3960" t="n"/>
      <c r="AM25" s="3960" t="n"/>
      <c r="AN25" s="3960" t="n"/>
      <c r="AO25" s="3960" t="n"/>
      <c r="AP25" s="3960" t="n"/>
      <c r="AQ25" s="3960" t="n"/>
      <c r="AR25" s="3960" t="n"/>
      <c r="AS25" s="3960" t="n"/>
    </row>
    <row r="26">
      <c r="A26" s="3959" t="n"/>
      <c r="B26" s="3959" t="n"/>
      <c r="C26" s="3959" t="n"/>
      <c r="D26" s="3959" t="n"/>
      <c r="E26" s="3959" t="n"/>
      <c r="F26" s="3959" t="n"/>
      <c r="G26" s="3960" t="n"/>
      <c r="H26" s="3960" t="n"/>
      <c r="I26" s="3960" t="n"/>
      <c r="J26" s="3960" t="n"/>
      <c r="K26" s="3960" t="n"/>
      <c r="L26" s="3960" t="n"/>
      <c r="M26" s="3960" t="n"/>
      <c r="N26" s="3960" t="n"/>
      <c r="O26" s="3960" t="n"/>
      <c r="P26" s="3960" t="n"/>
      <c r="Q26" s="3960" t="n"/>
      <c r="R26" s="3960" t="n"/>
      <c r="S26" s="3960" t="n"/>
      <c r="T26" s="3960" t="n"/>
      <c r="U26" s="3960" t="n"/>
      <c r="V26" s="3960" t="n"/>
      <c r="W26" s="3960" t="n"/>
      <c r="X26" s="3960" t="n"/>
      <c r="Y26" s="3960" t="n"/>
      <c r="Z26" s="3960" t="n"/>
      <c r="AA26" s="3960" t="n"/>
      <c r="AB26" s="3960" t="n"/>
      <c r="AC26" s="3960" t="n"/>
      <c r="AD26" s="3960" t="n"/>
      <c r="AE26" s="3960" t="n"/>
      <c r="AF26" s="3960" t="n"/>
      <c r="AG26" s="3960" t="n"/>
      <c r="AH26" s="3960" t="n"/>
      <c r="AI26" s="3960" t="n"/>
      <c r="AJ26" s="3960" t="n"/>
      <c r="AK26" s="3960" t="n"/>
      <c r="AL26" s="3960" t="n"/>
      <c r="AM26" s="3960" t="n"/>
      <c r="AN26" s="3960" t="n"/>
      <c r="AO26" s="3960" t="n"/>
      <c r="AP26" s="3960" t="n"/>
      <c r="AQ26" s="3960" t="n"/>
      <c r="AR26" s="3960" t="n"/>
      <c r="AS26" s="3960" t="n"/>
    </row>
    <row r="27">
      <c r="A27" s="3979" t="inlineStr">
        <is>
          <t>IS_CHECKS</t>
        </is>
      </c>
      <c r="B27" s="3980" t="n"/>
      <c r="C27" s="3980" t="n"/>
      <c r="D27" s="3980" t="n"/>
      <c r="E27" s="3980" t="n"/>
      <c r="F27" s="3980" t="n"/>
      <c r="G27" s="3981" t="n"/>
      <c r="H27" s="3981" t="n"/>
      <c r="I27" s="3981" t="n"/>
      <c r="J27" s="3981" t="n"/>
      <c r="K27" s="3981" t="n"/>
      <c r="L27" s="3981" t="n"/>
      <c r="M27" s="3981" t="n"/>
      <c r="N27" s="3981" t="n"/>
      <c r="O27" s="3981" t="n"/>
      <c r="P27" s="3981" t="n"/>
      <c r="Q27" s="3981" t="n"/>
      <c r="R27" s="3981" t="n"/>
      <c r="S27" s="3981" t="n"/>
      <c r="T27" s="3981" t="n"/>
      <c r="U27" s="3981" t="n"/>
      <c r="V27" s="3981" t="n"/>
      <c r="W27" s="3981" t="n"/>
      <c r="X27" s="3981" t="n"/>
      <c r="Y27" s="3981" t="n"/>
      <c r="Z27" s="3981" t="n"/>
      <c r="AA27" s="3981" t="n"/>
      <c r="AB27" s="3981" t="n"/>
      <c r="AC27" s="3981" t="n"/>
      <c r="AD27" s="3981" t="n"/>
      <c r="AE27" s="3981" t="n"/>
      <c r="AF27" s="3981" t="n"/>
      <c r="AG27" s="3981" t="n"/>
      <c r="AH27" s="3981" t="n"/>
      <c r="AI27" s="3981" t="n"/>
      <c r="AJ27" s="3981" t="n"/>
      <c r="AK27" s="3981" t="n"/>
      <c r="AL27" s="3981" t="n"/>
      <c r="AM27" s="3981" t="n"/>
      <c r="AN27" s="3981" t="n"/>
      <c r="AO27" s="3981" t="n"/>
      <c r="AP27" s="3981" t="n"/>
      <c r="AQ27" s="3981" t="n"/>
      <c r="AR27" s="3981" t="n"/>
      <c r="AS27" s="3981" t="n"/>
    </row>
    <row r="28">
      <c r="A28" s="3959" t="inlineStr">
        <is>
          <t>Net income tie-out</t>
        </is>
      </c>
      <c r="B28" s="3959" t="n"/>
      <c r="C28" s="3959" t="n"/>
      <c r="D28" s="3959" t="n"/>
      <c r="E28" s="3959" t="n"/>
      <c r="F28" s="3959" t="n"/>
      <c r="G28" s="3961">
        <f>IF(G16="","",G16-(G13+G14+G15))</f>
        <v/>
      </c>
      <c r="H28" s="3961">
        <f>IF(H16="","",H16-(H13+H14+H15))</f>
        <v/>
      </c>
      <c r="I28" s="3961">
        <f>IF(I16="","",I16-(I13+I14+I15))</f>
        <v/>
      </c>
      <c r="J28" s="3961">
        <f>IF(J16="","",J16-(J13+J14+J15))</f>
        <v/>
      </c>
      <c r="K28" s="3961">
        <f>IF(K16="","",K16-(K13+K14+K15))</f>
        <v/>
      </c>
      <c r="L28" s="3961">
        <f>IF(L16="","",L16-(L13+L14+L15))</f>
        <v/>
      </c>
      <c r="M28" s="3961">
        <f>IF(M16="","",M16-(M13+M14+M15))</f>
        <v/>
      </c>
      <c r="N28" s="3961">
        <f>IF(N16="","",N16-(N13+N14+N15))</f>
        <v/>
      </c>
      <c r="O28" s="3961">
        <f>IF(O16="","",O16-(O13+O14+O15))</f>
        <v/>
      </c>
      <c r="P28" s="3961">
        <f>IF(P16="","",P16-(P13+P14+P15))</f>
        <v/>
      </c>
      <c r="Q28" s="3961">
        <f>IF(Q16="","",Q16-(Q13+Q14+Q15))</f>
        <v/>
      </c>
      <c r="R28" s="3961">
        <f>IF(R16="","",R16-(R13+R14+R15))</f>
        <v/>
      </c>
      <c r="S28" s="3961">
        <f>IF(S16="","",S16-(S13+S14+S15))</f>
        <v/>
      </c>
      <c r="T28" s="3961">
        <f>IF(T16="","",T16-(T13+T14+T15))</f>
        <v/>
      </c>
      <c r="U28" s="3961">
        <f>IF(U16="","",U16-(U13+U14+U15))</f>
        <v/>
      </c>
      <c r="V28" s="3961">
        <f>IF(V16="","",V16-(V13+V14+V15))</f>
        <v/>
      </c>
      <c r="W28" s="3961">
        <f>IF(W16="","",W16-(W13+W14+W15))</f>
        <v/>
      </c>
      <c r="X28" s="3961">
        <f>IF(X16="","",X16-(X13+X14+X15))</f>
        <v/>
      </c>
      <c r="Y28" s="3961">
        <f>IF(Y16="","",Y16-(Y13+Y14+Y15))</f>
        <v/>
      </c>
      <c r="Z28" s="3961">
        <f>IF(Z16="","",Z16-(Z13+Z14+Z15))</f>
        <v/>
      </c>
      <c r="AA28" s="3961">
        <f>IF(AA16="","",AA16-(AA13+AA14+AA15))</f>
        <v/>
      </c>
      <c r="AB28" s="3961">
        <f>IF(AB16="","",AB16-(AB13+AB14+AB15))</f>
        <v/>
      </c>
      <c r="AC28" s="3961">
        <f>IF(AC16="","",AC16-(AC13+AC14+AC15))</f>
        <v/>
      </c>
      <c r="AD28" s="3961">
        <f>IF(AD16="","",AD16-(AD13+AD14+AD15))</f>
        <v/>
      </c>
      <c r="AE28" s="3961">
        <f>IF(AE16="","",AE16-(AE13+AE14+AE15))</f>
        <v/>
      </c>
      <c r="AF28" s="3961">
        <f>IF(AF16="","",AF16-(AF13+AF14+AF15))</f>
        <v/>
      </c>
      <c r="AG28" s="3961">
        <f>IF(AG16="","",AG16-(AG13+AG14+AG15))</f>
        <v/>
      </c>
      <c r="AH28" s="3961">
        <f>IF(AH16="","",AH16-(AH13+AH14+AH15))</f>
        <v/>
      </c>
      <c r="AI28" s="3961">
        <f>IF(AI16="","",AI16-(AI13+AI14+AI15))</f>
        <v/>
      </c>
      <c r="AJ28" s="3961">
        <f>IF(AJ16="","",AJ16-(AJ13+AJ14+AJ15))</f>
        <v/>
      </c>
      <c r="AK28" s="3961">
        <f>IF(AK16="","",AK16-(AK13+AK14+AK15))</f>
        <v/>
      </c>
      <c r="AL28" s="3961">
        <f>IF(AL16="","",AL16-(AL13+AL14+AL15))</f>
        <v/>
      </c>
      <c r="AM28" s="3961">
        <f>IF(AM16="","",AM16-(AM13+AM14+AM15))</f>
        <v/>
      </c>
      <c r="AN28" s="3961">
        <f>IF(AN16="","",AN16-(AN13+AN14+AN15))</f>
        <v/>
      </c>
      <c r="AO28" s="3961">
        <f>IF(AO16="","",AO16-(AO13+AO14+AO15))</f>
        <v/>
      </c>
      <c r="AP28" s="3961">
        <f>IF(AP16="","",AP16-(AP13+AP14+AP15))</f>
        <v/>
      </c>
      <c r="AQ28" s="3961">
        <f>IF(AQ16="","",AQ16-(AQ13+AQ14+AQ15))</f>
        <v/>
      </c>
      <c r="AR28" s="3961">
        <f>IF(AR16="","",AR16-(AR13+AR14+AR15))</f>
        <v/>
      </c>
      <c r="AS28" s="3961">
        <f>IF(AS16="","",AS16-(AS13+AS14+AS15))</f>
        <v/>
      </c>
    </row>
    <row r="29">
      <c r="A29" s="3959" t="inlineStr">
        <is>
          <t>EBITDA tie-out</t>
        </is>
      </c>
      <c r="B29" s="3959" t="n"/>
      <c r="C29" s="3959" t="n"/>
      <c r="D29" s="3959" t="n"/>
      <c r="E29" s="3959" t="n"/>
      <c r="F29" s="3959" t="n"/>
      <c r="G29" s="3961">
        <f>IF(G20="","",G20-(G16+G17+G18+G19))</f>
        <v/>
      </c>
      <c r="H29" s="3961">
        <f>IF(H20="","",H20-(H16+H17+H18+H19))</f>
        <v/>
      </c>
      <c r="I29" s="3961">
        <f>IF(I20="","",I20-(I16+I17+I18+I19))</f>
        <v/>
      </c>
      <c r="J29" s="3961">
        <f>IF(J20="","",J20-(J16+J17+J18+J19))</f>
        <v/>
      </c>
      <c r="K29" s="3961">
        <f>IF(K20="","",K20-(K16+K17+K18+K19))</f>
        <v/>
      </c>
      <c r="L29" s="3961">
        <f>IF(L20="","",L20-(L16+L17+L18+L19))</f>
        <v/>
      </c>
      <c r="M29" s="3961">
        <f>IF(M20="","",M20-(M16+M17+M18+M19))</f>
        <v/>
      </c>
      <c r="N29" s="3961">
        <f>IF(N20="","",N20-(N16+N17+N18+N19))</f>
        <v/>
      </c>
      <c r="O29" s="3961">
        <f>IF(O20="","",O20-(O16+O17+O18+O19))</f>
        <v/>
      </c>
      <c r="P29" s="3961">
        <f>IF(P20="","",P20-(P16+P17+P18+P19))</f>
        <v/>
      </c>
      <c r="Q29" s="3961">
        <f>IF(Q20="","",Q20-(Q16+Q17+Q18+Q19))</f>
        <v/>
      </c>
      <c r="R29" s="3961">
        <f>IF(R20="","",R20-(R16+R17+R18+R19))</f>
        <v/>
      </c>
      <c r="S29" s="3961">
        <f>IF(S20="","",S20-(S16+S17+S18+S19))</f>
        <v/>
      </c>
      <c r="T29" s="3961">
        <f>IF(T20="","",T20-(T16+T17+T18+T19))</f>
        <v/>
      </c>
      <c r="U29" s="3961">
        <f>IF(U20="","",U20-(U16+U17+U18+U19))</f>
        <v/>
      </c>
      <c r="V29" s="3961">
        <f>IF(V20="","",V20-(V16+V17+V18+V19))</f>
        <v/>
      </c>
      <c r="W29" s="3961">
        <f>IF(W20="","",W20-(W16+W17+W18+W19))</f>
        <v/>
      </c>
      <c r="X29" s="3961">
        <f>IF(X20="","",X20-(X16+X17+X18+X19))</f>
        <v/>
      </c>
      <c r="Y29" s="3961">
        <f>IF(Y20="","",Y20-(Y16+Y17+Y18+Y19))</f>
        <v/>
      </c>
      <c r="Z29" s="3961">
        <f>IF(Z20="","",Z20-(Z16+Z17+Z18+Z19))</f>
        <v/>
      </c>
      <c r="AA29" s="3961">
        <f>IF(AA20="","",AA20-(AA16+AA17+AA18+AA19))</f>
        <v/>
      </c>
      <c r="AB29" s="3961">
        <f>IF(AB20="","",AB20-(AB16+AB17+AB18+AB19))</f>
        <v/>
      </c>
      <c r="AC29" s="3961">
        <f>IF(AC20="","",AC20-(AC16+AC17+AC18+AC19))</f>
        <v/>
      </c>
      <c r="AD29" s="3961">
        <f>IF(AD20="","",AD20-(AD16+AD17+AD18+AD19))</f>
        <v/>
      </c>
      <c r="AE29" s="3961">
        <f>IF(AE20="","",AE20-(AE16+AE17+AE18+AE19))</f>
        <v/>
      </c>
      <c r="AF29" s="3961">
        <f>IF(AF20="","",AF20-(AF16+AF17+AF18+AF19))</f>
        <v/>
      </c>
      <c r="AG29" s="3961">
        <f>IF(AG20="","",AG20-(AG16+AG17+AG18+AG19))</f>
        <v/>
      </c>
      <c r="AH29" s="3961">
        <f>IF(AH20="","",AH20-(AH16+AH17+AH18+AH19))</f>
        <v/>
      </c>
      <c r="AI29" s="3961">
        <f>IF(AI20="","",AI20-(AI16+AI17+AI18+AI19))</f>
        <v/>
      </c>
      <c r="AJ29" s="3961">
        <f>IF(AJ20="","",AJ20-(AJ16+AJ17+AJ18+AJ19))</f>
        <v/>
      </c>
      <c r="AK29" s="3961">
        <f>IF(AK20="","",AK20-(AK16+AK17+AK18+AK19))</f>
        <v/>
      </c>
      <c r="AL29" s="3961">
        <f>IF(AL20="","",AL20-(AL16+AL17+AL18+AL19))</f>
        <v/>
      </c>
      <c r="AM29" s="3961">
        <f>IF(AM20="","",AM20-(AM16+AM17+AM18+AM19))</f>
        <v/>
      </c>
      <c r="AN29" s="3961">
        <f>IF(AN20="","",AN20-(AN16+AN17+AN18+AN19))</f>
        <v/>
      </c>
      <c r="AO29" s="3961">
        <f>IF(AO20="","",AO20-(AO16+AO17+AO18+AO19))</f>
        <v/>
      </c>
      <c r="AP29" s="3961">
        <f>IF(AP20="","",AP20-(AP16+AP17+AP18+AP19))</f>
        <v/>
      </c>
      <c r="AQ29" s="3961">
        <f>IF(AQ20="","",AQ20-(AQ16+AQ17+AQ18+AQ19))</f>
        <v/>
      </c>
      <c r="AR29" s="3961">
        <f>IF(AR20="","",AR20-(AR16+AR17+AR18+AR19))</f>
        <v/>
      </c>
      <c r="AS29" s="3961">
        <f>IF(AS20="","",AS20-(AS16+AS17+AS18+AS19))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S28"/>
  <sheetViews>
    <sheetView showGridLines="0" zoomScale="100" zoomScaleNormal="100" workbookViewId="0">
      <pane xSplit="6" ySplit="8" topLeftCell="G9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7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30" customWidth="1" min="46" max="46"/>
    <col width="30" customWidth="1" min="47" max="47"/>
  </cols>
  <sheetData>
    <row r="1">
      <c r="A1" s="3921" t="inlineStr">
        <is>
          <t>Entity 1 BS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  <c r="AS1" s="3934" t="n"/>
    </row>
    <row r="2">
      <c r="A2" s="3978" t="inlineStr">
        <is>
          <t>Source: &lt;document_source&gt;</t>
        </is>
      </c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  <c r="AS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  <c r="AS3" s="3934" t="n"/>
    </row>
    <row r="4">
      <c r="A4" s="3956" t="n"/>
      <c r="B4" s="3956" t="n"/>
      <c r="C4" s="3934" t="n"/>
      <c r="D4" s="3957" t="n"/>
      <c r="E4" s="3958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  <c r="AS4" s="3934" t="n"/>
    </row>
    <row r="5">
      <c r="A5" s="3956" t="n"/>
      <c r="B5" s="3956" t="n"/>
      <c r="C5" s="3934" t="n"/>
      <c r="D5" s="3956" t="n"/>
      <c r="E5" s="3956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  <c r="AS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  <c r="AS6" s="3934" t="n"/>
    </row>
    <row r="7">
      <c r="A7" s="3979" t="inlineStr">
        <is>
          <t>Entity 1 BS</t>
        </is>
      </c>
      <c r="B7" s="3980" t="n"/>
      <c r="C7" s="3980" t="n"/>
      <c r="D7" s="3980" t="n"/>
      <c r="E7" s="3980" t="n"/>
      <c r="F7" s="3980" t="n"/>
      <c r="G7" s="3980" t="n"/>
      <c r="H7" s="3980" t="n"/>
      <c r="I7" s="3980" t="n"/>
      <c r="J7" s="3980" t="n"/>
      <c r="K7" s="3980" t="n"/>
      <c r="L7" s="3980" t="n"/>
      <c r="M7" s="3980" t="n"/>
      <c r="N7" s="3980" t="n"/>
      <c r="O7" s="3980" t="n"/>
      <c r="P7" s="3980" t="n"/>
      <c r="Q7" s="3980" t="n"/>
      <c r="R7" s="3980" t="n"/>
      <c r="S7" s="3980" t="n"/>
      <c r="T7" s="3980" t="n"/>
      <c r="U7" s="3980" t="n"/>
      <c r="V7" s="3980" t="n"/>
      <c r="W7" s="3980" t="n"/>
      <c r="X7" s="3980" t="n"/>
      <c r="Y7" s="3980" t="n"/>
      <c r="Z7" s="3980" t="n"/>
      <c r="AA7" s="3980" t="n"/>
      <c r="AB7" s="3980" t="n"/>
      <c r="AC7" s="3980" t="n"/>
      <c r="AD7" s="3980" t="n"/>
      <c r="AE7" s="3980" t="n"/>
      <c r="AF7" s="3980" t="n"/>
      <c r="AG7" s="3980" t="n"/>
      <c r="AH7" s="3980" t="n"/>
      <c r="AI7" s="3980" t="n"/>
      <c r="AJ7" s="3980" t="n"/>
      <c r="AK7" s="3980" t="n"/>
      <c r="AL7" s="3980" t="n"/>
      <c r="AM7" s="3980" t="n"/>
      <c r="AN7" s="3980" t="n"/>
      <c r="AO7" s="3980" t="n"/>
      <c r="AP7" s="3980" t="n"/>
      <c r="AQ7" s="3980" t="n"/>
      <c r="AR7" s="3980" t="n"/>
      <c r="AS7" s="3980" t="n"/>
    </row>
    <row r="8">
      <c r="A8" s="3923" t="inlineStr">
        <is>
          <t>LineKey</t>
        </is>
      </c>
      <c r="B8" s="3923" t="inlineStr">
        <is>
          <t>$'000</t>
        </is>
      </c>
      <c r="C8" s="3923" t="inlineStr">
        <is>
          <t>TB Account No.</t>
        </is>
      </c>
      <c r="D8" s="3923" t="inlineStr">
        <is>
          <t>Sign</t>
        </is>
      </c>
      <c r="E8" s="3923" t="inlineStr">
        <is>
          <t>Source</t>
        </is>
      </c>
      <c r="F8" s="3923" t="inlineStr">
        <is>
          <t>Comments</t>
        </is>
      </c>
      <c r="G8" s="3947">
        <f>'Control | Setup'!A22</f>
        <v/>
      </c>
      <c r="H8" s="3947">
        <f>'Control | Setup'!A23</f>
        <v/>
      </c>
      <c r="I8" s="3947">
        <f>'Control | Setup'!A24</f>
        <v/>
      </c>
      <c r="J8" s="3947">
        <f>'Control | Setup'!A25</f>
        <v/>
      </c>
      <c r="K8" s="3947">
        <f>'Control | Setup'!A26</f>
        <v/>
      </c>
      <c r="L8" s="3947">
        <f>'Control | Setup'!A27</f>
        <v/>
      </c>
      <c r="M8" s="3947">
        <f>'Control | Setup'!A28</f>
        <v/>
      </c>
      <c r="N8" s="3947">
        <f>'Control | Setup'!A29</f>
        <v/>
      </c>
      <c r="O8" s="3947">
        <f>'Control | Setup'!A30</f>
        <v/>
      </c>
      <c r="P8" s="3947">
        <f>'Control | Setup'!A31</f>
        <v/>
      </c>
      <c r="Q8" s="3947">
        <f>'Control | Setup'!A32</f>
        <v/>
      </c>
      <c r="R8" s="3947">
        <f>'Control | Setup'!A33</f>
        <v/>
      </c>
      <c r="S8" s="3947">
        <f>'Control | Setup'!A34</f>
        <v/>
      </c>
      <c r="T8" s="3947">
        <f>'Control | Setup'!A35</f>
        <v/>
      </c>
      <c r="U8" s="3947">
        <f>'Control | Setup'!A36</f>
        <v/>
      </c>
      <c r="V8" s="3947">
        <f>'Control | Setup'!A37</f>
        <v/>
      </c>
      <c r="W8" s="3947">
        <f>'Control | Setup'!A38</f>
        <v/>
      </c>
      <c r="X8" s="3947">
        <f>'Control | Setup'!A39</f>
        <v/>
      </c>
      <c r="Y8" s="3947">
        <f>'Control | Setup'!A40</f>
        <v/>
      </c>
      <c r="Z8" s="3947">
        <f>'Control | Setup'!A41</f>
        <v/>
      </c>
      <c r="AA8" s="3947">
        <f>'Control | Setup'!A42</f>
        <v/>
      </c>
      <c r="AB8" s="3947">
        <f>'Control | Setup'!A43</f>
        <v/>
      </c>
      <c r="AC8" s="3947">
        <f>'Control | Setup'!A44</f>
        <v/>
      </c>
      <c r="AD8" s="3947">
        <f>'Control | Setup'!A45</f>
        <v/>
      </c>
      <c r="AE8" s="3947">
        <f>'Control | Setup'!A46</f>
        <v/>
      </c>
      <c r="AF8" s="3947">
        <f>'Control | Setup'!A47</f>
        <v/>
      </c>
      <c r="AG8" s="3947">
        <f>'Control | Setup'!A48</f>
        <v/>
      </c>
      <c r="AH8" s="3947">
        <f>'Control | Setup'!A49</f>
        <v/>
      </c>
      <c r="AI8" s="3947">
        <f>'Control | Setup'!A50</f>
        <v/>
      </c>
      <c r="AJ8" s="3947">
        <f>'Control | Setup'!A51</f>
        <v/>
      </c>
      <c r="AK8" s="3947">
        <f>'Control | Setup'!A52</f>
        <v/>
      </c>
      <c r="AL8" s="3947">
        <f>'Control | Setup'!A53</f>
        <v/>
      </c>
      <c r="AM8" s="3947">
        <f>'Control | Setup'!A54</f>
        <v/>
      </c>
      <c r="AN8" s="3947">
        <f>'Control | Setup'!A55</f>
        <v/>
      </c>
      <c r="AO8" s="3947">
        <f>'Control | Setup'!A56</f>
        <v/>
      </c>
      <c r="AP8" s="3947">
        <f>'Control | Setup'!A57</f>
        <v/>
      </c>
      <c r="AQ8" s="3947" t="inlineStr">
        <is>
          <t>FY-2</t>
        </is>
      </c>
      <c r="AR8" s="3947" t="inlineStr">
        <is>
          <t>FY-1</t>
        </is>
      </c>
      <c r="AS8" s="3947" t="inlineStr">
        <is>
          <t>TTM</t>
        </is>
      </c>
    </row>
    <row r="9">
      <c r="A9" s="3959" t="inlineStr">
        <is>
          <t>BS_CASH</t>
        </is>
      </c>
      <c r="B9" s="3959" t="inlineStr">
        <is>
          <t>Cash</t>
        </is>
      </c>
      <c r="C9" s="3959" t="inlineStr"/>
      <c r="D9" s="3959" t="inlineStr">
        <is>
          <t>+</t>
        </is>
      </c>
      <c r="E9" s="3959" t="inlineStr">
        <is>
          <t>TB/Map</t>
        </is>
      </c>
      <c r="F9" s="3959" t="inlineStr"/>
      <c r="G9" s="3929" t="n"/>
      <c r="H9" s="3929" t="n"/>
      <c r="I9" s="3929" t="n"/>
      <c r="J9" s="3929" t="n"/>
      <c r="K9" s="3929" t="n"/>
      <c r="L9" s="3929" t="n"/>
      <c r="M9" s="3929" t="n"/>
      <c r="N9" s="3929" t="n"/>
      <c r="O9" s="3929" t="n"/>
      <c r="P9" s="3929" t="n"/>
      <c r="Q9" s="3929" t="n"/>
      <c r="R9" s="3929" t="n"/>
      <c r="S9" s="3929" t="n"/>
      <c r="T9" s="3929" t="n"/>
      <c r="U9" s="3929" t="n"/>
      <c r="V9" s="3929" t="n"/>
      <c r="W9" s="3929" t="n"/>
      <c r="X9" s="3929" t="n"/>
      <c r="Y9" s="3929" t="n"/>
      <c r="Z9" s="3929" t="n"/>
      <c r="AA9" s="3929" t="n"/>
      <c r="AB9" s="3929" t="n"/>
      <c r="AC9" s="3929" t="n"/>
      <c r="AD9" s="3929" t="n"/>
      <c r="AE9" s="3929" t="n"/>
      <c r="AF9" s="3929" t="n"/>
      <c r="AG9" s="3929" t="n"/>
      <c r="AH9" s="3929" t="n"/>
      <c r="AI9" s="3929" t="n"/>
      <c r="AJ9" s="3929" t="n"/>
      <c r="AK9" s="3929" t="n"/>
      <c r="AL9" s="3929" t="n"/>
      <c r="AM9" s="3929" t="n"/>
      <c r="AN9" s="3929" t="n"/>
      <c r="AO9" s="3929" t="n"/>
      <c r="AP9" s="3929" t="n"/>
      <c r="AQ9" s="3949">
        <f>R9</f>
        <v/>
      </c>
      <c r="AR9" s="3949">
        <f>AD9</f>
        <v/>
      </c>
      <c r="AS9" s="3949">
        <f>AP9</f>
        <v/>
      </c>
    </row>
    <row r="10">
      <c r="A10" s="3959" t="inlineStr">
        <is>
          <t>BS_AR</t>
        </is>
      </c>
      <c r="B10" s="3959" t="inlineStr">
        <is>
          <t>Accounts receivable</t>
        </is>
      </c>
      <c r="C10" s="3959" t="inlineStr"/>
      <c r="D10" s="3959" t="inlineStr">
        <is>
          <t>+</t>
        </is>
      </c>
      <c r="E10" s="3959" t="inlineStr">
        <is>
          <t>TB/Map</t>
        </is>
      </c>
      <c r="F10" s="3959" t="inlineStr"/>
      <c r="G10" s="3929" t="n"/>
      <c r="H10" s="3929" t="n"/>
      <c r="I10" s="3929" t="n"/>
      <c r="J10" s="3929" t="n"/>
      <c r="K10" s="3929" t="n"/>
      <c r="L10" s="3929" t="n"/>
      <c r="M10" s="3929" t="n"/>
      <c r="N10" s="3929" t="n"/>
      <c r="O10" s="3929" t="n"/>
      <c r="P10" s="3929" t="n"/>
      <c r="Q10" s="3929" t="n"/>
      <c r="R10" s="3929" t="n"/>
      <c r="S10" s="3929" t="n"/>
      <c r="T10" s="3929" t="n"/>
      <c r="U10" s="3929" t="n"/>
      <c r="V10" s="3929" t="n"/>
      <c r="W10" s="3929" t="n"/>
      <c r="X10" s="3929" t="n"/>
      <c r="Y10" s="3929" t="n"/>
      <c r="Z10" s="3929" t="n"/>
      <c r="AA10" s="3929" t="n"/>
      <c r="AB10" s="3929" t="n"/>
      <c r="AC10" s="3929" t="n"/>
      <c r="AD10" s="3929" t="n"/>
      <c r="AE10" s="3929" t="n"/>
      <c r="AF10" s="3929" t="n"/>
      <c r="AG10" s="3929" t="n"/>
      <c r="AH10" s="3929" t="n"/>
      <c r="AI10" s="3929" t="n"/>
      <c r="AJ10" s="3929" t="n"/>
      <c r="AK10" s="3929" t="n"/>
      <c r="AL10" s="3929" t="n"/>
      <c r="AM10" s="3929" t="n"/>
      <c r="AN10" s="3929" t="n"/>
      <c r="AO10" s="3929" t="n"/>
      <c r="AP10" s="3929" t="n"/>
      <c r="AQ10" s="3949">
        <f>R10</f>
        <v/>
      </c>
      <c r="AR10" s="3949">
        <f>AD10</f>
        <v/>
      </c>
      <c r="AS10" s="3949">
        <f>AP10</f>
        <v/>
      </c>
    </row>
    <row r="11">
      <c r="A11" s="3959" t="inlineStr">
        <is>
          <t>BS_INV</t>
        </is>
      </c>
      <c r="B11" s="3959" t="inlineStr">
        <is>
          <t>Inventory</t>
        </is>
      </c>
      <c r="C11" s="3959" t="inlineStr"/>
      <c r="D11" s="3959" t="inlineStr">
        <is>
          <t>+</t>
        </is>
      </c>
      <c r="E11" s="3959" t="inlineStr">
        <is>
          <t>TB/Map</t>
        </is>
      </c>
      <c r="F11" s="3959" t="inlineStr"/>
      <c r="G11" s="3929" t="n"/>
      <c r="H11" s="3929" t="n"/>
      <c r="I11" s="3929" t="n"/>
      <c r="J11" s="3929" t="n"/>
      <c r="K11" s="3929" t="n"/>
      <c r="L11" s="3929" t="n"/>
      <c r="M11" s="3929" t="n"/>
      <c r="N11" s="3929" t="n"/>
      <c r="O11" s="3929" t="n"/>
      <c r="P11" s="3929" t="n"/>
      <c r="Q11" s="3929" t="n"/>
      <c r="R11" s="3929" t="n"/>
      <c r="S11" s="3929" t="n"/>
      <c r="T11" s="3929" t="n"/>
      <c r="U11" s="3929" t="n"/>
      <c r="V11" s="3929" t="n"/>
      <c r="W11" s="3929" t="n"/>
      <c r="X11" s="3929" t="n"/>
      <c r="Y11" s="3929" t="n"/>
      <c r="Z11" s="3929" t="n"/>
      <c r="AA11" s="3929" t="n"/>
      <c r="AB11" s="3929" t="n"/>
      <c r="AC11" s="3929" t="n"/>
      <c r="AD11" s="3929" t="n"/>
      <c r="AE11" s="3929" t="n"/>
      <c r="AF11" s="3929" t="n"/>
      <c r="AG11" s="3929" t="n"/>
      <c r="AH11" s="3929" t="n"/>
      <c r="AI11" s="3929" t="n"/>
      <c r="AJ11" s="3929" t="n"/>
      <c r="AK11" s="3929" t="n"/>
      <c r="AL11" s="3929" t="n"/>
      <c r="AM11" s="3929" t="n"/>
      <c r="AN11" s="3929" t="n"/>
      <c r="AO11" s="3929" t="n"/>
      <c r="AP11" s="3929" t="n"/>
      <c r="AQ11" s="3949">
        <f>R11</f>
        <v/>
      </c>
      <c r="AR11" s="3949">
        <f>AD11</f>
        <v/>
      </c>
      <c r="AS11" s="3949">
        <f>AP11</f>
        <v/>
      </c>
    </row>
    <row r="12">
      <c r="A12" s="3959" t="inlineStr">
        <is>
          <t>BS_OCA</t>
        </is>
      </c>
      <c r="B12" s="3959" t="inlineStr">
        <is>
          <t>Other current assets</t>
        </is>
      </c>
      <c r="C12" s="3959" t="inlineStr"/>
      <c r="D12" s="3959" t="inlineStr">
        <is>
          <t>+</t>
        </is>
      </c>
      <c r="E12" s="3959" t="inlineStr">
        <is>
          <t>TB/Map</t>
        </is>
      </c>
      <c r="F12" s="3959" t="inlineStr"/>
      <c r="G12" s="3929" t="n"/>
      <c r="H12" s="3929" t="n"/>
      <c r="I12" s="3929" t="n"/>
      <c r="J12" s="3929" t="n"/>
      <c r="K12" s="3929" t="n"/>
      <c r="L12" s="3929" t="n"/>
      <c r="M12" s="3929" t="n"/>
      <c r="N12" s="3929" t="n"/>
      <c r="O12" s="3929" t="n"/>
      <c r="P12" s="3929" t="n"/>
      <c r="Q12" s="3929" t="n"/>
      <c r="R12" s="3929" t="n"/>
      <c r="S12" s="3929" t="n"/>
      <c r="T12" s="3929" t="n"/>
      <c r="U12" s="3929" t="n"/>
      <c r="V12" s="3929" t="n"/>
      <c r="W12" s="3929" t="n"/>
      <c r="X12" s="3929" t="n"/>
      <c r="Y12" s="3929" t="n"/>
      <c r="Z12" s="3929" t="n"/>
      <c r="AA12" s="3929" t="n"/>
      <c r="AB12" s="3929" t="n"/>
      <c r="AC12" s="3929" t="n"/>
      <c r="AD12" s="3929" t="n"/>
      <c r="AE12" s="3929" t="n"/>
      <c r="AF12" s="3929" t="n"/>
      <c r="AG12" s="3929" t="n"/>
      <c r="AH12" s="3929" t="n"/>
      <c r="AI12" s="3929" t="n"/>
      <c r="AJ12" s="3929" t="n"/>
      <c r="AK12" s="3929" t="n"/>
      <c r="AL12" s="3929" t="n"/>
      <c r="AM12" s="3929" t="n"/>
      <c r="AN12" s="3929" t="n"/>
      <c r="AO12" s="3929" t="n"/>
      <c r="AP12" s="3929" t="n"/>
      <c r="AQ12" s="3949">
        <f>R12</f>
        <v/>
      </c>
      <c r="AR12" s="3949">
        <f>AD12</f>
        <v/>
      </c>
      <c r="AS12" s="3949">
        <f>AP12</f>
        <v/>
      </c>
    </row>
    <row r="13">
      <c r="A13" s="3959" t="inlineStr">
        <is>
          <t>BS_TCA</t>
        </is>
      </c>
      <c r="B13" s="3959" t="inlineStr">
        <is>
          <t>Total current assets</t>
        </is>
      </c>
      <c r="C13" s="3959" t="inlineStr"/>
      <c r="D13" s="3959" t="inlineStr">
        <is>
          <t>+</t>
        </is>
      </c>
      <c r="E13" s="3959" t="inlineStr">
        <is>
          <t>Formula</t>
        </is>
      </c>
      <c r="F13" s="3959" t="inlineStr">
        <is>
          <t>Derived</t>
        </is>
      </c>
      <c r="G13" s="3960">
        <f>IF(COUNT(G9:G12)=0,"",SUM(G9:G12))</f>
        <v/>
      </c>
      <c r="H13" s="3960">
        <f>IF(COUNT(H9:H12)=0,"",SUM(H9:H12))</f>
        <v/>
      </c>
      <c r="I13" s="3960">
        <f>IF(COUNT(I9:I12)=0,"",SUM(I9:I12))</f>
        <v/>
      </c>
      <c r="J13" s="3960">
        <f>IF(COUNT(J9:J12)=0,"",SUM(J9:J12))</f>
        <v/>
      </c>
      <c r="K13" s="3960">
        <f>IF(COUNT(K9:K12)=0,"",SUM(K9:K12))</f>
        <v/>
      </c>
      <c r="L13" s="3960">
        <f>IF(COUNT(L9:L12)=0,"",SUM(L9:L12))</f>
        <v/>
      </c>
      <c r="M13" s="3960">
        <f>IF(COUNT(M9:M12)=0,"",SUM(M9:M12))</f>
        <v/>
      </c>
      <c r="N13" s="3960">
        <f>IF(COUNT(N9:N12)=0,"",SUM(N9:N12))</f>
        <v/>
      </c>
      <c r="O13" s="3960">
        <f>IF(COUNT(O9:O12)=0,"",SUM(O9:O12))</f>
        <v/>
      </c>
      <c r="P13" s="3960">
        <f>IF(COUNT(P9:P12)=0,"",SUM(P9:P12))</f>
        <v/>
      </c>
      <c r="Q13" s="3960">
        <f>IF(COUNT(Q9:Q12)=0,"",SUM(Q9:Q12))</f>
        <v/>
      </c>
      <c r="R13" s="3960">
        <f>IF(COUNT(R9:R12)=0,"",SUM(R9:R12))</f>
        <v/>
      </c>
      <c r="S13" s="3960">
        <f>IF(COUNT(S9:S12)=0,"",SUM(S9:S12))</f>
        <v/>
      </c>
      <c r="T13" s="3960">
        <f>IF(COUNT(T9:T12)=0,"",SUM(T9:T12))</f>
        <v/>
      </c>
      <c r="U13" s="3960">
        <f>IF(COUNT(U9:U12)=0,"",SUM(U9:U12))</f>
        <v/>
      </c>
      <c r="V13" s="3960">
        <f>IF(COUNT(V9:V12)=0,"",SUM(V9:V12))</f>
        <v/>
      </c>
      <c r="W13" s="3960">
        <f>IF(COUNT(W9:W12)=0,"",SUM(W9:W12))</f>
        <v/>
      </c>
      <c r="X13" s="3960">
        <f>IF(COUNT(X9:X12)=0,"",SUM(X9:X12))</f>
        <v/>
      </c>
      <c r="Y13" s="3960">
        <f>IF(COUNT(Y9:Y12)=0,"",SUM(Y9:Y12))</f>
        <v/>
      </c>
      <c r="Z13" s="3960">
        <f>IF(COUNT(Z9:Z12)=0,"",SUM(Z9:Z12))</f>
        <v/>
      </c>
      <c r="AA13" s="3960">
        <f>IF(COUNT(AA9:AA12)=0,"",SUM(AA9:AA12))</f>
        <v/>
      </c>
      <c r="AB13" s="3960">
        <f>IF(COUNT(AB9:AB12)=0,"",SUM(AB9:AB12))</f>
        <v/>
      </c>
      <c r="AC13" s="3960">
        <f>IF(COUNT(AC9:AC12)=0,"",SUM(AC9:AC12))</f>
        <v/>
      </c>
      <c r="AD13" s="3960">
        <f>IF(COUNT(AD9:AD12)=0,"",SUM(AD9:AD12))</f>
        <v/>
      </c>
      <c r="AE13" s="3960">
        <f>IF(COUNT(AE9:AE12)=0,"",SUM(AE9:AE12))</f>
        <v/>
      </c>
      <c r="AF13" s="3960">
        <f>IF(COUNT(AF9:AF12)=0,"",SUM(AF9:AF12))</f>
        <v/>
      </c>
      <c r="AG13" s="3960">
        <f>IF(COUNT(AG9:AG12)=0,"",SUM(AG9:AG12))</f>
        <v/>
      </c>
      <c r="AH13" s="3960">
        <f>IF(COUNT(AH9:AH12)=0,"",SUM(AH9:AH12))</f>
        <v/>
      </c>
      <c r="AI13" s="3960">
        <f>IF(COUNT(AI9:AI12)=0,"",SUM(AI9:AI12))</f>
        <v/>
      </c>
      <c r="AJ13" s="3960">
        <f>IF(COUNT(AJ9:AJ12)=0,"",SUM(AJ9:AJ12))</f>
        <v/>
      </c>
      <c r="AK13" s="3960">
        <f>IF(COUNT(AK9:AK12)=0,"",SUM(AK9:AK12))</f>
        <v/>
      </c>
      <c r="AL13" s="3960">
        <f>IF(COUNT(AL9:AL12)=0,"",SUM(AL9:AL12))</f>
        <v/>
      </c>
      <c r="AM13" s="3960">
        <f>IF(COUNT(AM9:AM12)=0,"",SUM(AM9:AM12))</f>
        <v/>
      </c>
      <c r="AN13" s="3960">
        <f>IF(COUNT(AN9:AN12)=0,"",SUM(AN9:AN12))</f>
        <v/>
      </c>
      <c r="AO13" s="3960">
        <f>IF(COUNT(AO9:AO12)=0,"",SUM(AO9:AO12))</f>
        <v/>
      </c>
      <c r="AP13" s="3960">
        <f>IF(COUNT(AP9:AP12)=0,"",SUM(AP9:AP12))</f>
        <v/>
      </c>
      <c r="AQ13" s="3949">
        <f>R13</f>
        <v/>
      </c>
      <c r="AR13" s="3949">
        <f>AD13</f>
        <v/>
      </c>
      <c r="AS13" s="3949">
        <f>AP13</f>
        <v/>
      </c>
    </row>
    <row r="14">
      <c r="A14" s="3959" t="inlineStr">
        <is>
          <t>BS_PPE</t>
        </is>
      </c>
      <c r="B14" s="3959" t="inlineStr">
        <is>
          <t>PP&amp;E</t>
        </is>
      </c>
      <c r="C14" s="3959" t="inlineStr"/>
      <c r="D14" s="3959" t="inlineStr">
        <is>
          <t>+</t>
        </is>
      </c>
      <c r="E14" s="3959" t="inlineStr">
        <is>
          <t>TB/Map</t>
        </is>
      </c>
      <c r="F14" s="3959" t="inlineStr"/>
      <c r="G14" s="3929" t="n"/>
      <c r="H14" s="3929" t="n"/>
      <c r="I14" s="3929" t="n"/>
      <c r="J14" s="3929" t="n"/>
      <c r="K14" s="3929" t="n"/>
      <c r="L14" s="3929" t="n"/>
      <c r="M14" s="3929" t="n"/>
      <c r="N14" s="3929" t="n"/>
      <c r="O14" s="3929" t="n"/>
      <c r="P14" s="3929" t="n"/>
      <c r="Q14" s="3929" t="n"/>
      <c r="R14" s="3929" t="n"/>
      <c r="S14" s="3929" t="n"/>
      <c r="T14" s="3929" t="n"/>
      <c r="U14" s="3929" t="n"/>
      <c r="V14" s="3929" t="n"/>
      <c r="W14" s="3929" t="n"/>
      <c r="X14" s="3929" t="n"/>
      <c r="Y14" s="3929" t="n"/>
      <c r="Z14" s="3929" t="n"/>
      <c r="AA14" s="3929" t="n"/>
      <c r="AB14" s="3929" t="n"/>
      <c r="AC14" s="3929" t="n"/>
      <c r="AD14" s="3929" t="n"/>
      <c r="AE14" s="3929" t="n"/>
      <c r="AF14" s="3929" t="n"/>
      <c r="AG14" s="3929" t="n"/>
      <c r="AH14" s="3929" t="n"/>
      <c r="AI14" s="3929" t="n"/>
      <c r="AJ14" s="3929" t="n"/>
      <c r="AK14" s="3929" t="n"/>
      <c r="AL14" s="3929" t="n"/>
      <c r="AM14" s="3929" t="n"/>
      <c r="AN14" s="3929" t="n"/>
      <c r="AO14" s="3929" t="n"/>
      <c r="AP14" s="3929" t="n"/>
      <c r="AQ14" s="3949">
        <f>R14</f>
        <v/>
      </c>
      <c r="AR14" s="3949">
        <f>AD14</f>
        <v/>
      </c>
      <c r="AS14" s="3949">
        <f>AP14</f>
        <v/>
      </c>
    </row>
    <row r="15">
      <c r="A15" s="3959" t="inlineStr">
        <is>
          <t>BS_OTA</t>
        </is>
      </c>
      <c r="B15" s="3959" t="inlineStr">
        <is>
          <t>Other assets</t>
        </is>
      </c>
      <c r="C15" s="3959" t="inlineStr"/>
      <c r="D15" s="3959" t="inlineStr">
        <is>
          <t>+</t>
        </is>
      </c>
      <c r="E15" s="3959" t="inlineStr">
        <is>
          <t>TB/Map</t>
        </is>
      </c>
      <c r="F15" s="3959" t="inlineStr"/>
      <c r="G15" s="3929" t="n"/>
      <c r="H15" s="3929" t="n"/>
      <c r="I15" s="3929" t="n"/>
      <c r="J15" s="3929" t="n"/>
      <c r="K15" s="3929" t="n"/>
      <c r="L15" s="3929" t="n"/>
      <c r="M15" s="3929" t="n"/>
      <c r="N15" s="3929" t="n"/>
      <c r="O15" s="3929" t="n"/>
      <c r="P15" s="3929" t="n"/>
      <c r="Q15" s="3929" t="n"/>
      <c r="R15" s="3929" t="n"/>
      <c r="S15" s="3929" t="n"/>
      <c r="T15" s="3929" t="n"/>
      <c r="U15" s="3929" t="n"/>
      <c r="V15" s="3929" t="n"/>
      <c r="W15" s="3929" t="n"/>
      <c r="X15" s="3929" t="n"/>
      <c r="Y15" s="3929" t="n"/>
      <c r="Z15" s="3929" t="n"/>
      <c r="AA15" s="3929" t="n"/>
      <c r="AB15" s="3929" t="n"/>
      <c r="AC15" s="3929" t="n"/>
      <c r="AD15" s="3929" t="n"/>
      <c r="AE15" s="3929" t="n"/>
      <c r="AF15" s="3929" t="n"/>
      <c r="AG15" s="3929" t="n"/>
      <c r="AH15" s="3929" t="n"/>
      <c r="AI15" s="3929" t="n"/>
      <c r="AJ15" s="3929" t="n"/>
      <c r="AK15" s="3929" t="n"/>
      <c r="AL15" s="3929" t="n"/>
      <c r="AM15" s="3929" t="n"/>
      <c r="AN15" s="3929" t="n"/>
      <c r="AO15" s="3929" t="n"/>
      <c r="AP15" s="3929" t="n"/>
      <c r="AQ15" s="3949">
        <f>R15</f>
        <v/>
      </c>
      <c r="AR15" s="3949">
        <f>AD15</f>
        <v/>
      </c>
      <c r="AS15" s="3949">
        <f>AP15</f>
        <v/>
      </c>
    </row>
    <row r="16">
      <c r="A16" s="3959" t="inlineStr">
        <is>
          <t>BS_TA</t>
        </is>
      </c>
      <c r="B16" s="3959" t="inlineStr">
        <is>
          <t>Total assets</t>
        </is>
      </c>
      <c r="C16" s="3959" t="inlineStr"/>
      <c r="D16" s="3959" t="inlineStr">
        <is>
          <t>+</t>
        </is>
      </c>
      <c r="E16" s="3959" t="inlineStr">
        <is>
          <t>Formula</t>
        </is>
      </c>
      <c r="F16" s="3959" t="inlineStr">
        <is>
          <t>Main total</t>
        </is>
      </c>
      <c r="G16" s="3960">
        <f>IF(COUNT(G13:G15)=0,"",SUM(G13:G15))</f>
        <v/>
      </c>
      <c r="H16" s="3960">
        <f>IF(COUNT(H13:H15)=0,"",SUM(H13:H15))</f>
        <v/>
      </c>
      <c r="I16" s="3960">
        <f>IF(COUNT(I13:I15)=0,"",SUM(I13:I15))</f>
        <v/>
      </c>
      <c r="J16" s="3960">
        <f>IF(COUNT(J13:J15)=0,"",SUM(J13:J15))</f>
        <v/>
      </c>
      <c r="K16" s="3960">
        <f>IF(COUNT(K13:K15)=0,"",SUM(K13:K15))</f>
        <v/>
      </c>
      <c r="L16" s="3960">
        <f>IF(COUNT(L13:L15)=0,"",SUM(L13:L15))</f>
        <v/>
      </c>
      <c r="M16" s="3960">
        <f>IF(COUNT(M13:M15)=0,"",SUM(M13:M15))</f>
        <v/>
      </c>
      <c r="N16" s="3960">
        <f>IF(COUNT(N13:N15)=0,"",SUM(N13:N15))</f>
        <v/>
      </c>
      <c r="O16" s="3960">
        <f>IF(COUNT(O13:O15)=0,"",SUM(O13:O15))</f>
        <v/>
      </c>
      <c r="P16" s="3960">
        <f>IF(COUNT(P13:P15)=0,"",SUM(P13:P15))</f>
        <v/>
      </c>
      <c r="Q16" s="3960">
        <f>IF(COUNT(Q13:Q15)=0,"",SUM(Q13:Q15))</f>
        <v/>
      </c>
      <c r="R16" s="3960">
        <f>IF(COUNT(R13:R15)=0,"",SUM(R13:R15))</f>
        <v/>
      </c>
      <c r="S16" s="3960">
        <f>IF(COUNT(S13:S15)=0,"",SUM(S13:S15))</f>
        <v/>
      </c>
      <c r="T16" s="3960">
        <f>IF(COUNT(T13:T15)=0,"",SUM(T13:T15))</f>
        <v/>
      </c>
      <c r="U16" s="3960">
        <f>IF(COUNT(U13:U15)=0,"",SUM(U13:U15))</f>
        <v/>
      </c>
      <c r="V16" s="3960">
        <f>IF(COUNT(V13:V15)=0,"",SUM(V13:V15))</f>
        <v/>
      </c>
      <c r="W16" s="3960">
        <f>IF(COUNT(W13:W15)=0,"",SUM(W13:W15))</f>
        <v/>
      </c>
      <c r="X16" s="3960">
        <f>IF(COUNT(X13:X15)=0,"",SUM(X13:X15))</f>
        <v/>
      </c>
      <c r="Y16" s="3960">
        <f>IF(COUNT(Y13:Y15)=0,"",SUM(Y13:Y15))</f>
        <v/>
      </c>
      <c r="Z16" s="3960">
        <f>IF(COUNT(Z13:Z15)=0,"",SUM(Z13:Z15))</f>
        <v/>
      </c>
      <c r="AA16" s="3960">
        <f>IF(COUNT(AA13:AA15)=0,"",SUM(AA13:AA15))</f>
        <v/>
      </c>
      <c r="AB16" s="3960">
        <f>IF(COUNT(AB13:AB15)=0,"",SUM(AB13:AB15))</f>
        <v/>
      </c>
      <c r="AC16" s="3960">
        <f>IF(COUNT(AC13:AC15)=0,"",SUM(AC13:AC15))</f>
        <v/>
      </c>
      <c r="AD16" s="3960">
        <f>IF(COUNT(AD13:AD15)=0,"",SUM(AD13:AD15))</f>
        <v/>
      </c>
      <c r="AE16" s="3960">
        <f>IF(COUNT(AE13:AE15)=0,"",SUM(AE13:AE15))</f>
        <v/>
      </c>
      <c r="AF16" s="3960">
        <f>IF(COUNT(AF13:AF15)=0,"",SUM(AF13:AF15))</f>
        <v/>
      </c>
      <c r="AG16" s="3960">
        <f>IF(COUNT(AG13:AG15)=0,"",SUM(AG13:AG15))</f>
        <v/>
      </c>
      <c r="AH16" s="3960">
        <f>IF(COUNT(AH13:AH15)=0,"",SUM(AH13:AH15))</f>
        <v/>
      </c>
      <c r="AI16" s="3960">
        <f>IF(COUNT(AI13:AI15)=0,"",SUM(AI13:AI15))</f>
        <v/>
      </c>
      <c r="AJ16" s="3960">
        <f>IF(COUNT(AJ13:AJ15)=0,"",SUM(AJ13:AJ15))</f>
        <v/>
      </c>
      <c r="AK16" s="3960">
        <f>IF(COUNT(AK13:AK15)=0,"",SUM(AK13:AK15))</f>
        <v/>
      </c>
      <c r="AL16" s="3960">
        <f>IF(COUNT(AL13:AL15)=0,"",SUM(AL13:AL15))</f>
        <v/>
      </c>
      <c r="AM16" s="3960">
        <f>IF(COUNT(AM13:AM15)=0,"",SUM(AM13:AM15))</f>
        <v/>
      </c>
      <c r="AN16" s="3960">
        <f>IF(COUNT(AN13:AN15)=0,"",SUM(AN13:AN15))</f>
        <v/>
      </c>
      <c r="AO16" s="3960">
        <f>IF(COUNT(AO13:AO15)=0,"",SUM(AO13:AO15))</f>
        <v/>
      </c>
      <c r="AP16" s="3960">
        <f>IF(COUNT(AP13:AP15)=0,"",SUM(AP13:AP15))</f>
        <v/>
      </c>
      <c r="AQ16" s="3949">
        <f>R16</f>
        <v/>
      </c>
      <c r="AR16" s="3949">
        <f>AD16</f>
        <v/>
      </c>
      <c r="AS16" s="3949">
        <f>AP16</f>
        <v/>
      </c>
    </row>
    <row r="17">
      <c r="A17" s="3959" t="inlineStr">
        <is>
          <t>BS_AP</t>
        </is>
      </c>
      <c r="B17" s="3959" t="inlineStr">
        <is>
          <t>Accounts payable</t>
        </is>
      </c>
      <c r="C17" s="3959" t="inlineStr"/>
      <c r="D17" s="3959" t="inlineStr">
        <is>
          <t>+</t>
        </is>
      </c>
      <c r="E17" s="3959" t="inlineStr">
        <is>
          <t>TB/Map</t>
        </is>
      </c>
      <c r="F17" s="3959" t="inlineStr"/>
      <c r="G17" s="3929" t="n"/>
      <c r="H17" s="3929" t="n"/>
      <c r="I17" s="3929" t="n"/>
      <c r="J17" s="3929" t="n"/>
      <c r="K17" s="3929" t="n"/>
      <c r="L17" s="3929" t="n"/>
      <c r="M17" s="3929" t="n"/>
      <c r="N17" s="3929" t="n"/>
      <c r="O17" s="3929" t="n"/>
      <c r="P17" s="3929" t="n"/>
      <c r="Q17" s="3929" t="n"/>
      <c r="R17" s="3929" t="n"/>
      <c r="S17" s="3929" t="n"/>
      <c r="T17" s="3929" t="n"/>
      <c r="U17" s="3929" t="n"/>
      <c r="V17" s="3929" t="n"/>
      <c r="W17" s="3929" t="n"/>
      <c r="X17" s="3929" t="n"/>
      <c r="Y17" s="3929" t="n"/>
      <c r="Z17" s="3929" t="n"/>
      <c r="AA17" s="3929" t="n"/>
      <c r="AB17" s="3929" t="n"/>
      <c r="AC17" s="3929" t="n"/>
      <c r="AD17" s="3929" t="n"/>
      <c r="AE17" s="3929" t="n"/>
      <c r="AF17" s="3929" t="n"/>
      <c r="AG17" s="3929" t="n"/>
      <c r="AH17" s="3929" t="n"/>
      <c r="AI17" s="3929" t="n"/>
      <c r="AJ17" s="3929" t="n"/>
      <c r="AK17" s="3929" t="n"/>
      <c r="AL17" s="3929" t="n"/>
      <c r="AM17" s="3929" t="n"/>
      <c r="AN17" s="3929" t="n"/>
      <c r="AO17" s="3929" t="n"/>
      <c r="AP17" s="3929" t="n"/>
      <c r="AQ17" s="3949">
        <f>R17</f>
        <v/>
      </c>
      <c r="AR17" s="3949">
        <f>AD17</f>
        <v/>
      </c>
      <c r="AS17" s="3949">
        <f>AP17</f>
        <v/>
      </c>
    </row>
    <row r="18">
      <c r="A18" s="3959" t="inlineStr">
        <is>
          <t>BS_ACCR</t>
        </is>
      </c>
      <c r="B18" s="3959" t="inlineStr">
        <is>
          <t>Accrued liabilities</t>
        </is>
      </c>
      <c r="C18" s="3959" t="inlineStr"/>
      <c r="D18" s="3959" t="inlineStr">
        <is>
          <t>+</t>
        </is>
      </c>
      <c r="E18" s="3959" t="inlineStr">
        <is>
          <t>TB/Map</t>
        </is>
      </c>
      <c r="F18" s="3959" t="inlineStr"/>
      <c r="G18" s="3929" t="n"/>
      <c r="H18" s="3929" t="n"/>
      <c r="I18" s="3929" t="n"/>
      <c r="J18" s="3929" t="n"/>
      <c r="K18" s="3929" t="n"/>
      <c r="L18" s="3929" t="n"/>
      <c r="M18" s="3929" t="n"/>
      <c r="N18" s="3929" t="n"/>
      <c r="O18" s="3929" t="n"/>
      <c r="P18" s="3929" t="n"/>
      <c r="Q18" s="3929" t="n"/>
      <c r="R18" s="3929" t="n"/>
      <c r="S18" s="3929" t="n"/>
      <c r="T18" s="3929" t="n"/>
      <c r="U18" s="3929" t="n"/>
      <c r="V18" s="3929" t="n"/>
      <c r="W18" s="3929" t="n"/>
      <c r="X18" s="3929" t="n"/>
      <c r="Y18" s="3929" t="n"/>
      <c r="Z18" s="3929" t="n"/>
      <c r="AA18" s="3929" t="n"/>
      <c r="AB18" s="3929" t="n"/>
      <c r="AC18" s="3929" t="n"/>
      <c r="AD18" s="3929" t="n"/>
      <c r="AE18" s="3929" t="n"/>
      <c r="AF18" s="3929" t="n"/>
      <c r="AG18" s="3929" t="n"/>
      <c r="AH18" s="3929" t="n"/>
      <c r="AI18" s="3929" t="n"/>
      <c r="AJ18" s="3929" t="n"/>
      <c r="AK18" s="3929" t="n"/>
      <c r="AL18" s="3929" t="n"/>
      <c r="AM18" s="3929" t="n"/>
      <c r="AN18" s="3929" t="n"/>
      <c r="AO18" s="3929" t="n"/>
      <c r="AP18" s="3929" t="n"/>
      <c r="AQ18" s="3949">
        <f>R18</f>
        <v/>
      </c>
      <c r="AR18" s="3949">
        <f>AD18</f>
        <v/>
      </c>
      <c r="AS18" s="3949">
        <f>AP18</f>
        <v/>
      </c>
    </row>
    <row r="19">
      <c r="A19" s="3959" t="inlineStr">
        <is>
          <t>BS_DEBT</t>
        </is>
      </c>
      <c r="B19" s="3959" t="inlineStr">
        <is>
          <t>Debt</t>
        </is>
      </c>
      <c r="C19" s="3959" t="inlineStr"/>
      <c r="D19" s="3959" t="inlineStr">
        <is>
          <t>+</t>
        </is>
      </c>
      <c r="E19" s="3959" t="inlineStr">
        <is>
          <t>TB/Map</t>
        </is>
      </c>
      <c r="F19" s="3959" t="inlineStr"/>
      <c r="G19" s="3929" t="n"/>
      <c r="H19" s="3929" t="n"/>
      <c r="I19" s="3929" t="n"/>
      <c r="J19" s="3929" t="n"/>
      <c r="K19" s="3929" t="n"/>
      <c r="L19" s="3929" t="n"/>
      <c r="M19" s="3929" t="n"/>
      <c r="N19" s="3929" t="n"/>
      <c r="O19" s="3929" t="n"/>
      <c r="P19" s="3929" t="n"/>
      <c r="Q19" s="3929" t="n"/>
      <c r="R19" s="3929" t="n"/>
      <c r="S19" s="3929" t="n"/>
      <c r="T19" s="3929" t="n"/>
      <c r="U19" s="3929" t="n"/>
      <c r="V19" s="3929" t="n"/>
      <c r="W19" s="3929" t="n"/>
      <c r="X19" s="3929" t="n"/>
      <c r="Y19" s="3929" t="n"/>
      <c r="Z19" s="3929" t="n"/>
      <c r="AA19" s="3929" t="n"/>
      <c r="AB19" s="3929" t="n"/>
      <c r="AC19" s="3929" t="n"/>
      <c r="AD19" s="3929" t="n"/>
      <c r="AE19" s="3929" t="n"/>
      <c r="AF19" s="3929" t="n"/>
      <c r="AG19" s="3929" t="n"/>
      <c r="AH19" s="3929" t="n"/>
      <c r="AI19" s="3929" t="n"/>
      <c r="AJ19" s="3929" t="n"/>
      <c r="AK19" s="3929" t="n"/>
      <c r="AL19" s="3929" t="n"/>
      <c r="AM19" s="3929" t="n"/>
      <c r="AN19" s="3929" t="n"/>
      <c r="AO19" s="3929" t="n"/>
      <c r="AP19" s="3929" t="n"/>
      <c r="AQ19" s="3949">
        <f>R19</f>
        <v/>
      </c>
      <c r="AR19" s="3949">
        <f>AD19</f>
        <v/>
      </c>
      <c r="AS19" s="3949">
        <f>AP19</f>
        <v/>
      </c>
    </row>
    <row r="20">
      <c r="A20" s="3959" t="inlineStr">
        <is>
          <t>BS_OL</t>
        </is>
      </c>
      <c r="B20" s="3959" t="inlineStr">
        <is>
          <t>Other liabilities</t>
        </is>
      </c>
      <c r="C20" s="3959" t="inlineStr"/>
      <c r="D20" s="3959" t="inlineStr">
        <is>
          <t>+</t>
        </is>
      </c>
      <c r="E20" s="3959" t="inlineStr">
        <is>
          <t>TB/Map</t>
        </is>
      </c>
      <c r="F20" s="3959" t="inlineStr"/>
      <c r="G20" s="3929" t="n"/>
      <c r="H20" s="3929" t="n"/>
      <c r="I20" s="3929" t="n"/>
      <c r="J20" s="3929" t="n"/>
      <c r="K20" s="3929" t="n"/>
      <c r="L20" s="3929" t="n"/>
      <c r="M20" s="3929" t="n"/>
      <c r="N20" s="3929" t="n"/>
      <c r="O20" s="3929" t="n"/>
      <c r="P20" s="3929" t="n"/>
      <c r="Q20" s="3929" t="n"/>
      <c r="R20" s="3929" t="n"/>
      <c r="S20" s="3929" t="n"/>
      <c r="T20" s="3929" t="n"/>
      <c r="U20" s="3929" t="n"/>
      <c r="V20" s="3929" t="n"/>
      <c r="W20" s="3929" t="n"/>
      <c r="X20" s="3929" t="n"/>
      <c r="Y20" s="3929" t="n"/>
      <c r="Z20" s="3929" t="n"/>
      <c r="AA20" s="3929" t="n"/>
      <c r="AB20" s="3929" t="n"/>
      <c r="AC20" s="3929" t="n"/>
      <c r="AD20" s="3929" t="n"/>
      <c r="AE20" s="3929" t="n"/>
      <c r="AF20" s="3929" t="n"/>
      <c r="AG20" s="3929" t="n"/>
      <c r="AH20" s="3929" t="n"/>
      <c r="AI20" s="3929" t="n"/>
      <c r="AJ20" s="3929" t="n"/>
      <c r="AK20" s="3929" t="n"/>
      <c r="AL20" s="3929" t="n"/>
      <c r="AM20" s="3929" t="n"/>
      <c r="AN20" s="3929" t="n"/>
      <c r="AO20" s="3929" t="n"/>
      <c r="AP20" s="3929" t="n"/>
      <c r="AQ20" s="3949">
        <f>R20</f>
        <v/>
      </c>
      <c r="AR20" s="3949">
        <f>AD20</f>
        <v/>
      </c>
      <c r="AS20" s="3949">
        <f>AP20</f>
        <v/>
      </c>
    </row>
    <row r="21">
      <c r="A21" s="3959" t="inlineStr">
        <is>
          <t>BS_TL</t>
        </is>
      </c>
      <c r="B21" s="3959" t="inlineStr">
        <is>
          <t>Total liabilities</t>
        </is>
      </c>
      <c r="C21" s="3959" t="inlineStr"/>
      <c r="D21" s="3959" t="inlineStr">
        <is>
          <t>+</t>
        </is>
      </c>
      <c r="E21" s="3959" t="inlineStr">
        <is>
          <t>Formula</t>
        </is>
      </c>
      <c r="F21" s="3959" t="inlineStr">
        <is>
          <t>Derived</t>
        </is>
      </c>
      <c r="G21" s="3960">
        <f>IF(COUNT(G17:G20)=0,"",SUM(G17:G20))</f>
        <v/>
      </c>
      <c r="H21" s="3960">
        <f>IF(COUNT(H17:H20)=0,"",SUM(H17:H20))</f>
        <v/>
      </c>
      <c r="I21" s="3960">
        <f>IF(COUNT(I17:I20)=0,"",SUM(I17:I20))</f>
        <v/>
      </c>
      <c r="J21" s="3960">
        <f>IF(COUNT(J17:J20)=0,"",SUM(J17:J20))</f>
        <v/>
      </c>
      <c r="K21" s="3960">
        <f>IF(COUNT(K17:K20)=0,"",SUM(K17:K20))</f>
        <v/>
      </c>
      <c r="L21" s="3960">
        <f>IF(COUNT(L17:L20)=0,"",SUM(L17:L20))</f>
        <v/>
      </c>
      <c r="M21" s="3960">
        <f>IF(COUNT(M17:M20)=0,"",SUM(M17:M20))</f>
        <v/>
      </c>
      <c r="N21" s="3960">
        <f>IF(COUNT(N17:N20)=0,"",SUM(N17:N20))</f>
        <v/>
      </c>
      <c r="O21" s="3960">
        <f>IF(COUNT(O17:O20)=0,"",SUM(O17:O20))</f>
        <v/>
      </c>
      <c r="P21" s="3960">
        <f>IF(COUNT(P17:P20)=0,"",SUM(P17:P20))</f>
        <v/>
      </c>
      <c r="Q21" s="3960">
        <f>IF(COUNT(Q17:Q20)=0,"",SUM(Q17:Q20))</f>
        <v/>
      </c>
      <c r="R21" s="3960">
        <f>IF(COUNT(R17:R20)=0,"",SUM(R17:R20))</f>
        <v/>
      </c>
      <c r="S21" s="3960">
        <f>IF(COUNT(S17:S20)=0,"",SUM(S17:S20))</f>
        <v/>
      </c>
      <c r="T21" s="3960">
        <f>IF(COUNT(T17:T20)=0,"",SUM(T17:T20))</f>
        <v/>
      </c>
      <c r="U21" s="3960">
        <f>IF(COUNT(U17:U20)=0,"",SUM(U17:U20))</f>
        <v/>
      </c>
      <c r="V21" s="3960">
        <f>IF(COUNT(V17:V20)=0,"",SUM(V17:V20))</f>
        <v/>
      </c>
      <c r="W21" s="3960">
        <f>IF(COUNT(W17:W20)=0,"",SUM(W17:W20))</f>
        <v/>
      </c>
      <c r="X21" s="3960">
        <f>IF(COUNT(X17:X20)=0,"",SUM(X17:X20))</f>
        <v/>
      </c>
      <c r="Y21" s="3960">
        <f>IF(COUNT(Y17:Y20)=0,"",SUM(Y17:Y20))</f>
        <v/>
      </c>
      <c r="Z21" s="3960">
        <f>IF(COUNT(Z17:Z20)=0,"",SUM(Z17:Z20))</f>
        <v/>
      </c>
      <c r="AA21" s="3960">
        <f>IF(COUNT(AA17:AA20)=0,"",SUM(AA17:AA20))</f>
        <v/>
      </c>
      <c r="AB21" s="3960">
        <f>IF(COUNT(AB17:AB20)=0,"",SUM(AB17:AB20))</f>
        <v/>
      </c>
      <c r="AC21" s="3960">
        <f>IF(COUNT(AC17:AC20)=0,"",SUM(AC17:AC20))</f>
        <v/>
      </c>
      <c r="AD21" s="3960">
        <f>IF(COUNT(AD17:AD20)=0,"",SUM(AD17:AD20))</f>
        <v/>
      </c>
      <c r="AE21" s="3960">
        <f>IF(COUNT(AE17:AE20)=0,"",SUM(AE17:AE20))</f>
        <v/>
      </c>
      <c r="AF21" s="3960">
        <f>IF(COUNT(AF17:AF20)=0,"",SUM(AF17:AF20))</f>
        <v/>
      </c>
      <c r="AG21" s="3960">
        <f>IF(COUNT(AG17:AG20)=0,"",SUM(AG17:AG20))</f>
        <v/>
      </c>
      <c r="AH21" s="3960">
        <f>IF(COUNT(AH17:AH20)=0,"",SUM(AH17:AH20))</f>
        <v/>
      </c>
      <c r="AI21" s="3960">
        <f>IF(COUNT(AI17:AI20)=0,"",SUM(AI17:AI20))</f>
        <v/>
      </c>
      <c r="AJ21" s="3960">
        <f>IF(COUNT(AJ17:AJ20)=0,"",SUM(AJ17:AJ20))</f>
        <v/>
      </c>
      <c r="AK21" s="3960">
        <f>IF(COUNT(AK17:AK20)=0,"",SUM(AK17:AK20))</f>
        <v/>
      </c>
      <c r="AL21" s="3960">
        <f>IF(COUNT(AL17:AL20)=0,"",SUM(AL17:AL20))</f>
        <v/>
      </c>
      <c r="AM21" s="3960">
        <f>IF(COUNT(AM17:AM20)=0,"",SUM(AM17:AM20))</f>
        <v/>
      </c>
      <c r="AN21" s="3960">
        <f>IF(COUNT(AN17:AN20)=0,"",SUM(AN17:AN20))</f>
        <v/>
      </c>
      <c r="AO21" s="3960">
        <f>IF(COUNT(AO17:AO20)=0,"",SUM(AO17:AO20))</f>
        <v/>
      </c>
      <c r="AP21" s="3960">
        <f>IF(COUNT(AP17:AP20)=0,"",SUM(AP17:AP20))</f>
        <v/>
      </c>
      <c r="AQ21" s="3949">
        <f>R21</f>
        <v/>
      </c>
      <c r="AR21" s="3949">
        <f>AD21</f>
        <v/>
      </c>
      <c r="AS21" s="3949">
        <f>AP21</f>
        <v/>
      </c>
    </row>
    <row r="22">
      <c r="A22" s="3959" t="inlineStr">
        <is>
          <t>BS_EQ</t>
        </is>
      </c>
      <c r="B22" s="3959" t="inlineStr">
        <is>
          <t>Equity</t>
        </is>
      </c>
      <c r="C22" s="3959" t="inlineStr"/>
      <c r="D22" s="3959" t="inlineStr">
        <is>
          <t>+</t>
        </is>
      </c>
      <c r="E22" s="3959" t="inlineStr">
        <is>
          <t>TB/Map</t>
        </is>
      </c>
      <c r="F22" s="3959" t="inlineStr"/>
      <c r="G22" s="3929" t="n"/>
      <c r="H22" s="3929" t="n"/>
      <c r="I22" s="3929" t="n"/>
      <c r="J22" s="3929" t="n"/>
      <c r="K22" s="3929" t="n"/>
      <c r="L22" s="3929" t="n"/>
      <c r="M22" s="3929" t="n"/>
      <c r="N22" s="3929" t="n"/>
      <c r="O22" s="3929" t="n"/>
      <c r="P22" s="3929" t="n"/>
      <c r="Q22" s="3929" t="n"/>
      <c r="R22" s="3929" t="n"/>
      <c r="S22" s="3929" t="n"/>
      <c r="T22" s="3929" t="n"/>
      <c r="U22" s="3929" t="n"/>
      <c r="V22" s="3929" t="n"/>
      <c r="W22" s="3929" t="n"/>
      <c r="X22" s="3929" t="n"/>
      <c r="Y22" s="3929" t="n"/>
      <c r="Z22" s="3929" t="n"/>
      <c r="AA22" s="3929" t="n"/>
      <c r="AB22" s="3929" t="n"/>
      <c r="AC22" s="3929" t="n"/>
      <c r="AD22" s="3929" t="n"/>
      <c r="AE22" s="3929" t="n"/>
      <c r="AF22" s="3929" t="n"/>
      <c r="AG22" s="3929" t="n"/>
      <c r="AH22" s="3929" t="n"/>
      <c r="AI22" s="3929" t="n"/>
      <c r="AJ22" s="3929" t="n"/>
      <c r="AK22" s="3929" t="n"/>
      <c r="AL22" s="3929" t="n"/>
      <c r="AM22" s="3929" t="n"/>
      <c r="AN22" s="3929" t="n"/>
      <c r="AO22" s="3929" t="n"/>
      <c r="AP22" s="3929" t="n"/>
      <c r="AQ22" s="3949">
        <f>R22</f>
        <v/>
      </c>
      <c r="AR22" s="3949">
        <f>AD22</f>
        <v/>
      </c>
      <c r="AS22" s="3949">
        <f>AP22</f>
        <v/>
      </c>
    </row>
    <row r="23">
      <c r="A23" s="3959" t="inlineStr">
        <is>
          <t>BS_TLE</t>
        </is>
      </c>
      <c r="B23" s="3959" t="inlineStr">
        <is>
          <t>Total liabilities + equity</t>
        </is>
      </c>
      <c r="C23" s="3959" t="inlineStr"/>
      <c r="D23" s="3959" t="inlineStr">
        <is>
          <t>+</t>
        </is>
      </c>
      <c r="E23" s="3959" t="inlineStr">
        <is>
          <t>Formula</t>
        </is>
      </c>
      <c r="F23" s="3959" t="inlineStr">
        <is>
          <t>Derived</t>
        </is>
      </c>
      <c r="G23" s="3960">
        <f>IF(COUNT(G21:G22)=0,"",SUM(G21:G22))</f>
        <v/>
      </c>
      <c r="H23" s="3960">
        <f>IF(COUNT(H21:H22)=0,"",SUM(H21:H22))</f>
        <v/>
      </c>
      <c r="I23" s="3960">
        <f>IF(COUNT(I21:I22)=0,"",SUM(I21:I22))</f>
        <v/>
      </c>
      <c r="J23" s="3960">
        <f>IF(COUNT(J21:J22)=0,"",SUM(J21:J22))</f>
        <v/>
      </c>
      <c r="K23" s="3960">
        <f>IF(COUNT(K21:K22)=0,"",SUM(K21:K22))</f>
        <v/>
      </c>
      <c r="L23" s="3960">
        <f>IF(COUNT(L21:L22)=0,"",SUM(L21:L22))</f>
        <v/>
      </c>
      <c r="M23" s="3960">
        <f>IF(COUNT(M21:M22)=0,"",SUM(M21:M22))</f>
        <v/>
      </c>
      <c r="N23" s="3960">
        <f>IF(COUNT(N21:N22)=0,"",SUM(N21:N22))</f>
        <v/>
      </c>
      <c r="O23" s="3960">
        <f>IF(COUNT(O21:O22)=0,"",SUM(O21:O22))</f>
        <v/>
      </c>
      <c r="P23" s="3960">
        <f>IF(COUNT(P21:P22)=0,"",SUM(P21:P22))</f>
        <v/>
      </c>
      <c r="Q23" s="3960">
        <f>IF(COUNT(Q21:Q22)=0,"",SUM(Q21:Q22))</f>
        <v/>
      </c>
      <c r="R23" s="3960">
        <f>IF(COUNT(R21:R22)=0,"",SUM(R21:R22))</f>
        <v/>
      </c>
      <c r="S23" s="3960">
        <f>IF(COUNT(S21:S22)=0,"",SUM(S21:S22))</f>
        <v/>
      </c>
      <c r="T23" s="3960">
        <f>IF(COUNT(T21:T22)=0,"",SUM(T21:T22))</f>
        <v/>
      </c>
      <c r="U23" s="3960">
        <f>IF(COUNT(U21:U22)=0,"",SUM(U21:U22))</f>
        <v/>
      </c>
      <c r="V23" s="3960">
        <f>IF(COUNT(V21:V22)=0,"",SUM(V21:V22))</f>
        <v/>
      </c>
      <c r="W23" s="3960">
        <f>IF(COUNT(W21:W22)=0,"",SUM(W21:W22))</f>
        <v/>
      </c>
      <c r="X23" s="3960">
        <f>IF(COUNT(X21:X22)=0,"",SUM(X21:X22))</f>
        <v/>
      </c>
      <c r="Y23" s="3960">
        <f>IF(COUNT(Y21:Y22)=0,"",SUM(Y21:Y22))</f>
        <v/>
      </c>
      <c r="Z23" s="3960">
        <f>IF(COUNT(Z21:Z22)=0,"",SUM(Z21:Z22))</f>
        <v/>
      </c>
      <c r="AA23" s="3960">
        <f>IF(COUNT(AA21:AA22)=0,"",SUM(AA21:AA22))</f>
        <v/>
      </c>
      <c r="AB23" s="3960">
        <f>IF(COUNT(AB21:AB22)=0,"",SUM(AB21:AB22))</f>
        <v/>
      </c>
      <c r="AC23" s="3960">
        <f>IF(COUNT(AC21:AC22)=0,"",SUM(AC21:AC22))</f>
        <v/>
      </c>
      <c r="AD23" s="3960">
        <f>IF(COUNT(AD21:AD22)=0,"",SUM(AD21:AD22))</f>
        <v/>
      </c>
      <c r="AE23" s="3960">
        <f>IF(COUNT(AE21:AE22)=0,"",SUM(AE21:AE22))</f>
        <v/>
      </c>
      <c r="AF23" s="3960">
        <f>IF(COUNT(AF21:AF22)=0,"",SUM(AF21:AF22))</f>
        <v/>
      </c>
      <c r="AG23" s="3960">
        <f>IF(COUNT(AG21:AG22)=0,"",SUM(AG21:AG22))</f>
        <v/>
      </c>
      <c r="AH23" s="3960">
        <f>IF(COUNT(AH21:AH22)=0,"",SUM(AH21:AH22))</f>
        <v/>
      </c>
      <c r="AI23" s="3960">
        <f>IF(COUNT(AI21:AI22)=0,"",SUM(AI21:AI22))</f>
        <v/>
      </c>
      <c r="AJ23" s="3960">
        <f>IF(COUNT(AJ21:AJ22)=0,"",SUM(AJ21:AJ22))</f>
        <v/>
      </c>
      <c r="AK23" s="3960">
        <f>IF(COUNT(AK21:AK22)=0,"",SUM(AK21:AK22))</f>
        <v/>
      </c>
      <c r="AL23" s="3960">
        <f>IF(COUNT(AL21:AL22)=0,"",SUM(AL21:AL22))</f>
        <v/>
      </c>
      <c r="AM23" s="3960">
        <f>IF(COUNT(AM21:AM22)=0,"",SUM(AM21:AM22))</f>
        <v/>
      </c>
      <c r="AN23" s="3960">
        <f>IF(COUNT(AN21:AN22)=0,"",SUM(AN21:AN22))</f>
        <v/>
      </c>
      <c r="AO23" s="3960">
        <f>IF(COUNT(AO21:AO22)=0,"",SUM(AO21:AO22))</f>
        <v/>
      </c>
      <c r="AP23" s="3960">
        <f>IF(COUNT(AP21:AP22)=0,"",SUM(AP21:AP22))</f>
        <v/>
      </c>
      <c r="AQ23" s="3949">
        <f>R23</f>
        <v/>
      </c>
      <c r="AR23" s="3949">
        <f>AD23</f>
        <v/>
      </c>
      <c r="AS23" s="3949">
        <f>AP23</f>
        <v/>
      </c>
    </row>
    <row r="24">
      <c r="A24" s="3959" t="n"/>
      <c r="B24" s="3959" t="n"/>
      <c r="C24" s="3959" t="n"/>
      <c r="D24" s="3959" t="n"/>
      <c r="E24" s="3959" t="n"/>
      <c r="F24" s="3959" t="n"/>
      <c r="G24" s="3960" t="n"/>
      <c r="H24" s="3960" t="n"/>
      <c r="I24" s="3960" t="n"/>
      <c r="J24" s="3960" t="n"/>
      <c r="K24" s="3960" t="n"/>
      <c r="L24" s="3960" t="n"/>
      <c r="M24" s="3960" t="n"/>
      <c r="N24" s="3960" t="n"/>
      <c r="O24" s="3960" t="n"/>
      <c r="P24" s="3960" t="n"/>
      <c r="Q24" s="3960" t="n"/>
      <c r="R24" s="3960" t="n"/>
      <c r="S24" s="3960" t="n"/>
      <c r="T24" s="3960" t="n"/>
      <c r="U24" s="3960" t="n"/>
      <c r="V24" s="3960" t="n"/>
      <c r="W24" s="3960" t="n"/>
      <c r="X24" s="3960" t="n"/>
      <c r="Y24" s="3960" t="n"/>
      <c r="Z24" s="3960" t="n"/>
      <c r="AA24" s="3960" t="n"/>
      <c r="AB24" s="3960" t="n"/>
      <c r="AC24" s="3960" t="n"/>
      <c r="AD24" s="3960" t="n"/>
      <c r="AE24" s="3960" t="n"/>
      <c r="AF24" s="3960" t="n"/>
      <c r="AG24" s="3960" t="n"/>
      <c r="AH24" s="3960" t="n"/>
      <c r="AI24" s="3960" t="n"/>
      <c r="AJ24" s="3960" t="n"/>
      <c r="AK24" s="3960" t="n"/>
      <c r="AL24" s="3960" t="n"/>
      <c r="AM24" s="3960" t="n"/>
      <c r="AN24" s="3960" t="n"/>
      <c r="AO24" s="3960" t="n"/>
      <c r="AP24" s="3960" t="n"/>
      <c r="AQ24" s="3960" t="n"/>
      <c r="AR24" s="3960" t="n"/>
      <c r="AS24" s="3960" t="n"/>
    </row>
    <row r="25">
      <c r="A25" s="3959" t="n"/>
      <c r="B25" s="3959" t="n"/>
      <c r="C25" s="3959" t="n"/>
      <c r="D25" s="3959" t="n"/>
      <c r="E25" s="3959" t="n"/>
      <c r="F25" s="3959" t="n"/>
      <c r="G25" s="3960" t="n"/>
      <c r="H25" s="3960" t="n"/>
      <c r="I25" s="3960" t="n"/>
      <c r="J25" s="3960" t="n"/>
      <c r="K25" s="3960" t="n"/>
      <c r="L25" s="3960" t="n"/>
      <c r="M25" s="3960" t="n"/>
      <c r="N25" s="3960" t="n"/>
      <c r="O25" s="3960" t="n"/>
      <c r="P25" s="3960" t="n"/>
      <c r="Q25" s="3960" t="n"/>
      <c r="R25" s="3960" t="n"/>
      <c r="S25" s="3960" t="n"/>
      <c r="T25" s="3960" t="n"/>
      <c r="U25" s="3960" t="n"/>
      <c r="V25" s="3960" t="n"/>
      <c r="W25" s="3960" t="n"/>
      <c r="X25" s="3960" t="n"/>
      <c r="Y25" s="3960" t="n"/>
      <c r="Z25" s="3960" t="n"/>
      <c r="AA25" s="3960" t="n"/>
      <c r="AB25" s="3960" t="n"/>
      <c r="AC25" s="3960" t="n"/>
      <c r="AD25" s="3960" t="n"/>
      <c r="AE25" s="3960" t="n"/>
      <c r="AF25" s="3960" t="n"/>
      <c r="AG25" s="3960" t="n"/>
      <c r="AH25" s="3960" t="n"/>
      <c r="AI25" s="3960" t="n"/>
      <c r="AJ25" s="3960" t="n"/>
      <c r="AK25" s="3960" t="n"/>
      <c r="AL25" s="3960" t="n"/>
      <c r="AM25" s="3960" t="n"/>
      <c r="AN25" s="3960" t="n"/>
      <c r="AO25" s="3960" t="n"/>
      <c r="AP25" s="3960" t="n"/>
      <c r="AQ25" s="3960" t="n"/>
      <c r="AR25" s="3960" t="n"/>
      <c r="AS25" s="3960" t="n"/>
    </row>
    <row r="26">
      <c r="A26" s="3959" t="n"/>
      <c r="B26" s="3959" t="n"/>
      <c r="C26" s="3959" t="n"/>
      <c r="D26" s="3959" t="n"/>
      <c r="E26" s="3959" t="n"/>
      <c r="F26" s="3959" t="n"/>
      <c r="G26" s="3960" t="n"/>
      <c r="H26" s="3960" t="n"/>
      <c r="I26" s="3960" t="n"/>
      <c r="J26" s="3960" t="n"/>
      <c r="K26" s="3960" t="n"/>
      <c r="L26" s="3960" t="n"/>
      <c r="M26" s="3960" t="n"/>
      <c r="N26" s="3960" t="n"/>
      <c r="O26" s="3960" t="n"/>
      <c r="P26" s="3960" t="n"/>
      <c r="Q26" s="3960" t="n"/>
      <c r="R26" s="3960" t="n"/>
      <c r="S26" s="3960" t="n"/>
      <c r="T26" s="3960" t="n"/>
      <c r="U26" s="3960" t="n"/>
      <c r="V26" s="3960" t="n"/>
      <c r="W26" s="3960" t="n"/>
      <c r="X26" s="3960" t="n"/>
      <c r="Y26" s="3960" t="n"/>
      <c r="Z26" s="3960" t="n"/>
      <c r="AA26" s="3960" t="n"/>
      <c r="AB26" s="3960" t="n"/>
      <c r="AC26" s="3960" t="n"/>
      <c r="AD26" s="3960" t="n"/>
      <c r="AE26" s="3960" t="n"/>
      <c r="AF26" s="3960" t="n"/>
      <c r="AG26" s="3960" t="n"/>
      <c r="AH26" s="3960" t="n"/>
      <c r="AI26" s="3960" t="n"/>
      <c r="AJ26" s="3960" t="n"/>
      <c r="AK26" s="3960" t="n"/>
      <c r="AL26" s="3960" t="n"/>
      <c r="AM26" s="3960" t="n"/>
      <c r="AN26" s="3960" t="n"/>
      <c r="AO26" s="3960" t="n"/>
      <c r="AP26" s="3960" t="n"/>
      <c r="AQ26" s="3960" t="n"/>
      <c r="AR26" s="3960" t="n"/>
      <c r="AS26" s="3960" t="n"/>
    </row>
    <row r="27">
      <c r="A27" s="3979" t="inlineStr">
        <is>
          <t>BS_CHECKS</t>
        </is>
      </c>
      <c r="B27" s="3980" t="n"/>
      <c r="C27" s="3980" t="n"/>
      <c r="D27" s="3980" t="n"/>
      <c r="E27" s="3980" t="n"/>
      <c r="F27" s="3980" t="n"/>
      <c r="G27" s="3981" t="n"/>
      <c r="H27" s="3981" t="n"/>
      <c r="I27" s="3981" t="n"/>
      <c r="J27" s="3981" t="n"/>
      <c r="K27" s="3981" t="n"/>
      <c r="L27" s="3981" t="n"/>
      <c r="M27" s="3981" t="n"/>
      <c r="N27" s="3981" t="n"/>
      <c r="O27" s="3981" t="n"/>
      <c r="P27" s="3981" t="n"/>
      <c r="Q27" s="3981" t="n"/>
      <c r="R27" s="3981" t="n"/>
      <c r="S27" s="3981" t="n"/>
      <c r="T27" s="3981" t="n"/>
      <c r="U27" s="3981" t="n"/>
      <c r="V27" s="3981" t="n"/>
      <c r="W27" s="3981" t="n"/>
      <c r="X27" s="3981" t="n"/>
      <c r="Y27" s="3981" t="n"/>
      <c r="Z27" s="3981" t="n"/>
      <c r="AA27" s="3981" t="n"/>
      <c r="AB27" s="3981" t="n"/>
      <c r="AC27" s="3981" t="n"/>
      <c r="AD27" s="3981" t="n"/>
      <c r="AE27" s="3981" t="n"/>
      <c r="AF27" s="3981" t="n"/>
      <c r="AG27" s="3981" t="n"/>
      <c r="AH27" s="3981" t="n"/>
      <c r="AI27" s="3981" t="n"/>
      <c r="AJ27" s="3981" t="n"/>
      <c r="AK27" s="3981" t="n"/>
      <c r="AL27" s="3981" t="n"/>
      <c r="AM27" s="3981" t="n"/>
      <c r="AN27" s="3981" t="n"/>
      <c r="AO27" s="3981" t="n"/>
      <c r="AP27" s="3981" t="n"/>
      <c r="AQ27" s="3981" t="n"/>
      <c r="AR27" s="3981" t="n"/>
      <c r="AS27" s="3981" t="n"/>
    </row>
    <row r="28">
      <c r="A28" s="3959" t="inlineStr">
        <is>
          <t>Balance check (Assets - Liabilities &amp; Equity)</t>
        </is>
      </c>
      <c r="B28" s="3959" t="n"/>
      <c r="C28" s="3959" t="n"/>
      <c r="D28" s="3959" t="n"/>
      <c r="E28" s="3959" t="n"/>
      <c r="F28" s="3959" t="n"/>
      <c r="G28" s="3961">
        <f>IF(OR(G16="",G23=""),"",G16-G23)</f>
        <v/>
      </c>
      <c r="H28" s="3961">
        <f>IF(OR(H16="",H23=""),"",H16-H23)</f>
        <v/>
      </c>
      <c r="I28" s="3961">
        <f>IF(OR(I16="",I23=""),"",I16-I23)</f>
        <v/>
      </c>
      <c r="J28" s="3961">
        <f>IF(OR(J16="",J23=""),"",J16-J23)</f>
        <v/>
      </c>
      <c r="K28" s="3961">
        <f>IF(OR(K16="",K23=""),"",K16-K23)</f>
        <v/>
      </c>
      <c r="L28" s="3961">
        <f>IF(OR(L16="",L23=""),"",L16-L23)</f>
        <v/>
      </c>
      <c r="M28" s="3961">
        <f>IF(OR(M16="",M23=""),"",M16-M23)</f>
        <v/>
      </c>
      <c r="N28" s="3961">
        <f>IF(OR(N16="",N23=""),"",N16-N23)</f>
        <v/>
      </c>
      <c r="O28" s="3961">
        <f>IF(OR(O16="",O23=""),"",O16-O23)</f>
        <v/>
      </c>
      <c r="P28" s="3961">
        <f>IF(OR(P16="",P23=""),"",P16-P23)</f>
        <v/>
      </c>
      <c r="Q28" s="3961">
        <f>IF(OR(Q16="",Q23=""),"",Q16-Q23)</f>
        <v/>
      </c>
      <c r="R28" s="3961">
        <f>IF(OR(R16="",R23=""),"",R16-R23)</f>
        <v/>
      </c>
      <c r="S28" s="3961">
        <f>IF(OR(S16="",S23=""),"",S16-S23)</f>
        <v/>
      </c>
      <c r="T28" s="3961">
        <f>IF(OR(T16="",T23=""),"",T16-T23)</f>
        <v/>
      </c>
      <c r="U28" s="3961">
        <f>IF(OR(U16="",U23=""),"",U16-U23)</f>
        <v/>
      </c>
      <c r="V28" s="3961">
        <f>IF(OR(V16="",V23=""),"",V16-V23)</f>
        <v/>
      </c>
      <c r="W28" s="3961">
        <f>IF(OR(W16="",W23=""),"",W16-W23)</f>
        <v/>
      </c>
      <c r="X28" s="3961">
        <f>IF(OR(X16="",X23=""),"",X16-X23)</f>
        <v/>
      </c>
      <c r="Y28" s="3961">
        <f>IF(OR(Y16="",Y23=""),"",Y16-Y23)</f>
        <v/>
      </c>
      <c r="Z28" s="3961">
        <f>IF(OR(Z16="",Z23=""),"",Z16-Z23)</f>
        <v/>
      </c>
      <c r="AA28" s="3961">
        <f>IF(OR(AA16="",AA23=""),"",AA16-AA23)</f>
        <v/>
      </c>
      <c r="AB28" s="3961">
        <f>IF(OR(AB16="",AB23=""),"",AB16-AB23)</f>
        <v/>
      </c>
      <c r="AC28" s="3961">
        <f>IF(OR(AC16="",AC23=""),"",AC16-AC23)</f>
        <v/>
      </c>
      <c r="AD28" s="3961">
        <f>IF(OR(AD16="",AD23=""),"",AD16-AD23)</f>
        <v/>
      </c>
      <c r="AE28" s="3961">
        <f>IF(OR(AE16="",AE23=""),"",AE16-AE23)</f>
        <v/>
      </c>
      <c r="AF28" s="3961">
        <f>IF(OR(AF16="",AF23=""),"",AF16-AF23)</f>
        <v/>
      </c>
      <c r="AG28" s="3961">
        <f>IF(OR(AG16="",AG23=""),"",AG16-AG23)</f>
        <v/>
      </c>
      <c r="AH28" s="3961">
        <f>IF(OR(AH16="",AH23=""),"",AH16-AH23)</f>
        <v/>
      </c>
      <c r="AI28" s="3961">
        <f>IF(OR(AI16="",AI23=""),"",AI16-AI23)</f>
        <v/>
      </c>
      <c r="AJ28" s="3961">
        <f>IF(OR(AJ16="",AJ23=""),"",AJ16-AJ23)</f>
        <v/>
      </c>
      <c r="AK28" s="3961">
        <f>IF(OR(AK16="",AK23=""),"",AK16-AK23)</f>
        <v/>
      </c>
      <c r="AL28" s="3961">
        <f>IF(OR(AL16="",AL23=""),"",AL16-AL23)</f>
        <v/>
      </c>
      <c r="AM28" s="3961">
        <f>IF(OR(AM16="",AM23=""),"",AM16-AM23)</f>
        <v/>
      </c>
      <c r="AN28" s="3961">
        <f>IF(OR(AN16="",AN23=""),"",AN16-AN23)</f>
        <v/>
      </c>
      <c r="AO28" s="3961">
        <f>IF(OR(AO16="",AO23=""),"",AO16-AO23)</f>
        <v/>
      </c>
      <c r="AP28" s="3961">
        <f>IF(OR(AP16="",AP23=""),"",AP16-AP23)</f>
        <v/>
      </c>
      <c r="AQ28" s="3961">
        <f>IF(OR(AQ16="",AQ23=""),"",AQ16-AQ23)</f>
        <v/>
      </c>
      <c r="AR28" s="3961">
        <f>IF(OR(AR16="",AR23=""),"",AR16-AR23)</f>
        <v/>
      </c>
      <c r="AS28" s="3961">
        <f>IF(OR(AS16="",AS23=""),"",AS16-AS23)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S28"/>
  <sheetViews>
    <sheetView showGridLines="0" zoomScale="100" zoomScaleNormal="100" workbookViewId="0">
      <pane xSplit="6" ySplit="8" topLeftCell="G9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7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30" customWidth="1" min="46" max="46"/>
    <col width="30" customWidth="1" min="47" max="47"/>
  </cols>
  <sheetData>
    <row r="1">
      <c r="A1" s="3921" t="inlineStr">
        <is>
          <t>Entity 1 CF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  <c r="AS1" s="3934" t="n"/>
    </row>
    <row r="2">
      <c r="A2" s="3978" t="inlineStr">
        <is>
          <t>Source: &lt;document_source&gt;</t>
        </is>
      </c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  <c r="AS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  <c r="AS3" s="3934" t="n"/>
    </row>
    <row r="4">
      <c r="A4" s="3956" t="n"/>
      <c r="B4" s="3956" t="n"/>
      <c r="C4" s="3934" t="n"/>
      <c r="D4" s="3957" t="n"/>
      <c r="E4" s="3958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  <c r="AS4" s="3934" t="n"/>
    </row>
    <row r="5">
      <c r="A5" s="3956" t="n"/>
      <c r="B5" s="3956" t="n"/>
      <c r="C5" s="3934" t="n"/>
      <c r="D5" s="3956" t="n"/>
      <c r="E5" s="3956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  <c r="AS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  <c r="AS6" s="3934" t="n"/>
    </row>
    <row r="7">
      <c r="A7" s="3979" t="inlineStr">
        <is>
          <t>Entity 1 CF</t>
        </is>
      </c>
      <c r="B7" s="3980" t="n"/>
      <c r="C7" s="3980" t="n"/>
      <c r="D7" s="3980" t="n"/>
      <c r="E7" s="3980" t="n"/>
      <c r="F7" s="3980" t="n"/>
      <c r="G7" s="3980" t="n"/>
      <c r="H7" s="3980" t="n"/>
      <c r="I7" s="3980" t="n"/>
      <c r="J7" s="3980" t="n"/>
      <c r="K7" s="3980" t="n"/>
      <c r="L7" s="3980" t="n"/>
      <c r="M7" s="3980" t="n"/>
      <c r="N7" s="3980" t="n"/>
      <c r="O7" s="3980" t="n"/>
      <c r="P7" s="3980" t="n"/>
      <c r="Q7" s="3980" t="n"/>
      <c r="R7" s="3980" t="n"/>
      <c r="S7" s="3980" t="n"/>
      <c r="T7" s="3980" t="n"/>
      <c r="U7" s="3980" t="n"/>
      <c r="V7" s="3980" t="n"/>
      <c r="W7" s="3980" t="n"/>
      <c r="X7" s="3980" t="n"/>
      <c r="Y7" s="3980" t="n"/>
      <c r="Z7" s="3980" t="n"/>
      <c r="AA7" s="3980" t="n"/>
      <c r="AB7" s="3980" t="n"/>
      <c r="AC7" s="3980" t="n"/>
      <c r="AD7" s="3980" t="n"/>
      <c r="AE7" s="3980" t="n"/>
      <c r="AF7" s="3980" t="n"/>
      <c r="AG7" s="3980" t="n"/>
      <c r="AH7" s="3980" t="n"/>
      <c r="AI7" s="3980" t="n"/>
      <c r="AJ7" s="3980" t="n"/>
      <c r="AK7" s="3980" t="n"/>
      <c r="AL7" s="3980" t="n"/>
      <c r="AM7" s="3980" t="n"/>
      <c r="AN7" s="3980" t="n"/>
      <c r="AO7" s="3980" t="n"/>
      <c r="AP7" s="3980" t="n"/>
      <c r="AQ7" s="3980" t="n"/>
      <c r="AR7" s="3980" t="n"/>
      <c r="AS7" s="3980" t="n"/>
    </row>
    <row r="8">
      <c r="A8" s="3923" t="inlineStr">
        <is>
          <t>LineKey</t>
        </is>
      </c>
      <c r="B8" s="3923" t="inlineStr">
        <is>
          <t>$'000</t>
        </is>
      </c>
      <c r="C8" s="3923" t="inlineStr">
        <is>
          <t>TB Account No.</t>
        </is>
      </c>
      <c r="D8" s="3923" t="inlineStr">
        <is>
          <t>Sign</t>
        </is>
      </c>
      <c r="E8" s="3923" t="inlineStr">
        <is>
          <t>Source</t>
        </is>
      </c>
      <c r="F8" s="3923" t="inlineStr">
        <is>
          <t>Comments</t>
        </is>
      </c>
      <c r="G8" s="3947">
        <f>'Control | Setup'!A22</f>
        <v/>
      </c>
      <c r="H8" s="3947">
        <f>'Control | Setup'!A23</f>
        <v/>
      </c>
      <c r="I8" s="3947">
        <f>'Control | Setup'!A24</f>
        <v/>
      </c>
      <c r="J8" s="3947">
        <f>'Control | Setup'!A25</f>
        <v/>
      </c>
      <c r="K8" s="3947">
        <f>'Control | Setup'!A26</f>
        <v/>
      </c>
      <c r="L8" s="3947">
        <f>'Control | Setup'!A27</f>
        <v/>
      </c>
      <c r="M8" s="3947">
        <f>'Control | Setup'!A28</f>
        <v/>
      </c>
      <c r="N8" s="3947">
        <f>'Control | Setup'!A29</f>
        <v/>
      </c>
      <c r="O8" s="3947">
        <f>'Control | Setup'!A30</f>
        <v/>
      </c>
      <c r="P8" s="3947">
        <f>'Control | Setup'!A31</f>
        <v/>
      </c>
      <c r="Q8" s="3947">
        <f>'Control | Setup'!A32</f>
        <v/>
      </c>
      <c r="R8" s="3947">
        <f>'Control | Setup'!A33</f>
        <v/>
      </c>
      <c r="S8" s="3947">
        <f>'Control | Setup'!A34</f>
        <v/>
      </c>
      <c r="T8" s="3947">
        <f>'Control | Setup'!A35</f>
        <v/>
      </c>
      <c r="U8" s="3947">
        <f>'Control | Setup'!A36</f>
        <v/>
      </c>
      <c r="V8" s="3947">
        <f>'Control | Setup'!A37</f>
        <v/>
      </c>
      <c r="W8" s="3947">
        <f>'Control | Setup'!A38</f>
        <v/>
      </c>
      <c r="X8" s="3947">
        <f>'Control | Setup'!A39</f>
        <v/>
      </c>
      <c r="Y8" s="3947">
        <f>'Control | Setup'!A40</f>
        <v/>
      </c>
      <c r="Z8" s="3947">
        <f>'Control | Setup'!A41</f>
        <v/>
      </c>
      <c r="AA8" s="3947">
        <f>'Control | Setup'!A42</f>
        <v/>
      </c>
      <c r="AB8" s="3947">
        <f>'Control | Setup'!A43</f>
        <v/>
      </c>
      <c r="AC8" s="3947">
        <f>'Control | Setup'!A44</f>
        <v/>
      </c>
      <c r="AD8" s="3947">
        <f>'Control | Setup'!A45</f>
        <v/>
      </c>
      <c r="AE8" s="3947">
        <f>'Control | Setup'!A46</f>
        <v/>
      </c>
      <c r="AF8" s="3947">
        <f>'Control | Setup'!A47</f>
        <v/>
      </c>
      <c r="AG8" s="3947">
        <f>'Control | Setup'!A48</f>
        <v/>
      </c>
      <c r="AH8" s="3947">
        <f>'Control | Setup'!A49</f>
        <v/>
      </c>
      <c r="AI8" s="3947">
        <f>'Control | Setup'!A50</f>
        <v/>
      </c>
      <c r="AJ8" s="3947">
        <f>'Control | Setup'!A51</f>
        <v/>
      </c>
      <c r="AK8" s="3947">
        <f>'Control | Setup'!A52</f>
        <v/>
      </c>
      <c r="AL8" s="3947">
        <f>'Control | Setup'!A53</f>
        <v/>
      </c>
      <c r="AM8" s="3947">
        <f>'Control | Setup'!A54</f>
        <v/>
      </c>
      <c r="AN8" s="3947">
        <f>'Control | Setup'!A55</f>
        <v/>
      </c>
      <c r="AO8" s="3947">
        <f>'Control | Setup'!A56</f>
        <v/>
      </c>
      <c r="AP8" s="3947">
        <f>'Control | Setup'!A57</f>
        <v/>
      </c>
      <c r="AQ8" s="3947" t="inlineStr">
        <is>
          <t>FY-2</t>
        </is>
      </c>
      <c r="AR8" s="3947" t="inlineStr">
        <is>
          <t>FY-1</t>
        </is>
      </c>
      <c r="AS8" s="3947" t="inlineStr">
        <is>
          <t>TTM</t>
        </is>
      </c>
    </row>
    <row r="9">
      <c r="A9" s="3959" t="inlineStr">
        <is>
          <t>CF_EBITDA</t>
        </is>
      </c>
      <c r="B9" s="3959" t="inlineStr">
        <is>
          <t>EBITDA</t>
        </is>
      </c>
      <c r="C9" s="3959" t="inlineStr"/>
      <c r="D9" s="3959" t="inlineStr">
        <is>
          <t>+</t>
        </is>
      </c>
      <c r="E9" s="3959" t="inlineStr">
        <is>
          <t>Link/Map</t>
        </is>
      </c>
      <c r="F9" s="3959" t="inlineStr"/>
      <c r="G9" s="3929" t="n"/>
      <c r="H9" s="3929" t="n"/>
      <c r="I9" s="3929" t="n"/>
      <c r="J9" s="3929" t="n"/>
      <c r="K9" s="3929" t="n"/>
      <c r="L9" s="3929" t="n"/>
      <c r="M9" s="3929" t="n"/>
      <c r="N9" s="3929" t="n"/>
      <c r="O9" s="3929" t="n"/>
      <c r="P9" s="3929" t="n"/>
      <c r="Q9" s="3929" t="n"/>
      <c r="R9" s="3929" t="n"/>
      <c r="S9" s="3929" t="n"/>
      <c r="T9" s="3929" t="n"/>
      <c r="U9" s="3929" t="n"/>
      <c r="V9" s="3929" t="n"/>
      <c r="W9" s="3929" t="n"/>
      <c r="X9" s="3929" t="n"/>
      <c r="Y9" s="3929" t="n"/>
      <c r="Z9" s="3929" t="n"/>
      <c r="AA9" s="3929" t="n"/>
      <c r="AB9" s="3929" t="n"/>
      <c r="AC9" s="3929" t="n"/>
      <c r="AD9" s="3929" t="n"/>
      <c r="AE9" s="3929" t="n"/>
      <c r="AF9" s="3929" t="n"/>
      <c r="AG9" s="3929" t="n"/>
      <c r="AH9" s="3929" t="n"/>
      <c r="AI9" s="3929" t="n"/>
      <c r="AJ9" s="3929" t="n"/>
      <c r="AK9" s="3929" t="n"/>
      <c r="AL9" s="3929" t="n"/>
      <c r="AM9" s="3929" t="n"/>
      <c r="AN9" s="3929" t="n"/>
      <c r="AO9" s="3929" t="n"/>
      <c r="AP9" s="3929" t="n"/>
      <c r="AQ9" s="3949">
        <f>IF(COUNT(G9:R9)=0,"",SUM(G9:R9))</f>
        <v/>
      </c>
      <c r="AR9" s="3949">
        <f>IF(COUNT(S9:AD9)=0,"",SUM(S9:AD9))</f>
        <v/>
      </c>
      <c r="AS9" s="3949">
        <f>IF(COUNT(AE9:AP9)=0,"",SUM(AE9:AP9))</f>
        <v/>
      </c>
    </row>
    <row r="10">
      <c r="A10" s="3959" t="inlineStr">
        <is>
          <t>CF_CHG_NWC</t>
        </is>
      </c>
      <c r="B10" s="3959" t="inlineStr">
        <is>
          <t>Change in NWC</t>
        </is>
      </c>
      <c r="C10" s="3959" t="inlineStr"/>
      <c r="D10" s="3959" t="inlineStr">
        <is>
          <t>+</t>
        </is>
      </c>
      <c r="E10" s="3959" t="inlineStr">
        <is>
          <t>Link/Map</t>
        </is>
      </c>
      <c r="F10" s="3959" t="inlineStr"/>
      <c r="G10" s="3929" t="n"/>
      <c r="H10" s="3929" t="n"/>
      <c r="I10" s="3929" t="n"/>
      <c r="J10" s="3929" t="n"/>
      <c r="K10" s="3929" t="n"/>
      <c r="L10" s="3929" t="n"/>
      <c r="M10" s="3929" t="n"/>
      <c r="N10" s="3929" t="n"/>
      <c r="O10" s="3929" t="n"/>
      <c r="P10" s="3929" t="n"/>
      <c r="Q10" s="3929" t="n"/>
      <c r="R10" s="3929" t="n"/>
      <c r="S10" s="3929" t="n"/>
      <c r="T10" s="3929" t="n"/>
      <c r="U10" s="3929" t="n"/>
      <c r="V10" s="3929" t="n"/>
      <c r="W10" s="3929" t="n"/>
      <c r="X10" s="3929" t="n"/>
      <c r="Y10" s="3929" t="n"/>
      <c r="Z10" s="3929" t="n"/>
      <c r="AA10" s="3929" t="n"/>
      <c r="AB10" s="3929" t="n"/>
      <c r="AC10" s="3929" t="n"/>
      <c r="AD10" s="3929" t="n"/>
      <c r="AE10" s="3929" t="n"/>
      <c r="AF10" s="3929" t="n"/>
      <c r="AG10" s="3929" t="n"/>
      <c r="AH10" s="3929" t="n"/>
      <c r="AI10" s="3929" t="n"/>
      <c r="AJ10" s="3929" t="n"/>
      <c r="AK10" s="3929" t="n"/>
      <c r="AL10" s="3929" t="n"/>
      <c r="AM10" s="3929" t="n"/>
      <c r="AN10" s="3929" t="n"/>
      <c r="AO10" s="3929" t="n"/>
      <c r="AP10" s="3929" t="n"/>
      <c r="AQ10" s="3949">
        <f>IF(COUNT(G10:R10)=0,"",SUM(G10:R10))</f>
        <v/>
      </c>
      <c r="AR10" s="3949">
        <f>IF(COUNT(S10:AD10)=0,"",SUM(S10:AD10))</f>
        <v/>
      </c>
      <c r="AS10" s="3949">
        <f>IF(COUNT(AE10:AP10)=0,"",SUM(AE10:AP10))</f>
        <v/>
      </c>
    </row>
    <row r="11">
      <c r="A11" s="3959" t="inlineStr">
        <is>
          <t>CF_CAPEX</t>
        </is>
      </c>
      <c r="B11" s="3959" t="inlineStr">
        <is>
          <t>Capex</t>
        </is>
      </c>
      <c r="C11" s="3959" t="inlineStr"/>
      <c r="D11" s="3959" t="inlineStr">
        <is>
          <t>+</t>
        </is>
      </c>
      <c r="E11" s="3959" t="inlineStr">
        <is>
          <t>Link/Map</t>
        </is>
      </c>
      <c r="F11" s="3959" t="inlineStr"/>
      <c r="G11" s="3929" t="n"/>
      <c r="H11" s="3929" t="n"/>
      <c r="I11" s="3929" t="n"/>
      <c r="J11" s="3929" t="n"/>
      <c r="K11" s="3929" t="n"/>
      <c r="L11" s="3929" t="n"/>
      <c r="M11" s="3929" t="n"/>
      <c r="N11" s="3929" t="n"/>
      <c r="O11" s="3929" t="n"/>
      <c r="P11" s="3929" t="n"/>
      <c r="Q11" s="3929" t="n"/>
      <c r="R11" s="3929" t="n"/>
      <c r="S11" s="3929" t="n"/>
      <c r="T11" s="3929" t="n"/>
      <c r="U11" s="3929" t="n"/>
      <c r="V11" s="3929" t="n"/>
      <c r="W11" s="3929" t="n"/>
      <c r="X11" s="3929" t="n"/>
      <c r="Y11" s="3929" t="n"/>
      <c r="Z11" s="3929" t="n"/>
      <c r="AA11" s="3929" t="n"/>
      <c r="AB11" s="3929" t="n"/>
      <c r="AC11" s="3929" t="n"/>
      <c r="AD11" s="3929" t="n"/>
      <c r="AE11" s="3929" t="n"/>
      <c r="AF11" s="3929" t="n"/>
      <c r="AG11" s="3929" t="n"/>
      <c r="AH11" s="3929" t="n"/>
      <c r="AI11" s="3929" t="n"/>
      <c r="AJ11" s="3929" t="n"/>
      <c r="AK11" s="3929" t="n"/>
      <c r="AL11" s="3929" t="n"/>
      <c r="AM11" s="3929" t="n"/>
      <c r="AN11" s="3929" t="n"/>
      <c r="AO11" s="3929" t="n"/>
      <c r="AP11" s="3929" t="n"/>
      <c r="AQ11" s="3949">
        <f>IF(COUNT(G11:R11)=0,"",SUM(G11:R11))</f>
        <v/>
      </c>
      <c r="AR11" s="3949">
        <f>IF(COUNT(S11:AD11)=0,"",SUM(S11:AD11))</f>
        <v/>
      </c>
      <c r="AS11" s="3949">
        <f>IF(COUNT(AE11:AP11)=0,"",SUM(AE11:AP11))</f>
        <v/>
      </c>
    </row>
    <row r="12">
      <c r="A12" s="3959" t="inlineStr">
        <is>
          <t>CF_OTHER</t>
        </is>
      </c>
      <c r="B12" s="3959" t="inlineStr">
        <is>
          <t>Other</t>
        </is>
      </c>
      <c r="C12" s="3959" t="inlineStr"/>
      <c r="D12" s="3959" t="inlineStr">
        <is>
          <t>+</t>
        </is>
      </c>
      <c r="E12" s="3959" t="inlineStr">
        <is>
          <t>Link/Map</t>
        </is>
      </c>
      <c r="F12" s="3959" t="inlineStr"/>
      <c r="G12" s="3929" t="n"/>
      <c r="H12" s="3929" t="n"/>
      <c r="I12" s="3929" t="n"/>
      <c r="J12" s="3929" t="n"/>
      <c r="K12" s="3929" t="n"/>
      <c r="L12" s="3929" t="n"/>
      <c r="M12" s="3929" t="n"/>
      <c r="N12" s="3929" t="n"/>
      <c r="O12" s="3929" t="n"/>
      <c r="P12" s="3929" t="n"/>
      <c r="Q12" s="3929" t="n"/>
      <c r="R12" s="3929" t="n"/>
      <c r="S12" s="3929" t="n"/>
      <c r="T12" s="3929" t="n"/>
      <c r="U12" s="3929" t="n"/>
      <c r="V12" s="3929" t="n"/>
      <c r="W12" s="3929" t="n"/>
      <c r="X12" s="3929" t="n"/>
      <c r="Y12" s="3929" t="n"/>
      <c r="Z12" s="3929" t="n"/>
      <c r="AA12" s="3929" t="n"/>
      <c r="AB12" s="3929" t="n"/>
      <c r="AC12" s="3929" t="n"/>
      <c r="AD12" s="3929" t="n"/>
      <c r="AE12" s="3929" t="n"/>
      <c r="AF12" s="3929" t="n"/>
      <c r="AG12" s="3929" t="n"/>
      <c r="AH12" s="3929" t="n"/>
      <c r="AI12" s="3929" t="n"/>
      <c r="AJ12" s="3929" t="n"/>
      <c r="AK12" s="3929" t="n"/>
      <c r="AL12" s="3929" t="n"/>
      <c r="AM12" s="3929" t="n"/>
      <c r="AN12" s="3929" t="n"/>
      <c r="AO12" s="3929" t="n"/>
      <c r="AP12" s="3929" t="n"/>
      <c r="AQ12" s="3949">
        <f>IF(COUNT(G12:R12)=0,"",SUM(G12:R12))</f>
        <v/>
      </c>
      <c r="AR12" s="3949">
        <f>IF(COUNT(S12:AD12)=0,"",SUM(S12:AD12))</f>
        <v/>
      </c>
      <c r="AS12" s="3949">
        <f>IF(COUNT(AE12:AP12)=0,"",SUM(AE12:AP12))</f>
        <v/>
      </c>
    </row>
    <row r="13">
      <c r="A13" s="3959" t="inlineStr">
        <is>
          <t>CF_NET</t>
        </is>
      </c>
      <c r="B13" s="3959" t="inlineStr">
        <is>
          <t>Net cash flow</t>
        </is>
      </c>
      <c r="C13" s="3959" t="inlineStr"/>
      <c r="D13" s="3959" t="inlineStr">
        <is>
          <t>+</t>
        </is>
      </c>
      <c r="E13" s="3959" t="inlineStr">
        <is>
          <t>Formula</t>
        </is>
      </c>
      <c r="F13" s="3959" t="inlineStr">
        <is>
          <t>Derived</t>
        </is>
      </c>
      <c r="G13" s="3960">
        <f>IF(COUNT(G9:G12)=0,"",SUM(G9:G12))</f>
        <v/>
      </c>
      <c r="H13" s="3960">
        <f>IF(COUNT(H9:H12)=0,"",SUM(H9:H12))</f>
        <v/>
      </c>
      <c r="I13" s="3960">
        <f>IF(COUNT(I9:I12)=0,"",SUM(I9:I12))</f>
        <v/>
      </c>
      <c r="J13" s="3960">
        <f>IF(COUNT(J9:J12)=0,"",SUM(J9:J12))</f>
        <v/>
      </c>
      <c r="K13" s="3960">
        <f>IF(COUNT(K9:K12)=0,"",SUM(K9:K12))</f>
        <v/>
      </c>
      <c r="L13" s="3960">
        <f>IF(COUNT(L9:L12)=0,"",SUM(L9:L12))</f>
        <v/>
      </c>
      <c r="M13" s="3960">
        <f>IF(COUNT(M9:M12)=0,"",SUM(M9:M12))</f>
        <v/>
      </c>
      <c r="N13" s="3960">
        <f>IF(COUNT(N9:N12)=0,"",SUM(N9:N12))</f>
        <v/>
      </c>
      <c r="O13" s="3960">
        <f>IF(COUNT(O9:O12)=0,"",SUM(O9:O12))</f>
        <v/>
      </c>
      <c r="P13" s="3960">
        <f>IF(COUNT(P9:P12)=0,"",SUM(P9:P12))</f>
        <v/>
      </c>
      <c r="Q13" s="3960">
        <f>IF(COUNT(Q9:Q12)=0,"",SUM(Q9:Q12))</f>
        <v/>
      </c>
      <c r="R13" s="3960">
        <f>IF(COUNT(R9:R12)=0,"",SUM(R9:R12))</f>
        <v/>
      </c>
      <c r="S13" s="3960">
        <f>IF(COUNT(S9:S12)=0,"",SUM(S9:S12))</f>
        <v/>
      </c>
      <c r="T13" s="3960">
        <f>IF(COUNT(T9:T12)=0,"",SUM(T9:T12))</f>
        <v/>
      </c>
      <c r="U13" s="3960">
        <f>IF(COUNT(U9:U12)=0,"",SUM(U9:U12))</f>
        <v/>
      </c>
      <c r="V13" s="3960">
        <f>IF(COUNT(V9:V12)=0,"",SUM(V9:V12))</f>
        <v/>
      </c>
      <c r="W13" s="3960">
        <f>IF(COUNT(W9:W12)=0,"",SUM(W9:W12))</f>
        <v/>
      </c>
      <c r="X13" s="3960">
        <f>IF(COUNT(X9:X12)=0,"",SUM(X9:X12))</f>
        <v/>
      </c>
      <c r="Y13" s="3960">
        <f>IF(COUNT(Y9:Y12)=0,"",SUM(Y9:Y12))</f>
        <v/>
      </c>
      <c r="Z13" s="3960">
        <f>IF(COUNT(Z9:Z12)=0,"",SUM(Z9:Z12))</f>
        <v/>
      </c>
      <c r="AA13" s="3960">
        <f>IF(COUNT(AA9:AA12)=0,"",SUM(AA9:AA12))</f>
        <v/>
      </c>
      <c r="AB13" s="3960">
        <f>IF(COUNT(AB9:AB12)=0,"",SUM(AB9:AB12))</f>
        <v/>
      </c>
      <c r="AC13" s="3960">
        <f>IF(COUNT(AC9:AC12)=0,"",SUM(AC9:AC12))</f>
        <v/>
      </c>
      <c r="AD13" s="3960">
        <f>IF(COUNT(AD9:AD12)=0,"",SUM(AD9:AD12))</f>
        <v/>
      </c>
      <c r="AE13" s="3960">
        <f>IF(COUNT(AE9:AE12)=0,"",SUM(AE9:AE12))</f>
        <v/>
      </c>
      <c r="AF13" s="3960">
        <f>IF(COUNT(AF9:AF12)=0,"",SUM(AF9:AF12))</f>
        <v/>
      </c>
      <c r="AG13" s="3960">
        <f>IF(COUNT(AG9:AG12)=0,"",SUM(AG9:AG12))</f>
        <v/>
      </c>
      <c r="AH13" s="3960">
        <f>IF(COUNT(AH9:AH12)=0,"",SUM(AH9:AH12))</f>
        <v/>
      </c>
      <c r="AI13" s="3960">
        <f>IF(COUNT(AI9:AI12)=0,"",SUM(AI9:AI12))</f>
        <v/>
      </c>
      <c r="AJ13" s="3960">
        <f>IF(COUNT(AJ9:AJ12)=0,"",SUM(AJ9:AJ12))</f>
        <v/>
      </c>
      <c r="AK13" s="3960">
        <f>IF(COUNT(AK9:AK12)=0,"",SUM(AK9:AK12))</f>
        <v/>
      </c>
      <c r="AL13" s="3960">
        <f>IF(COUNT(AL9:AL12)=0,"",SUM(AL9:AL12))</f>
        <v/>
      </c>
      <c r="AM13" s="3960">
        <f>IF(COUNT(AM9:AM12)=0,"",SUM(AM9:AM12))</f>
        <v/>
      </c>
      <c r="AN13" s="3960">
        <f>IF(COUNT(AN9:AN12)=0,"",SUM(AN9:AN12))</f>
        <v/>
      </c>
      <c r="AO13" s="3960">
        <f>IF(COUNT(AO9:AO12)=0,"",SUM(AO9:AO12))</f>
        <v/>
      </c>
      <c r="AP13" s="3960">
        <f>IF(COUNT(AP9:AP12)=0,"",SUM(AP9:AP12))</f>
        <v/>
      </c>
      <c r="AQ13" s="3949">
        <f>IF(COUNT(G13:R13)=0,"",SUM(G13:R13))</f>
        <v/>
      </c>
      <c r="AR13" s="3949">
        <f>IF(COUNT(S13:AD13)=0,"",SUM(S13:AD13))</f>
        <v/>
      </c>
      <c r="AS13" s="3949">
        <f>IF(COUNT(AE13:AP13)=0,"",SUM(AE13:AP13))</f>
        <v/>
      </c>
    </row>
    <row r="14">
      <c r="A14" s="3959" t="n"/>
      <c r="B14" s="3959" t="n"/>
      <c r="C14" s="3959" t="n"/>
      <c r="D14" s="3959" t="n"/>
      <c r="E14" s="3959" t="n"/>
      <c r="F14" s="3959" t="n"/>
      <c r="G14" s="3960" t="n"/>
      <c r="H14" s="3960" t="n"/>
      <c r="I14" s="3960" t="n"/>
      <c r="J14" s="3960" t="n"/>
      <c r="K14" s="3960" t="n"/>
      <c r="L14" s="3960" t="n"/>
      <c r="M14" s="3960" t="n"/>
      <c r="N14" s="3960" t="n"/>
      <c r="O14" s="3960" t="n"/>
      <c r="P14" s="3960" t="n"/>
      <c r="Q14" s="3960" t="n"/>
      <c r="R14" s="3960" t="n"/>
      <c r="S14" s="3960" t="n"/>
      <c r="T14" s="3960" t="n"/>
      <c r="U14" s="3960" t="n"/>
      <c r="V14" s="3960" t="n"/>
      <c r="W14" s="3960" t="n"/>
      <c r="X14" s="3960" t="n"/>
      <c r="Y14" s="3960" t="n"/>
      <c r="Z14" s="3960" t="n"/>
      <c r="AA14" s="3960" t="n"/>
      <c r="AB14" s="3960" t="n"/>
      <c r="AC14" s="3960" t="n"/>
      <c r="AD14" s="3960" t="n"/>
      <c r="AE14" s="3960" t="n"/>
      <c r="AF14" s="3960" t="n"/>
      <c r="AG14" s="3960" t="n"/>
      <c r="AH14" s="3960" t="n"/>
      <c r="AI14" s="3960" t="n"/>
      <c r="AJ14" s="3960" t="n"/>
      <c r="AK14" s="3960" t="n"/>
      <c r="AL14" s="3960" t="n"/>
      <c r="AM14" s="3960" t="n"/>
      <c r="AN14" s="3960" t="n"/>
      <c r="AO14" s="3960" t="n"/>
      <c r="AP14" s="3960" t="n"/>
      <c r="AQ14" s="3960" t="n"/>
      <c r="AR14" s="3960" t="n"/>
      <c r="AS14" s="3960" t="n"/>
    </row>
    <row r="15">
      <c r="A15" s="3959" t="n"/>
      <c r="B15" s="3959" t="n"/>
      <c r="C15" s="3959" t="n"/>
      <c r="D15" s="3959" t="n"/>
      <c r="E15" s="3959" t="n"/>
      <c r="F15" s="3959" t="n"/>
      <c r="G15" s="3960" t="n"/>
      <c r="H15" s="3960" t="n"/>
      <c r="I15" s="3960" t="n"/>
      <c r="J15" s="3960" t="n"/>
      <c r="K15" s="3960" t="n"/>
      <c r="L15" s="3960" t="n"/>
      <c r="M15" s="3960" t="n"/>
      <c r="N15" s="3960" t="n"/>
      <c r="O15" s="3960" t="n"/>
      <c r="P15" s="3960" t="n"/>
      <c r="Q15" s="3960" t="n"/>
      <c r="R15" s="3960" t="n"/>
      <c r="S15" s="3960" t="n"/>
      <c r="T15" s="3960" t="n"/>
      <c r="U15" s="3960" t="n"/>
      <c r="V15" s="3960" t="n"/>
      <c r="W15" s="3960" t="n"/>
      <c r="X15" s="3960" t="n"/>
      <c r="Y15" s="3960" t="n"/>
      <c r="Z15" s="3960" t="n"/>
      <c r="AA15" s="3960" t="n"/>
      <c r="AB15" s="3960" t="n"/>
      <c r="AC15" s="3960" t="n"/>
      <c r="AD15" s="3960" t="n"/>
      <c r="AE15" s="3960" t="n"/>
      <c r="AF15" s="3960" t="n"/>
      <c r="AG15" s="3960" t="n"/>
      <c r="AH15" s="3960" t="n"/>
      <c r="AI15" s="3960" t="n"/>
      <c r="AJ15" s="3960" t="n"/>
      <c r="AK15" s="3960" t="n"/>
      <c r="AL15" s="3960" t="n"/>
      <c r="AM15" s="3960" t="n"/>
      <c r="AN15" s="3960" t="n"/>
      <c r="AO15" s="3960" t="n"/>
      <c r="AP15" s="3960" t="n"/>
      <c r="AQ15" s="3960" t="n"/>
      <c r="AR15" s="3960" t="n"/>
      <c r="AS15" s="3960" t="n"/>
    </row>
    <row r="16">
      <c r="A16" s="3959" t="n"/>
      <c r="B16" s="3959" t="n"/>
      <c r="C16" s="3959" t="n"/>
      <c r="D16" s="3959" t="n"/>
      <c r="E16" s="3959" t="n"/>
      <c r="F16" s="3959" t="n"/>
      <c r="G16" s="3960" t="n"/>
      <c r="H16" s="3960" t="n"/>
      <c r="I16" s="3960" t="n"/>
      <c r="J16" s="3960" t="n"/>
      <c r="K16" s="3960" t="n"/>
      <c r="L16" s="3960" t="n"/>
      <c r="M16" s="3960" t="n"/>
      <c r="N16" s="3960" t="n"/>
      <c r="O16" s="3960" t="n"/>
      <c r="P16" s="3960" t="n"/>
      <c r="Q16" s="3960" t="n"/>
      <c r="R16" s="3960" t="n"/>
      <c r="S16" s="3960" t="n"/>
      <c r="T16" s="3960" t="n"/>
      <c r="U16" s="3960" t="n"/>
      <c r="V16" s="3960" t="n"/>
      <c r="W16" s="3960" t="n"/>
      <c r="X16" s="3960" t="n"/>
      <c r="Y16" s="3960" t="n"/>
      <c r="Z16" s="3960" t="n"/>
      <c r="AA16" s="3960" t="n"/>
      <c r="AB16" s="3960" t="n"/>
      <c r="AC16" s="3960" t="n"/>
      <c r="AD16" s="3960" t="n"/>
      <c r="AE16" s="3960" t="n"/>
      <c r="AF16" s="3960" t="n"/>
      <c r="AG16" s="3960" t="n"/>
      <c r="AH16" s="3960" t="n"/>
      <c r="AI16" s="3960" t="n"/>
      <c r="AJ16" s="3960" t="n"/>
      <c r="AK16" s="3960" t="n"/>
      <c r="AL16" s="3960" t="n"/>
      <c r="AM16" s="3960" t="n"/>
      <c r="AN16" s="3960" t="n"/>
      <c r="AO16" s="3960" t="n"/>
      <c r="AP16" s="3960" t="n"/>
      <c r="AQ16" s="3960" t="n"/>
      <c r="AR16" s="3960" t="n"/>
      <c r="AS16" s="3960" t="n"/>
    </row>
    <row r="17">
      <c r="A17" s="3959" t="n"/>
      <c r="B17" s="3959" t="n"/>
      <c r="C17" s="3959" t="n"/>
      <c r="D17" s="3959" t="n"/>
      <c r="E17" s="3959" t="n"/>
      <c r="F17" s="3959" t="n"/>
      <c r="G17" s="3960" t="n"/>
      <c r="H17" s="3960" t="n"/>
      <c r="I17" s="3960" t="n"/>
      <c r="J17" s="3960" t="n"/>
      <c r="K17" s="3960" t="n"/>
      <c r="L17" s="3960" t="n"/>
      <c r="M17" s="3960" t="n"/>
      <c r="N17" s="3960" t="n"/>
      <c r="O17" s="3960" t="n"/>
      <c r="P17" s="3960" t="n"/>
      <c r="Q17" s="3960" t="n"/>
      <c r="R17" s="3960" t="n"/>
      <c r="S17" s="3960" t="n"/>
      <c r="T17" s="3960" t="n"/>
      <c r="U17" s="3960" t="n"/>
      <c r="V17" s="3960" t="n"/>
      <c r="W17" s="3960" t="n"/>
      <c r="X17" s="3960" t="n"/>
      <c r="Y17" s="3960" t="n"/>
      <c r="Z17" s="3960" t="n"/>
      <c r="AA17" s="3960" t="n"/>
      <c r="AB17" s="3960" t="n"/>
      <c r="AC17" s="3960" t="n"/>
      <c r="AD17" s="3960" t="n"/>
      <c r="AE17" s="3960" t="n"/>
      <c r="AF17" s="3960" t="n"/>
      <c r="AG17" s="3960" t="n"/>
      <c r="AH17" s="3960" t="n"/>
      <c r="AI17" s="3960" t="n"/>
      <c r="AJ17" s="3960" t="n"/>
      <c r="AK17" s="3960" t="n"/>
      <c r="AL17" s="3960" t="n"/>
      <c r="AM17" s="3960" t="n"/>
      <c r="AN17" s="3960" t="n"/>
      <c r="AO17" s="3960" t="n"/>
      <c r="AP17" s="3960" t="n"/>
      <c r="AQ17" s="3960" t="n"/>
      <c r="AR17" s="3960" t="n"/>
      <c r="AS17" s="3960" t="n"/>
    </row>
    <row r="18">
      <c r="A18" s="3959" t="n"/>
      <c r="B18" s="3959" t="n"/>
      <c r="C18" s="3959" t="n"/>
      <c r="D18" s="3959" t="n"/>
      <c r="E18" s="3959" t="n"/>
      <c r="F18" s="3959" t="n"/>
      <c r="G18" s="3960" t="n"/>
      <c r="H18" s="3960" t="n"/>
      <c r="I18" s="3960" t="n"/>
      <c r="J18" s="3960" t="n"/>
      <c r="K18" s="3960" t="n"/>
      <c r="L18" s="3960" t="n"/>
      <c r="M18" s="3960" t="n"/>
      <c r="N18" s="3960" t="n"/>
      <c r="O18" s="3960" t="n"/>
      <c r="P18" s="3960" t="n"/>
      <c r="Q18" s="3960" t="n"/>
      <c r="R18" s="3960" t="n"/>
      <c r="S18" s="3960" t="n"/>
      <c r="T18" s="3960" t="n"/>
      <c r="U18" s="3960" t="n"/>
      <c r="V18" s="3960" t="n"/>
      <c r="W18" s="3960" t="n"/>
      <c r="X18" s="3960" t="n"/>
      <c r="Y18" s="3960" t="n"/>
      <c r="Z18" s="3960" t="n"/>
      <c r="AA18" s="3960" t="n"/>
      <c r="AB18" s="3960" t="n"/>
      <c r="AC18" s="3960" t="n"/>
      <c r="AD18" s="3960" t="n"/>
      <c r="AE18" s="3960" t="n"/>
      <c r="AF18" s="3960" t="n"/>
      <c r="AG18" s="3960" t="n"/>
      <c r="AH18" s="3960" t="n"/>
      <c r="AI18" s="3960" t="n"/>
      <c r="AJ18" s="3960" t="n"/>
      <c r="AK18" s="3960" t="n"/>
      <c r="AL18" s="3960" t="n"/>
      <c r="AM18" s="3960" t="n"/>
      <c r="AN18" s="3960" t="n"/>
      <c r="AO18" s="3960" t="n"/>
      <c r="AP18" s="3960" t="n"/>
      <c r="AQ18" s="3960" t="n"/>
      <c r="AR18" s="3960" t="n"/>
      <c r="AS18" s="3960" t="n"/>
    </row>
    <row r="19">
      <c r="A19" s="3959" t="n"/>
      <c r="B19" s="3959" t="n"/>
      <c r="C19" s="3959" t="n"/>
      <c r="D19" s="3959" t="n"/>
      <c r="E19" s="3959" t="n"/>
      <c r="F19" s="3959" t="n"/>
      <c r="G19" s="3960" t="n"/>
      <c r="H19" s="3960" t="n"/>
      <c r="I19" s="3960" t="n"/>
      <c r="J19" s="3960" t="n"/>
      <c r="K19" s="3960" t="n"/>
      <c r="L19" s="3960" t="n"/>
      <c r="M19" s="3960" t="n"/>
      <c r="N19" s="3960" t="n"/>
      <c r="O19" s="3960" t="n"/>
      <c r="P19" s="3960" t="n"/>
      <c r="Q19" s="3960" t="n"/>
      <c r="R19" s="3960" t="n"/>
      <c r="S19" s="3960" t="n"/>
      <c r="T19" s="3960" t="n"/>
      <c r="U19" s="3960" t="n"/>
      <c r="V19" s="3960" t="n"/>
      <c r="W19" s="3960" t="n"/>
      <c r="X19" s="3960" t="n"/>
      <c r="Y19" s="3960" t="n"/>
      <c r="Z19" s="3960" t="n"/>
      <c r="AA19" s="3960" t="n"/>
      <c r="AB19" s="3960" t="n"/>
      <c r="AC19" s="3960" t="n"/>
      <c r="AD19" s="3960" t="n"/>
      <c r="AE19" s="3960" t="n"/>
      <c r="AF19" s="3960" t="n"/>
      <c r="AG19" s="3960" t="n"/>
      <c r="AH19" s="3960" t="n"/>
      <c r="AI19" s="3960" t="n"/>
      <c r="AJ19" s="3960" t="n"/>
      <c r="AK19" s="3960" t="n"/>
      <c r="AL19" s="3960" t="n"/>
      <c r="AM19" s="3960" t="n"/>
      <c r="AN19" s="3960" t="n"/>
      <c r="AO19" s="3960" t="n"/>
      <c r="AP19" s="3960" t="n"/>
      <c r="AQ19" s="3960" t="n"/>
      <c r="AR19" s="3960" t="n"/>
      <c r="AS19" s="3960" t="n"/>
    </row>
    <row r="20">
      <c r="A20" s="3959" t="n"/>
      <c r="B20" s="3959" t="n"/>
      <c r="C20" s="3959" t="n"/>
      <c r="D20" s="3959" t="n"/>
      <c r="E20" s="3959" t="n"/>
      <c r="F20" s="3959" t="n"/>
      <c r="G20" s="3960" t="n"/>
      <c r="H20" s="3960" t="n"/>
      <c r="I20" s="3960" t="n"/>
      <c r="J20" s="3960" t="n"/>
      <c r="K20" s="3960" t="n"/>
      <c r="L20" s="3960" t="n"/>
      <c r="M20" s="3960" t="n"/>
      <c r="N20" s="3960" t="n"/>
      <c r="O20" s="3960" t="n"/>
      <c r="P20" s="3960" t="n"/>
      <c r="Q20" s="3960" t="n"/>
      <c r="R20" s="3960" t="n"/>
      <c r="S20" s="3960" t="n"/>
      <c r="T20" s="3960" t="n"/>
      <c r="U20" s="3960" t="n"/>
      <c r="V20" s="3960" t="n"/>
      <c r="W20" s="3960" t="n"/>
      <c r="X20" s="3960" t="n"/>
      <c r="Y20" s="3960" t="n"/>
      <c r="Z20" s="3960" t="n"/>
      <c r="AA20" s="3960" t="n"/>
      <c r="AB20" s="3960" t="n"/>
      <c r="AC20" s="3960" t="n"/>
      <c r="AD20" s="3960" t="n"/>
      <c r="AE20" s="3960" t="n"/>
      <c r="AF20" s="3960" t="n"/>
      <c r="AG20" s="3960" t="n"/>
      <c r="AH20" s="3960" t="n"/>
      <c r="AI20" s="3960" t="n"/>
      <c r="AJ20" s="3960" t="n"/>
      <c r="AK20" s="3960" t="n"/>
      <c r="AL20" s="3960" t="n"/>
      <c r="AM20" s="3960" t="n"/>
      <c r="AN20" s="3960" t="n"/>
      <c r="AO20" s="3960" t="n"/>
      <c r="AP20" s="3960" t="n"/>
      <c r="AQ20" s="3960" t="n"/>
      <c r="AR20" s="3960" t="n"/>
      <c r="AS20" s="3960" t="n"/>
    </row>
    <row r="21">
      <c r="A21" s="3959" t="n"/>
      <c r="B21" s="3959" t="n"/>
      <c r="C21" s="3959" t="n"/>
      <c r="D21" s="3959" t="n"/>
      <c r="E21" s="3959" t="n"/>
      <c r="F21" s="3959" t="n"/>
      <c r="G21" s="3960" t="n"/>
      <c r="H21" s="3960" t="n"/>
      <c r="I21" s="3960" t="n"/>
      <c r="J21" s="3960" t="n"/>
      <c r="K21" s="3960" t="n"/>
      <c r="L21" s="3960" t="n"/>
      <c r="M21" s="3960" t="n"/>
      <c r="N21" s="3960" t="n"/>
      <c r="O21" s="3960" t="n"/>
      <c r="P21" s="3960" t="n"/>
      <c r="Q21" s="3960" t="n"/>
      <c r="R21" s="3960" t="n"/>
      <c r="S21" s="3960" t="n"/>
      <c r="T21" s="3960" t="n"/>
      <c r="U21" s="3960" t="n"/>
      <c r="V21" s="3960" t="n"/>
      <c r="W21" s="3960" t="n"/>
      <c r="X21" s="3960" t="n"/>
      <c r="Y21" s="3960" t="n"/>
      <c r="Z21" s="3960" t="n"/>
      <c r="AA21" s="3960" t="n"/>
      <c r="AB21" s="3960" t="n"/>
      <c r="AC21" s="3960" t="n"/>
      <c r="AD21" s="3960" t="n"/>
      <c r="AE21" s="3960" t="n"/>
      <c r="AF21" s="3960" t="n"/>
      <c r="AG21" s="3960" t="n"/>
      <c r="AH21" s="3960" t="n"/>
      <c r="AI21" s="3960" t="n"/>
      <c r="AJ21" s="3960" t="n"/>
      <c r="AK21" s="3960" t="n"/>
      <c r="AL21" s="3960" t="n"/>
      <c r="AM21" s="3960" t="n"/>
      <c r="AN21" s="3960" t="n"/>
      <c r="AO21" s="3960" t="n"/>
      <c r="AP21" s="3960" t="n"/>
      <c r="AQ21" s="3960" t="n"/>
      <c r="AR21" s="3960" t="n"/>
      <c r="AS21" s="3960" t="n"/>
    </row>
    <row r="22">
      <c r="A22" s="3959" t="n"/>
      <c r="B22" s="3959" t="n"/>
      <c r="C22" s="3959" t="n"/>
      <c r="D22" s="3959" t="n"/>
      <c r="E22" s="3959" t="n"/>
      <c r="F22" s="3959" t="n"/>
      <c r="G22" s="3960" t="n"/>
      <c r="H22" s="3960" t="n"/>
      <c r="I22" s="3960" t="n"/>
      <c r="J22" s="3960" t="n"/>
      <c r="K22" s="3960" t="n"/>
      <c r="L22" s="3960" t="n"/>
      <c r="M22" s="3960" t="n"/>
      <c r="N22" s="3960" t="n"/>
      <c r="O22" s="3960" t="n"/>
      <c r="P22" s="3960" t="n"/>
      <c r="Q22" s="3960" t="n"/>
      <c r="R22" s="3960" t="n"/>
      <c r="S22" s="3960" t="n"/>
      <c r="T22" s="3960" t="n"/>
      <c r="U22" s="3960" t="n"/>
      <c r="V22" s="3960" t="n"/>
      <c r="W22" s="3960" t="n"/>
      <c r="X22" s="3960" t="n"/>
      <c r="Y22" s="3960" t="n"/>
      <c r="Z22" s="3960" t="n"/>
      <c r="AA22" s="3960" t="n"/>
      <c r="AB22" s="3960" t="n"/>
      <c r="AC22" s="3960" t="n"/>
      <c r="AD22" s="3960" t="n"/>
      <c r="AE22" s="3960" t="n"/>
      <c r="AF22" s="3960" t="n"/>
      <c r="AG22" s="3960" t="n"/>
      <c r="AH22" s="3960" t="n"/>
      <c r="AI22" s="3960" t="n"/>
      <c r="AJ22" s="3960" t="n"/>
      <c r="AK22" s="3960" t="n"/>
      <c r="AL22" s="3960" t="n"/>
      <c r="AM22" s="3960" t="n"/>
      <c r="AN22" s="3960" t="n"/>
      <c r="AO22" s="3960" t="n"/>
      <c r="AP22" s="3960" t="n"/>
      <c r="AQ22" s="3960" t="n"/>
      <c r="AR22" s="3960" t="n"/>
      <c r="AS22" s="3960" t="n"/>
    </row>
    <row r="23">
      <c r="A23" s="3959" t="n"/>
      <c r="B23" s="3959" t="n"/>
      <c r="C23" s="3959" t="n"/>
      <c r="D23" s="3959" t="n"/>
      <c r="E23" s="3959" t="n"/>
      <c r="F23" s="3959" t="n"/>
      <c r="G23" s="3960" t="n"/>
      <c r="H23" s="3960" t="n"/>
      <c r="I23" s="3960" t="n"/>
      <c r="J23" s="3960" t="n"/>
      <c r="K23" s="3960" t="n"/>
      <c r="L23" s="3960" t="n"/>
      <c r="M23" s="3960" t="n"/>
      <c r="N23" s="3960" t="n"/>
      <c r="O23" s="3960" t="n"/>
      <c r="P23" s="3960" t="n"/>
      <c r="Q23" s="3960" t="n"/>
      <c r="R23" s="3960" t="n"/>
      <c r="S23" s="3960" t="n"/>
      <c r="T23" s="3960" t="n"/>
      <c r="U23" s="3960" t="n"/>
      <c r="V23" s="3960" t="n"/>
      <c r="W23" s="3960" t="n"/>
      <c r="X23" s="3960" t="n"/>
      <c r="Y23" s="3960" t="n"/>
      <c r="Z23" s="3960" t="n"/>
      <c r="AA23" s="3960" t="n"/>
      <c r="AB23" s="3960" t="n"/>
      <c r="AC23" s="3960" t="n"/>
      <c r="AD23" s="3960" t="n"/>
      <c r="AE23" s="3960" t="n"/>
      <c r="AF23" s="3960" t="n"/>
      <c r="AG23" s="3960" t="n"/>
      <c r="AH23" s="3960" t="n"/>
      <c r="AI23" s="3960" t="n"/>
      <c r="AJ23" s="3960" t="n"/>
      <c r="AK23" s="3960" t="n"/>
      <c r="AL23" s="3960" t="n"/>
      <c r="AM23" s="3960" t="n"/>
      <c r="AN23" s="3960" t="n"/>
      <c r="AO23" s="3960" t="n"/>
      <c r="AP23" s="3960" t="n"/>
      <c r="AQ23" s="3960" t="n"/>
      <c r="AR23" s="3960" t="n"/>
      <c r="AS23" s="3960" t="n"/>
    </row>
    <row r="24">
      <c r="A24" s="3959" t="n"/>
      <c r="B24" s="3959" t="n"/>
      <c r="C24" s="3959" t="n"/>
      <c r="D24" s="3959" t="n"/>
      <c r="E24" s="3959" t="n"/>
      <c r="F24" s="3959" t="n"/>
      <c r="G24" s="3960" t="n"/>
      <c r="H24" s="3960" t="n"/>
      <c r="I24" s="3960" t="n"/>
      <c r="J24" s="3960" t="n"/>
      <c r="K24" s="3960" t="n"/>
      <c r="L24" s="3960" t="n"/>
      <c r="M24" s="3960" t="n"/>
      <c r="N24" s="3960" t="n"/>
      <c r="O24" s="3960" t="n"/>
      <c r="P24" s="3960" t="n"/>
      <c r="Q24" s="3960" t="n"/>
      <c r="R24" s="3960" t="n"/>
      <c r="S24" s="3960" t="n"/>
      <c r="T24" s="3960" t="n"/>
      <c r="U24" s="3960" t="n"/>
      <c r="V24" s="3960" t="n"/>
      <c r="W24" s="3960" t="n"/>
      <c r="X24" s="3960" t="n"/>
      <c r="Y24" s="3960" t="n"/>
      <c r="Z24" s="3960" t="n"/>
      <c r="AA24" s="3960" t="n"/>
      <c r="AB24" s="3960" t="n"/>
      <c r="AC24" s="3960" t="n"/>
      <c r="AD24" s="3960" t="n"/>
      <c r="AE24" s="3960" t="n"/>
      <c r="AF24" s="3960" t="n"/>
      <c r="AG24" s="3960" t="n"/>
      <c r="AH24" s="3960" t="n"/>
      <c r="AI24" s="3960" t="n"/>
      <c r="AJ24" s="3960" t="n"/>
      <c r="AK24" s="3960" t="n"/>
      <c r="AL24" s="3960" t="n"/>
      <c r="AM24" s="3960" t="n"/>
      <c r="AN24" s="3960" t="n"/>
      <c r="AO24" s="3960" t="n"/>
      <c r="AP24" s="3960" t="n"/>
      <c r="AQ24" s="3960" t="n"/>
      <c r="AR24" s="3960" t="n"/>
      <c r="AS24" s="3960" t="n"/>
    </row>
    <row r="25">
      <c r="A25" s="3959" t="n"/>
      <c r="B25" s="3959" t="n"/>
      <c r="C25" s="3959" t="n"/>
      <c r="D25" s="3959" t="n"/>
      <c r="E25" s="3959" t="n"/>
      <c r="F25" s="3959" t="n"/>
      <c r="G25" s="3960" t="n"/>
      <c r="H25" s="3960" t="n"/>
      <c r="I25" s="3960" t="n"/>
      <c r="J25" s="3960" t="n"/>
      <c r="K25" s="3960" t="n"/>
      <c r="L25" s="3960" t="n"/>
      <c r="M25" s="3960" t="n"/>
      <c r="N25" s="3960" t="n"/>
      <c r="O25" s="3960" t="n"/>
      <c r="P25" s="3960" t="n"/>
      <c r="Q25" s="3960" t="n"/>
      <c r="R25" s="3960" t="n"/>
      <c r="S25" s="3960" t="n"/>
      <c r="T25" s="3960" t="n"/>
      <c r="U25" s="3960" t="n"/>
      <c r="V25" s="3960" t="n"/>
      <c r="W25" s="3960" t="n"/>
      <c r="X25" s="3960" t="n"/>
      <c r="Y25" s="3960" t="n"/>
      <c r="Z25" s="3960" t="n"/>
      <c r="AA25" s="3960" t="n"/>
      <c r="AB25" s="3960" t="n"/>
      <c r="AC25" s="3960" t="n"/>
      <c r="AD25" s="3960" t="n"/>
      <c r="AE25" s="3960" t="n"/>
      <c r="AF25" s="3960" t="n"/>
      <c r="AG25" s="3960" t="n"/>
      <c r="AH25" s="3960" t="n"/>
      <c r="AI25" s="3960" t="n"/>
      <c r="AJ25" s="3960" t="n"/>
      <c r="AK25" s="3960" t="n"/>
      <c r="AL25" s="3960" t="n"/>
      <c r="AM25" s="3960" t="n"/>
      <c r="AN25" s="3960" t="n"/>
      <c r="AO25" s="3960" t="n"/>
      <c r="AP25" s="3960" t="n"/>
      <c r="AQ25" s="3960" t="n"/>
      <c r="AR25" s="3960" t="n"/>
      <c r="AS25" s="3960" t="n"/>
    </row>
    <row r="26">
      <c r="A26" s="3959" t="n"/>
      <c r="B26" s="3959" t="n"/>
      <c r="C26" s="3959" t="n"/>
      <c r="D26" s="3959" t="n"/>
      <c r="E26" s="3959" t="n"/>
      <c r="F26" s="3959" t="n"/>
      <c r="G26" s="3960" t="n"/>
      <c r="H26" s="3960" t="n"/>
      <c r="I26" s="3960" t="n"/>
      <c r="J26" s="3960" t="n"/>
      <c r="K26" s="3960" t="n"/>
      <c r="L26" s="3960" t="n"/>
      <c r="M26" s="3960" t="n"/>
      <c r="N26" s="3960" t="n"/>
      <c r="O26" s="3960" t="n"/>
      <c r="P26" s="3960" t="n"/>
      <c r="Q26" s="3960" t="n"/>
      <c r="R26" s="3960" t="n"/>
      <c r="S26" s="3960" t="n"/>
      <c r="T26" s="3960" t="n"/>
      <c r="U26" s="3960" t="n"/>
      <c r="V26" s="3960" t="n"/>
      <c r="W26" s="3960" t="n"/>
      <c r="X26" s="3960" t="n"/>
      <c r="Y26" s="3960" t="n"/>
      <c r="Z26" s="3960" t="n"/>
      <c r="AA26" s="3960" t="n"/>
      <c r="AB26" s="3960" t="n"/>
      <c r="AC26" s="3960" t="n"/>
      <c r="AD26" s="3960" t="n"/>
      <c r="AE26" s="3960" t="n"/>
      <c r="AF26" s="3960" t="n"/>
      <c r="AG26" s="3960" t="n"/>
      <c r="AH26" s="3960" t="n"/>
      <c r="AI26" s="3960" t="n"/>
      <c r="AJ26" s="3960" t="n"/>
      <c r="AK26" s="3960" t="n"/>
      <c r="AL26" s="3960" t="n"/>
      <c r="AM26" s="3960" t="n"/>
      <c r="AN26" s="3960" t="n"/>
      <c r="AO26" s="3960" t="n"/>
      <c r="AP26" s="3960" t="n"/>
      <c r="AQ26" s="3960" t="n"/>
      <c r="AR26" s="3960" t="n"/>
      <c r="AS26" s="3960" t="n"/>
    </row>
    <row r="27">
      <c r="A27" s="3979" t="inlineStr">
        <is>
          <t>CF_CHECKS</t>
        </is>
      </c>
      <c r="B27" s="3980" t="n"/>
      <c r="C27" s="3980" t="n"/>
      <c r="D27" s="3980" t="n"/>
      <c r="E27" s="3980" t="n"/>
      <c r="F27" s="3980" t="n"/>
      <c r="G27" s="3981" t="n"/>
      <c r="H27" s="3981" t="n"/>
      <c r="I27" s="3981" t="n"/>
      <c r="J27" s="3981" t="n"/>
      <c r="K27" s="3981" t="n"/>
      <c r="L27" s="3981" t="n"/>
      <c r="M27" s="3981" t="n"/>
      <c r="N27" s="3981" t="n"/>
      <c r="O27" s="3981" t="n"/>
      <c r="P27" s="3981" t="n"/>
      <c r="Q27" s="3981" t="n"/>
      <c r="R27" s="3981" t="n"/>
      <c r="S27" s="3981" t="n"/>
      <c r="T27" s="3981" t="n"/>
      <c r="U27" s="3981" t="n"/>
      <c r="V27" s="3981" t="n"/>
      <c r="W27" s="3981" t="n"/>
      <c r="X27" s="3981" t="n"/>
      <c r="Y27" s="3981" t="n"/>
      <c r="Z27" s="3981" t="n"/>
      <c r="AA27" s="3981" t="n"/>
      <c r="AB27" s="3981" t="n"/>
      <c r="AC27" s="3981" t="n"/>
      <c r="AD27" s="3981" t="n"/>
      <c r="AE27" s="3981" t="n"/>
      <c r="AF27" s="3981" t="n"/>
      <c r="AG27" s="3981" t="n"/>
      <c r="AH27" s="3981" t="n"/>
      <c r="AI27" s="3981" t="n"/>
      <c r="AJ27" s="3981" t="n"/>
      <c r="AK27" s="3981" t="n"/>
      <c r="AL27" s="3981" t="n"/>
      <c r="AM27" s="3981" t="n"/>
      <c r="AN27" s="3981" t="n"/>
      <c r="AO27" s="3981" t="n"/>
      <c r="AP27" s="3981" t="n"/>
      <c r="AQ27" s="3981" t="n"/>
      <c r="AR27" s="3981" t="n"/>
      <c r="AS27" s="3981" t="n"/>
    </row>
    <row r="28">
      <c r="A28" s="3959" t="inlineStr">
        <is>
          <t>Net cash tie-out</t>
        </is>
      </c>
      <c r="B28" s="3959" t="n"/>
      <c r="C28" s="3959" t="n"/>
      <c r="D28" s="3959" t="n"/>
      <c r="E28" s="3959" t="n"/>
      <c r="F28" s="3959" t="n"/>
      <c r="G28" s="3961">
        <f>IF(G13="","",G13-SUM(G9:G12))</f>
        <v/>
      </c>
      <c r="H28" s="3961">
        <f>IF(H13="","",H13-SUM(H9:H12))</f>
        <v/>
      </c>
      <c r="I28" s="3961">
        <f>IF(I13="","",I13-SUM(I9:I12))</f>
        <v/>
      </c>
      <c r="J28" s="3961">
        <f>IF(J13="","",J13-SUM(J9:J12))</f>
        <v/>
      </c>
      <c r="K28" s="3961">
        <f>IF(K13="","",K13-SUM(K9:K12))</f>
        <v/>
      </c>
      <c r="L28" s="3961">
        <f>IF(L13="","",L13-SUM(L9:L12))</f>
        <v/>
      </c>
      <c r="M28" s="3961">
        <f>IF(M13="","",M13-SUM(M9:M12))</f>
        <v/>
      </c>
      <c r="N28" s="3961">
        <f>IF(N13="","",N13-SUM(N9:N12))</f>
        <v/>
      </c>
      <c r="O28" s="3961">
        <f>IF(O13="","",O13-SUM(O9:O12))</f>
        <v/>
      </c>
      <c r="P28" s="3961">
        <f>IF(P13="","",P13-SUM(P9:P12))</f>
        <v/>
      </c>
      <c r="Q28" s="3961">
        <f>IF(Q13="","",Q13-SUM(Q9:Q12))</f>
        <v/>
      </c>
      <c r="R28" s="3961">
        <f>IF(R13="","",R13-SUM(R9:R12))</f>
        <v/>
      </c>
      <c r="S28" s="3961">
        <f>IF(S13="","",S13-SUM(S9:S12))</f>
        <v/>
      </c>
      <c r="T28" s="3961">
        <f>IF(T13="","",T13-SUM(T9:T12))</f>
        <v/>
      </c>
      <c r="U28" s="3961">
        <f>IF(U13="","",U13-SUM(U9:U12))</f>
        <v/>
      </c>
      <c r="V28" s="3961">
        <f>IF(V13="","",V13-SUM(V9:V12))</f>
        <v/>
      </c>
      <c r="W28" s="3961">
        <f>IF(W13="","",W13-SUM(W9:W12))</f>
        <v/>
      </c>
      <c r="X28" s="3961">
        <f>IF(X13="","",X13-SUM(X9:X12))</f>
        <v/>
      </c>
      <c r="Y28" s="3961">
        <f>IF(Y13="","",Y13-SUM(Y9:Y12))</f>
        <v/>
      </c>
      <c r="Z28" s="3961">
        <f>IF(Z13="","",Z13-SUM(Z9:Z12))</f>
        <v/>
      </c>
      <c r="AA28" s="3961">
        <f>IF(AA13="","",AA13-SUM(AA9:AA12))</f>
        <v/>
      </c>
      <c r="AB28" s="3961">
        <f>IF(AB13="","",AB13-SUM(AB9:AB12))</f>
        <v/>
      </c>
      <c r="AC28" s="3961">
        <f>IF(AC13="","",AC13-SUM(AC9:AC12))</f>
        <v/>
      </c>
      <c r="AD28" s="3961">
        <f>IF(AD13="","",AD13-SUM(AD9:AD12))</f>
        <v/>
      </c>
      <c r="AE28" s="3961">
        <f>IF(AE13="","",AE13-SUM(AE9:AE12))</f>
        <v/>
      </c>
      <c r="AF28" s="3961">
        <f>IF(AF13="","",AF13-SUM(AF9:AF12))</f>
        <v/>
      </c>
      <c r="AG28" s="3961">
        <f>IF(AG13="","",AG13-SUM(AG9:AG12))</f>
        <v/>
      </c>
      <c r="AH28" s="3961">
        <f>IF(AH13="","",AH13-SUM(AH9:AH12))</f>
        <v/>
      </c>
      <c r="AI28" s="3961">
        <f>IF(AI13="","",AI13-SUM(AI9:AI12))</f>
        <v/>
      </c>
      <c r="AJ28" s="3961">
        <f>IF(AJ13="","",AJ13-SUM(AJ9:AJ12))</f>
        <v/>
      </c>
      <c r="AK28" s="3961">
        <f>IF(AK13="","",AK13-SUM(AK9:AK12))</f>
        <v/>
      </c>
      <c r="AL28" s="3961">
        <f>IF(AL13="","",AL13-SUM(AL9:AL12))</f>
        <v/>
      </c>
      <c r="AM28" s="3961">
        <f>IF(AM13="","",AM13-SUM(AM9:AM12))</f>
        <v/>
      </c>
      <c r="AN28" s="3961">
        <f>IF(AN13="","",AN13-SUM(AN9:AN12))</f>
        <v/>
      </c>
      <c r="AO28" s="3961">
        <f>IF(AO13="","",AO13-SUM(AO9:AO12))</f>
        <v/>
      </c>
      <c r="AP28" s="3961">
        <f>IF(AP13="","",AP13-SUM(AP9:AP12))</f>
        <v/>
      </c>
      <c r="AQ28" s="3961">
        <f>IF(AQ13="","",AQ13-SUM(AQ9:AQ12))</f>
        <v/>
      </c>
      <c r="AR28" s="3961">
        <f>IF(AR13="","",AR13-SUM(AR9:AR12))</f>
        <v/>
      </c>
      <c r="AS28" s="3961">
        <f>IF(AS13="","",AS13-SUM(AS9:AS12))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5"/>
  <sheetViews>
    <sheetView showGridLines="0" view="pageBreakPreview" zoomScale="100" zoomScaleNormal="100" workbookViewId="0">
      <selection activeCell="A1" sqref="A1"/>
    </sheetView>
  </sheetViews>
  <sheetFormatPr baseColWidth="8" defaultRowHeight="15"/>
  <cols>
    <col width="36" customWidth="1" min="1" max="1"/>
  </cols>
  <sheetData>
    <row r="1">
      <c r="A1" s="3962" t="inlineStr">
        <is>
          <t>QofE&gt;&gt;</t>
        </is>
      </c>
    </row>
    <row r="2">
      <c r="A2" s="3934" t="n"/>
    </row>
    <row r="3">
      <c r="A3" s="3934" t="n"/>
    </row>
    <row r="4">
      <c r="A4" s="3963">
        <f>HYPERLINK("#'QofE | Summary'!A1","Go to QofE | Summary")</f>
        <v/>
      </c>
    </row>
    <row r="5">
      <c r="A5" s="3963">
        <f>HYPERLINK("#'QofE | Detail'!A1","Go to QofE | Detail")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S29"/>
  <sheetViews>
    <sheetView showGridLines="0" zoomScale="100" zoomScaleNormal="100" workbookViewId="0">
      <pane xSplit="6" ySplit="8" topLeftCell="G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28" customWidth="1" min="2" max="2"/>
    <col width="16" customWidth="1" min="3" max="3"/>
    <col width="7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</cols>
  <sheetData>
    <row r="1">
      <c r="A1" s="3962" t="inlineStr">
        <is>
          <t>QofE Summary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70" t="n"/>
      <c r="L1" s="3970" t="n"/>
      <c r="M1" s="3970" t="n"/>
      <c r="N1" s="3970" t="n"/>
      <c r="O1" s="3970" t="n"/>
      <c r="P1" s="3970" t="n"/>
      <c r="Q1" s="3970" t="n"/>
      <c r="R1" s="3970" t="n"/>
      <c r="S1" s="3970" t="n"/>
      <c r="T1" s="3970" t="n"/>
      <c r="U1" s="3970" t="n"/>
      <c r="V1" s="3970" t="n"/>
      <c r="W1" s="3970" t="n"/>
      <c r="X1" s="3970" t="n"/>
      <c r="Y1" s="3970" t="n"/>
      <c r="Z1" s="3970" t="n"/>
      <c r="AA1" s="3970" t="n"/>
      <c r="AB1" s="3970" t="n"/>
      <c r="AC1" s="3970" t="n"/>
      <c r="AD1" s="3970" t="n"/>
      <c r="AE1" s="3970" t="n"/>
      <c r="AF1" s="3970" t="n"/>
      <c r="AG1" s="3970" t="n"/>
      <c r="AH1" s="3970" t="n"/>
      <c r="AI1" s="3970" t="n"/>
      <c r="AJ1" s="3970" t="n"/>
      <c r="AK1" s="3970" t="n"/>
      <c r="AL1" s="3970" t="n"/>
      <c r="AM1" s="3970" t="n"/>
      <c r="AN1" s="3970" t="n"/>
      <c r="AO1" s="3970" t="n"/>
      <c r="AP1" s="3970" t="n"/>
      <c r="AQ1" s="3970" t="n"/>
      <c r="AR1" s="3970" t="n"/>
      <c r="AS1" s="3970" t="n"/>
    </row>
    <row r="2">
      <c r="A2" s="3978" t="inlineStr">
        <is>
          <t>Source: &lt;document_source&gt;</t>
        </is>
      </c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70" t="n"/>
      <c r="L2" s="3970" t="n"/>
      <c r="M2" s="3970" t="n"/>
      <c r="N2" s="3970" t="n"/>
      <c r="O2" s="3970" t="n"/>
      <c r="P2" s="3970" t="n"/>
      <c r="Q2" s="3970" t="n"/>
      <c r="R2" s="3970" t="n"/>
      <c r="S2" s="3970" t="n"/>
      <c r="T2" s="3970" t="n"/>
      <c r="U2" s="3970" t="n"/>
      <c r="V2" s="3970" t="n"/>
      <c r="W2" s="3970" t="n"/>
      <c r="X2" s="3970" t="n"/>
      <c r="Y2" s="3970" t="n"/>
      <c r="Z2" s="3970" t="n"/>
      <c r="AA2" s="3970" t="n"/>
      <c r="AB2" s="3970" t="n"/>
      <c r="AC2" s="3970" t="n"/>
      <c r="AD2" s="3970" t="n"/>
      <c r="AE2" s="3970" t="n"/>
      <c r="AF2" s="3970" t="n"/>
      <c r="AG2" s="3970" t="n"/>
      <c r="AH2" s="3970" t="n"/>
      <c r="AI2" s="3970" t="n"/>
      <c r="AJ2" s="3970" t="n"/>
      <c r="AK2" s="3970" t="n"/>
      <c r="AL2" s="3970" t="n"/>
      <c r="AM2" s="3970" t="n"/>
      <c r="AN2" s="3970" t="n"/>
      <c r="AO2" s="3970" t="n"/>
      <c r="AP2" s="3970" t="n"/>
      <c r="AQ2" s="3970" t="n"/>
      <c r="AR2" s="3970" t="n"/>
      <c r="AS2" s="3970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70" t="n"/>
      <c r="L3" s="3970" t="n"/>
      <c r="M3" s="3970" t="n"/>
      <c r="N3" s="3970" t="n"/>
      <c r="O3" s="3970" t="n"/>
      <c r="P3" s="3970" t="n"/>
      <c r="Q3" s="3970" t="n"/>
      <c r="R3" s="3970" t="n"/>
      <c r="S3" s="3970" t="n"/>
      <c r="T3" s="3970" t="n"/>
      <c r="U3" s="3970" t="n"/>
      <c r="V3" s="3970" t="n"/>
      <c r="W3" s="3970" t="n"/>
      <c r="X3" s="3970" t="n"/>
      <c r="Y3" s="3970" t="n"/>
      <c r="Z3" s="3970" t="n"/>
      <c r="AA3" s="3970" t="n"/>
      <c r="AB3" s="3970" t="n"/>
      <c r="AC3" s="3970" t="n"/>
      <c r="AD3" s="3970" t="n"/>
      <c r="AE3" s="3970" t="n"/>
      <c r="AF3" s="3970" t="n"/>
      <c r="AG3" s="3970" t="n"/>
      <c r="AH3" s="3970" t="n"/>
      <c r="AI3" s="3970" t="n"/>
      <c r="AJ3" s="3970" t="n"/>
      <c r="AK3" s="3970" t="n"/>
      <c r="AL3" s="3970" t="n"/>
      <c r="AM3" s="3970" t="n"/>
      <c r="AN3" s="3970" t="n"/>
      <c r="AO3" s="3970" t="n"/>
      <c r="AP3" s="3970" t="n"/>
      <c r="AQ3" s="3970" t="n"/>
      <c r="AR3" s="3970" t="n"/>
      <c r="AS3" s="3970" t="n"/>
    </row>
    <row r="4">
      <c r="A4" s="3934" t="n"/>
      <c r="B4" s="3934" t="n"/>
      <c r="C4" s="3934" t="n"/>
      <c r="D4" s="3934" t="n"/>
      <c r="E4" s="3934" t="n"/>
      <c r="F4" s="3934" t="n"/>
      <c r="G4" s="3934" t="n"/>
      <c r="H4" s="3934" t="n"/>
      <c r="I4" s="3934" t="n"/>
      <c r="J4" s="3934" t="n"/>
      <c r="K4" s="3970" t="n"/>
      <c r="L4" s="3970" t="n"/>
      <c r="M4" s="3970" t="n"/>
      <c r="N4" s="3970" t="n"/>
      <c r="O4" s="3970" t="n"/>
      <c r="P4" s="3970" t="n"/>
      <c r="Q4" s="3970" t="n"/>
      <c r="R4" s="3970" t="n"/>
      <c r="S4" s="3970" t="n"/>
      <c r="T4" s="3970" t="n"/>
      <c r="U4" s="3970" t="n"/>
      <c r="V4" s="3970" t="n"/>
      <c r="W4" s="3970" t="n"/>
      <c r="X4" s="3970" t="n"/>
      <c r="Y4" s="3970" t="n"/>
      <c r="Z4" s="3970" t="n"/>
      <c r="AA4" s="3970" t="n"/>
      <c r="AB4" s="3970" t="n"/>
      <c r="AC4" s="3970" t="n"/>
      <c r="AD4" s="3970" t="n"/>
      <c r="AE4" s="3970" t="n"/>
      <c r="AF4" s="3970" t="n"/>
      <c r="AG4" s="3970" t="n"/>
      <c r="AH4" s="3970" t="n"/>
      <c r="AI4" s="3970" t="n"/>
      <c r="AJ4" s="3970" t="n"/>
      <c r="AK4" s="3970" t="n"/>
      <c r="AL4" s="3970" t="n"/>
      <c r="AM4" s="3970" t="n"/>
      <c r="AN4" s="3970" t="n"/>
      <c r="AO4" s="3970" t="n"/>
      <c r="AP4" s="3970" t="n"/>
      <c r="AQ4" s="3970" t="n"/>
      <c r="AR4" s="3970" t="n"/>
      <c r="AS4" s="3970" t="n"/>
    </row>
    <row r="5">
      <c r="A5" s="3934" t="n"/>
      <c r="B5" s="3934" t="n"/>
      <c r="C5" s="3934" t="n"/>
      <c r="D5" s="3934" t="n"/>
      <c r="E5" s="3934" t="n"/>
      <c r="F5" s="3934" t="n"/>
      <c r="G5" s="3934" t="n"/>
      <c r="H5" s="3934" t="n"/>
      <c r="I5" s="3934" t="n"/>
      <c r="J5" s="3934" t="n"/>
      <c r="K5" s="3970" t="n"/>
      <c r="L5" s="3970" t="n"/>
      <c r="M5" s="3970" t="n"/>
      <c r="N5" s="3970" t="n"/>
      <c r="O5" s="3970" t="n"/>
      <c r="P5" s="3970" t="n"/>
      <c r="Q5" s="3970" t="n"/>
      <c r="R5" s="3970" t="n"/>
      <c r="S5" s="3970" t="n"/>
      <c r="T5" s="3970" t="n"/>
      <c r="U5" s="3970" t="n"/>
      <c r="V5" s="3970" t="n"/>
      <c r="W5" s="3970" t="n"/>
      <c r="X5" s="3970" t="n"/>
      <c r="Y5" s="3970" t="n"/>
      <c r="Z5" s="3970" t="n"/>
      <c r="AA5" s="3970" t="n"/>
      <c r="AB5" s="3970" t="n"/>
      <c r="AC5" s="3970" t="n"/>
      <c r="AD5" s="3970" t="n"/>
      <c r="AE5" s="3970" t="n"/>
      <c r="AF5" s="3970" t="n"/>
      <c r="AG5" s="3970" t="n"/>
      <c r="AH5" s="3970" t="n"/>
      <c r="AI5" s="3970" t="n"/>
      <c r="AJ5" s="3970" t="n"/>
      <c r="AK5" s="3970" t="n"/>
      <c r="AL5" s="3970" t="n"/>
      <c r="AM5" s="3970" t="n"/>
      <c r="AN5" s="3970" t="n"/>
      <c r="AO5" s="3970" t="n"/>
      <c r="AP5" s="3970" t="n"/>
      <c r="AQ5" s="3970" t="n"/>
      <c r="AR5" s="3970" t="n"/>
      <c r="AS5" s="3970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70" t="n"/>
      <c r="L6" s="3970" t="n"/>
      <c r="M6" s="3970" t="n"/>
      <c r="N6" s="3970" t="n"/>
      <c r="O6" s="3970" t="n"/>
      <c r="P6" s="3970" t="n"/>
      <c r="Q6" s="3970" t="n"/>
      <c r="R6" s="3970" t="n"/>
      <c r="S6" s="3970" t="n"/>
      <c r="T6" s="3970" t="n"/>
      <c r="U6" s="3970" t="n"/>
      <c r="V6" s="3970" t="n"/>
      <c r="W6" s="3970" t="n"/>
      <c r="X6" s="3970" t="n"/>
      <c r="Y6" s="3970" t="n"/>
      <c r="Z6" s="3970" t="n"/>
      <c r="AA6" s="3970" t="n"/>
      <c r="AB6" s="3970" t="n"/>
      <c r="AC6" s="3970" t="n"/>
      <c r="AD6" s="3970" t="n"/>
      <c r="AE6" s="3970" t="n"/>
      <c r="AF6" s="3970" t="n"/>
      <c r="AG6" s="3970" t="n"/>
      <c r="AH6" s="3970" t="n"/>
      <c r="AI6" s="3970" t="n"/>
      <c r="AJ6" s="3970" t="n"/>
      <c r="AK6" s="3970" t="n"/>
      <c r="AL6" s="3970" t="n"/>
      <c r="AM6" s="3970" t="n"/>
      <c r="AN6" s="3970" t="n"/>
      <c r="AO6" s="3970" t="n"/>
      <c r="AP6" s="3970" t="n"/>
      <c r="AQ6" s="3970" t="n"/>
      <c r="AR6" s="3970" t="n"/>
      <c r="AS6" s="3970" t="n"/>
    </row>
    <row r="7">
      <c r="A7" s="3979" t="inlineStr">
        <is>
          <t>QofE Summary</t>
        </is>
      </c>
      <c r="B7" s="3980" t="n"/>
      <c r="C7" s="3980" t="n"/>
      <c r="D7" s="3980" t="n"/>
      <c r="E7" s="3980" t="n"/>
      <c r="F7" s="3980" t="n"/>
      <c r="G7" s="3980" t="n"/>
      <c r="H7" s="3980" t="n"/>
      <c r="I7" s="3980" t="n"/>
      <c r="J7" s="3980" t="n"/>
      <c r="K7" s="3970" t="n"/>
      <c r="L7" s="3970" t="n"/>
      <c r="M7" s="3970" t="n"/>
      <c r="N7" s="3970" t="n"/>
      <c r="O7" s="3970" t="n"/>
      <c r="P7" s="3970" t="n"/>
      <c r="Q7" s="3970" t="n"/>
      <c r="R7" s="3970" t="n"/>
      <c r="S7" s="3970" t="n"/>
      <c r="T7" s="3970" t="n"/>
      <c r="U7" s="3970" t="n"/>
      <c r="V7" s="3970" t="n"/>
      <c r="W7" s="3970" t="n"/>
      <c r="X7" s="3970" t="n"/>
      <c r="Y7" s="3970" t="n"/>
      <c r="Z7" s="3970" t="n"/>
      <c r="AA7" s="3970" t="n"/>
      <c r="AB7" s="3970" t="n"/>
      <c r="AC7" s="3970" t="n"/>
      <c r="AD7" s="3970" t="n"/>
      <c r="AE7" s="3970" t="n"/>
      <c r="AF7" s="3970" t="n"/>
      <c r="AG7" s="3970" t="n"/>
      <c r="AH7" s="3970" t="n"/>
      <c r="AI7" s="3970" t="n"/>
      <c r="AJ7" s="3970" t="n"/>
      <c r="AK7" s="3970" t="n"/>
      <c r="AL7" s="3970" t="n"/>
      <c r="AM7" s="3970" t="n"/>
      <c r="AN7" s="3970" t="n"/>
      <c r="AO7" s="3970" t="n"/>
      <c r="AP7" s="3970" t="n"/>
      <c r="AQ7" s="3970" t="n"/>
      <c r="AR7" s="3970" t="n"/>
      <c r="AS7" s="3970" t="n"/>
    </row>
    <row r="8">
      <c r="A8" s="3923" t="inlineStr">
        <is>
          <t>LineKey</t>
        </is>
      </c>
      <c r="B8" s="3964" t="inlineStr">
        <is>
          <t>$'000</t>
        </is>
      </c>
      <c r="C8" s="3964" t="inlineStr">
        <is>
          <t>TB Account No.</t>
        </is>
      </c>
      <c r="D8" s="3964" t="inlineStr">
        <is>
          <t>Sign</t>
        </is>
      </c>
      <c r="E8" s="3964" t="inlineStr">
        <is>
          <t>Source</t>
        </is>
      </c>
      <c r="F8" s="3964" t="inlineStr">
        <is>
          <t>Comments</t>
        </is>
      </c>
      <c r="G8" s="3965" t="inlineStr">
        <is>
          <t>FY-3</t>
        </is>
      </c>
      <c r="H8" s="3965" t="inlineStr">
        <is>
          <t>FY-2</t>
        </is>
      </c>
      <c r="I8" s="3965" t="inlineStr">
        <is>
          <t>FY-1</t>
        </is>
      </c>
      <c r="J8" s="3965" t="inlineStr">
        <is>
          <t>TTM</t>
        </is>
      </c>
      <c r="K8" s="3970" t="n"/>
      <c r="L8" s="3970" t="n"/>
      <c r="M8" s="3970" t="n"/>
      <c r="N8" s="3970" t="n"/>
      <c r="O8" s="3970" t="n"/>
      <c r="P8" s="3970" t="n"/>
      <c r="Q8" s="3970" t="n"/>
      <c r="R8" s="3970" t="n"/>
      <c r="S8" s="3970" t="n"/>
      <c r="T8" s="3970" t="n"/>
      <c r="U8" s="3970" t="n"/>
      <c r="V8" s="3970" t="n"/>
      <c r="W8" s="3970" t="n"/>
      <c r="X8" s="3970" t="n"/>
      <c r="Y8" s="3970" t="n"/>
      <c r="Z8" s="3970" t="n"/>
      <c r="AA8" s="3970" t="n"/>
      <c r="AB8" s="3970" t="n"/>
      <c r="AC8" s="3970" t="n"/>
      <c r="AD8" s="3970" t="n"/>
      <c r="AE8" s="3970" t="n"/>
      <c r="AF8" s="3970" t="n"/>
      <c r="AG8" s="3970" t="n"/>
      <c r="AH8" s="3970" t="n"/>
      <c r="AI8" s="3970" t="n"/>
      <c r="AJ8" s="3970" t="n"/>
      <c r="AK8" s="3970" t="n"/>
      <c r="AL8" s="3970" t="n"/>
      <c r="AM8" s="3970" t="n"/>
      <c r="AN8" s="3970" t="n"/>
      <c r="AO8" s="3970" t="n"/>
      <c r="AP8" s="3970" t="n"/>
      <c r="AQ8" s="3970" t="n"/>
      <c r="AR8" s="3970" t="n"/>
      <c r="AS8" s="3970" t="n"/>
    </row>
    <row r="9">
      <c r="A9" s="3959" t="inlineStr">
        <is>
          <t>Q_REV_REP</t>
        </is>
      </c>
      <c r="B9" s="3959" t="inlineStr">
        <is>
          <t>Revenue - Reported</t>
        </is>
      </c>
      <c r="C9" s="3959" t="inlineStr"/>
      <c r="D9" s="3959" t="inlineStr">
        <is>
          <t>+</t>
        </is>
      </c>
      <c r="E9" s="3959" t="inlineStr">
        <is>
          <t>Input</t>
        </is>
      </c>
      <c r="F9" s="3959" t="inlineStr"/>
      <c r="G9" s="3929" t="n"/>
      <c r="H9" s="3929" t="n"/>
      <c r="I9" s="3929" t="n"/>
      <c r="J9" s="3929" t="n"/>
      <c r="K9" s="3970" t="n"/>
      <c r="L9" s="3970" t="n"/>
      <c r="M9" s="3970" t="n"/>
      <c r="N9" s="3970" t="n"/>
      <c r="O9" s="3970" t="n"/>
      <c r="P9" s="3970" t="n"/>
      <c r="Q9" s="3970" t="n"/>
      <c r="R9" s="3970" t="n"/>
      <c r="S9" s="3970" t="n"/>
      <c r="T9" s="3970" t="n"/>
      <c r="U9" s="3970" t="n"/>
      <c r="V9" s="3970" t="n"/>
      <c r="W9" s="3970" t="n"/>
      <c r="X9" s="3970" t="n"/>
      <c r="Y9" s="3970" t="n"/>
      <c r="Z9" s="3970" t="n"/>
      <c r="AA9" s="3970" t="n"/>
      <c r="AB9" s="3970" t="n"/>
      <c r="AC9" s="3970" t="n"/>
      <c r="AD9" s="3970" t="n"/>
      <c r="AE9" s="3970" t="n"/>
      <c r="AF9" s="3970" t="n"/>
      <c r="AG9" s="3970" t="n"/>
      <c r="AH9" s="3970" t="n"/>
      <c r="AI9" s="3970" t="n"/>
      <c r="AJ9" s="3970" t="n"/>
      <c r="AK9" s="3970" t="n"/>
      <c r="AL9" s="3970" t="n"/>
      <c r="AM9" s="3970" t="n"/>
      <c r="AN9" s="3970" t="n"/>
      <c r="AO9" s="3970" t="n"/>
      <c r="AP9" s="3970" t="n"/>
      <c r="AQ9" s="3970" t="n"/>
      <c r="AR9" s="3970" t="n"/>
      <c r="AS9" s="3970" t="n"/>
    </row>
    <row r="10">
      <c r="A10" s="3959" t="inlineStr">
        <is>
          <t>Q_REV_DD</t>
        </is>
      </c>
      <c r="B10" s="3959" t="inlineStr">
        <is>
          <t>Revenue - DD Adj</t>
        </is>
      </c>
      <c r="C10" s="3959" t="inlineStr"/>
      <c r="D10" s="3959" t="inlineStr">
        <is>
          <t>+</t>
        </is>
      </c>
      <c r="E10" s="3959" t="inlineStr">
        <is>
          <t>Input</t>
        </is>
      </c>
      <c r="F10" s="3959" t="inlineStr"/>
      <c r="G10" s="3929" t="n"/>
      <c r="H10" s="3929" t="n"/>
      <c r="I10" s="3929" t="n"/>
      <c r="J10" s="3929" t="n"/>
      <c r="K10" s="3970" t="n"/>
      <c r="L10" s="3970" t="n"/>
      <c r="M10" s="3970" t="n"/>
      <c r="N10" s="3970" t="n"/>
      <c r="O10" s="3970" t="n"/>
      <c r="P10" s="3970" t="n"/>
      <c r="Q10" s="3970" t="n"/>
      <c r="R10" s="3970" t="n"/>
      <c r="S10" s="3970" t="n"/>
      <c r="T10" s="3970" t="n"/>
      <c r="U10" s="3970" t="n"/>
      <c r="V10" s="3970" t="n"/>
      <c r="W10" s="3970" t="n"/>
      <c r="X10" s="3970" t="n"/>
      <c r="Y10" s="3970" t="n"/>
      <c r="Z10" s="3970" t="n"/>
      <c r="AA10" s="3970" t="n"/>
      <c r="AB10" s="3970" t="n"/>
      <c r="AC10" s="3970" t="n"/>
      <c r="AD10" s="3970" t="n"/>
      <c r="AE10" s="3970" t="n"/>
      <c r="AF10" s="3970" t="n"/>
      <c r="AG10" s="3970" t="n"/>
      <c r="AH10" s="3970" t="n"/>
      <c r="AI10" s="3970" t="n"/>
      <c r="AJ10" s="3970" t="n"/>
      <c r="AK10" s="3970" t="n"/>
      <c r="AL10" s="3970" t="n"/>
      <c r="AM10" s="3970" t="n"/>
      <c r="AN10" s="3970" t="n"/>
      <c r="AO10" s="3970" t="n"/>
      <c r="AP10" s="3970" t="n"/>
      <c r="AQ10" s="3970" t="n"/>
      <c r="AR10" s="3970" t="n"/>
      <c r="AS10" s="3970" t="n"/>
    </row>
    <row r="11">
      <c r="A11" s="3959" t="inlineStr">
        <is>
          <t>Q_REV_PF</t>
        </is>
      </c>
      <c r="B11" s="3959" t="inlineStr">
        <is>
          <t>Revenue - PF Adj</t>
        </is>
      </c>
      <c r="C11" s="3959" t="inlineStr"/>
      <c r="D11" s="3959" t="inlineStr">
        <is>
          <t>+</t>
        </is>
      </c>
      <c r="E11" s="3959" t="inlineStr">
        <is>
          <t>Input</t>
        </is>
      </c>
      <c r="F11" s="3959" t="inlineStr"/>
      <c r="G11" s="3929" t="n"/>
      <c r="H11" s="3929" t="n"/>
      <c r="I11" s="3929" t="n"/>
      <c r="J11" s="3929" t="n"/>
      <c r="K11" s="3970" t="n"/>
      <c r="L11" s="3970" t="n"/>
      <c r="M11" s="3970" t="n"/>
      <c r="N11" s="3970" t="n"/>
      <c r="O11" s="3970" t="n"/>
      <c r="P11" s="3970" t="n"/>
      <c r="Q11" s="3970" t="n"/>
      <c r="R11" s="3970" t="n"/>
      <c r="S11" s="3970" t="n"/>
      <c r="T11" s="3970" t="n"/>
      <c r="U11" s="3970" t="n"/>
      <c r="V11" s="3970" t="n"/>
      <c r="W11" s="3970" t="n"/>
      <c r="X11" s="3970" t="n"/>
      <c r="Y11" s="3970" t="n"/>
      <c r="Z11" s="3970" t="n"/>
      <c r="AA11" s="3970" t="n"/>
      <c r="AB11" s="3970" t="n"/>
      <c r="AC11" s="3970" t="n"/>
      <c r="AD11" s="3970" t="n"/>
      <c r="AE11" s="3970" t="n"/>
      <c r="AF11" s="3970" t="n"/>
      <c r="AG11" s="3970" t="n"/>
      <c r="AH11" s="3970" t="n"/>
      <c r="AI11" s="3970" t="n"/>
      <c r="AJ11" s="3970" t="n"/>
      <c r="AK11" s="3970" t="n"/>
      <c r="AL11" s="3970" t="n"/>
      <c r="AM11" s="3970" t="n"/>
      <c r="AN11" s="3970" t="n"/>
      <c r="AO11" s="3970" t="n"/>
      <c r="AP11" s="3970" t="n"/>
      <c r="AQ11" s="3970" t="n"/>
      <c r="AR11" s="3970" t="n"/>
      <c r="AS11" s="3970" t="n"/>
    </row>
    <row r="12">
      <c r="A12" s="3959" t="inlineStr">
        <is>
          <t>Q_REV_ADJ</t>
        </is>
      </c>
      <c r="B12" s="3959" t="inlineStr">
        <is>
          <t>Revenue - Adjusted</t>
        </is>
      </c>
      <c r="C12" s="3959" t="inlineStr"/>
      <c r="D12" s="3959" t="inlineStr">
        <is>
          <t>+</t>
        </is>
      </c>
      <c r="E12" s="3959" t="inlineStr">
        <is>
          <t>Formula</t>
        </is>
      </c>
      <c r="F12" s="3959" t="inlineStr">
        <is>
          <t>Derived</t>
        </is>
      </c>
      <c r="G12" s="3960">
        <f>IF(COUNT(G9:G11)=0,"",SUM(G9:G11))</f>
        <v/>
      </c>
      <c r="H12" s="3960">
        <f>IF(COUNT(H9:H11)=0,"",SUM(H9:H11))</f>
        <v/>
      </c>
      <c r="I12" s="3960">
        <f>IF(COUNT(I9:I11)=0,"",SUM(I9:I11))</f>
        <v/>
      </c>
      <c r="J12" s="3960">
        <f>IF(COUNT(J9:J11)=0,"",SUM(J9:J11))</f>
        <v/>
      </c>
      <c r="K12" s="3970" t="n"/>
      <c r="L12" s="3970" t="n"/>
      <c r="M12" s="3970" t="n"/>
      <c r="N12" s="3970" t="n"/>
      <c r="O12" s="3970" t="n"/>
      <c r="P12" s="3970" t="n"/>
      <c r="Q12" s="3970" t="n"/>
      <c r="R12" s="3970" t="n"/>
      <c r="S12" s="3970" t="n"/>
      <c r="T12" s="3970" t="n"/>
      <c r="U12" s="3970" t="n"/>
      <c r="V12" s="3970" t="n"/>
      <c r="W12" s="3970" t="n"/>
      <c r="X12" s="3970" t="n"/>
      <c r="Y12" s="3970" t="n"/>
      <c r="Z12" s="3970" t="n"/>
      <c r="AA12" s="3970" t="n"/>
      <c r="AB12" s="3970" t="n"/>
      <c r="AC12" s="3970" t="n"/>
      <c r="AD12" s="3970" t="n"/>
      <c r="AE12" s="3970" t="n"/>
      <c r="AF12" s="3970" t="n"/>
      <c r="AG12" s="3970" t="n"/>
      <c r="AH12" s="3970" t="n"/>
      <c r="AI12" s="3970" t="n"/>
      <c r="AJ12" s="3970" t="n"/>
      <c r="AK12" s="3970" t="n"/>
      <c r="AL12" s="3970" t="n"/>
      <c r="AM12" s="3970" t="n"/>
      <c r="AN12" s="3970" t="n"/>
      <c r="AO12" s="3970" t="n"/>
      <c r="AP12" s="3970" t="n"/>
      <c r="AQ12" s="3970" t="n"/>
      <c r="AR12" s="3970" t="n"/>
      <c r="AS12" s="3970" t="n"/>
    </row>
    <row r="13">
      <c r="A13" s="3959" t="inlineStr">
        <is>
          <t>Q_EB_REP</t>
        </is>
      </c>
      <c r="B13" s="3959" t="inlineStr">
        <is>
          <t>EBITDA - Reported</t>
        </is>
      </c>
      <c r="C13" s="3959" t="inlineStr"/>
      <c r="D13" s="3959" t="inlineStr">
        <is>
          <t>+</t>
        </is>
      </c>
      <c r="E13" s="3959" t="inlineStr">
        <is>
          <t>Input</t>
        </is>
      </c>
      <c r="F13" s="3959" t="inlineStr"/>
      <c r="G13" s="3929" t="n"/>
      <c r="H13" s="3929" t="n"/>
      <c r="I13" s="3929" t="n"/>
      <c r="J13" s="3929" t="n"/>
      <c r="K13" s="3970" t="n"/>
      <c r="L13" s="3970" t="n"/>
      <c r="M13" s="3970" t="n"/>
      <c r="N13" s="3970" t="n"/>
      <c r="O13" s="3970" t="n"/>
      <c r="P13" s="3970" t="n"/>
      <c r="Q13" s="3970" t="n"/>
      <c r="R13" s="3970" t="n"/>
      <c r="S13" s="3970" t="n"/>
      <c r="T13" s="3970" t="n"/>
      <c r="U13" s="3970" t="n"/>
      <c r="V13" s="3970" t="n"/>
      <c r="W13" s="3970" t="n"/>
      <c r="X13" s="3970" t="n"/>
      <c r="Y13" s="3970" t="n"/>
      <c r="Z13" s="3970" t="n"/>
      <c r="AA13" s="3970" t="n"/>
      <c r="AB13" s="3970" t="n"/>
      <c r="AC13" s="3970" t="n"/>
      <c r="AD13" s="3970" t="n"/>
      <c r="AE13" s="3970" t="n"/>
      <c r="AF13" s="3970" t="n"/>
      <c r="AG13" s="3970" t="n"/>
      <c r="AH13" s="3970" t="n"/>
      <c r="AI13" s="3970" t="n"/>
      <c r="AJ13" s="3970" t="n"/>
      <c r="AK13" s="3970" t="n"/>
      <c r="AL13" s="3970" t="n"/>
      <c r="AM13" s="3970" t="n"/>
      <c r="AN13" s="3970" t="n"/>
      <c r="AO13" s="3970" t="n"/>
      <c r="AP13" s="3970" t="n"/>
      <c r="AQ13" s="3970" t="n"/>
      <c r="AR13" s="3970" t="n"/>
      <c r="AS13" s="3970" t="n"/>
    </row>
    <row r="14">
      <c r="A14" s="3959" t="inlineStr">
        <is>
          <t>Q_EB_DD</t>
        </is>
      </c>
      <c r="B14" s="3959" t="inlineStr">
        <is>
          <t>EBITDA - DD Adj</t>
        </is>
      </c>
      <c r="C14" s="3959" t="inlineStr"/>
      <c r="D14" s="3959" t="inlineStr">
        <is>
          <t>+</t>
        </is>
      </c>
      <c r="E14" s="3959" t="inlineStr">
        <is>
          <t>Input</t>
        </is>
      </c>
      <c r="F14" s="3959" t="inlineStr"/>
      <c r="G14" s="3929" t="n"/>
      <c r="H14" s="3929" t="n"/>
      <c r="I14" s="3929" t="n"/>
      <c r="J14" s="3929" t="n"/>
      <c r="K14" s="3970" t="n"/>
      <c r="L14" s="3970" t="n"/>
      <c r="M14" s="3970" t="n"/>
      <c r="N14" s="3970" t="n"/>
      <c r="O14" s="3970" t="n"/>
      <c r="P14" s="3970" t="n"/>
      <c r="Q14" s="3970" t="n"/>
      <c r="R14" s="3970" t="n"/>
      <c r="S14" s="3970" t="n"/>
      <c r="T14" s="3970" t="n"/>
      <c r="U14" s="3970" t="n"/>
      <c r="V14" s="3970" t="n"/>
      <c r="W14" s="3970" t="n"/>
      <c r="X14" s="3970" t="n"/>
      <c r="Y14" s="3970" t="n"/>
      <c r="Z14" s="3970" t="n"/>
      <c r="AA14" s="3970" t="n"/>
      <c r="AB14" s="3970" t="n"/>
      <c r="AC14" s="3970" t="n"/>
      <c r="AD14" s="3970" t="n"/>
      <c r="AE14" s="3970" t="n"/>
      <c r="AF14" s="3970" t="n"/>
      <c r="AG14" s="3970" t="n"/>
      <c r="AH14" s="3970" t="n"/>
      <c r="AI14" s="3970" t="n"/>
      <c r="AJ14" s="3970" t="n"/>
      <c r="AK14" s="3970" t="n"/>
      <c r="AL14" s="3970" t="n"/>
      <c r="AM14" s="3970" t="n"/>
      <c r="AN14" s="3970" t="n"/>
      <c r="AO14" s="3970" t="n"/>
      <c r="AP14" s="3970" t="n"/>
      <c r="AQ14" s="3970" t="n"/>
      <c r="AR14" s="3970" t="n"/>
      <c r="AS14" s="3970" t="n"/>
    </row>
    <row r="15">
      <c r="A15" s="3959" t="inlineStr">
        <is>
          <t>Q_EB_PF</t>
        </is>
      </c>
      <c r="B15" s="3959" t="inlineStr">
        <is>
          <t>EBITDA - PF Adj</t>
        </is>
      </c>
      <c r="C15" s="3959" t="inlineStr"/>
      <c r="D15" s="3959" t="inlineStr">
        <is>
          <t>+</t>
        </is>
      </c>
      <c r="E15" s="3959" t="inlineStr">
        <is>
          <t>Input</t>
        </is>
      </c>
      <c r="F15" s="3959" t="inlineStr"/>
      <c r="G15" s="3929" t="n"/>
      <c r="H15" s="3929" t="n"/>
      <c r="I15" s="3929" t="n"/>
      <c r="J15" s="3929" t="n"/>
      <c r="K15" s="3970" t="n"/>
      <c r="L15" s="3970" t="n"/>
      <c r="M15" s="3970" t="n"/>
      <c r="N15" s="3970" t="n"/>
      <c r="O15" s="3970" t="n"/>
      <c r="P15" s="3970" t="n"/>
      <c r="Q15" s="3970" t="n"/>
      <c r="R15" s="3970" t="n"/>
      <c r="S15" s="3970" t="n"/>
      <c r="T15" s="3970" t="n"/>
      <c r="U15" s="3970" t="n"/>
      <c r="V15" s="3970" t="n"/>
      <c r="W15" s="3970" t="n"/>
      <c r="X15" s="3970" t="n"/>
      <c r="Y15" s="3970" t="n"/>
      <c r="Z15" s="3970" t="n"/>
      <c r="AA15" s="3970" t="n"/>
      <c r="AB15" s="3970" t="n"/>
      <c r="AC15" s="3970" t="n"/>
      <c r="AD15" s="3970" t="n"/>
      <c r="AE15" s="3970" t="n"/>
      <c r="AF15" s="3970" t="n"/>
      <c r="AG15" s="3970" t="n"/>
      <c r="AH15" s="3970" t="n"/>
      <c r="AI15" s="3970" t="n"/>
      <c r="AJ15" s="3970" t="n"/>
      <c r="AK15" s="3970" t="n"/>
      <c r="AL15" s="3970" t="n"/>
      <c r="AM15" s="3970" t="n"/>
      <c r="AN15" s="3970" t="n"/>
      <c r="AO15" s="3970" t="n"/>
      <c r="AP15" s="3970" t="n"/>
      <c r="AQ15" s="3970" t="n"/>
      <c r="AR15" s="3970" t="n"/>
      <c r="AS15" s="3970" t="n"/>
    </row>
    <row r="16">
      <c r="A16" s="3959" t="inlineStr">
        <is>
          <t>Q_EB_ADJ</t>
        </is>
      </c>
      <c r="B16" s="3959" t="inlineStr">
        <is>
          <t>EBITDA - Adjusted</t>
        </is>
      </c>
      <c r="C16" s="3959" t="inlineStr"/>
      <c r="D16" s="3959" t="inlineStr">
        <is>
          <t>+</t>
        </is>
      </c>
      <c r="E16" s="3959" t="inlineStr">
        <is>
          <t>Formula</t>
        </is>
      </c>
      <c r="F16" s="3959" t="inlineStr">
        <is>
          <t>Derived</t>
        </is>
      </c>
      <c r="G16" s="3960">
        <f>IF(COUNT(G13:G15)=0,"",SUM(G13:G15))</f>
        <v/>
      </c>
      <c r="H16" s="3960">
        <f>IF(COUNT(H13:H15)=0,"",SUM(H13:H15))</f>
        <v/>
      </c>
      <c r="I16" s="3960">
        <f>IF(COUNT(I13:I15)=0,"",SUM(I13:I15))</f>
        <v/>
      </c>
      <c r="J16" s="3960">
        <f>IF(COUNT(J13:J15)=0,"",SUM(J13:J15))</f>
        <v/>
      </c>
      <c r="K16" s="3970" t="n"/>
      <c r="L16" s="3970" t="n"/>
      <c r="M16" s="3970" t="n"/>
      <c r="N16" s="3970" t="n"/>
      <c r="O16" s="3970" t="n"/>
      <c r="P16" s="3970" t="n"/>
      <c r="Q16" s="3970" t="n"/>
      <c r="R16" s="3970" t="n"/>
      <c r="S16" s="3970" t="n"/>
      <c r="T16" s="3970" t="n"/>
      <c r="U16" s="3970" t="n"/>
      <c r="V16" s="3970" t="n"/>
      <c r="W16" s="3970" t="n"/>
      <c r="X16" s="3970" t="n"/>
      <c r="Y16" s="3970" t="n"/>
      <c r="Z16" s="3970" t="n"/>
      <c r="AA16" s="3970" t="n"/>
      <c r="AB16" s="3970" t="n"/>
      <c r="AC16" s="3970" t="n"/>
      <c r="AD16" s="3970" t="n"/>
      <c r="AE16" s="3970" t="n"/>
      <c r="AF16" s="3970" t="n"/>
      <c r="AG16" s="3970" t="n"/>
      <c r="AH16" s="3970" t="n"/>
      <c r="AI16" s="3970" t="n"/>
      <c r="AJ16" s="3970" t="n"/>
      <c r="AK16" s="3970" t="n"/>
      <c r="AL16" s="3970" t="n"/>
      <c r="AM16" s="3970" t="n"/>
      <c r="AN16" s="3970" t="n"/>
      <c r="AO16" s="3970" t="n"/>
      <c r="AP16" s="3970" t="n"/>
      <c r="AQ16" s="3970" t="n"/>
      <c r="AR16" s="3970" t="n"/>
      <c r="AS16" s="3970" t="n"/>
    </row>
    <row r="17">
      <c r="A17" s="3959" t="inlineStr">
        <is>
          <t>Q_MARGIN</t>
        </is>
      </c>
      <c r="B17" s="3959" t="inlineStr">
        <is>
          <t>EBITDA Margin %</t>
        </is>
      </c>
      <c r="C17" s="3959" t="inlineStr"/>
      <c r="D17" s="3959" t="inlineStr">
        <is>
          <t>+</t>
        </is>
      </c>
      <c r="E17" s="3959" t="inlineStr">
        <is>
          <t>Formula</t>
        </is>
      </c>
      <c r="F17" s="3959" t="inlineStr">
        <is>
          <t>Derived</t>
        </is>
      </c>
      <c r="G17" s="3960">
        <f>IF(OR(G12="",G16="",G12=0),"",G16/G12)</f>
        <v/>
      </c>
      <c r="H17" s="3960">
        <f>IF(OR(H12="",H16="",H12=0),"",H16/H12)</f>
        <v/>
      </c>
      <c r="I17" s="3960">
        <f>IF(OR(I12="",I16="",I12=0),"",I16/I12)</f>
        <v/>
      </c>
      <c r="J17" s="3960">
        <f>IF(OR(J12="",J16="",J12=0),"",J16/J12)</f>
        <v/>
      </c>
      <c r="K17" s="3970" t="n"/>
      <c r="L17" s="3970" t="n"/>
      <c r="M17" s="3970" t="n"/>
      <c r="N17" s="3970" t="n"/>
      <c r="O17" s="3970" t="n"/>
      <c r="P17" s="3970" t="n"/>
      <c r="Q17" s="3970" t="n"/>
      <c r="R17" s="3970" t="n"/>
      <c r="S17" s="3970" t="n"/>
      <c r="T17" s="3970" t="n"/>
      <c r="U17" s="3970" t="n"/>
      <c r="V17" s="3970" t="n"/>
      <c r="W17" s="3970" t="n"/>
      <c r="X17" s="3970" t="n"/>
      <c r="Y17" s="3970" t="n"/>
      <c r="Z17" s="3970" t="n"/>
      <c r="AA17" s="3970" t="n"/>
      <c r="AB17" s="3970" t="n"/>
      <c r="AC17" s="3970" t="n"/>
      <c r="AD17" s="3970" t="n"/>
      <c r="AE17" s="3970" t="n"/>
      <c r="AF17" s="3970" t="n"/>
      <c r="AG17" s="3970" t="n"/>
      <c r="AH17" s="3970" t="n"/>
      <c r="AI17" s="3970" t="n"/>
      <c r="AJ17" s="3970" t="n"/>
      <c r="AK17" s="3970" t="n"/>
      <c r="AL17" s="3970" t="n"/>
      <c r="AM17" s="3970" t="n"/>
      <c r="AN17" s="3970" t="n"/>
      <c r="AO17" s="3970" t="n"/>
      <c r="AP17" s="3970" t="n"/>
      <c r="AQ17" s="3970" t="n"/>
      <c r="AR17" s="3970" t="n"/>
      <c r="AS17" s="3970" t="n"/>
    </row>
    <row r="18">
      <c r="A18" s="3959" t="n"/>
      <c r="B18" s="3959" t="n"/>
      <c r="C18" s="3959" t="n"/>
      <c r="D18" s="3959" t="n"/>
      <c r="E18" s="3959" t="n"/>
      <c r="F18" s="3959" t="n"/>
      <c r="G18" s="3960" t="n"/>
      <c r="H18" s="3960" t="n"/>
      <c r="I18" s="3960" t="n"/>
      <c r="J18" s="3960" t="n"/>
      <c r="K18" s="3970" t="n"/>
      <c r="L18" s="3970" t="n"/>
      <c r="M18" s="3970" t="n"/>
      <c r="N18" s="3970" t="n"/>
      <c r="O18" s="3970" t="n"/>
      <c r="P18" s="3970" t="n"/>
      <c r="Q18" s="3970" t="n"/>
      <c r="R18" s="3970" t="n"/>
      <c r="S18" s="3970" t="n"/>
      <c r="T18" s="3970" t="n"/>
      <c r="U18" s="3970" t="n"/>
      <c r="V18" s="3970" t="n"/>
      <c r="W18" s="3970" t="n"/>
      <c r="X18" s="3970" t="n"/>
      <c r="Y18" s="3970" t="n"/>
      <c r="Z18" s="3970" t="n"/>
      <c r="AA18" s="3970" t="n"/>
      <c r="AB18" s="3970" t="n"/>
      <c r="AC18" s="3970" t="n"/>
      <c r="AD18" s="3970" t="n"/>
      <c r="AE18" s="3970" t="n"/>
      <c r="AF18" s="3970" t="n"/>
      <c r="AG18" s="3970" t="n"/>
      <c r="AH18" s="3970" t="n"/>
      <c r="AI18" s="3970" t="n"/>
      <c r="AJ18" s="3970" t="n"/>
      <c r="AK18" s="3970" t="n"/>
      <c r="AL18" s="3970" t="n"/>
      <c r="AM18" s="3970" t="n"/>
      <c r="AN18" s="3970" t="n"/>
      <c r="AO18" s="3970" t="n"/>
      <c r="AP18" s="3970" t="n"/>
      <c r="AQ18" s="3970" t="n"/>
      <c r="AR18" s="3970" t="n"/>
      <c r="AS18" s="3970" t="n"/>
    </row>
    <row r="19">
      <c r="A19" s="3979" t="inlineStr">
        <is>
          <t>QOFE_SUMMARY_CHECKS</t>
        </is>
      </c>
      <c r="B19" s="3980" t="n"/>
      <c r="C19" s="3980" t="n"/>
      <c r="D19" s="3980" t="n"/>
      <c r="E19" s="3980" t="n"/>
      <c r="F19" s="3980" t="n"/>
      <c r="G19" s="3981" t="n"/>
      <c r="H19" s="3981" t="n"/>
      <c r="I19" s="3981" t="n"/>
      <c r="J19" s="3981" t="n"/>
      <c r="K19" s="3975" t="n"/>
      <c r="L19" s="3975" t="n"/>
      <c r="M19" s="3975" t="n"/>
      <c r="N19" s="3975" t="n"/>
      <c r="O19" s="3975" t="n"/>
      <c r="P19" s="3975" t="n"/>
      <c r="Q19" s="3975" t="n"/>
      <c r="R19" s="3975" t="n"/>
      <c r="S19" s="3975" t="n"/>
      <c r="T19" s="3975" t="n"/>
      <c r="U19" s="3975" t="n"/>
      <c r="V19" s="3975" t="n"/>
      <c r="W19" s="3975" t="n"/>
      <c r="X19" s="3975" t="n"/>
      <c r="Y19" s="3975" t="n"/>
      <c r="Z19" s="3975" t="n"/>
      <c r="AA19" s="3975" t="n"/>
      <c r="AB19" s="3975" t="n"/>
      <c r="AC19" s="3975" t="n"/>
      <c r="AD19" s="3975" t="n"/>
      <c r="AE19" s="3975" t="n"/>
      <c r="AF19" s="3975" t="n"/>
      <c r="AG19" s="3975" t="n"/>
      <c r="AH19" s="3975" t="n"/>
      <c r="AI19" s="3975" t="n"/>
      <c r="AJ19" s="3975" t="n"/>
      <c r="AK19" s="3975" t="n"/>
      <c r="AL19" s="3975" t="n"/>
      <c r="AM19" s="3975" t="n"/>
      <c r="AN19" s="3975" t="n"/>
      <c r="AO19" s="3975" t="n"/>
      <c r="AP19" s="3975" t="n"/>
      <c r="AQ19" s="3975" t="n"/>
      <c r="AR19" s="3975" t="n"/>
      <c r="AS19" s="3975" t="n"/>
    </row>
    <row r="20">
      <c r="A20" s="3970" t="inlineStr">
        <is>
          <t>Revenue tie-out vs QofE Detail</t>
        </is>
      </c>
      <c r="B20" s="3970" t="n"/>
      <c r="C20" s="3970" t="n"/>
      <c r="D20" s="3970" t="n"/>
      <c r="E20" s="3970" t="n"/>
      <c r="F20" s="3970" t="n"/>
      <c r="G20" s="3976" t="n"/>
      <c r="H20" s="3976" t="n"/>
      <c r="I20" s="3976" t="n"/>
      <c r="J20" s="3976" t="n"/>
      <c r="K20" s="3970" t="n"/>
      <c r="L20" s="3970" t="n"/>
      <c r="M20" s="3970" t="n"/>
      <c r="N20" s="3970" t="n"/>
      <c r="O20" s="3970" t="n"/>
      <c r="P20" s="3970" t="n"/>
      <c r="Q20" s="3970" t="n"/>
      <c r="R20" s="3970" t="n"/>
      <c r="S20" s="3970" t="n"/>
      <c r="T20" s="3970" t="n"/>
      <c r="U20" s="3970" t="n"/>
      <c r="V20" s="3970" t="n"/>
      <c r="W20" s="3970" t="n"/>
      <c r="X20" s="3970" t="n"/>
      <c r="Y20" s="3970" t="n"/>
      <c r="Z20" s="3970" t="n"/>
      <c r="AA20" s="3970" t="n"/>
      <c r="AB20" s="3970" t="n"/>
      <c r="AC20" s="3970" t="n"/>
      <c r="AD20" s="3970" t="n"/>
      <c r="AE20" s="3970" t="n"/>
      <c r="AF20" s="3970" t="n"/>
      <c r="AG20" s="3970" t="n"/>
      <c r="AH20" s="3970" t="n"/>
      <c r="AI20" s="3970" t="n"/>
      <c r="AJ20" s="3970" t="n"/>
      <c r="AK20" s="3970" t="n"/>
      <c r="AL20" s="3970" t="n"/>
      <c r="AM20" s="3970" t="n"/>
      <c r="AN20" s="3970" t="n"/>
      <c r="AO20" s="3970" t="n"/>
      <c r="AP20" s="3970" t="n"/>
      <c r="AQ20" s="3970" t="n"/>
      <c r="AR20" s="3970" t="n"/>
      <c r="AS20" s="3970" t="n"/>
    </row>
    <row r="21">
      <c r="A21" s="3970" t="inlineStr">
        <is>
          <t>EBITDA tie-out vs QofE Detail</t>
        </is>
      </c>
      <c r="B21" s="3970" t="n"/>
      <c r="C21" s="3970" t="n"/>
      <c r="D21" s="3970" t="n"/>
      <c r="E21" s="3970" t="n"/>
      <c r="F21" s="3970" t="n"/>
      <c r="G21" s="3976" t="n"/>
      <c r="H21" s="3976" t="n"/>
      <c r="I21" s="3976" t="n"/>
      <c r="J21" s="3976" t="n"/>
      <c r="K21" s="3970" t="n"/>
      <c r="L21" s="3970" t="n"/>
      <c r="M21" s="3970" t="n"/>
      <c r="N21" s="3970" t="n"/>
      <c r="O21" s="3970" t="n"/>
      <c r="P21" s="3970" t="n"/>
      <c r="Q21" s="3970" t="n"/>
      <c r="R21" s="3970" t="n"/>
      <c r="S21" s="3970" t="n"/>
      <c r="T21" s="3970" t="n"/>
      <c r="U21" s="3970" t="n"/>
      <c r="V21" s="3970" t="n"/>
      <c r="W21" s="3970" t="n"/>
      <c r="X21" s="3970" t="n"/>
      <c r="Y21" s="3970" t="n"/>
      <c r="Z21" s="3970" t="n"/>
      <c r="AA21" s="3970" t="n"/>
      <c r="AB21" s="3970" t="n"/>
      <c r="AC21" s="3970" t="n"/>
      <c r="AD21" s="3970" t="n"/>
      <c r="AE21" s="3970" t="n"/>
      <c r="AF21" s="3970" t="n"/>
      <c r="AG21" s="3970" t="n"/>
      <c r="AH21" s="3970" t="n"/>
      <c r="AI21" s="3970" t="n"/>
      <c r="AJ21" s="3970" t="n"/>
      <c r="AK21" s="3970" t="n"/>
      <c r="AL21" s="3970" t="n"/>
      <c r="AM21" s="3970" t="n"/>
      <c r="AN21" s="3970" t="n"/>
      <c r="AO21" s="3970" t="n"/>
      <c r="AP21" s="3970" t="n"/>
      <c r="AQ21" s="3970" t="n"/>
      <c r="AR21" s="3970" t="n"/>
      <c r="AS21" s="3970" t="n"/>
    </row>
    <row r="22">
      <c r="A22" s="3970" t="n"/>
      <c r="B22" s="3970" t="n"/>
      <c r="C22" s="3970" t="n"/>
      <c r="D22" s="3970" t="n"/>
      <c r="E22" s="3970" t="n"/>
      <c r="F22" s="3970" t="n"/>
      <c r="G22" s="3977" t="n"/>
      <c r="H22" s="3977" t="n"/>
      <c r="I22" s="3977" t="n"/>
      <c r="J22" s="3977" t="n"/>
      <c r="K22" s="3970" t="n"/>
      <c r="L22" s="3970" t="n"/>
      <c r="M22" s="3970" t="n"/>
      <c r="N22" s="3970" t="n"/>
      <c r="O22" s="3970" t="n"/>
      <c r="P22" s="3970" t="n"/>
      <c r="Q22" s="3970" t="n"/>
      <c r="R22" s="3970" t="n"/>
      <c r="S22" s="3970" t="n"/>
      <c r="T22" s="3970" t="n"/>
      <c r="U22" s="3970" t="n"/>
      <c r="V22" s="3970" t="n"/>
      <c r="W22" s="3970" t="n"/>
      <c r="X22" s="3970" t="n"/>
      <c r="Y22" s="3970" t="n"/>
      <c r="Z22" s="3970" t="n"/>
      <c r="AA22" s="3970" t="n"/>
      <c r="AB22" s="3970" t="n"/>
      <c r="AC22" s="3970" t="n"/>
      <c r="AD22" s="3970" t="n"/>
      <c r="AE22" s="3970" t="n"/>
      <c r="AF22" s="3970" t="n"/>
      <c r="AG22" s="3970" t="n"/>
      <c r="AH22" s="3970" t="n"/>
      <c r="AI22" s="3970" t="n"/>
      <c r="AJ22" s="3970" t="n"/>
      <c r="AK22" s="3970" t="n"/>
      <c r="AL22" s="3970" t="n"/>
      <c r="AM22" s="3970" t="n"/>
      <c r="AN22" s="3970" t="n"/>
      <c r="AO22" s="3970" t="n"/>
      <c r="AP22" s="3970" t="n"/>
      <c r="AQ22" s="3970" t="n"/>
      <c r="AR22" s="3970" t="n"/>
      <c r="AS22" s="3970" t="n"/>
    </row>
    <row r="23">
      <c r="A23" s="3970" t="n"/>
      <c r="B23" s="3970" t="n"/>
      <c r="C23" s="3970" t="n"/>
      <c r="D23" s="3970" t="n"/>
      <c r="E23" s="3970" t="n"/>
      <c r="F23" s="3970" t="n"/>
      <c r="G23" s="3977" t="n"/>
      <c r="H23" s="3977" t="n"/>
      <c r="I23" s="3977" t="n"/>
      <c r="J23" s="3977" t="n"/>
      <c r="K23" s="3970" t="n"/>
      <c r="L23" s="3970" t="n"/>
      <c r="M23" s="3970" t="n"/>
      <c r="N23" s="3970" t="n"/>
      <c r="O23" s="3970" t="n"/>
      <c r="P23" s="3970" t="n"/>
      <c r="Q23" s="3970" t="n"/>
      <c r="R23" s="3970" t="n"/>
      <c r="S23" s="3970" t="n"/>
      <c r="T23" s="3970" t="n"/>
      <c r="U23" s="3970" t="n"/>
      <c r="V23" s="3970" t="n"/>
      <c r="W23" s="3970" t="n"/>
      <c r="X23" s="3970" t="n"/>
      <c r="Y23" s="3970" t="n"/>
      <c r="Z23" s="3970" t="n"/>
      <c r="AA23" s="3970" t="n"/>
      <c r="AB23" s="3970" t="n"/>
      <c r="AC23" s="3970" t="n"/>
      <c r="AD23" s="3970" t="n"/>
      <c r="AE23" s="3970" t="n"/>
      <c r="AF23" s="3970" t="n"/>
      <c r="AG23" s="3970" t="n"/>
      <c r="AH23" s="3970" t="n"/>
      <c r="AI23" s="3970" t="n"/>
      <c r="AJ23" s="3970" t="n"/>
      <c r="AK23" s="3970" t="n"/>
      <c r="AL23" s="3970" t="n"/>
      <c r="AM23" s="3970" t="n"/>
      <c r="AN23" s="3970" t="n"/>
      <c r="AO23" s="3970" t="n"/>
      <c r="AP23" s="3970" t="n"/>
      <c r="AQ23" s="3970" t="n"/>
      <c r="AR23" s="3970" t="n"/>
      <c r="AS23" s="3970" t="n"/>
    </row>
    <row r="24">
      <c r="A24" s="3970" t="n"/>
      <c r="B24" s="3970" t="n"/>
      <c r="C24" s="3970" t="n"/>
      <c r="D24" s="3970" t="n"/>
      <c r="E24" s="3970" t="n"/>
      <c r="F24" s="3970" t="n"/>
      <c r="G24" s="3977" t="n"/>
      <c r="H24" s="3977" t="n"/>
      <c r="I24" s="3977" t="n"/>
      <c r="J24" s="3977" t="n"/>
      <c r="K24" s="3970" t="n"/>
      <c r="L24" s="3970" t="n"/>
      <c r="M24" s="3970" t="n"/>
      <c r="N24" s="3970" t="n"/>
      <c r="O24" s="3970" t="n"/>
      <c r="P24" s="3970" t="n"/>
      <c r="Q24" s="3970" t="n"/>
      <c r="R24" s="3970" t="n"/>
      <c r="S24" s="3970" t="n"/>
      <c r="T24" s="3970" t="n"/>
      <c r="U24" s="3970" t="n"/>
      <c r="V24" s="3970" t="n"/>
      <c r="W24" s="3970" t="n"/>
      <c r="X24" s="3970" t="n"/>
      <c r="Y24" s="3970" t="n"/>
      <c r="Z24" s="3970" t="n"/>
      <c r="AA24" s="3970" t="n"/>
      <c r="AB24" s="3970" t="n"/>
      <c r="AC24" s="3970" t="n"/>
      <c r="AD24" s="3970" t="n"/>
      <c r="AE24" s="3970" t="n"/>
      <c r="AF24" s="3970" t="n"/>
      <c r="AG24" s="3970" t="n"/>
      <c r="AH24" s="3970" t="n"/>
      <c r="AI24" s="3970" t="n"/>
      <c r="AJ24" s="3970" t="n"/>
      <c r="AK24" s="3970" t="n"/>
      <c r="AL24" s="3970" t="n"/>
      <c r="AM24" s="3970" t="n"/>
      <c r="AN24" s="3970" t="n"/>
      <c r="AO24" s="3970" t="n"/>
      <c r="AP24" s="3970" t="n"/>
      <c r="AQ24" s="3970" t="n"/>
      <c r="AR24" s="3970" t="n"/>
      <c r="AS24" s="3970" t="n"/>
    </row>
    <row r="25">
      <c r="A25" s="3970" t="n"/>
      <c r="B25" s="3970" t="n"/>
      <c r="C25" s="3970" t="n"/>
      <c r="D25" s="3970" t="n"/>
      <c r="E25" s="3970" t="n"/>
      <c r="F25" s="3970" t="n"/>
      <c r="G25" s="3977" t="n"/>
      <c r="H25" s="3977" t="n"/>
      <c r="I25" s="3977" t="n"/>
      <c r="J25" s="3977" t="n"/>
      <c r="K25" s="3970" t="n"/>
      <c r="L25" s="3970" t="n"/>
      <c r="M25" s="3970" t="n"/>
      <c r="N25" s="3970" t="n"/>
      <c r="O25" s="3970" t="n"/>
      <c r="P25" s="3970" t="n"/>
      <c r="Q25" s="3970" t="n"/>
      <c r="R25" s="3970" t="n"/>
      <c r="S25" s="3970" t="n"/>
      <c r="T25" s="3970" t="n"/>
      <c r="U25" s="3970" t="n"/>
      <c r="V25" s="3970" t="n"/>
      <c r="W25" s="3970" t="n"/>
      <c r="X25" s="3970" t="n"/>
      <c r="Y25" s="3970" t="n"/>
      <c r="Z25" s="3970" t="n"/>
      <c r="AA25" s="3970" t="n"/>
      <c r="AB25" s="3970" t="n"/>
      <c r="AC25" s="3970" t="n"/>
      <c r="AD25" s="3970" t="n"/>
      <c r="AE25" s="3970" t="n"/>
      <c r="AF25" s="3970" t="n"/>
      <c r="AG25" s="3970" t="n"/>
      <c r="AH25" s="3970" t="n"/>
      <c r="AI25" s="3970" t="n"/>
      <c r="AJ25" s="3970" t="n"/>
      <c r="AK25" s="3970" t="n"/>
      <c r="AL25" s="3970" t="n"/>
      <c r="AM25" s="3970" t="n"/>
      <c r="AN25" s="3970" t="n"/>
      <c r="AO25" s="3970" t="n"/>
      <c r="AP25" s="3970" t="n"/>
      <c r="AQ25" s="3970" t="n"/>
      <c r="AR25" s="3970" t="n"/>
      <c r="AS25" s="3970" t="n"/>
    </row>
    <row r="26">
      <c r="A26" s="3970" t="n"/>
      <c r="B26" s="3970" t="n"/>
      <c r="C26" s="3970" t="n"/>
      <c r="D26" s="3970" t="n"/>
      <c r="E26" s="3970" t="n"/>
      <c r="F26" s="3970" t="n"/>
      <c r="G26" s="3977" t="n"/>
      <c r="H26" s="3977" t="n"/>
      <c r="I26" s="3977" t="n"/>
      <c r="J26" s="3977" t="n"/>
      <c r="K26" s="3970" t="n"/>
      <c r="L26" s="3970" t="n"/>
      <c r="M26" s="3970" t="n"/>
      <c r="N26" s="3970" t="n"/>
      <c r="O26" s="3970" t="n"/>
      <c r="P26" s="3970" t="n"/>
      <c r="Q26" s="3970" t="n"/>
      <c r="R26" s="3970" t="n"/>
      <c r="S26" s="3970" t="n"/>
      <c r="T26" s="3970" t="n"/>
      <c r="U26" s="3970" t="n"/>
      <c r="V26" s="3970" t="n"/>
      <c r="W26" s="3970" t="n"/>
      <c r="X26" s="3970" t="n"/>
      <c r="Y26" s="3970" t="n"/>
      <c r="Z26" s="3970" t="n"/>
      <c r="AA26" s="3970" t="n"/>
      <c r="AB26" s="3970" t="n"/>
      <c r="AC26" s="3970" t="n"/>
      <c r="AD26" s="3970" t="n"/>
      <c r="AE26" s="3970" t="n"/>
      <c r="AF26" s="3970" t="n"/>
      <c r="AG26" s="3970" t="n"/>
      <c r="AH26" s="3970" t="n"/>
      <c r="AI26" s="3970" t="n"/>
      <c r="AJ26" s="3970" t="n"/>
      <c r="AK26" s="3970" t="n"/>
      <c r="AL26" s="3970" t="n"/>
      <c r="AM26" s="3970" t="n"/>
      <c r="AN26" s="3970" t="n"/>
      <c r="AO26" s="3970" t="n"/>
      <c r="AP26" s="3970" t="n"/>
      <c r="AQ26" s="3970" t="n"/>
      <c r="AR26" s="3970" t="n"/>
      <c r="AS26" s="3970" t="n"/>
    </row>
    <row r="27">
      <c r="A27" s="3970" t="n"/>
      <c r="B27" s="3970" t="n"/>
      <c r="C27" s="3970" t="n"/>
      <c r="D27" s="3970" t="n"/>
      <c r="E27" s="3970" t="n"/>
      <c r="F27" s="3970" t="n"/>
      <c r="G27" s="3977" t="n"/>
      <c r="H27" s="3977" t="n"/>
      <c r="I27" s="3977" t="n"/>
      <c r="J27" s="3977" t="n"/>
      <c r="K27" s="3970" t="n"/>
      <c r="L27" s="3970" t="n"/>
      <c r="M27" s="3970" t="n"/>
      <c r="N27" s="3970" t="n"/>
      <c r="O27" s="3970" t="n"/>
      <c r="P27" s="3970" t="n"/>
      <c r="Q27" s="3970" t="n"/>
      <c r="R27" s="3970" t="n"/>
      <c r="S27" s="3970" t="n"/>
      <c r="T27" s="3970" t="n"/>
      <c r="U27" s="3970" t="n"/>
      <c r="V27" s="3970" t="n"/>
      <c r="W27" s="3970" t="n"/>
      <c r="X27" s="3970" t="n"/>
      <c r="Y27" s="3970" t="n"/>
      <c r="Z27" s="3970" t="n"/>
      <c r="AA27" s="3970" t="n"/>
      <c r="AB27" s="3970" t="n"/>
      <c r="AC27" s="3970" t="n"/>
      <c r="AD27" s="3970" t="n"/>
      <c r="AE27" s="3970" t="n"/>
      <c r="AF27" s="3970" t="n"/>
      <c r="AG27" s="3970" t="n"/>
      <c r="AH27" s="3970" t="n"/>
      <c r="AI27" s="3970" t="n"/>
      <c r="AJ27" s="3970" t="n"/>
      <c r="AK27" s="3970" t="n"/>
      <c r="AL27" s="3970" t="n"/>
      <c r="AM27" s="3970" t="n"/>
      <c r="AN27" s="3970" t="n"/>
      <c r="AO27" s="3970" t="n"/>
      <c r="AP27" s="3970" t="n"/>
      <c r="AQ27" s="3970" t="n"/>
      <c r="AR27" s="3970" t="n"/>
      <c r="AS27" s="3970" t="n"/>
    </row>
    <row r="28">
      <c r="A28" s="3970" t="n"/>
      <c r="B28" s="3970" t="n"/>
      <c r="C28" s="3970" t="n"/>
      <c r="D28" s="3970" t="n"/>
      <c r="E28" s="3970" t="n"/>
      <c r="F28" s="3970" t="n"/>
      <c r="G28" s="3977" t="n"/>
      <c r="H28" s="3977" t="n"/>
      <c r="I28" s="3977" t="n"/>
      <c r="J28" s="3977" t="n"/>
      <c r="K28" s="3970" t="n"/>
      <c r="L28" s="3970" t="n"/>
      <c r="M28" s="3970" t="n"/>
      <c r="N28" s="3970" t="n"/>
      <c r="O28" s="3970" t="n"/>
      <c r="P28" s="3970" t="n"/>
      <c r="Q28" s="3970" t="n"/>
      <c r="R28" s="3970" t="n"/>
      <c r="S28" s="3970" t="n"/>
      <c r="T28" s="3970" t="n"/>
      <c r="U28" s="3970" t="n"/>
      <c r="V28" s="3970" t="n"/>
      <c r="W28" s="3970" t="n"/>
      <c r="X28" s="3970" t="n"/>
      <c r="Y28" s="3970" t="n"/>
      <c r="Z28" s="3970" t="n"/>
      <c r="AA28" s="3970" t="n"/>
      <c r="AB28" s="3970" t="n"/>
      <c r="AC28" s="3970" t="n"/>
      <c r="AD28" s="3970" t="n"/>
      <c r="AE28" s="3970" t="n"/>
      <c r="AF28" s="3970" t="n"/>
      <c r="AG28" s="3970" t="n"/>
      <c r="AH28" s="3970" t="n"/>
      <c r="AI28" s="3970" t="n"/>
      <c r="AJ28" s="3970" t="n"/>
      <c r="AK28" s="3970" t="n"/>
      <c r="AL28" s="3970" t="n"/>
      <c r="AM28" s="3970" t="n"/>
      <c r="AN28" s="3970" t="n"/>
      <c r="AO28" s="3970" t="n"/>
      <c r="AP28" s="3970" t="n"/>
      <c r="AQ28" s="3970" t="n"/>
      <c r="AR28" s="3970" t="n"/>
      <c r="AS28" s="3970" t="n"/>
    </row>
    <row r="29">
      <c r="A29" s="3970" t="n"/>
      <c r="B29" s="3970" t="n"/>
      <c r="C29" s="3970" t="n"/>
      <c r="D29" s="3970" t="n"/>
      <c r="E29" s="3970" t="n"/>
      <c r="F29" s="3970" t="n"/>
      <c r="G29" s="3977" t="n"/>
      <c r="H29" s="3977" t="n"/>
      <c r="I29" s="3977" t="n"/>
      <c r="J29" s="3977" t="n"/>
      <c r="K29" s="3970" t="n"/>
      <c r="L29" s="3970" t="n"/>
      <c r="M29" s="3970" t="n"/>
      <c r="N29" s="3970" t="n"/>
      <c r="O29" s="3970" t="n"/>
      <c r="P29" s="3970" t="n"/>
      <c r="Q29" s="3970" t="n"/>
      <c r="R29" s="3970" t="n"/>
      <c r="S29" s="3970" t="n"/>
      <c r="T29" s="3970" t="n"/>
      <c r="U29" s="3970" t="n"/>
      <c r="V29" s="3970" t="n"/>
      <c r="W29" s="3970" t="n"/>
      <c r="X29" s="3970" t="n"/>
      <c r="Y29" s="3970" t="n"/>
      <c r="Z29" s="3970" t="n"/>
      <c r="AA29" s="3970" t="n"/>
      <c r="AB29" s="3970" t="n"/>
      <c r="AC29" s="3970" t="n"/>
      <c r="AD29" s="3970" t="n"/>
      <c r="AE29" s="3970" t="n"/>
      <c r="AF29" s="3970" t="n"/>
      <c r="AG29" s="3970" t="n"/>
      <c r="AH29" s="3970" t="n"/>
      <c r="AI29" s="3970" t="n"/>
      <c r="AJ29" s="3970" t="n"/>
      <c r="AK29" s="3970" t="n"/>
      <c r="AL29" s="3970" t="n"/>
      <c r="AM29" s="3970" t="n"/>
      <c r="AN29" s="3970" t="n"/>
      <c r="AO29" s="3970" t="n"/>
      <c r="AP29" s="3970" t="n"/>
      <c r="AQ29" s="3970" t="n"/>
      <c r="AR29" s="3970" t="n"/>
      <c r="AS29" s="3970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S28"/>
  <sheetViews>
    <sheetView showGridLines="0" zoomScale="100" zoomScaleNormal="100" workbookViewId="0">
      <pane xSplit="6" ySplit="8" topLeftCell="G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28" customWidth="1" min="2" max="2"/>
    <col width="16" customWidth="1" min="3" max="3"/>
    <col width="7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</cols>
  <sheetData>
    <row r="1">
      <c r="A1" s="3962" t="inlineStr">
        <is>
          <t>QofE Detail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  <c r="AS1" s="3934" t="n"/>
    </row>
    <row r="2">
      <c r="A2" s="3978" t="inlineStr">
        <is>
          <t>Source: &lt;document_source&gt;</t>
        </is>
      </c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  <c r="AS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  <c r="AS3" s="3934" t="n"/>
    </row>
    <row r="4">
      <c r="A4" s="3934" t="n"/>
      <c r="B4" s="3934" t="n"/>
      <c r="C4" s="3934" t="n"/>
      <c r="D4" s="3934" t="n"/>
      <c r="E4" s="3934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  <c r="AS4" s="3934" t="n"/>
    </row>
    <row r="5">
      <c r="A5" s="3934" t="n"/>
      <c r="B5" s="3934" t="n"/>
      <c r="C5" s="3934" t="n"/>
      <c r="D5" s="3934" t="n"/>
      <c r="E5" s="3934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  <c r="AS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  <c r="AS6" s="3934" t="n"/>
    </row>
    <row r="7">
      <c r="A7" s="3979" t="inlineStr">
        <is>
          <t>QofE Detail</t>
        </is>
      </c>
      <c r="B7" s="3980" t="n"/>
      <c r="C7" s="3980" t="n"/>
      <c r="D7" s="3980" t="n"/>
      <c r="E7" s="3980" t="n"/>
      <c r="F7" s="3980" t="n"/>
      <c r="G7" s="3980" t="n"/>
      <c r="H7" s="3980" t="n"/>
      <c r="I7" s="3980" t="n"/>
      <c r="J7" s="3980" t="n"/>
      <c r="K7" s="3980" t="n"/>
      <c r="L7" s="3980" t="n"/>
      <c r="M7" s="3980" t="n"/>
      <c r="N7" s="3980" t="n"/>
      <c r="O7" s="3980" t="n"/>
      <c r="P7" s="3980" t="n"/>
      <c r="Q7" s="3980" t="n"/>
      <c r="R7" s="3980" t="n"/>
      <c r="S7" s="3980" t="n"/>
      <c r="T7" s="3980" t="n"/>
      <c r="U7" s="3980" t="n"/>
      <c r="V7" s="3980" t="n"/>
      <c r="W7" s="3980" t="n"/>
      <c r="X7" s="3980" t="n"/>
      <c r="Y7" s="3980" t="n"/>
      <c r="Z7" s="3980" t="n"/>
      <c r="AA7" s="3980" t="n"/>
      <c r="AB7" s="3980" t="n"/>
      <c r="AC7" s="3980" t="n"/>
      <c r="AD7" s="3980" t="n"/>
      <c r="AE7" s="3980" t="n"/>
      <c r="AF7" s="3980" t="n"/>
      <c r="AG7" s="3980" t="n"/>
      <c r="AH7" s="3980" t="n"/>
      <c r="AI7" s="3980" t="n"/>
      <c r="AJ7" s="3980" t="n"/>
      <c r="AK7" s="3980" t="n"/>
      <c r="AL7" s="3980" t="n"/>
      <c r="AM7" s="3980" t="n"/>
      <c r="AN7" s="3980" t="n"/>
      <c r="AO7" s="3980" t="n"/>
      <c r="AP7" s="3980" t="n"/>
      <c r="AQ7" s="3980" t="n"/>
      <c r="AR7" s="3980" t="n"/>
      <c r="AS7" s="3980" t="n"/>
    </row>
    <row r="8">
      <c r="A8" s="3923" t="inlineStr">
        <is>
          <t>LineKey</t>
        </is>
      </c>
      <c r="B8" s="3964" t="inlineStr">
        <is>
          <t>$'000</t>
        </is>
      </c>
      <c r="C8" s="3964" t="inlineStr">
        <is>
          <t>TB Account No.</t>
        </is>
      </c>
      <c r="D8" s="3964" t="inlineStr">
        <is>
          <t>Sign</t>
        </is>
      </c>
      <c r="E8" s="3964" t="inlineStr">
        <is>
          <t>Source</t>
        </is>
      </c>
      <c r="F8" s="3964" t="inlineStr">
        <is>
          <t>Comments</t>
        </is>
      </c>
      <c r="G8" s="3965">
        <f>'Control | Setup'!A22</f>
        <v/>
      </c>
      <c r="H8" s="3965">
        <f>'Control | Setup'!A23</f>
        <v/>
      </c>
      <c r="I8" s="3965">
        <f>'Control | Setup'!A24</f>
        <v/>
      </c>
      <c r="J8" s="3965">
        <f>'Control | Setup'!A25</f>
        <v/>
      </c>
      <c r="K8" s="3965">
        <f>'Control | Setup'!A26</f>
        <v/>
      </c>
      <c r="L8" s="3965">
        <f>'Control | Setup'!A27</f>
        <v/>
      </c>
      <c r="M8" s="3965">
        <f>'Control | Setup'!A28</f>
        <v/>
      </c>
      <c r="N8" s="3965">
        <f>'Control | Setup'!A29</f>
        <v/>
      </c>
      <c r="O8" s="3965">
        <f>'Control | Setup'!A30</f>
        <v/>
      </c>
      <c r="P8" s="3965">
        <f>'Control | Setup'!A31</f>
        <v/>
      </c>
      <c r="Q8" s="3965">
        <f>'Control | Setup'!A32</f>
        <v/>
      </c>
      <c r="R8" s="3965">
        <f>'Control | Setup'!A33</f>
        <v/>
      </c>
      <c r="S8" s="3965">
        <f>'Control | Setup'!A34</f>
        <v/>
      </c>
      <c r="T8" s="3965">
        <f>'Control | Setup'!A35</f>
        <v/>
      </c>
      <c r="U8" s="3965">
        <f>'Control | Setup'!A36</f>
        <v/>
      </c>
      <c r="V8" s="3965">
        <f>'Control | Setup'!A37</f>
        <v/>
      </c>
      <c r="W8" s="3965">
        <f>'Control | Setup'!A38</f>
        <v/>
      </c>
      <c r="X8" s="3965">
        <f>'Control | Setup'!A39</f>
        <v/>
      </c>
      <c r="Y8" s="3965">
        <f>'Control | Setup'!A40</f>
        <v/>
      </c>
      <c r="Z8" s="3965">
        <f>'Control | Setup'!A41</f>
        <v/>
      </c>
      <c r="AA8" s="3965">
        <f>'Control | Setup'!A42</f>
        <v/>
      </c>
      <c r="AB8" s="3965">
        <f>'Control | Setup'!A43</f>
        <v/>
      </c>
      <c r="AC8" s="3965">
        <f>'Control | Setup'!A44</f>
        <v/>
      </c>
      <c r="AD8" s="3965">
        <f>'Control | Setup'!A45</f>
        <v/>
      </c>
      <c r="AE8" s="3965">
        <f>'Control | Setup'!A46</f>
        <v/>
      </c>
      <c r="AF8" s="3965">
        <f>'Control | Setup'!A47</f>
        <v/>
      </c>
      <c r="AG8" s="3965">
        <f>'Control | Setup'!A48</f>
        <v/>
      </c>
      <c r="AH8" s="3965">
        <f>'Control | Setup'!A49</f>
        <v/>
      </c>
      <c r="AI8" s="3965">
        <f>'Control | Setup'!A50</f>
        <v/>
      </c>
      <c r="AJ8" s="3965">
        <f>'Control | Setup'!A51</f>
        <v/>
      </c>
      <c r="AK8" s="3965">
        <f>'Control | Setup'!A52</f>
        <v/>
      </c>
      <c r="AL8" s="3965">
        <f>'Control | Setup'!A53</f>
        <v/>
      </c>
      <c r="AM8" s="3965">
        <f>'Control | Setup'!A54</f>
        <v/>
      </c>
      <c r="AN8" s="3965">
        <f>'Control | Setup'!A55</f>
        <v/>
      </c>
      <c r="AO8" s="3965">
        <f>'Control | Setup'!A56</f>
        <v/>
      </c>
      <c r="AP8" s="3965">
        <f>'Control | Setup'!A57</f>
        <v/>
      </c>
      <c r="AQ8" s="3965" t="inlineStr">
        <is>
          <t>FY-2</t>
        </is>
      </c>
      <c r="AR8" s="3965" t="inlineStr">
        <is>
          <t>FY-1</t>
        </is>
      </c>
      <c r="AS8" s="3965" t="inlineStr">
        <is>
          <t>TTM</t>
        </is>
      </c>
    </row>
    <row r="9">
      <c r="A9" s="3959" t="inlineStr">
        <is>
          <t>QD_REV</t>
        </is>
      </c>
      <c r="B9" s="3959" t="inlineStr">
        <is>
          <t>Revenue</t>
        </is>
      </c>
      <c r="C9" s="3959" t="inlineStr"/>
      <c r="D9" s="3959" t="inlineStr">
        <is>
          <t>+</t>
        </is>
      </c>
      <c r="E9" s="3959" t="inlineStr">
        <is>
          <t>TB/Map</t>
        </is>
      </c>
      <c r="F9" s="3959" t="inlineStr"/>
      <c r="G9" s="3929" t="n"/>
      <c r="H9" s="3929" t="n"/>
      <c r="I9" s="3929" t="n"/>
      <c r="J9" s="3929" t="n"/>
      <c r="K9" s="3929" t="n"/>
      <c r="L9" s="3929" t="n"/>
      <c r="M9" s="3929" t="n"/>
      <c r="N9" s="3929" t="n"/>
      <c r="O9" s="3929" t="n"/>
      <c r="P9" s="3929" t="n"/>
      <c r="Q9" s="3929" t="n"/>
      <c r="R9" s="3929" t="n"/>
      <c r="S9" s="3929" t="n"/>
      <c r="T9" s="3929" t="n"/>
      <c r="U9" s="3929" t="n"/>
      <c r="V9" s="3929" t="n"/>
      <c r="W9" s="3929" t="n"/>
      <c r="X9" s="3929" t="n"/>
      <c r="Y9" s="3929" t="n"/>
      <c r="Z9" s="3929" t="n"/>
      <c r="AA9" s="3929" t="n"/>
      <c r="AB9" s="3929" t="n"/>
      <c r="AC9" s="3929" t="n"/>
      <c r="AD9" s="3929" t="n"/>
      <c r="AE9" s="3929" t="n"/>
      <c r="AF9" s="3929" t="n"/>
      <c r="AG9" s="3929" t="n"/>
      <c r="AH9" s="3929" t="n"/>
      <c r="AI9" s="3929" t="n"/>
      <c r="AJ9" s="3929" t="n"/>
      <c r="AK9" s="3929" t="n"/>
      <c r="AL9" s="3929" t="n"/>
      <c r="AM9" s="3929" t="n"/>
      <c r="AN9" s="3929" t="n"/>
      <c r="AO9" s="3929" t="n"/>
      <c r="AP9" s="3929" t="n"/>
      <c r="AQ9" s="3949">
        <f>IF(COUNT(G9:R9)=0,"",SUM(G9:R9))</f>
        <v/>
      </c>
      <c r="AR9" s="3949">
        <f>IF(COUNT(S9:AD9)=0,"",SUM(S9:AD9))</f>
        <v/>
      </c>
      <c r="AS9" s="3949">
        <f>IF(COUNT(AE9:AP9)=0,"",SUM(AE9:AP9))</f>
        <v/>
      </c>
    </row>
    <row r="10">
      <c r="A10" s="3959" t="inlineStr">
        <is>
          <t>QD_COGS</t>
        </is>
      </c>
      <c r="B10" s="3959" t="inlineStr">
        <is>
          <t>Cost of goods sold</t>
        </is>
      </c>
      <c r="C10" s="3959" t="inlineStr"/>
      <c r="D10" s="3959" t="inlineStr">
        <is>
          <t>+</t>
        </is>
      </c>
      <c r="E10" s="3959" t="inlineStr">
        <is>
          <t>TB/Map</t>
        </is>
      </c>
      <c r="F10" s="3959" t="inlineStr"/>
      <c r="G10" s="3929" t="n"/>
      <c r="H10" s="3929" t="n"/>
      <c r="I10" s="3929" t="n"/>
      <c r="J10" s="3929" t="n"/>
      <c r="K10" s="3929" t="n"/>
      <c r="L10" s="3929" t="n"/>
      <c r="M10" s="3929" t="n"/>
      <c r="N10" s="3929" t="n"/>
      <c r="O10" s="3929" t="n"/>
      <c r="P10" s="3929" t="n"/>
      <c r="Q10" s="3929" t="n"/>
      <c r="R10" s="3929" t="n"/>
      <c r="S10" s="3929" t="n"/>
      <c r="T10" s="3929" t="n"/>
      <c r="U10" s="3929" t="n"/>
      <c r="V10" s="3929" t="n"/>
      <c r="W10" s="3929" t="n"/>
      <c r="X10" s="3929" t="n"/>
      <c r="Y10" s="3929" t="n"/>
      <c r="Z10" s="3929" t="n"/>
      <c r="AA10" s="3929" t="n"/>
      <c r="AB10" s="3929" t="n"/>
      <c r="AC10" s="3929" t="n"/>
      <c r="AD10" s="3929" t="n"/>
      <c r="AE10" s="3929" t="n"/>
      <c r="AF10" s="3929" t="n"/>
      <c r="AG10" s="3929" t="n"/>
      <c r="AH10" s="3929" t="n"/>
      <c r="AI10" s="3929" t="n"/>
      <c r="AJ10" s="3929" t="n"/>
      <c r="AK10" s="3929" t="n"/>
      <c r="AL10" s="3929" t="n"/>
      <c r="AM10" s="3929" t="n"/>
      <c r="AN10" s="3929" t="n"/>
      <c r="AO10" s="3929" t="n"/>
      <c r="AP10" s="3929" t="n"/>
      <c r="AQ10" s="3949">
        <f>IF(COUNT(G10:R10)=0,"",SUM(G10:R10))</f>
        <v/>
      </c>
      <c r="AR10" s="3949">
        <f>IF(COUNT(S10:AD10)=0,"",SUM(S10:AD10))</f>
        <v/>
      </c>
      <c r="AS10" s="3949">
        <f>IF(COUNT(AE10:AP10)=0,"",SUM(AE10:AP10))</f>
        <v/>
      </c>
    </row>
    <row r="11">
      <c r="A11" s="3959" t="inlineStr">
        <is>
          <t>QD_OPEX</t>
        </is>
      </c>
      <c r="B11" s="3959" t="inlineStr">
        <is>
          <t>Operating expenses</t>
        </is>
      </c>
      <c r="C11" s="3959" t="inlineStr"/>
      <c r="D11" s="3959" t="inlineStr">
        <is>
          <t>+</t>
        </is>
      </c>
      <c r="E11" s="3959" t="inlineStr">
        <is>
          <t>TB/Map</t>
        </is>
      </c>
      <c r="F11" s="3959" t="inlineStr"/>
      <c r="G11" s="3929" t="n"/>
      <c r="H11" s="3929" t="n"/>
      <c r="I11" s="3929" t="n"/>
      <c r="J11" s="3929" t="n"/>
      <c r="K11" s="3929" t="n"/>
      <c r="L11" s="3929" t="n"/>
      <c r="M11" s="3929" t="n"/>
      <c r="N11" s="3929" t="n"/>
      <c r="O11" s="3929" t="n"/>
      <c r="P11" s="3929" t="n"/>
      <c r="Q11" s="3929" t="n"/>
      <c r="R11" s="3929" t="n"/>
      <c r="S11" s="3929" t="n"/>
      <c r="T11" s="3929" t="n"/>
      <c r="U11" s="3929" t="n"/>
      <c r="V11" s="3929" t="n"/>
      <c r="W11" s="3929" t="n"/>
      <c r="X11" s="3929" t="n"/>
      <c r="Y11" s="3929" t="n"/>
      <c r="Z11" s="3929" t="n"/>
      <c r="AA11" s="3929" t="n"/>
      <c r="AB11" s="3929" t="n"/>
      <c r="AC11" s="3929" t="n"/>
      <c r="AD11" s="3929" t="n"/>
      <c r="AE11" s="3929" t="n"/>
      <c r="AF11" s="3929" t="n"/>
      <c r="AG11" s="3929" t="n"/>
      <c r="AH11" s="3929" t="n"/>
      <c r="AI11" s="3929" t="n"/>
      <c r="AJ11" s="3929" t="n"/>
      <c r="AK11" s="3929" t="n"/>
      <c r="AL11" s="3929" t="n"/>
      <c r="AM11" s="3929" t="n"/>
      <c r="AN11" s="3929" t="n"/>
      <c r="AO11" s="3929" t="n"/>
      <c r="AP11" s="3929" t="n"/>
      <c r="AQ11" s="3949">
        <f>IF(COUNT(G11:R11)=0,"",SUM(G11:R11))</f>
        <v/>
      </c>
      <c r="AR11" s="3949">
        <f>IF(COUNT(S11:AD11)=0,"",SUM(S11:AD11))</f>
        <v/>
      </c>
      <c r="AS11" s="3949">
        <f>IF(COUNT(AE11:AP11)=0,"",SUM(AE11:AP11))</f>
        <v/>
      </c>
    </row>
    <row r="12">
      <c r="A12" s="3959" t="inlineStr">
        <is>
          <t>QD_EBITDA_REP</t>
        </is>
      </c>
      <c r="B12" s="3959" t="inlineStr">
        <is>
          <t>EBITDA - Reported</t>
        </is>
      </c>
      <c r="C12" s="3959" t="inlineStr"/>
      <c r="D12" s="3959" t="inlineStr">
        <is>
          <t>+</t>
        </is>
      </c>
      <c r="E12" s="3959" t="inlineStr">
        <is>
          <t>Formula</t>
        </is>
      </c>
      <c r="F12" s="3959" t="inlineStr">
        <is>
          <t>Derived</t>
        </is>
      </c>
      <c r="G12" s="3960">
        <f>IF(COUNT(G9:G11)=0,"",G9+G10+G11)</f>
        <v/>
      </c>
      <c r="H12" s="3960">
        <f>IF(COUNT(H9:H11)=0,"",H9+H10+H11)</f>
        <v/>
      </c>
      <c r="I12" s="3960">
        <f>IF(COUNT(I9:I11)=0,"",I9+I10+I11)</f>
        <v/>
      </c>
      <c r="J12" s="3960">
        <f>IF(COUNT(J9:J11)=0,"",J9+J10+J11)</f>
        <v/>
      </c>
      <c r="K12" s="3960">
        <f>IF(COUNT(K9:K11)=0,"",K9+K10+K11)</f>
        <v/>
      </c>
      <c r="L12" s="3960">
        <f>IF(COUNT(L9:L11)=0,"",L9+L10+L11)</f>
        <v/>
      </c>
      <c r="M12" s="3960">
        <f>IF(COUNT(M9:M11)=0,"",M9+M10+M11)</f>
        <v/>
      </c>
      <c r="N12" s="3960">
        <f>IF(COUNT(N9:N11)=0,"",N9+N10+N11)</f>
        <v/>
      </c>
      <c r="O12" s="3960">
        <f>IF(COUNT(O9:O11)=0,"",O9+O10+O11)</f>
        <v/>
      </c>
      <c r="P12" s="3960">
        <f>IF(COUNT(P9:P11)=0,"",P9+P10+P11)</f>
        <v/>
      </c>
      <c r="Q12" s="3960">
        <f>IF(COUNT(Q9:Q11)=0,"",Q9+Q10+Q11)</f>
        <v/>
      </c>
      <c r="R12" s="3960">
        <f>IF(COUNT(R9:R11)=0,"",R9+R10+R11)</f>
        <v/>
      </c>
      <c r="S12" s="3960">
        <f>IF(COUNT(S9:S11)=0,"",S9+S10+S11)</f>
        <v/>
      </c>
      <c r="T12" s="3960">
        <f>IF(COUNT(T9:T11)=0,"",T9+T10+T11)</f>
        <v/>
      </c>
      <c r="U12" s="3960">
        <f>IF(COUNT(U9:U11)=0,"",U9+U10+U11)</f>
        <v/>
      </c>
      <c r="V12" s="3960">
        <f>IF(COUNT(V9:V11)=0,"",V9+V10+V11)</f>
        <v/>
      </c>
      <c r="W12" s="3960">
        <f>IF(COUNT(W9:W11)=0,"",W9+W10+W11)</f>
        <v/>
      </c>
      <c r="X12" s="3960">
        <f>IF(COUNT(X9:X11)=0,"",X9+X10+X11)</f>
        <v/>
      </c>
      <c r="Y12" s="3960">
        <f>IF(COUNT(Y9:Y11)=0,"",Y9+Y10+Y11)</f>
        <v/>
      </c>
      <c r="Z12" s="3960">
        <f>IF(COUNT(Z9:Z11)=0,"",Z9+Z10+Z11)</f>
        <v/>
      </c>
      <c r="AA12" s="3960">
        <f>IF(COUNT(AA9:AA11)=0,"",AA9+AA10+AA11)</f>
        <v/>
      </c>
      <c r="AB12" s="3960">
        <f>IF(COUNT(AB9:AB11)=0,"",AB9+AB10+AB11)</f>
        <v/>
      </c>
      <c r="AC12" s="3960">
        <f>IF(COUNT(AC9:AC11)=0,"",AC9+AC10+AC11)</f>
        <v/>
      </c>
      <c r="AD12" s="3960">
        <f>IF(COUNT(AD9:AD11)=0,"",AD9+AD10+AD11)</f>
        <v/>
      </c>
      <c r="AE12" s="3960">
        <f>IF(COUNT(AE9:AE11)=0,"",AE9+AE10+AE11)</f>
        <v/>
      </c>
      <c r="AF12" s="3960">
        <f>IF(COUNT(AF9:AF11)=0,"",AF9+AF10+AF11)</f>
        <v/>
      </c>
      <c r="AG12" s="3960">
        <f>IF(COUNT(AG9:AG11)=0,"",AG9+AG10+AG11)</f>
        <v/>
      </c>
      <c r="AH12" s="3960">
        <f>IF(COUNT(AH9:AH11)=0,"",AH9+AH10+AH11)</f>
        <v/>
      </c>
      <c r="AI12" s="3960">
        <f>IF(COUNT(AI9:AI11)=0,"",AI9+AI10+AI11)</f>
        <v/>
      </c>
      <c r="AJ12" s="3960">
        <f>IF(COUNT(AJ9:AJ11)=0,"",AJ9+AJ10+AJ11)</f>
        <v/>
      </c>
      <c r="AK12" s="3960">
        <f>IF(COUNT(AK9:AK11)=0,"",AK9+AK10+AK11)</f>
        <v/>
      </c>
      <c r="AL12" s="3960">
        <f>IF(COUNT(AL9:AL11)=0,"",AL9+AL10+AL11)</f>
        <v/>
      </c>
      <c r="AM12" s="3960">
        <f>IF(COUNT(AM9:AM11)=0,"",AM9+AM10+AM11)</f>
        <v/>
      </c>
      <c r="AN12" s="3960">
        <f>IF(COUNT(AN9:AN11)=0,"",AN9+AN10+AN11)</f>
        <v/>
      </c>
      <c r="AO12" s="3960">
        <f>IF(COUNT(AO9:AO11)=0,"",AO9+AO10+AO11)</f>
        <v/>
      </c>
      <c r="AP12" s="3960">
        <f>IF(COUNT(AP9:AP11)=0,"",AP9+AP10+AP11)</f>
        <v/>
      </c>
      <c r="AQ12" s="3949">
        <f>IF(COUNT(G12:R12)=0,"",SUM(G12:R12))</f>
        <v/>
      </c>
      <c r="AR12" s="3949">
        <f>IF(COUNT(S12:AD12)=0,"",SUM(S12:AD12))</f>
        <v/>
      </c>
      <c r="AS12" s="3949">
        <f>IF(COUNT(AE12:AP12)=0,"",SUM(AE12:AP12))</f>
        <v/>
      </c>
    </row>
    <row r="13">
      <c r="A13" s="3959" t="inlineStr">
        <is>
          <t>QD_DD</t>
        </is>
      </c>
      <c r="B13" s="3959" t="inlineStr">
        <is>
          <t>DD adjustments</t>
        </is>
      </c>
      <c r="C13" s="3959" t="inlineStr"/>
      <c r="D13" s="3959" t="inlineStr">
        <is>
          <t>+</t>
        </is>
      </c>
      <c r="E13" s="3959" t="inlineStr">
        <is>
          <t>Manual</t>
        </is>
      </c>
      <c r="F13" s="3959" t="inlineStr"/>
      <c r="G13" s="3929" t="n"/>
      <c r="H13" s="3929" t="n"/>
      <c r="I13" s="3929" t="n"/>
      <c r="J13" s="3929" t="n"/>
      <c r="K13" s="3929" t="n"/>
      <c r="L13" s="3929" t="n"/>
      <c r="M13" s="3929" t="n"/>
      <c r="N13" s="3929" t="n"/>
      <c r="O13" s="3929" t="n"/>
      <c r="P13" s="3929" t="n"/>
      <c r="Q13" s="3929" t="n"/>
      <c r="R13" s="3929" t="n"/>
      <c r="S13" s="3929" t="n"/>
      <c r="T13" s="3929" t="n"/>
      <c r="U13" s="3929" t="n"/>
      <c r="V13" s="3929" t="n"/>
      <c r="W13" s="3929" t="n"/>
      <c r="X13" s="3929" t="n"/>
      <c r="Y13" s="3929" t="n"/>
      <c r="Z13" s="3929" t="n"/>
      <c r="AA13" s="3929" t="n"/>
      <c r="AB13" s="3929" t="n"/>
      <c r="AC13" s="3929" t="n"/>
      <c r="AD13" s="3929" t="n"/>
      <c r="AE13" s="3929" t="n"/>
      <c r="AF13" s="3929" t="n"/>
      <c r="AG13" s="3929" t="n"/>
      <c r="AH13" s="3929" t="n"/>
      <c r="AI13" s="3929" t="n"/>
      <c r="AJ13" s="3929" t="n"/>
      <c r="AK13" s="3929" t="n"/>
      <c r="AL13" s="3929" t="n"/>
      <c r="AM13" s="3929" t="n"/>
      <c r="AN13" s="3929" t="n"/>
      <c r="AO13" s="3929" t="n"/>
      <c r="AP13" s="3929" t="n"/>
      <c r="AQ13" s="3949">
        <f>IF(COUNT(G13:R13)=0,"",SUM(G13:R13))</f>
        <v/>
      </c>
      <c r="AR13" s="3949">
        <f>IF(COUNT(S13:AD13)=0,"",SUM(S13:AD13))</f>
        <v/>
      </c>
      <c r="AS13" s="3949">
        <f>IF(COUNT(AE13:AP13)=0,"",SUM(AE13:AP13))</f>
        <v/>
      </c>
    </row>
    <row r="14">
      <c r="A14" s="3959" t="inlineStr">
        <is>
          <t>QD_PF</t>
        </is>
      </c>
      <c r="B14" s="3959" t="inlineStr">
        <is>
          <t>PF adjustments</t>
        </is>
      </c>
      <c r="C14" s="3959" t="inlineStr"/>
      <c r="D14" s="3959" t="inlineStr">
        <is>
          <t>+</t>
        </is>
      </c>
      <c r="E14" s="3959" t="inlineStr">
        <is>
          <t>Manual</t>
        </is>
      </c>
      <c r="F14" s="3959" t="inlineStr"/>
      <c r="G14" s="3929" t="n"/>
      <c r="H14" s="3929" t="n"/>
      <c r="I14" s="3929" t="n"/>
      <c r="J14" s="3929" t="n"/>
      <c r="K14" s="3929" t="n"/>
      <c r="L14" s="3929" t="n"/>
      <c r="M14" s="3929" t="n"/>
      <c r="N14" s="3929" t="n"/>
      <c r="O14" s="3929" t="n"/>
      <c r="P14" s="3929" t="n"/>
      <c r="Q14" s="3929" t="n"/>
      <c r="R14" s="3929" t="n"/>
      <c r="S14" s="3929" t="n"/>
      <c r="T14" s="3929" t="n"/>
      <c r="U14" s="3929" t="n"/>
      <c r="V14" s="3929" t="n"/>
      <c r="W14" s="3929" t="n"/>
      <c r="X14" s="3929" t="n"/>
      <c r="Y14" s="3929" t="n"/>
      <c r="Z14" s="3929" t="n"/>
      <c r="AA14" s="3929" t="n"/>
      <c r="AB14" s="3929" t="n"/>
      <c r="AC14" s="3929" t="n"/>
      <c r="AD14" s="3929" t="n"/>
      <c r="AE14" s="3929" t="n"/>
      <c r="AF14" s="3929" t="n"/>
      <c r="AG14" s="3929" t="n"/>
      <c r="AH14" s="3929" t="n"/>
      <c r="AI14" s="3929" t="n"/>
      <c r="AJ14" s="3929" t="n"/>
      <c r="AK14" s="3929" t="n"/>
      <c r="AL14" s="3929" t="n"/>
      <c r="AM14" s="3929" t="n"/>
      <c r="AN14" s="3929" t="n"/>
      <c r="AO14" s="3929" t="n"/>
      <c r="AP14" s="3929" t="n"/>
      <c r="AQ14" s="3949">
        <f>IF(COUNT(G14:R14)=0,"",SUM(G14:R14))</f>
        <v/>
      </c>
      <c r="AR14" s="3949">
        <f>IF(COUNT(S14:AD14)=0,"",SUM(S14:AD14))</f>
        <v/>
      </c>
      <c r="AS14" s="3949">
        <f>IF(COUNT(AE14:AP14)=0,"",SUM(AE14:AP14))</f>
        <v/>
      </c>
    </row>
    <row r="15">
      <c r="A15" s="3959" t="inlineStr">
        <is>
          <t>QD_EBITDA_ADJ</t>
        </is>
      </c>
      <c r="B15" s="3959" t="inlineStr">
        <is>
          <t>EBITDA - Adjusted</t>
        </is>
      </c>
      <c r="C15" s="3959" t="inlineStr"/>
      <c r="D15" s="3959" t="inlineStr">
        <is>
          <t>+</t>
        </is>
      </c>
      <c r="E15" s="3959" t="inlineStr">
        <is>
          <t>Formula</t>
        </is>
      </c>
      <c r="F15" s="3959" t="inlineStr">
        <is>
          <t>Derived</t>
        </is>
      </c>
      <c r="G15" s="3960">
        <f>IF(COUNT(G12:G14)=0,"",G12+G13+G14)</f>
        <v/>
      </c>
      <c r="H15" s="3960">
        <f>IF(COUNT(H12:H14)=0,"",H12+H13+H14)</f>
        <v/>
      </c>
      <c r="I15" s="3960">
        <f>IF(COUNT(I12:I14)=0,"",I12+I13+I14)</f>
        <v/>
      </c>
      <c r="J15" s="3960">
        <f>IF(COUNT(J12:J14)=0,"",J12+J13+J14)</f>
        <v/>
      </c>
      <c r="K15" s="3960">
        <f>IF(COUNT(K12:K14)=0,"",K12+K13+K14)</f>
        <v/>
      </c>
      <c r="L15" s="3960">
        <f>IF(COUNT(L12:L14)=0,"",L12+L13+L14)</f>
        <v/>
      </c>
      <c r="M15" s="3960">
        <f>IF(COUNT(M12:M14)=0,"",M12+M13+M14)</f>
        <v/>
      </c>
      <c r="N15" s="3960">
        <f>IF(COUNT(N12:N14)=0,"",N12+N13+N14)</f>
        <v/>
      </c>
      <c r="O15" s="3960">
        <f>IF(COUNT(O12:O14)=0,"",O12+O13+O14)</f>
        <v/>
      </c>
      <c r="P15" s="3960">
        <f>IF(COUNT(P12:P14)=0,"",P12+P13+P14)</f>
        <v/>
      </c>
      <c r="Q15" s="3960">
        <f>IF(COUNT(Q12:Q14)=0,"",Q12+Q13+Q14)</f>
        <v/>
      </c>
      <c r="R15" s="3960">
        <f>IF(COUNT(R12:R14)=0,"",R12+R13+R14)</f>
        <v/>
      </c>
      <c r="S15" s="3960">
        <f>IF(COUNT(S12:S14)=0,"",S12+S13+S14)</f>
        <v/>
      </c>
      <c r="T15" s="3960">
        <f>IF(COUNT(T12:T14)=0,"",T12+T13+T14)</f>
        <v/>
      </c>
      <c r="U15" s="3960">
        <f>IF(COUNT(U12:U14)=0,"",U12+U13+U14)</f>
        <v/>
      </c>
      <c r="V15" s="3960">
        <f>IF(COUNT(V12:V14)=0,"",V12+V13+V14)</f>
        <v/>
      </c>
      <c r="W15" s="3960">
        <f>IF(COUNT(W12:W14)=0,"",W12+W13+W14)</f>
        <v/>
      </c>
      <c r="X15" s="3960">
        <f>IF(COUNT(X12:X14)=0,"",X12+X13+X14)</f>
        <v/>
      </c>
      <c r="Y15" s="3960">
        <f>IF(COUNT(Y12:Y14)=0,"",Y12+Y13+Y14)</f>
        <v/>
      </c>
      <c r="Z15" s="3960">
        <f>IF(COUNT(Z12:Z14)=0,"",Z12+Z13+Z14)</f>
        <v/>
      </c>
      <c r="AA15" s="3960">
        <f>IF(COUNT(AA12:AA14)=0,"",AA12+AA13+AA14)</f>
        <v/>
      </c>
      <c r="AB15" s="3960">
        <f>IF(COUNT(AB12:AB14)=0,"",AB12+AB13+AB14)</f>
        <v/>
      </c>
      <c r="AC15" s="3960">
        <f>IF(COUNT(AC12:AC14)=0,"",AC12+AC13+AC14)</f>
        <v/>
      </c>
      <c r="AD15" s="3960">
        <f>IF(COUNT(AD12:AD14)=0,"",AD12+AD13+AD14)</f>
        <v/>
      </c>
      <c r="AE15" s="3960">
        <f>IF(COUNT(AE12:AE14)=0,"",AE12+AE13+AE14)</f>
        <v/>
      </c>
      <c r="AF15" s="3960">
        <f>IF(COUNT(AF12:AF14)=0,"",AF12+AF13+AF14)</f>
        <v/>
      </c>
      <c r="AG15" s="3960">
        <f>IF(COUNT(AG12:AG14)=0,"",AG12+AG13+AG14)</f>
        <v/>
      </c>
      <c r="AH15" s="3960">
        <f>IF(COUNT(AH12:AH14)=0,"",AH12+AH13+AH14)</f>
        <v/>
      </c>
      <c r="AI15" s="3960">
        <f>IF(COUNT(AI12:AI14)=0,"",AI12+AI13+AI14)</f>
        <v/>
      </c>
      <c r="AJ15" s="3960">
        <f>IF(COUNT(AJ12:AJ14)=0,"",AJ12+AJ13+AJ14)</f>
        <v/>
      </c>
      <c r="AK15" s="3960">
        <f>IF(COUNT(AK12:AK14)=0,"",AK12+AK13+AK14)</f>
        <v/>
      </c>
      <c r="AL15" s="3960">
        <f>IF(COUNT(AL12:AL14)=0,"",AL12+AL13+AL14)</f>
        <v/>
      </c>
      <c r="AM15" s="3960">
        <f>IF(COUNT(AM12:AM14)=0,"",AM12+AM13+AM14)</f>
        <v/>
      </c>
      <c r="AN15" s="3960">
        <f>IF(COUNT(AN12:AN14)=0,"",AN12+AN13+AN14)</f>
        <v/>
      </c>
      <c r="AO15" s="3960">
        <f>IF(COUNT(AO12:AO14)=0,"",AO12+AO13+AO14)</f>
        <v/>
      </c>
      <c r="AP15" s="3960">
        <f>IF(COUNT(AP12:AP14)=0,"",AP12+AP13+AP14)</f>
        <v/>
      </c>
      <c r="AQ15" s="3949">
        <f>IF(COUNT(G15:R15)=0,"",SUM(G15:R15))</f>
        <v/>
      </c>
      <c r="AR15" s="3949">
        <f>IF(COUNT(S15:AD15)=0,"",SUM(S15:AD15))</f>
        <v/>
      </c>
      <c r="AS15" s="3949">
        <f>IF(COUNT(AE15:AP15)=0,"",SUM(AE15:AP15))</f>
        <v/>
      </c>
    </row>
    <row r="16">
      <c r="A16" s="3959" t="n"/>
      <c r="B16" s="3959" t="n"/>
      <c r="C16" s="3959" t="n"/>
      <c r="D16" s="3959" t="n"/>
      <c r="E16" s="3959" t="n"/>
      <c r="F16" s="3959" t="n"/>
      <c r="G16" s="3960" t="n"/>
      <c r="H16" s="3960" t="n"/>
      <c r="I16" s="3960" t="n"/>
      <c r="J16" s="3960" t="n"/>
      <c r="K16" s="3960" t="n"/>
      <c r="L16" s="3960" t="n"/>
      <c r="M16" s="3960" t="n"/>
      <c r="N16" s="3960" t="n"/>
      <c r="O16" s="3960" t="n"/>
      <c r="P16" s="3960" t="n"/>
      <c r="Q16" s="3960" t="n"/>
      <c r="R16" s="3960" t="n"/>
      <c r="S16" s="3960" t="n"/>
      <c r="T16" s="3960" t="n"/>
      <c r="U16" s="3960" t="n"/>
      <c r="V16" s="3960" t="n"/>
      <c r="W16" s="3960" t="n"/>
      <c r="X16" s="3960" t="n"/>
      <c r="Y16" s="3960" t="n"/>
      <c r="Z16" s="3960" t="n"/>
      <c r="AA16" s="3960" t="n"/>
      <c r="AB16" s="3960" t="n"/>
      <c r="AC16" s="3960" t="n"/>
      <c r="AD16" s="3960" t="n"/>
      <c r="AE16" s="3960" t="n"/>
      <c r="AF16" s="3960" t="n"/>
      <c r="AG16" s="3960" t="n"/>
      <c r="AH16" s="3960" t="n"/>
      <c r="AI16" s="3960" t="n"/>
      <c r="AJ16" s="3960" t="n"/>
      <c r="AK16" s="3960" t="n"/>
      <c r="AL16" s="3960" t="n"/>
      <c r="AM16" s="3960" t="n"/>
      <c r="AN16" s="3960" t="n"/>
      <c r="AO16" s="3960" t="n"/>
      <c r="AP16" s="3960" t="n"/>
      <c r="AQ16" s="3960" t="n"/>
      <c r="AR16" s="3960" t="n"/>
      <c r="AS16" s="3960" t="n"/>
    </row>
    <row r="17">
      <c r="A17" s="3959" t="n"/>
      <c r="B17" s="3959" t="n"/>
      <c r="C17" s="3959" t="n"/>
      <c r="D17" s="3959" t="n"/>
      <c r="E17" s="3959" t="n"/>
      <c r="F17" s="3959" t="n"/>
      <c r="G17" s="3960" t="n"/>
      <c r="H17" s="3960" t="n"/>
      <c r="I17" s="3960" t="n"/>
      <c r="J17" s="3960" t="n"/>
      <c r="K17" s="3960" t="n"/>
      <c r="L17" s="3960" t="n"/>
      <c r="M17" s="3960" t="n"/>
      <c r="N17" s="3960" t="n"/>
      <c r="O17" s="3960" t="n"/>
      <c r="P17" s="3960" t="n"/>
      <c r="Q17" s="3960" t="n"/>
      <c r="R17" s="3960" t="n"/>
      <c r="S17" s="3960" t="n"/>
      <c r="T17" s="3960" t="n"/>
      <c r="U17" s="3960" t="n"/>
      <c r="V17" s="3960" t="n"/>
      <c r="W17" s="3960" t="n"/>
      <c r="X17" s="3960" t="n"/>
      <c r="Y17" s="3960" t="n"/>
      <c r="Z17" s="3960" t="n"/>
      <c r="AA17" s="3960" t="n"/>
      <c r="AB17" s="3960" t="n"/>
      <c r="AC17" s="3960" t="n"/>
      <c r="AD17" s="3960" t="n"/>
      <c r="AE17" s="3960" t="n"/>
      <c r="AF17" s="3960" t="n"/>
      <c r="AG17" s="3960" t="n"/>
      <c r="AH17" s="3960" t="n"/>
      <c r="AI17" s="3960" t="n"/>
      <c r="AJ17" s="3960" t="n"/>
      <c r="AK17" s="3960" t="n"/>
      <c r="AL17" s="3960" t="n"/>
      <c r="AM17" s="3960" t="n"/>
      <c r="AN17" s="3960" t="n"/>
      <c r="AO17" s="3960" t="n"/>
      <c r="AP17" s="3960" t="n"/>
      <c r="AQ17" s="3960" t="n"/>
      <c r="AR17" s="3960" t="n"/>
      <c r="AS17" s="3960" t="n"/>
    </row>
    <row r="18">
      <c r="A18" s="3959" t="n"/>
      <c r="B18" s="3959" t="n"/>
      <c r="C18" s="3959" t="n"/>
      <c r="D18" s="3959" t="n"/>
      <c r="E18" s="3959" t="n"/>
      <c r="F18" s="3959" t="n"/>
      <c r="G18" s="3960" t="n"/>
      <c r="H18" s="3960" t="n"/>
      <c r="I18" s="3960" t="n"/>
      <c r="J18" s="3960" t="n"/>
      <c r="K18" s="3960" t="n"/>
      <c r="L18" s="3960" t="n"/>
      <c r="M18" s="3960" t="n"/>
      <c r="N18" s="3960" t="n"/>
      <c r="O18" s="3960" t="n"/>
      <c r="P18" s="3960" t="n"/>
      <c r="Q18" s="3960" t="n"/>
      <c r="R18" s="3960" t="n"/>
      <c r="S18" s="3960" t="n"/>
      <c r="T18" s="3960" t="n"/>
      <c r="U18" s="3960" t="n"/>
      <c r="V18" s="3960" t="n"/>
      <c r="W18" s="3960" t="n"/>
      <c r="X18" s="3960" t="n"/>
      <c r="Y18" s="3960" t="n"/>
      <c r="Z18" s="3960" t="n"/>
      <c r="AA18" s="3960" t="n"/>
      <c r="AB18" s="3960" t="n"/>
      <c r="AC18" s="3960" t="n"/>
      <c r="AD18" s="3960" t="n"/>
      <c r="AE18" s="3960" t="n"/>
      <c r="AF18" s="3960" t="n"/>
      <c r="AG18" s="3960" t="n"/>
      <c r="AH18" s="3960" t="n"/>
      <c r="AI18" s="3960" t="n"/>
      <c r="AJ18" s="3960" t="n"/>
      <c r="AK18" s="3960" t="n"/>
      <c r="AL18" s="3960" t="n"/>
      <c r="AM18" s="3960" t="n"/>
      <c r="AN18" s="3960" t="n"/>
      <c r="AO18" s="3960" t="n"/>
      <c r="AP18" s="3960" t="n"/>
      <c r="AQ18" s="3960" t="n"/>
      <c r="AR18" s="3960" t="n"/>
      <c r="AS18" s="3960" t="n"/>
    </row>
    <row r="19">
      <c r="A19" s="3959" t="n"/>
      <c r="B19" s="3959" t="n"/>
      <c r="C19" s="3959" t="n"/>
      <c r="D19" s="3959" t="n"/>
      <c r="E19" s="3959" t="n"/>
      <c r="F19" s="3959" t="n"/>
      <c r="G19" s="3960" t="n"/>
      <c r="H19" s="3960" t="n"/>
      <c r="I19" s="3960" t="n"/>
      <c r="J19" s="3960" t="n"/>
      <c r="K19" s="3960" t="n"/>
      <c r="L19" s="3960" t="n"/>
      <c r="M19" s="3960" t="n"/>
      <c r="N19" s="3960" t="n"/>
      <c r="O19" s="3960" t="n"/>
      <c r="P19" s="3960" t="n"/>
      <c r="Q19" s="3960" t="n"/>
      <c r="R19" s="3960" t="n"/>
      <c r="S19" s="3960" t="n"/>
      <c r="T19" s="3960" t="n"/>
      <c r="U19" s="3960" t="n"/>
      <c r="V19" s="3960" t="n"/>
      <c r="W19" s="3960" t="n"/>
      <c r="X19" s="3960" t="n"/>
      <c r="Y19" s="3960" t="n"/>
      <c r="Z19" s="3960" t="n"/>
      <c r="AA19" s="3960" t="n"/>
      <c r="AB19" s="3960" t="n"/>
      <c r="AC19" s="3960" t="n"/>
      <c r="AD19" s="3960" t="n"/>
      <c r="AE19" s="3960" t="n"/>
      <c r="AF19" s="3960" t="n"/>
      <c r="AG19" s="3960" t="n"/>
      <c r="AH19" s="3960" t="n"/>
      <c r="AI19" s="3960" t="n"/>
      <c r="AJ19" s="3960" t="n"/>
      <c r="AK19" s="3960" t="n"/>
      <c r="AL19" s="3960" t="n"/>
      <c r="AM19" s="3960" t="n"/>
      <c r="AN19" s="3960" t="n"/>
      <c r="AO19" s="3960" t="n"/>
      <c r="AP19" s="3960" t="n"/>
      <c r="AQ19" s="3960" t="n"/>
      <c r="AR19" s="3960" t="n"/>
      <c r="AS19" s="3960" t="n"/>
    </row>
    <row r="20">
      <c r="A20" s="3959" t="n"/>
      <c r="B20" s="3959" t="n"/>
      <c r="C20" s="3959" t="n"/>
      <c r="D20" s="3959" t="n"/>
      <c r="E20" s="3959" t="n"/>
      <c r="F20" s="3959" t="n"/>
      <c r="G20" s="3960" t="n"/>
      <c r="H20" s="3960" t="n"/>
      <c r="I20" s="3960" t="n"/>
      <c r="J20" s="3960" t="n"/>
      <c r="K20" s="3960" t="n"/>
      <c r="L20" s="3960" t="n"/>
      <c r="M20" s="3960" t="n"/>
      <c r="N20" s="3960" t="n"/>
      <c r="O20" s="3960" t="n"/>
      <c r="P20" s="3960" t="n"/>
      <c r="Q20" s="3960" t="n"/>
      <c r="R20" s="3960" t="n"/>
      <c r="S20" s="3960" t="n"/>
      <c r="T20" s="3960" t="n"/>
      <c r="U20" s="3960" t="n"/>
      <c r="V20" s="3960" t="n"/>
      <c r="W20" s="3960" t="n"/>
      <c r="X20" s="3960" t="n"/>
      <c r="Y20" s="3960" t="n"/>
      <c r="Z20" s="3960" t="n"/>
      <c r="AA20" s="3960" t="n"/>
      <c r="AB20" s="3960" t="n"/>
      <c r="AC20" s="3960" t="n"/>
      <c r="AD20" s="3960" t="n"/>
      <c r="AE20" s="3960" t="n"/>
      <c r="AF20" s="3960" t="n"/>
      <c r="AG20" s="3960" t="n"/>
      <c r="AH20" s="3960" t="n"/>
      <c r="AI20" s="3960" t="n"/>
      <c r="AJ20" s="3960" t="n"/>
      <c r="AK20" s="3960" t="n"/>
      <c r="AL20" s="3960" t="n"/>
      <c r="AM20" s="3960" t="n"/>
      <c r="AN20" s="3960" t="n"/>
      <c r="AO20" s="3960" t="n"/>
      <c r="AP20" s="3960" t="n"/>
      <c r="AQ20" s="3960" t="n"/>
      <c r="AR20" s="3960" t="n"/>
      <c r="AS20" s="3960" t="n"/>
    </row>
    <row r="21">
      <c r="A21" s="3959" t="n"/>
      <c r="B21" s="3959" t="n"/>
      <c r="C21" s="3959" t="n"/>
      <c r="D21" s="3959" t="n"/>
      <c r="E21" s="3959" t="n"/>
      <c r="F21" s="3959" t="n"/>
      <c r="G21" s="3960" t="n"/>
      <c r="H21" s="3960" t="n"/>
      <c r="I21" s="3960" t="n"/>
      <c r="J21" s="3960" t="n"/>
      <c r="K21" s="3960" t="n"/>
      <c r="L21" s="3960" t="n"/>
      <c r="M21" s="3960" t="n"/>
      <c r="N21" s="3960" t="n"/>
      <c r="O21" s="3960" t="n"/>
      <c r="P21" s="3960" t="n"/>
      <c r="Q21" s="3960" t="n"/>
      <c r="R21" s="3960" t="n"/>
      <c r="S21" s="3960" t="n"/>
      <c r="T21" s="3960" t="n"/>
      <c r="U21" s="3960" t="n"/>
      <c r="V21" s="3960" t="n"/>
      <c r="W21" s="3960" t="n"/>
      <c r="X21" s="3960" t="n"/>
      <c r="Y21" s="3960" t="n"/>
      <c r="Z21" s="3960" t="n"/>
      <c r="AA21" s="3960" t="n"/>
      <c r="AB21" s="3960" t="n"/>
      <c r="AC21" s="3960" t="n"/>
      <c r="AD21" s="3960" t="n"/>
      <c r="AE21" s="3960" t="n"/>
      <c r="AF21" s="3960" t="n"/>
      <c r="AG21" s="3960" t="n"/>
      <c r="AH21" s="3960" t="n"/>
      <c r="AI21" s="3960" t="n"/>
      <c r="AJ21" s="3960" t="n"/>
      <c r="AK21" s="3960" t="n"/>
      <c r="AL21" s="3960" t="n"/>
      <c r="AM21" s="3960" t="n"/>
      <c r="AN21" s="3960" t="n"/>
      <c r="AO21" s="3960" t="n"/>
      <c r="AP21" s="3960" t="n"/>
      <c r="AQ21" s="3960" t="n"/>
      <c r="AR21" s="3960" t="n"/>
      <c r="AS21" s="3960" t="n"/>
    </row>
    <row r="22">
      <c r="A22" s="3959" t="n"/>
      <c r="B22" s="3959" t="n"/>
      <c r="C22" s="3959" t="n"/>
      <c r="D22" s="3959" t="n"/>
      <c r="E22" s="3959" t="n"/>
      <c r="F22" s="3959" t="n"/>
      <c r="G22" s="3960" t="n"/>
      <c r="H22" s="3960" t="n"/>
      <c r="I22" s="3960" t="n"/>
      <c r="J22" s="3960" t="n"/>
      <c r="K22" s="3960" t="n"/>
      <c r="L22" s="3960" t="n"/>
      <c r="M22" s="3960" t="n"/>
      <c r="N22" s="3960" t="n"/>
      <c r="O22" s="3960" t="n"/>
      <c r="P22" s="3960" t="n"/>
      <c r="Q22" s="3960" t="n"/>
      <c r="R22" s="3960" t="n"/>
      <c r="S22" s="3960" t="n"/>
      <c r="T22" s="3960" t="n"/>
      <c r="U22" s="3960" t="n"/>
      <c r="V22" s="3960" t="n"/>
      <c r="W22" s="3960" t="n"/>
      <c r="X22" s="3960" t="n"/>
      <c r="Y22" s="3960" t="n"/>
      <c r="Z22" s="3960" t="n"/>
      <c r="AA22" s="3960" t="n"/>
      <c r="AB22" s="3960" t="n"/>
      <c r="AC22" s="3960" t="n"/>
      <c r="AD22" s="3960" t="n"/>
      <c r="AE22" s="3960" t="n"/>
      <c r="AF22" s="3960" t="n"/>
      <c r="AG22" s="3960" t="n"/>
      <c r="AH22" s="3960" t="n"/>
      <c r="AI22" s="3960" t="n"/>
      <c r="AJ22" s="3960" t="n"/>
      <c r="AK22" s="3960" t="n"/>
      <c r="AL22" s="3960" t="n"/>
      <c r="AM22" s="3960" t="n"/>
      <c r="AN22" s="3960" t="n"/>
      <c r="AO22" s="3960" t="n"/>
      <c r="AP22" s="3960" t="n"/>
      <c r="AQ22" s="3960" t="n"/>
      <c r="AR22" s="3960" t="n"/>
      <c r="AS22" s="3960" t="n"/>
    </row>
    <row r="23">
      <c r="A23" s="3959" t="n"/>
      <c r="B23" s="3959" t="n"/>
      <c r="C23" s="3959" t="n"/>
      <c r="D23" s="3959" t="n"/>
      <c r="E23" s="3959" t="n"/>
      <c r="F23" s="3959" t="n"/>
      <c r="G23" s="3960" t="n"/>
      <c r="H23" s="3960" t="n"/>
      <c r="I23" s="3960" t="n"/>
      <c r="J23" s="3960" t="n"/>
      <c r="K23" s="3960" t="n"/>
      <c r="L23" s="3960" t="n"/>
      <c r="M23" s="3960" t="n"/>
      <c r="N23" s="3960" t="n"/>
      <c r="O23" s="3960" t="n"/>
      <c r="P23" s="3960" t="n"/>
      <c r="Q23" s="3960" t="n"/>
      <c r="R23" s="3960" t="n"/>
      <c r="S23" s="3960" t="n"/>
      <c r="T23" s="3960" t="n"/>
      <c r="U23" s="3960" t="n"/>
      <c r="V23" s="3960" t="n"/>
      <c r="W23" s="3960" t="n"/>
      <c r="X23" s="3960" t="n"/>
      <c r="Y23" s="3960" t="n"/>
      <c r="Z23" s="3960" t="n"/>
      <c r="AA23" s="3960" t="n"/>
      <c r="AB23" s="3960" t="n"/>
      <c r="AC23" s="3960" t="n"/>
      <c r="AD23" s="3960" t="n"/>
      <c r="AE23" s="3960" t="n"/>
      <c r="AF23" s="3960" t="n"/>
      <c r="AG23" s="3960" t="n"/>
      <c r="AH23" s="3960" t="n"/>
      <c r="AI23" s="3960" t="n"/>
      <c r="AJ23" s="3960" t="n"/>
      <c r="AK23" s="3960" t="n"/>
      <c r="AL23" s="3960" t="n"/>
      <c r="AM23" s="3960" t="n"/>
      <c r="AN23" s="3960" t="n"/>
      <c r="AO23" s="3960" t="n"/>
      <c r="AP23" s="3960" t="n"/>
      <c r="AQ23" s="3960" t="n"/>
      <c r="AR23" s="3960" t="n"/>
      <c r="AS23" s="3960" t="n"/>
    </row>
    <row r="24">
      <c r="A24" s="3959" t="n"/>
      <c r="B24" s="3959" t="n"/>
      <c r="C24" s="3959" t="n"/>
      <c r="D24" s="3959" t="n"/>
      <c r="E24" s="3959" t="n"/>
      <c r="F24" s="3959" t="n"/>
      <c r="G24" s="3960" t="n"/>
      <c r="H24" s="3960" t="n"/>
      <c r="I24" s="3960" t="n"/>
      <c r="J24" s="3960" t="n"/>
      <c r="K24" s="3960" t="n"/>
      <c r="L24" s="3960" t="n"/>
      <c r="M24" s="3960" t="n"/>
      <c r="N24" s="3960" t="n"/>
      <c r="O24" s="3960" t="n"/>
      <c r="P24" s="3960" t="n"/>
      <c r="Q24" s="3960" t="n"/>
      <c r="R24" s="3960" t="n"/>
      <c r="S24" s="3960" t="n"/>
      <c r="T24" s="3960" t="n"/>
      <c r="U24" s="3960" t="n"/>
      <c r="V24" s="3960" t="n"/>
      <c r="W24" s="3960" t="n"/>
      <c r="X24" s="3960" t="n"/>
      <c r="Y24" s="3960" t="n"/>
      <c r="Z24" s="3960" t="n"/>
      <c r="AA24" s="3960" t="n"/>
      <c r="AB24" s="3960" t="n"/>
      <c r="AC24" s="3960" t="n"/>
      <c r="AD24" s="3960" t="n"/>
      <c r="AE24" s="3960" t="n"/>
      <c r="AF24" s="3960" t="n"/>
      <c r="AG24" s="3960" t="n"/>
      <c r="AH24" s="3960" t="n"/>
      <c r="AI24" s="3960" t="n"/>
      <c r="AJ24" s="3960" t="n"/>
      <c r="AK24" s="3960" t="n"/>
      <c r="AL24" s="3960" t="n"/>
      <c r="AM24" s="3960" t="n"/>
      <c r="AN24" s="3960" t="n"/>
      <c r="AO24" s="3960" t="n"/>
      <c r="AP24" s="3960" t="n"/>
      <c r="AQ24" s="3960" t="n"/>
      <c r="AR24" s="3960" t="n"/>
      <c r="AS24" s="3960" t="n"/>
    </row>
    <row r="25">
      <c r="A25" s="3959" t="n"/>
      <c r="B25" s="3959" t="n"/>
      <c r="C25" s="3959" t="n"/>
      <c r="D25" s="3959" t="n"/>
      <c r="E25" s="3959" t="n"/>
      <c r="F25" s="3959" t="n"/>
      <c r="G25" s="3960" t="n"/>
      <c r="H25" s="3960" t="n"/>
      <c r="I25" s="3960" t="n"/>
      <c r="J25" s="3960" t="n"/>
      <c r="K25" s="3960" t="n"/>
      <c r="L25" s="3960" t="n"/>
      <c r="M25" s="3960" t="n"/>
      <c r="N25" s="3960" t="n"/>
      <c r="O25" s="3960" t="n"/>
      <c r="P25" s="3960" t="n"/>
      <c r="Q25" s="3960" t="n"/>
      <c r="R25" s="3960" t="n"/>
      <c r="S25" s="3960" t="n"/>
      <c r="T25" s="3960" t="n"/>
      <c r="U25" s="3960" t="n"/>
      <c r="V25" s="3960" t="n"/>
      <c r="W25" s="3960" t="n"/>
      <c r="X25" s="3960" t="n"/>
      <c r="Y25" s="3960" t="n"/>
      <c r="Z25" s="3960" t="n"/>
      <c r="AA25" s="3960" t="n"/>
      <c r="AB25" s="3960" t="n"/>
      <c r="AC25" s="3960" t="n"/>
      <c r="AD25" s="3960" t="n"/>
      <c r="AE25" s="3960" t="n"/>
      <c r="AF25" s="3960" t="n"/>
      <c r="AG25" s="3960" t="n"/>
      <c r="AH25" s="3960" t="n"/>
      <c r="AI25" s="3960" t="n"/>
      <c r="AJ25" s="3960" t="n"/>
      <c r="AK25" s="3960" t="n"/>
      <c r="AL25" s="3960" t="n"/>
      <c r="AM25" s="3960" t="n"/>
      <c r="AN25" s="3960" t="n"/>
      <c r="AO25" s="3960" t="n"/>
      <c r="AP25" s="3960" t="n"/>
      <c r="AQ25" s="3960" t="n"/>
      <c r="AR25" s="3960" t="n"/>
      <c r="AS25" s="3960" t="n"/>
    </row>
    <row r="26">
      <c r="A26" s="3959" t="n"/>
      <c r="B26" s="3959" t="n"/>
      <c r="C26" s="3959" t="n"/>
      <c r="D26" s="3959" t="n"/>
      <c r="E26" s="3959" t="n"/>
      <c r="F26" s="3959" t="n"/>
      <c r="G26" s="3960" t="n"/>
      <c r="H26" s="3960" t="n"/>
      <c r="I26" s="3960" t="n"/>
      <c r="J26" s="3960" t="n"/>
      <c r="K26" s="3960" t="n"/>
      <c r="L26" s="3960" t="n"/>
      <c r="M26" s="3960" t="n"/>
      <c r="N26" s="3960" t="n"/>
      <c r="O26" s="3960" t="n"/>
      <c r="P26" s="3960" t="n"/>
      <c r="Q26" s="3960" t="n"/>
      <c r="R26" s="3960" t="n"/>
      <c r="S26" s="3960" t="n"/>
      <c r="T26" s="3960" t="n"/>
      <c r="U26" s="3960" t="n"/>
      <c r="V26" s="3960" t="n"/>
      <c r="W26" s="3960" t="n"/>
      <c r="X26" s="3960" t="n"/>
      <c r="Y26" s="3960" t="n"/>
      <c r="Z26" s="3960" t="n"/>
      <c r="AA26" s="3960" t="n"/>
      <c r="AB26" s="3960" t="n"/>
      <c r="AC26" s="3960" t="n"/>
      <c r="AD26" s="3960" t="n"/>
      <c r="AE26" s="3960" t="n"/>
      <c r="AF26" s="3960" t="n"/>
      <c r="AG26" s="3960" t="n"/>
      <c r="AH26" s="3960" t="n"/>
      <c r="AI26" s="3960" t="n"/>
      <c r="AJ26" s="3960" t="n"/>
      <c r="AK26" s="3960" t="n"/>
      <c r="AL26" s="3960" t="n"/>
      <c r="AM26" s="3960" t="n"/>
      <c r="AN26" s="3960" t="n"/>
      <c r="AO26" s="3960" t="n"/>
      <c r="AP26" s="3960" t="n"/>
      <c r="AQ26" s="3960" t="n"/>
      <c r="AR26" s="3960" t="n"/>
      <c r="AS26" s="3960" t="n"/>
    </row>
    <row r="27">
      <c r="A27" s="3979" t="inlineStr">
        <is>
          <t>QOFE_DETAIL_CHECKS</t>
        </is>
      </c>
      <c r="B27" s="3980" t="n"/>
      <c r="C27" s="3980" t="n"/>
      <c r="D27" s="3980" t="n"/>
      <c r="E27" s="3980" t="n"/>
      <c r="F27" s="3980" t="n"/>
      <c r="G27" s="3981" t="n"/>
      <c r="H27" s="3981" t="n"/>
      <c r="I27" s="3981" t="n"/>
      <c r="J27" s="3981" t="n"/>
      <c r="K27" s="3981" t="n"/>
      <c r="L27" s="3981" t="n"/>
      <c r="M27" s="3981" t="n"/>
      <c r="N27" s="3981" t="n"/>
      <c r="O27" s="3981" t="n"/>
      <c r="P27" s="3981" t="n"/>
      <c r="Q27" s="3981" t="n"/>
      <c r="R27" s="3981" t="n"/>
      <c r="S27" s="3981" t="n"/>
      <c r="T27" s="3981" t="n"/>
      <c r="U27" s="3981" t="n"/>
      <c r="V27" s="3981" t="n"/>
      <c r="W27" s="3981" t="n"/>
      <c r="X27" s="3981" t="n"/>
      <c r="Y27" s="3981" t="n"/>
      <c r="Z27" s="3981" t="n"/>
      <c r="AA27" s="3981" t="n"/>
      <c r="AB27" s="3981" t="n"/>
      <c r="AC27" s="3981" t="n"/>
      <c r="AD27" s="3981" t="n"/>
      <c r="AE27" s="3981" t="n"/>
      <c r="AF27" s="3981" t="n"/>
      <c r="AG27" s="3981" t="n"/>
      <c r="AH27" s="3981" t="n"/>
      <c r="AI27" s="3981" t="n"/>
      <c r="AJ27" s="3981" t="n"/>
      <c r="AK27" s="3981" t="n"/>
      <c r="AL27" s="3981" t="n"/>
      <c r="AM27" s="3981" t="n"/>
      <c r="AN27" s="3981" t="n"/>
      <c r="AO27" s="3981" t="n"/>
      <c r="AP27" s="3981" t="n"/>
      <c r="AQ27" s="3981" t="n"/>
      <c r="AR27" s="3981" t="n"/>
      <c r="AS27" s="3981" t="n"/>
    </row>
    <row r="28">
      <c r="A28" s="3959" t="inlineStr">
        <is>
          <t>Adjusted EBITDA tie-out</t>
        </is>
      </c>
      <c r="B28" s="3959" t="n"/>
      <c r="C28" s="3959" t="n"/>
      <c r="D28" s="3959" t="n"/>
      <c r="E28" s="3959" t="n"/>
      <c r="F28" s="3959" t="n"/>
      <c r="G28" s="3961">
        <f>IF(G15="","",G15-(G12+G13+G14))</f>
        <v/>
      </c>
      <c r="H28" s="3961">
        <f>IF(H15="","",H15-(H12+H13+H14))</f>
        <v/>
      </c>
      <c r="I28" s="3961">
        <f>IF(I15="","",I15-(I12+I13+I14))</f>
        <v/>
      </c>
      <c r="J28" s="3961">
        <f>IF(J15="","",J15-(J12+J13+J14))</f>
        <v/>
      </c>
      <c r="K28" s="3961">
        <f>IF(K15="","",K15-(K12+K13+K14))</f>
        <v/>
      </c>
      <c r="L28" s="3961">
        <f>IF(L15="","",L15-(L12+L13+L14))</f>
        <v/>
      </c>
      <c r="M28" s="3961">
        <f>IF(M15="","",M15-(M12+M13+M14))</f>
        <v/>
      </c>
      <c r="N28" s="3961">
        <f>IF(N15="","",N15-(N12+N13+N14))</f>
        <v/>
      </c>
      <c r="O28" s="3961">
        <f>IF(O15="","",O15-(O12+O13+O14))</f>
        <v/>
      </c>
      <c r="P28" s="3961">
        <f>IF(P15="","",P15-(P12+P13+P14))</f>
        <v/>
      </c>
      <c r="Q28" s="3961">
        <f>IF(Q15="","",Q15-(Q12+Q13+Q14))</f>
        <v/>
      </c>
      <c r="R28" s="3961">
        <f>IF(R15="","",R15-(R12+R13+R14))</f>
        <v/>
      </c>
      <c r="S28" s="3961">
        <f>IF(S15="","",S15-(S12+S13+S14))</f>
        <v/>
      </c>
      <c r="T28" s="3961">
        <f>IF(T15="","",T15-(T12+T13+T14))</f>
        <v/>
      </c>
      <c r="U28" s="3961">
        <f>IF(U15="","",U15-(U12+U13+U14))</f>
        <v/>
      </c>
      <c r="V28" s="3961">
        <f>IF(V15="","",V15-(V12+V13+V14))</f>
        <v/>
      </c>
      <c r="W28" s="3961">
        <f>IF(W15="","",W15-(W12+W13+W14))</f>
        <v/>
      </c>
      <c r="X28" s="3961">
        <f>IF(X15="","",X15-(X12+X13+X14))</f>
        <v/>
      </c>
      <c r="Y28" s="3961">
        <f>IF(Y15="","",Y15-(Y12+Y13+Y14))</f>
        <v/>
      </c>
      <c r="Z28" s="3961">
        <f>IF(Z15="","",Z15-(Z12+Z13+Z14))</f>
        <v/>
      </c>
      <c r="AA28" s="3961">
        <f>IF(AA15="","",AA15-(AA12+AA13+AA14))</f>
        <v/>
      </c>
      <c r="AB28" s="3961">
        <f>IF(AB15="","",AB15-(AB12+AB13+AB14))</f>
        <v/>
      </c>
      <c r="AC28" s="3961">
        <f>IF(AC15="","",AC15-(AC12+AC13+AC14))</f>
        <v/>
      </c>
      <c r="AD28" s="3961">
        <f>IF(AD15="","",AD15-(AD12+AD13+AD14))</f>
        <v/>
      </c>
      <c r="AE28" s="3961">
        <f>IF(AE15="","",AE15-(AE12+AE13+AE14))</f>
        <v/>
      </c>
      <c r="AF28" s="3961">
        <f>IF(AF15="","",AF15-(AF12+AF13+AF14))</f>
        <v/>
      </c>
      <c r="AG28" s="3961">
        <f>IF(AG15="","",AG15-(AG12+AG13+AG14))</f>
        <v/>
      </c>
      <c r="AH28" s="3961">
        <f>IF(AH15="","",AH15-(AH12+AH13+AH14))</f>
        <v/>
      </c>
      <c r="AI28" s="3961">
        <f>IF(AI15="","",AI15-(AI12+AI13+AI14))</f>
        <v/>
      </c>
      <c r="AJ28" s="3961">
        <f>IF(AJ15="","",AJ15-(AJ12+AJ13+AJ14))</f>
        <v/>
      </c>
      <c r="AK28" s="3961">
        <f>IF(AK15="","",AK15-(AK12+AK13+AK14))</f>
        <v/>
      </c>
      <c r="AL28" s="3961">
        <f>IF(AL15="","",AL15-(AL12+AL13+AL14))</f>
        <v/>
      </c>
      <c r="AM28" s="3961">
        <f>IF(AM15="","",AM15-(AM12+AM13+AM14))</f>
        <v/>
      </c>
      <c r="AN28" s="3961">
        <f>IF(AN15="","",AN15-(AN12+AN13+AN14))</f>
        <v/>
      </c>
      <c r="AO28" s="3961">
        <f>IF(AO15="","",AO15-(AO12+AO13+AO14))</f>
        <v/>
      </c>
      <c r="AP28" s="3961">
        <f>IF(AP15="","",AP15-(AP12+AP13+AP14))</f>
        <v/>
      </c>
      <c r="AQ28" s="3961">
        <f>IF(AQ15="","",AQ15-(AQ12+AQ13+AQ14))</f>
        <v/>
      </c>
      <c r="AR28" s="3961">
        <f>IF(AR15="","",AR15-(AR12+AR13+AR14))</f>
        <v/>
      </c>
      <c r="AS28" s="3961">
        <f>IF(AS15="","",AS15-(AS12+AS13+AS14))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8"/>
  <sheetViews>
    <sheetView showGridLines="0" view="pageBreakPreview" zoomScale="100" zoomScaleNormal="100" workbookViewId="0">
      <selection activeCell="A1" sqref="A1"/>
    </sheetView>
  </sheetViews>
  <sheetFormatPr baseColWidth="8" defaultRowHeight="15"/>
  <cols>
    <col width="36" customWidth="1" min="1" max="1"/>
  </cols>
  <sheetData>
    <row r="1">
      <c r="A1" s="3962" t="inlineStr">
        <is>
          <t>NWC&gt;&gt;</t>
        </is>
      </c>
    </row>
    <row r="2">
      <c r="A2" s="3934" t="n"/>
    </row>
    <row r="3">
      <c r="A3" s="3934" t="n"/>
    </row>
    <row r="4">
      <c r="A4" s="3963">
        <f>HYPERLINK("#'NWC | Summary'!A1","Go to NWC | Summary")</f>
        <v/>
      </c>
    </row>
    <row r="5">
      <c r="A5" s="3963">
        <f>HYPERLINK("#'NWC | Detail'!A1","Go to NWC | Detail")</f>
        <v/>
      </c>
    </row>
    <row r="6">
      <c r="A6" s="3963">
        <f>HYPERLINK("#'NWC | Days'!A1","Go to NWC | Days")</f>
        <v/>
      </c>
    </row>
    <row r="7">
      <c r="A7" s="3963">
        <f>HYPERLINK("#'Stratified | BS'!A1","Go to Stratified | BS")</f>
        <v/>
      </c>
    </row>
    <row r="8">
      <c r="A8" s="3963">
        <f>HYPERLINK("#'Net_debt'!A1","Go to Net_debt")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S39"/>
  <sheetViews>
    <sheetView showGridLines="0" zoomScale="100" zoomScaleNormal="100" workbookViewId="0">
      <pane xSplit="6" ySplit="8" topLeftCell="G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28" customWidth="1" min="2" max="2"/>
    <col width="16" customWidth="1" min="3" max="3"/>
    <col width="7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</cols>
  <sheetData>
    <row r="1">
      <c r="A1" s="3962" t="inlineStr">
        <is>
          <t>NWC Summary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70" t="n"/>
      <c r="N1" s="3970" t="n"/>
      <c r="O1" s="3970" t="n"/>
      <c r="P1" s="3970" t="n"/>
      <c r="Q1" s="3970" t="n"/>
      <c r="R1" s="3970" t="n"/>
      <c r="S1" s="3970" t="n"/>
      <c r="T1" s="3970" t="n"/>
      <c r="U1" s="3970" t="n"/>
      <c r="V1" s="3970" t="n"/>
      <c r="W1" s="3970" t="n"/>
      <c r="X1" s="3970" t="n"/>
      <c r="Y1" s="3970" t="n"/>
      <c r="Z1" s="3970" t="n"/>
      <c r="AA1" s="3970" t="n"/>
      <c r="AB1" s="3970" t="n"/>
      <c r="AC1" s="3970" t="n"/>
      <c r="AD1" s="3970" t="n"/>
      <c r="AE1" s="3970" t="n"/>
      <c r="AF1" s="3970" t="n"/>
      <c r="AG1" s="3970" t="n"/>
      <c r="AH1" s="3970" t="n"/>
      <c r="AI1" s="3970" t="n"/>
      <c r="AJ1" s="3970" t="n"/>
      <c r="AK1" s="3970" t="n"/>
      <c r="AL1" s="3970" t="n"/>
      <c r="AM1" s="3970" t="n"/>
      <c r="AN1" s="3970" t="n"/>
      <c r="AO1" s="3970" t="n"/>
      <c r="AP1" s="3970" t="n"/>
      <c r="AQ1" s="3970" t="n"/>
      <c r="AR1" s="3970" t="n"/>
      <c r="AS1" s="3970" t="n"/>
    </row>
    <row r="2">
      <c r="A2" s="3978" t="inlineStr">
        <is>
          <t>Source: &lt;document_source&gt;</t>
        </is>
      </c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70" t="n"/>
      <c r="N2" s="3970" t="n"/>
      <c r="O2" s="3970" t="n"/>
      <c r="P2" s="3970" t="n"/>
      <c r="Q2" s="3970" t="n"/>
      <c r="R2" s="3970" t="n"/>
      <c r="S2" s="3970" t="n"/>
      <c r="T2" s="3970" t="n"/>
      <c r="U2" s="3970" t="n"/>
      <c r="V2" s="3970" t="n"/>
      <c r="W2" s="3970" t="n"/>
      <c r="X2" s="3970" t="n"/>
      <c r="Y2" s="3970" t="n"/>
      <c r="Z2" s="3970" t="n"/>
      <c r="AA2" s="3970" t="n"/>
      <c r="AB2" s="3970" t="n"/>
      <c r="AC2" s="3970" t="n"/>
      <c r="AD2" s="3970" t="n"/>
      <c r="AE2" s="3970" t="n"/>
      <c r="AF2" s="3970" t="n"/>
      <c r="AG2" s="3970" t="n"/>
      <c r="AH2" s="3970" t="n"/>
      <c r="AI2" s="3970" t="n"/>
      <c r="AJ2" s="3970" t="n"/>
      <c r="AK2" s="3970" t="n"/>
      <c r="AL2" s="3970" t="n"/>
      <c r="AM2" s="3970" t="n"/>
      <c r="AN2" s="3970" t="n"/>
      <c r="AO2" s="3970" t="n"/>
      <c r="AP2" s="3970" t="n"/>
      <c r="AQ2" s="3970" t="n"/>
      <c r="AR2" s="3970" t="n"/>
      <c r="AS2" s="3970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70" t="n"/>
      <c r="N3" s="3970" t="n"/>
      <c r="O3" s="3970" t="n"/>
      <c r="P3" s="3970" t="n"/>
      <c r="Q3" s="3970" t="n"/>
      <c r="R3" s="3970" t="n"/>
      <c r="S3" s="3970" t="n"/>
      <c r="T3" s="3970" t="n"/>
      <c r="U3" s="3970" t="n"/>
      <c r="V3" s="3970" t="n"/>
      <c r="W3" s="3970" t="n"/>
      <c r="X3" s="3970" t="n"/>
      <c r="Y3" s="3970" t="n"/>
      <c r="Z3" s="3970" t="n"/>
      <c r="AA3" s="3970" t="n"/>
      <c r="AB3" s="3970" t="n"/>
      <c r="AC3" s="3970" t="n"/>
      <c r="AD3" s="3970" t="n"/>
      <c r="AE3" s="3970" t="n"/>
      <c r="AF3" s="3970" t="n"/>
      <c r="AG3" s="3970" t="n"/>
      <c r="AH3" s="3970" t="n"/>
      <c r="AI3" s="3970" t="n"/>
      <c r="AJ3" s="3970" t="n"/>
      <c r="AK3" s="3970" t="n"/>
      <c r="AL3" s="3970" t="n"/>
      <c r="AM3" s="3970" t="n"/>
      <c r="AN3" s="3970" t="n"/>
      <c r="AO3" s="3970" t="n"/>
      <c r="AP3" s="3970" t="n"/>
      <c r="AQ3" s="3970" t="n"/>
      <c r="AR3" s="3970" t="n"/>
      <c r="AS3" s="3970" t="n"/>
    </row>
    <row r="4">
      <c r="A4" s="3934" t="n"/>
      <c r="B4" s="3934" t="n"/>
      <c r="C4" s="3934" t="n"/>
      <c r="D4" s="3934" t="n"/>
      <c r="E4" s="3934" t="n"/>
      <c r="F4" s="3934" t="n"/>
      <c r="G4" s="3934" t="n"/>
      <c r="H4" s="3934" t="n"/>
      <c r="I4" s="3934" t="n"/>
      <c r="J4" s="3934" t="n"/>
      <c r="K4" s="3934" t="n"/>
      <c r="L4" s="3934" t="n"/>
      <c r="M4" s="3970" t="n"/>
      <c r="N4" s="3970" t="n"/>
      <c r="O4" s="3970" t="n"/>
      <c r="P4" s="3970" t="n"/>
      <c r="Q4" s="3970" t="n"/>
      <c r="R4" s="3970" t="n"/>
      <c r="S4" s="3970" t="n"/>
      <c r="T4" s="3970" t="n"/>
      <c r="U4" s="3970" t="n"/>
      <c r="V4" s="3970" t="n"/>
      <c r="W4" s="3970" t="n"/>
      <c r="X4" s="3970" t="n"/>
      <c r="Y4" s="3970" t="n"/>
      <c r="Z4" s="3970" t="n"/>
      <c r="AA4" s="3970" t="n"/>
      <c r="AB4" s="3970" t="n"/>
      <c r="AC4" s="3970" t="n"/>
      <c r="AD4" s="3970" t="n"/>
      <c r="AE4" s="3970" t="n"/>
      <c r="AF4" s="3970" t="n"/>
      <c r="AG4" s="3970" t="n"/>
      <c r="AH4" s="3970" t="n"/>
      <c r="AI4" s="3970" t="n"/>
      <c r="AJ4" s="3970" t="n"/>
      <c r="AK4" s="3970" t="n"/>
      <c r="AL4" s="3970" t="n"/>
      <c r="AM4" s="3970" t="n"/>
      <c r="AN4" s="3970" t="n"/>
      <c r="AO4" s="3970" t="n"/>
      <c r="AP4" s="3970" t="n"/>
      <c r="AQ4" s="3970" t="n"/>
      <c r="AR4" s="3970" t="n"/>
      <c r="AS4" s="3970" t="n"/>
    </row>
    <row r="5">
      <c r="A5" s="3934" t="n"/>
      <c r="B5" s="3934" t="n"/>
      <c r="C5" s="3934" t="n"/>
      <c r="D5" s="3934" t="n"/>
      <c r="E5" s="3934" t="n"/>
      <c r="F5" s="3934" t="n"/>
      <c r="G5" s="3934" t="n"/>
      <c r="H5" s="3934" t="n"/>
      <c r="I5" s="3934" t="n"/>
      <c r="J5" s="3934" t="n"/>
      <c r="K5" s="3934" t="n"/>
      <c r="L5" s="3934" t="n"/>
      <c r="M5" s="3970" t="n"/>
      <c r="N5" s="3970" t="n"/>
      <c r="O5" s="3970" t="n"/>
      <c r="P5" s="3970" t="n"/>
      <c r="Q5" s="3970" t="n"/>
      <c r="R5" s="3970" t="n"/>
      <c r="S5" s="3970" t="n"/>
      <c r="T5" s="3970" t="n"/>
      <c r="U5" s="3970" t="n"/>
      <c r="V5" s="3970" t="n"/>
      <c r="W5" s="3970" t="n"/>
      <c r="X5" s="3970" t="n"/>
      <c r="Y5" s="3970" t="n"/>
      <c r="Z5" s="3970" t="n"/>
      <c r="AA5" s="3970" t="n"/>
      <c r="AB5" s="3970" t="n"/>
      <c r="AC5" s="3970" t="n"/>
      <c r="AD5" s="3970" t="n"/>
      <c r="AE5" s="3970" t="n"/>
      <c r="AF5" s="3970" t="n"/>
      <c r="AG5" s="3970" t="n"/>
      <c r="AH5" s="3970" t="n"/>
      <c r="AI5" s="3970" t="n"/>
      <c r="AJ5" s="3970" t="n"/>
      <c r="AK5" s="3970" t="n"/>
      <c r="AL5" s="3970" t="n"/>
      <c r="AM5" s="3970" t="n"/>
      <c r="AN5" s="3970" t="n"/>
      <c r="AO5" s="3970" t="n"/>
      <c r="AP5" s="3970" t="n"/>
      <c r="AQ5" s="3970" t="n"/>
      <c r="AR5" s="3970" t="n"/>
      <c r="AS5" s="3970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70" t="n"/>
      <c r="N6" s="3970" t="n"/>
      <c r="O6" s="3970" t="n"/>
      <c r="P6" s="3970" t="n"/>
      <c r="Q6" s="3970" t="n"/>
      <c r="R6" s="3970" t="n"/>
      <c r="S6" s="3970" t="n"/>
      <c r="T6" s="3970" t="n"/>
      <c r="U6" s="3970" t="n"/>
      <c r="V6" s="3970" t="n"/>
      <c r="W6" s="3970" t="n"/>
      <c r="X6" s="3970" t="n"/>
      <c r="Y6" s="3970" t="n"/>
      <c r="Z6" s="3970" t="n"/>
      <c r="AA6" s="3970" t="n"/>
      <c r="AB6" s="3970" t="n"/>
      <c r="AC6" s="3970" t="n"/>
      <c r="AD6" s="3970" t="n"/>
      <c r="AE6" s="3970" t="n"/>
      <c r="AF6" s="3970" t="n"/>
      <c r="AG6" s="3970" t="n"/>
      <c r="AH6" s="3970" t="n"/>
      <c r="AI6" s="3970" t="n"/>
      <c r="AJ6" s="3970" t="n"/>
      <c r="AK6" s="3970" t="n"/>
      <c r="AL6" s="3970" t="n"/>
      <c r="AM6" s="3970" t="n"/>
      <c r="AN6" s="3970" t="n"/>
      <c r="AO6" s="3970" t="n"/>
      <c r="AP6" s="3970" t="n"/>
      <c r="AQ6" s="3970" t="n"/>
      <c r="AR6" s="3970" t="n"/>
      <c r="AS6" s="3970" t="n"/>
    </row>
    <row r="7">
      <c r="A7" s="3979" t="inlineStr">
        <is>
          <t>NWC Summary</t>
        </is>
      </c>
      <c r="B7" s="3980" t="n"/>
      <c r="C7" s="3980" t="n"/>
      <c r="D7" s="3980" t="n"/>
      <c r="E7" s="3980" t="n"/>
      <c r="F7" s="3980" t="n"/>
      <c r="G7" s="3980" t="n"/>
      <c r="H7" s="3980" t="n"/>
      <c r="I7" s="3980" t="n"/>
      <c r="J7" s="3980" t="n"/>
      <c r="K7" s="3980" t="n"/>
      <c r="L7" s="3980" t="n"/>
      <c r="M7" s="3970" t="n"/>
      <c r="N7" s="3970" t="n"/>
      <c r="O7" s="3970" t="n"/>
      <c r="P7" s="3970" t="n"/>
      <c r="Q7" s="3970" t="n"/>
      <c r="R7" s="3970" t="n"/>
      <c r="S7" s="3970" t="n"/>
      <c r="T7" s="3970" t="n"/>
      <c r="U7" s="3970" t="n"/>
      <c r="V7" s="3970" t="n"/>
      <c r="W7" s="3970" t="n"/>
      <c r="X7" s="3970" t="n"/>
      <c r="Y7" s="3970" t="n"/>
      <c r="Z7" s="3970" t="n"/>
      <c r="AA7" s="3970" t="n"/>
      <c r="AB7" s="3970" t="n"/>
      <c r="AC7" s="3970" t="n"/>
      <c r="AD7" s="3970" t="n"/>
      <c r="AE7" s="3970" t="n"/>
      <c r="AF7" s="3970" t="n"/>
      <c r="AG7" s="3970" t="n"/>
      <c r="AH7" s="3970" t="n"/>
      <c r="AI7" s="3970" t="n"/>
      <c r="AJ7" s="3970" t="n"/>
      <c r="AK7" s="3970" t="n"/>
      <c r="AL7" s="3970" t="n"/>
      <c r="AM7" s="3970" t="n"/>
      <c r="AN7" s="3970" t="n"/>
      <c r="AO7" s="3970" t="n"/>
      <c r="AP7" s="3970" t="n"/>
      <c r="AQ7" s="3970" t="n"/>
      <c r="AR7" s="3970" t="n"/>
      <c r="AS7" s="3970" t="n"/>
    </row>
    <row r="8">
      <c r="A8" s="3923" t="inlineStr">
        <is>
          <t>LineKey</t>
        </is>
      </c>
      <c r="B8" s="3964" t="inlineStr">
        <is>
          <t>$'000</t>
        </is>
      </c>
      <c r="C8" s="3964" t="inlineStr">
        <is>
          <t>TB Account No.</t>
        </is>
      </c>
      <c r="D8" s="3964" t="inlineStr">
        <is>
          <t>Sign</t>
        </is>
      </c>
      <c r="E8" s="3964" t="inlineStr">
        <is>
          <t>Source</t>
        </is>
      </c>
      <c r="F8" s="3964" t="inlineStr">
        <is>
          <t>Comments</t>
        </is>
      </c>
      <c r="G8" s="3965" t="inlineStr">
        <is>
          <t>FY-2 YE</t>
        </is>
      </c>
      <c r="H8" s="3965" t="inlineStr">
        <is>
          <t>FY-1 YE</t>
        </is>
      </c>
      <c r="I8" s="3965" t="inlineStr">
        <is>
          <t>Latest ME</t>
        </is>
      </c>
      <c r="J8" s="3965" t="inlineStr">
        <is>
          <t>FY-2 Avg</t>
        </is>
      </c>
      <c r="K8" s="3965" t="inlineStr">
        <is>
          <t>FY-1 Avg</t>
        </is>
      </c>
      <c r="L8" s="3965" t="inlineStr">
        <is>
          <t>TTM Avg</t>
        </is>
      </c>
      <c r="M8" s="3970" t="n"/>
      <c r="N8" s="3970" t="n"/>
      <c r="O8" s="3970" t="n"/>
      <c r="P8" s="3970" t="n"/>
      <c r="Q8" s="3970" t="n"/>
      <c r="R8" s="3970" t="n"/>
      <c r="S8" s="3970" t="n"/>
      <c r="T8" s="3970" t="n"/>
      <c r="U8" s="3970" t="n"/>
      <c r="V8" s="3970" t="n"/>
      <c r="W8" s="3970" t="n"/>
      <c r="X8" s="3970" t="n"/>
      <c r="Y8" s="3970" t="n"/>
      <c r="Z8" s="3970" t="n"/>
      <c r="AA8" s="3970" t="n"/>
      <c r="AB8" s="3970" t="n"/>
      <c r="AC8" s="3970" t="n"/>
      <c r="AD8" s="3970" t="n"/>
      <c r="AE8" s="3970" t="n"/>
      <c r="AF8" s="3970" t="n"/>
      <c r="AG8" s="3970" t="n"/>
      <c r="AH8" s="3970" t="n"/>
      <c r="AI8" s="3970" t="n"/>
      <c r="AJ8" s="3970" t="n"/>
      <c r="AK8" s="3970" t="n"/>
      <c r="AL8" s="3970" t="n"/>
      <c r="AM8" s="3970" t="n"/>
      <c r="AN8" s="3970" t="n"/>
      <c r="AO8" s="3970" t="n"/>
      <c r="AP8" s="3970" t="n"/>
      <c r="AQ8" s="3970" t="n"/>
      <c r="AR8" s="3970" t="n"/>
      <c r="AS8" s="3970" t="n"/>
    </row>
    <row r="9">
      <c r="A9" s="3959" t="inlineStr">
        <is>
          <t>NWC_REP</t>
        </is>
      </c>
      <c r="B9" s="3959" t="inlineStr">
        <is>
          <t>Reported NWC</t>
        </is>
      </c>
      <c r="C9" s="3959" t="inlineStr"/>
      <c r="D9" s="3959" t="inlineStr">
        <is>
          <t>+</t>
        </is>
      </c>
      <c r="E9" s="3959" t="inlineStr">
        <is>
          <t>Input</t>
        </is>
      </c>
      <c r="F9" s="3959" t="inlineStr"/>
      <c r="G9" s="3929" t="n"/>
      <c r="H9" s="3929" t="n"/>
      <c r="I9" s="3929" t="n"/>
      <c r="J9" s="3929" t="n"/>
      <c r="K9" s="3929" t="n"/>
      <c r="L9" s="3929" t="n"/>
      <c r="M9" s="3970" t="n"/>
      <c r="N9" s="3970" t="n"/>
      <c r="O9" s="3970" t="n"/>
      <c r="P9" s="3970" t="n"/>
      <c r="Q9" s="3970" t="n"/>
      <c r="R9" s="3970" t="n"/>
      <c r="S9" s="3970" t="n"/>
      <c r="T9" s="3970" t="n"/>
      <c r="U9" s="3970" t="n"/>
      <c r="V9" s="3970" t="n"/>
      <c r="W9" s="3970" t="n"/>
      <c r="X9" s="3970" t="n"/>
      <c r="Y9" s="3970" t="n"/>
      <c r="Z9" s="3970" t="n"/>
      <c r="AA9" s="3970" t="n"/>
      <c r="AB9" s="3970" t="n"/>
      <c r="AC9" s="3970" t="n"/>
      <c r="AD9" s="3970" t="n"/>
      <c r="AE9" s="3970" t="n"/>
      <c r="AF9" s="3970" t="n"/>
      <c r="AG9" s="3970" t="n"/>
      <c r="AH9" s="3970" t="n"/>
      <c r="AI9" s="3970" t="n"/>
      <c r="AJ9" s="3970" t="n"/>
      <c r="AK9" s="3970" t="n"/>
      <c r="AL9" s="3970" t="n"/>
      <c r="AM9" s="3970" t="n"/>
      <c r="AN9" s="3970" t="n"/>
      <c r="AO9" s="3970" t="n"/>
      <c r="AP9" s="3970" t="n"/>
      <c r="AQ9" s="3970" t="n"/>
      <c r="AR9" s="3970" t="n"/>
      <c r="AS9" s="3970" t="n"/>
    </row>
    <row r="10">
      <c r="A10" s="3959" t="inlineStr">
        <is>
          <t>NWC_DD</t>
        </is>
      </c>
      <c r="B10" s="3959" t="inlineStr">
        <is>
          <t>DD Adjustment</t>
        </is>
      </c>
      <c r="C10" s="3959" t="inlineStr"/>
      <c r="D10" s="3959" t="inlineStr">
        <is>
          <t>+</t>
        </is>
      </c>
      <c r="E10" s="3959" t="inlineStr">
        <is>
          <t>Input</t>
        </is>
      </c>
      <c r="F10" s="3959" t="inlineStr"/>
      <c r="G10" s="3929" t="n"/>
      <c r="H10" s="3929" t="n"/>
      <c r="I10" s="3929" t="n"/>
      <c r="J10" s="3929" t="n"/>
      <c r="K10" s="3929" t="n"/>
      <c r="L10" s="3929" t="n"/>
      <c r="M10" s="3970" t="n"/>
      <c r="N10" s="3970" t="n"/>
      <c r="O10" s="3970" t="n"/>
      <c r="P10" s="3970" t="n"/>
      <c r="Q10" s="3970" t="n"/>
      <c r="R10" s="3970" t="n"/>
      <c r="S10" s="3970" t="n"/>
      <c r="T10" s="3970" t="n"/>
      <c r="U10" s="3970" t="n"/>
      <c r="V10" s="3970" t="n"/>
      <c r="W10" s="3970" t="n"/>
      <c r="X10" s="3970" t="n"/>
      <c r="Y10" s="3970" t="n"/>
      <c r="Z10" s="3970" t="n"/>
      <c r="AA10" s="3970" t="n"/>
      <c r="AB10" s="3970" t="n"/>
      <c r="AC10" s="3970" t="n"/>
      <c r="AD10" s="3970" t="n"/>
      <c r="AE10" s="3970" t="n"/>
      <c r="AF10" s="3970" t="n"/>
      <c r="AG10" s="3970" t="n"/>
      <c r="AH10" s="3970" t="n"/>
      <c r="AI10" s="3970" t="n"/>
      <c r="AJ10" s="3970" t="n"/>
      <c r="AK10" s="3970" t="n"/>
      <c r="AL10" s="3970" t="n"/>
      <c r="AM10" s="3970" t="n"/>
      <c r="AN10" s="3970" t="n"/>
      <c r="AO10" s="3970" t="n"/>
      <c r="AP10" s="3970" t="n"/>
      <c r="AQ10" s="3970" t="n"/>
      <c r="AR10" s="3970" t="n"/>
      <c r="AS10" s="3970" t="n"/>
    </row>
    <row r="11">
      <c r="A11" s="3959" t="inlineStr">
        <is>
          <t>NWC_PF</t>
        </is>
      </c>
      <c r="B11" s="3959" t="inlineStr">
        <is>
          <t>PF Adjustment</t>
        </is>
      </c>
      <c r="C11" s="3959" t="inlineStr"/>
      <c r="D11" s="3959" t="inlineStr">
        <is>
          <t>+</t>
        </is>
      </c>
      <c r="E11" s="3959" t="inlineStr">
        <is>
          <t>Input</t>
        </is>
      </c>
      <c r="F11" s="3959" t="inlineStr"/>
      <c r="G11" s="3929" t="n"/>
      <c r="H11" s="3929" t="n"/>
      <c r="I11" s="3929" t="n"/>
      <c r="J11" s="3929" t="n"/>
      <c r="K11" s="3929" t="n"/>
      <c r="L11" s="3929" t="n"/>
      <c r="M11" s="3970" t="n"/>
      <c r="N11" s="3970" t="n"/>
      <c r="O11" s="3970" t="n"/>
      <c r="P11" s="3970" t="n"/>
      <c r="Q11" s="3970" t="n"/>
      <c r="R11" s="3970" t="n"/>
      <c r="S11" s="3970" t="n"/>
      <c r="T11" s="3970" t="n"/>
      <c r="U11" s="3970" t="n"/>
      <c r="V11" s="3970" t="n"/>
      <c r="W11" s="3970" t="n"/>
      <c r="X11" s="3970" t="n"/>
      <c r="Y11" s="3970" t="n"/>
      <c r="Z11" s="3970" t="n"/>
      <c r="AA11" s="3970" t="n"/>
      <c r="AB11" s="3970" t="n"/>
      <c r="AC11" s="3970" t="n"/>
      <c r="AD11" s="3970" t="n"/>
      <c r="AE11" s="3970" t="n"/>
      <c r="AF11" s="3970" t="n"/>
      <c r="AG11" s="3970" t="n"/>
      <c r="AH11" s="3970" t="n"/>
      <c r="AI11" s="3970" t="n"/>
      <c r="AJ11" s="3970" t="n"/>
      <c r="AK11" s="3970" t="n"/>
      <c r="AL11" s="3970" t="n"/>
      <c r="AM11" s="3970" t="n"/>
      <c r="AN11" s="3970" t="n"/>
      <c r="AO11" s="3970" t="n"/>
      <c r="AP11" s="3970" t="n"/>
      <c r="AQ11" s="3970" t="n"/>
      <c r="AR11" s="3970" t="n"/>
      <c r="AS11" s="3970" t="n"/>
    </row>
    <row r="12">
      <c r="A12" s="3959" t="inlineStr">
        <is>
          <t>NWC_ADJ</t>
        </is>
      </c>
      <c r="B12" s="3959" t="inlineStr">
        <is>
          <t>Adjusted NWC</t>
        </is>
      </c>
      <c r="C12" s="3959" t="inlineStr"/>
      <c r="D12" s="3959" t="inlineStr">
        <is>
          <t>+</t>
        </is>
      </c>
      <c r="E12" s="3959" t="inlineStr">
        <is>
          <t>Formula</t>
        </is>
      </c>
      <c r="F12" s="3959" t="inlineStr">
        <is>
          <t>Derived</t>
        </is>
      </c>
      <c r="G12" s="3960">
        <f>IF(COUNT(G9:G11)=0,"",SUM(G9:G11))</f>
        <v/>
      </c>
      <c r="H12" s="3960">
        <f>IF(COUNT(H9:H11)=0,"",SUM(H9:H11))</f>
        <v/>
      </c>
      <c r="I12" s="3960">
        <f>IF(COUNT(I9:I11)=0,"",SUM(I9:I11))</f>
        <v/>
      </c>
      <c r="J12" s="3960">
        <f>IF(COUNT(J9:J11)=0,"",SUM(J9:J11))</f>
        <v/>
      </c>
      <c r="K12" s="3960">
        <f>IF(COUNT(K9:K11)=0,"",SUM(K9:K11))</f>
        <v/>
      </c>
      <c r="L12" s="3960">
        <f>IF(COUNT(L9:L11)=0,"",SUM(L9:L11))</f>
        <v/>
      </c>
      <c r="M12" s="3970" t="n"/>
      <c r="N12" s="3970" t="n"/>
      <c r="O12" s="3970" t="n"/>
      <c r="P12" s="3970" t="n"/>
      <c r="Q12" s="3970" t="n"/>
      <c r="R12" s="3970" t="n"/>
      <c r="S12" s="3970" t="n"/>
      <c r="T12" s="3970" t="n"/>
      <c r="U12" s="3970" t="n"/>
      <c r="V12" s="3970" t="n"/>
      <c r="W12" s="3970" t="n"/>
      <c r="X12" s="3970" t="n"/>
      <c r="Y12" s="3970" t="n"/>
      <c r="Z12" s="3970" t="n"/>
      <c r="AA12" s="3970" t="n"/>
      <c r="AB12" s="3970" t="n"/>
      <c r="AC12" s="3970" t="n"/>
      <c r="AD12" s="3970" t="n"/>
      <c r="AE12" s="3970" t="n"/>
      <c r="AF12" s="3970" t="n"/>
      <c r="AG12" s="3970" t="n"/>
      <c r="AH12" s="3970" t="n"/>
      <c r="AI12" s="3970" t="n"/>
      <c r="AJ12" s="3970" t="n"/>
      <c r="AK12" s="3970" t="n"/>
      <c r="AL12" s="3970" t="n"/>
      <c r="AM12" s="3970" t="n"/>
      <c r="AN12" s="3970" t="n"/>
      <c r="AO12" s="3970" t="n"/>
      <c r="AP12" s="3970" t="n"/>
      <c r="AQ12" s="3970" t="n"/>
      <c r="AR12" s="3970" t="n"/>
      <c r="AS12" s="3970" t="n"/>
    </row>
    <row r="13">
      <c r="A13" s="3959" t="inlineStr">
        <is>
          <t>NWC_SALES</t>
        </is>
      </c>
      <c r="B13" s="3959" t="inlineStr">
        <is>
          <t>Sales (TTM)</t>
        </is>
      </c>
      <c r="C13" s="3959" t="inlineStr"/>
      <c r="D13" s="3959" t="inlineStr">
        <is>
          <t>+</t>
        </is>
      </c>
      <c r="E13" s="3959" t="inlineStr">
        <is>
          <t>Input</t>
        </is>
      </c>
      <c r="F13" s="3959" t="inlineStr"/>
      <c r="G13" s="3929" t="n"/>
      <c r="H13" s="3929" t="n"/>
      <c r="I13" s="3929" t="n"/>
      <c r="J13" s="3929" t="n"/>
      <c r="K13" s="3929" t="n"/>
      <c r="L13" s="3929" t="n"/>
      <c r="M13" s="3970" t="n"/>
      <c r="N13" s="3970" t="n"/>
      <c r="O13" s="3970" t="n"/>
      <c r="P13" s="3970" t="n"/>
      <c r="Q13" s="3970" t="n"/>
      <c r="R13" s="3970" t="n"/>
      <c r="S13" s="3970" t="n"/>
      <c r="T13" s="3970" t="n"/>
      <c r="U13" s="3970" t="n"/>
      <c r="V13" s="3970" t="n"/>
      <c r="W13" s="3970" t="n"/>
      <c r="X13" s="3970" t="n"/>
      <c r="Y13" s="3970" t="n"/>
      <c r="Z13" s="3970" t="n"/>
      <c r="AA13" s="3970" t="n"/>
      <c r="AB13" s="3970" t="n"/>
      <c r="AC13" s="3970" t="n"/>
      <c r="AD13" s="3970" t="n"/>
      <c r="AE13" s="3970" t="n"/>
      <c r="AF13" s="3970" t="n"/>
      <c r="AG13" s="3970" t="n"/>
      <c r="AH13" s="3970" t="n"/>
      <c r="AI13" s="3970" t="n"/>
      <c r="AJ13" s="3970" t="n"/>
      <c r="AK13" s="3970" t="n"/>
      <c r="AL13" s="3970" t="n"/>
      <c r="AM13" s="3970" t="n"/>
      <c r="AN13" s="3970" t="n"/>
      <c r="AO13" s="3970" t="n"/>
      <c r="AP13" s="3970" t="n"/>
      <c r="AQ13" s="3970" t="n"/>
      <c r="AR13" s="3970" t="n"/>
      <c r="AS13" s="3970" t="n"/>
    </row>
    <row r="14">
      <c r="A14" s="3959" t="inlineStr">
        <is>
          <t>NWC_PCT</t>
        </is>
      </c>
      <c r="B14" s="3959" t="inlineStr">
        <is>
          <t>NWC % Sales</t>
        </is>
      </c>
      <c r="C14" s="3959" t="inlineStr"/>
      <c r="D14" s="3959" t="inlineStr">
        <is>
          <t>+</t>
        </is>
      </c>
      <c r="E14" s="3959" t="inlineStr">
        <is>
          <t>Formula</t>
        </is>
      </c>
      <c r="F14" s="3959" t="inlineStr">
        <is>
          <t>Derived</t>
        </is>
      </c>
      <c r="G14" s="3960">
        <f>IF(OR(G12="",G13="",G13=0),"",G12/G13)</f>
        <v/>
      </c>
      <c r="H14" s="3960">
        <f>IF(OR(H12="",H13="",H13=0),"",H12/H13)</f>
        <v/>
      </c>
      <c r="I14" s="3960">
        <f>IF(OR(I12="",I13="",I13=0),"",I12/I13)</f>
        <v/>
      </c>
      <c r="J14" s="3960">
        <f>IF(OR(J12="",J13="",J13=0),"",J12/J13)</f>
        <v/>
      </c>
      <c r="K14" s="3960">
        <f>IF(OR(K12="",K13="",K13=0),"",K12/K13)</f>
        <v/>
      </c>
      <c r="L14" s="3960">
        <f>IF(OR(L12="",L13="",L13=0),"",L12/L13)</f>
        <v/>
      </c>
      <c r="M14" s="3970" t="n"/>
      <c r="N14" s="3970" t="n"/>
      <c r="O14" s="3970" t="n"/>
      <c r="P14" s="3970" t="n"/>
      <c r="Q14" s="3970" t="n"/>
      <c r="R14" s="3970" t="n"/>
      <c r="S14" s="3970" t="n"/>
      <c r="T14" s="3970" t="n"/>
      <c r="U14" s="3970" t="n"/>
      <c r="V14" s="3970" t="n"/>
      <c r="W14" s="3970" t="n"/>
      <c r="X14" s="3970" t="n"/>
      <c r="Y14" s="3970" t="n"/>
      <c r="Z14" s="3970" t="n"/>
      <c r="AA14" s="3970" t="n"/>
      <c r="AB14" s="3970" t="n"/>
      <c r="AC14" s="3970" t="n"/>
      <c r="AD14" s="3970" t="n"/>
      <c r="AE14" s="3970" t="n"/>
      <c r="AF14" s="3970" t="n"/>
      <c r="AG14" s="3970" t="n"/>
      <c r="AH14" s="3970" t="n"/>
      <c r="AI14" s="3970" t="n"/>
      <c r="AJ14" s="3970" t="n"/>
      <c r="AK14" s="3970" t="n"/>
      <c r="AL14" s="3970" t="n"/>
      <c r="AM14" s="3970" t="n"/>
      <c r="AN14" s="3970" t="n"/>
      <c r="AO14" s="3970" t="n"/>
      <c r="AP14" s="3970" t="n"/>
      <c r="AQ14" s="3970" t="n"/>
      <c r="AR14" s="3970" t="n"/>
      <c r="AS14" s="3970" t="n"/>
    </row>
    <row r="15">
      <c r="A15" s="3959" t="n"/>
      <c r="B15" s="3959" t="n"/>
      <c r="C15" s="3959" t="n"/>
      <c r="D15" s="3959" t="n"/>
      <c r="E15" s="3959" t="n"/>
      <c r="F15" s="3959" t="n"/>
      <c r="G15" s="3960" t="n"/>
      <c r="H15" s="3960" t="n"/>
      <c r="I15" s="3960" t="n"/>
      <c r="J15" s="3960" t="n"/>
      <c r="K15" s="3960" t="n"/>
      <c r="L15" s="3960" t="n"/>
      <c r="M15" s="3970" t="n"/>
      <c r="N15" s="3970" t="n"/>
      <c r="O15" s="3970" t="n"/>
      <c r="P15" s="3970" t="n"/>
      <c r="Q15" s="3970" t="n"/>
      <c r="R15" s="3970" t="n"/>
      <c r="S15" s="3970" t="n"/>
      <c r="T15" s="3970" t="n"/>
      <c r="U15" s="3970" t="n"/>
      <c r="V15" s="3970" t="n"/>
      <c r="W15" s="3970" t="n"/>
      <c r="X15" s="3970" t="n"/>
      <c r="Y15" s="3970" t="n"/>
      <c r="Z15" s="3970" t="n"/>
      <c r="AA15" s="3970" t="n"/>
      <c r="AB15" s="3970" t="n"/>
      <c r="AC15" s="3970" t="n"/>
      <c r="AD15" s="3970" t="n"/>
      <c r="AE15" s="3970" t="n"/>
      <c r="AF15" s="3970" t="n"/>
      <c r="AG15" s="3970" t="n"/>
      <c r="AH15" s="3970" t="n"/>
      <c r="AI15" s="3970" t="n"/>
      <c r="AJ15" s="3970" t="n"/>
      <c r="AK15" s="3970" t="n"/>
      <c r="AL15" s="3970" t="n"/>
      <c r="AM15" s="3970" t="n"/>
      <c r="AN15" s="3970" t="n"/>
      <c r="AO15" s="3970" t="n"/>
      <c r="AP15" s="3970" t="n"/>
      <c r="AQ15" s="3970" t="n"/>
      <c r="AR15" s="3970" t="n"/>
      <c r="AS15" s="3970" t="n"/>
    </row>
    <row r="16">
      <c r="A16" s="3979" t="inlineStr">
        <is>
          <t>NWC_SUMMARY_CHECKS</t>
        </is>
      </c>
      <c r="B16" s="3980" t="n"/>
      <c r="C16" s="3980" t="n"/>
      <c r="D16" s="3980" t="n"/>
      <c r="E16" s="3980" t="n"/>
      <c r="F16" s="3980" t="n"/>
      <c r="G16" s="3981" t="n"/>
      <c r="H16" s="3981" t="n"/>
      <c r="I16" s="3981" t="n"/>
      <c r="J16" s="3981" t="n"/>
      <c r="K16" s="3981" t="n"/>
      <c r="L16" s="3981" t="n"/>
      <c r="M16" s="3975" t="n"/>
      <c r="N16" s="3975" t="n"/>
      <c r="O16" s="3975" t="n"/>
      <c r="P16" s="3975" t="n"/>
      <c r="Q16" s="3975" t="n"/>
      <c r="R16" s="3975" t="n"/>
      <c r="S16" s="3975" t="n"/>
      <c r="T16" s="3975" t="n"/>
      <c r="U16" s="3975" t="n"/>
      <c r="V16" s="3975" t="n"/>
      <c r="W16" s="3975" t="n"/>
      <c r="X16" s="3975" t="n"/>
      <c r="Y16" s="3975" t="n"/>
      <c r="Z16" s="3975" t="n"/>
      <c r="AA16" s="3975" t="n"/>
      <c r="AB16" s="3975" t="n"/>
      <c r="AC16" s="3975" t="n"/>
      <c r="AD16" s="3975" t="n"/>
      <c r="AE16" s="3975" t="n"/>
      <c r="AF16" s="3975" t="n"/>
      <c r="AG16" s="3975" t="n"/>
      <c r="AH16" s="3975" t="n"/>
      <c r="AI16" s="3975" t="n"/>
      <c r="AJ16" s="3975" t="n"/>
      <c r="AK16" s="3975" t="n"/>
      <c r="AL16" s="3975" t="n"/>
      <c r="AM16" s="3975" t="n"/>
      <c r="AN16" s="3975" t="n"/>
      <c r="AO16" s="3975" t="n"/>
      <c r="AP16" s="3975" t="n"/>
      <c r="AQ16" s="3975" t="n"/>
      <c r="AR16" s="3975" t="n"/>
      <c r="AS16" s="3975" t="n"/>
    </row>
    <row r="17">
      <c r="A17" s="3970" t="inlineStr">
        <is>
          <t>Adjusted NWC tie-out vs NWC Detail</t>
        </is>
      </c>
      <c r="B17" s="3970" t="n"/>
      <c r="C17" s="3970" t="n"/>
      <c r="D17" s="3970" t="n"/>
      <c r="E17" s="3970" t="n"/>
      <c r="F17" s="3970" t="n"/>
      <c r="G17" s="3976" t="n"/>
      <c r="H17" s="3976" t="n"/>
      <c r="I17" s="3976" t="n"/>
      <c r="J17" s="3976" t="n"/>
      <c r="K17" s="3976" t="n"/>
      <c r="L17" s="3976" t="n"/>
      <c r="M17" s="3970" t="n"/>
      <c r="N17" s="3970" t="n"/>
      <c r="O17" s="3970" t="n"/>
      <c r="P17" s="3970" t="n"/>
      <c r="Q17" s="3970" t="n"/>
      <c r="R17" s="3970" t="n"/>
      <c r="S17" s="3970" t="n"/>
      <c r="T17" s="3970" t="n"/>
      <c r="U17" s="3970" t="n"/>
      <c r="V17" s="3970" t="n"/>
      <c r="W17" s="3970" t="n"/>
      <c r="X17" s="3970" t="n"/>
      <c r="Y17" s="3970" t="n"/>
      <c r="Z17" s="3970" t="n"/>
      <c r="AA17" s="3970" t="n"/>
      <c r="AB17" s="3970" t="n"/>
      <c r="AC17" s="3970" t="n"/>
      <c r="AD17" s="3970" t="n"/>
      <c r="AE17" s="3970" t="n"/>
      <c r="AF17" s="3970" t="n"/>
      <c r="AG17" s="3970" t="n"/>
      <c r="AH17" s="3970" t="n"/>
      <c r="AI17" s="3970" t="n"/>
      <c r="AJ17" s="3970" t="n"/>
      <c r="AK17" s="3970" t="n"/>
      <c r="AL17" s="3970" t="n"/>
      <c r="AM17" s="3970" t="n"/>
      <c r="AN17" s="3970" t="n"/>
      <c r="AO17" s="3970" t="n"/>
      <c r="AP17" s="3970" t="n"/>
      <c r="AQ17" s="3970" t="n"/>
      <c r="AR17" s="3970" t="n"/>
      <c r="AS17" s="3970" t="n"/>
    </row>
    <row r="18">
      <c r="A18" s="3970" t="n"/>
      <c r="B18" s="3970" t="n"/>
      <c r="C18" s="3970" t="n"/>
      <c r="D18" s="3970" t="n"/>
      <c r="E18" s="3970" t="n"/>
      <c r="F18" s="3970" t="n"/>
      <c r="G18" s="3977" t="n"/>
      <c r="H18" s="3977" t="n"/>
      <c r="I18" s="3977" t="n"/>
      <c r="J18" s="3977" t="n"/>
      <c r="K18" s="3977" t="n"/>
      <c r="L18" s="3977" t="n"/>
      <c r="M18" s="3970" t="n"/>
      <c r="N18" s="3970" t="n"/>
      <c r="O18" s="3970" t="n"/>
      <c r="P18" s="3970" t="n"/>
      <c r="Q18" s="3970" t="n"/>
      <c r="R18" s="3970" t="n"/>
      <c r="S18" s="3970" t="n"/>
      <c r="T18" s="3970" t="n"/>
      <c r="U18" s="3970" t="n"/>
      <c r="V18" s="3970" t="n"/>
      <c r="W18" s="3970" t="n"/>
      <c r="X18" s="3970" t="n"/>
      <c r="Y18" s="3970" t="n"/>
      <c r="Z18" s="3970" t="n"/>
      <c r="AA18" s="3970" t="n"/>
      <c r="AB18" s="3970" t="n"/>
      <c r="AC18" s="3970" t="n"/>
      <c r="AD18" s="3970" t="n"/>
      <c r="AE18" s="3970" t="n"/>
      <c r="AF18" s="3970" t="n"/>
      <c r="AG18" s="3970" t="n"/>
      <c r="AH18" s="3970" t="n"/>
      <c r="AI18" s="3970" t="n"/>
      <c r="AJ18" s="3970" t="n"/>
      <c r="AK18" s="3970" t="n"/>
      <c r="AL18" s="3970" t="n"/>
      <c r="AM18" s="3970" t="n"/>
      <c r="AN18" s="3970" t="n"/>
      <c r="AO18" s="3970" t="n"/>
      <c r="AP18" s="3970" t="n"/>
      <c r="AQ18" s="3970" t="n"/>
      <c r="AR18" s="3970" t="n"/>
      <c r="AS18" s="3970" t="n"/>
    </row>
    <row r="19">
      <c r="A19" s="3970" t="n"/>
      <c r="B19" s="3970" t="n"/>
      <c r="C19" s="3970" t="n"/>
      <c r="D19" s="3970" t="n"/>
      <c r="E19" s="3970" t="n"/>
      <c r="F19" s="3970" t="n"/>
      <c r="G19" s="3977" t="n"/>
      <c r="H19" s="3977" t="n"/>
      <c r="I19" s="3977" t="n"/>
      <c r="J19" s="3977" t="n"/>
      <c r="K19" s="3977" t="n"/>
      <c r="L19" s="3977" t="n"/>
      <c r="M19" s="3970" t="n"/>
      <c r="N19" s="3970" t="n"/>
      <c r="O19" s="3970" t="n"/>
      <c r="P19" s="3970" t="n"/>
      <c r="Q19" s="3970" t="n"/>
      <c r="R19" s="3970" t="n"/>
      <c r="S19" s="3970" t="n"/>
      <c r="T19" s="3970" t="n"/>
      <c r="U19" s="3970" t="n"/>
      <c r="V19" s="3970" t="n"/>
      <c r="W19" s="3970" t="n"/>
      <c r="X19" s="3970" t="n"/>
      <c r="Y19" s="3970" t="n"/>
      <c r="Z19" s="3970" t="n"/>
      <c r="AA19" s="3970" t="n"/>
      <c r="AB19" s="3970" t="n"/>
      <c r="AC19" s="3970" t="n"/>
      <c r="AD19" s="3970" t="n"/>
      <c r="AE19" s="3970" t="n"/>
      <c r="AF19" s="3970" t="n"/>
      <c r="AG19" s="3970" t="n"/>
      <c r="AH19" s="3970" t="n"/>
      <c r="AI19" s="3970" t="n"/>
      <c r="AJ19" s="3970" t="n"/>
      <c r="AK19" s="3970" t="n"/>
      <c r="AL19" s="3970" t="n"/>
      <c r="AM19" s="3970" t="n"/>
      <c r="AN19" s="3970" t="n"/>
      <c r="AO19" s="3970" t="n"/>
      <c r="AP19" s="3970" t="n"/>
      <c r="AQ19" s="3970" t="n"/>
      <c r="AR19" s="3970" t="n"/>
      <c r="AS19" s="3970" t="n"/>
    </row>
    <row r="20">
      <c r="A20" s="3970" t="n"/>
      <c r="B20" s="3970" t="n"/>
      <c r="C20" s="3970" t="n"/>
      <c r="D20" s="3970" t="n"/>
      <c r="E20" s="3970" t="n"/>
      <c r="F20" s="3970" t="n"/>
      <c r="G20" s="3977" t="n"/>
      <c r="H20" s="3977" t="n"/>
      <c r="I20" s="3977" t="n"/>
      <c r="J20" s="3977" t="n"/>
      <c r="K20" s="3977" t="n"/>
      <c r="L20" s="3977" t="n"/>
      <c r="M20" s="3970" t="n"/>
      <c r="N20" s="3970" t="n"/>
      <c r="O20" s="3970" t="n"/>
      <c r="P20" s="3970" t="n"/>
      <c r="Q20" s="3970" t="n"/>
      <c r="R20" s="3970" t="n"/>
      <c r="S20" s="3970" t="n"/>
      <c r="T20" s="3970" t="n"/>
      <c r="U20" s="3970" t="n"/>
      <c r="V20" s="3970" t="n"/>
      <c r="W20" s="3970" t="n"/>
      <c r="X20" s="3970" t="n"/>
      <c r="Y20" s="3970" t="n"/>
      <c r="Z20" s="3970" t="n"/>
      <c r="AA20" s="3970" t="n"/>
      <c r="AB20" s="3970" t="n"/>
      <c r="AC20" s="3970" t="n"/>
      <c r="AD20" s="3970" t="n"/>
      <c r="AE20" s="3970" t="n"/>
      <c r="AF20" s="3970" t="n"/>
      <c r="AG20" s="3970" t="n"/>
      <c r="AH20" s="3970" t="n"/>
      <c r="AI20" s="3970" t="n"/>
      <c r="AJ20" s="3970" t="n"/>
      <c r="AK20" s="3970" t="n"/>
      <c r="AL20" s="3970" t="n"/>
      <c r="AM20" s="3970" t="n"/>
      <c r="AN20" s="3970" t="n"/>
      <c r="AO20" s="3970" t="n"/>
      <c r="AP20" s="3970" t="n"/>
      <c r="AQ20" s="3970" t="n"/>
      <c r="AR20" s="3970" t="n"/>
      <c r="AS20" s="3970" t="n"/>
    </row>
    <row r="21">
      <c r="A21" s="3970" t="n"/>
      <c r="B21" s="3970" t="n"/>
      <c r="C21" s="3970" t="n"/>
      <c r="D21" s="3970" t="n"/>
      <c r="E21" s="3970" t="n"/>
      <c r="F21" s="3970" t="n"/>
      <c r="G21" s="3977" t="n"/>
      <c r="H21" s="3977" t="n"/>
      <c r="I21" s="3977" t="n"/>
      <c r="J21" s="3977" t="n"/>
      <c r="K21" s="3977" t="n"/>
      <c r="L21" s="3977" t="n"/>
      <c r="M21" s="3970" t="n"/>
      <c r="N21" s="3970" t="n"/>
      <c r="O21" s="3970" t="n"/>
      <c r="P21" s="3970" t="n"/>
      <c r="Q21" s="3970" t="n"/>
      <c r="R21" s="3970" t="n"/>
      <c r="S21" s="3970" t="n"/>
      <c r="T21" s="3970" t="n"/>
      <c r="U21" s="3970" t="n"/>
      <c r="V21" s="3970" t="n"/>
      <c r="W21" s="3970" t="n"/>
      <c r="X21" s="3970" t="n"/>
      <c r="Y21" s="3970" t="n"/>
      <c r="Z21" s="3970" t="n"/>
      <c r="AA21" s="3970" t="n"/>
      <c r="AB21" s="3970" t="n"/>
      <c r="AC21" s="3970" t="n"/>
      <c r="AD21" s="3970" t="n"/>
      <c r="AE21" s="3970" t="n"/>
      <c r="AF21" s="3970" t="n"/>
      <c r="AG21" s="3970" t="n"/>
      <c r="AH21" s="3970" t="n"/>
      <c r="AI21" s="3970" t="n"/>
      <c r="AJ21" s="3970" t="n"/>
      <c r="AK21" s="3970" t="n"/>
      <c r="AL21" s="3970" t="n"/>
      <c r="AM21" s="3970" t="n"/>
      <c r="AN21" s="3970" t="n"/>
      <c r="AO21" s="3970" t="n"/>
      <c r="AP21" s="3970" t="n"/>
      <c r="AQ21" s="3970" t="n"/>
      <c r="AR21" s="3970" t="n"/>
      <c r="AS21" s="3970" t="n"/>
    </row>
    <row r="22">
      <c r="A22" s="3970" t="n"/>
      <c r="B22" s="3970" t="n"/>
      <c r="C22" s="3970" t="n"/>
      <c r="D22" s="3970" t="n"/>
      <c r="E22" s="3970" t="n"/>
      <c r="F22" s="3970" t="n"/>
      <c r="G22" s="3977" t="n"/>
      <c r="H22" s="3977" t="n"/>
      <c r="I22" s="3977" t="n"/>
      <c r="J22" s="3977" t="n"/>
      <c r="K22" s="3977" t="n"/>
      <c r="L22" s="3977" t="n"/>
      <c r="M22" s="3970" t="n"/>
      <c r="N22" s="3970" t="n"/>
      <c r="O22" s="3970" t="n"/>
      <c r="P22" s="3970" t="n"/>
      <c r="Q22" s="3970" t="n"/>
      <c r="R22" s="3970" t="n"/>
      <c r="S22" s="3970" t="n"/>
      <c r="T22" s="3970" t="n"/>
      <c r="U22" s="3970" t="n"/>
      <c r="V22" s="3970" t="n"/>
      <c r="W22" s="3970" t="n"/>
      <c r="X22" s="3970" t="n"/>
      <c r="Y22" s="3970" t="n"/>
      <c r="Z22" s="3970" t="n"/>
      <c r="AA22" s="3970" t="n"/>
      <c r="AB22" s="3970" t="n"/>
      <c r="AC22" s="3970" t="n"/>
      <c r="AD22" s="3970" t="n"/>
      <c r="AE22" s="3970" t="n"/>
      <c r="AF22" s="3970" t="n"/>
      <c r="AG22" s="3970" t="n"/>
      <c r="AH22" s="3970" t="n"/>
      <c r="AI22" s="3970" t="n"/>
      <c r="AJ22" s="3970" t="n"/>
      <c r="AK22" s="3970" t="n"/>
      <c r="AL22" s="3970" t="n"/>
      <c r="AM22" s="3970" t="n"/>
      <c r="AN22" s="3970" t="n"/>
      <c r="AO22" s="3970" t="n"/>
      <c r="AP22" s="3970" t="n"/>
      <c r="AQ22" s="3970" t="n"/>
      <c r="AR22" s="3970" t="n"/>
      <c r="AS22" s="3970" t="n"/>
    </row>
    <row r="23">
      <c r="A23" s="3970" t="n"/>
      <c r="B23" s="3970" t="n"/>
      <c r="C23" s="3970" t="n"/>
      <c r="D23" s="3970" t="n"/>
      <c r="E23" s="3970" t="n"/>
      <c r="F23" s="3970" t="n"/>
      <c r="G23" s="3977" t="n"/>
      <c r="H23" s="3977" t="n"/>
      <c r="I23" s="3977" t="n"/>
      <c r="J23" s="3977" t="n"/>
      <c r="K23" s="3977" t="n"/>
      <c r="L23" s="3977" t="n"/>
      <c r="M23" s="3970" t="n"/>
      <c r="N23" s="3970" t="n"/>
      <c r="O23" s="3970" t="n"/>
      <c r="P23" s="3970" t="n"/>
      <c r="Q23" s="3970" t="n"/>
      <c r="R23" s="3970" t="n"/>
      <c r="S23" s="3970" t="n"/>
      <c r="T23" s="3970" t="n"/>
      <c r="U23" s="3970" t="n"/>
      <c r="V23" s="3970" t="n"/>
      <c r="W23" s="3970" t="n"/>
      <c r="X23" s="3970" t="n"/>
      <c r="Y23" s="3970" t="n"/>
      <c r="Z23" s="3970" t="n"/>
      <c r="AA23" s="3970" t="n"/>
      <c r="AB23" s="3970" t="n"/>
      <c r="AC23" s="3970" t="n"/>
      <c r="AD23" s="3970" t="n"/>
      <c r="AE23" s="3970" t="n"/>
      <c r="AF23" s="3970" t="n"/>
      <c r="AG23" s="3970" t="n"/>
      <c r="AH23" s="3970" t="n"/>
      <c r="AI23" s="3970" t="n"/>
      <c r="AJ23" s="3970" t="n"/>
      <c r="AK23" s="3970" t="n"/>
      <c r="AL23" s="3970" t="n"/>
      <c r="AM23" s="3970" t="n"/>
      <c r="AN23" s="3970" t="n"/>
      <c r="AO23" s="3970" t="n"/>
      <c r="AP23" s="3970" t="n"/>
      <c r="AQ23" s="3970" t="n"/>
      <c r="AR23" s="3970" t="n"/>
      <c r="AS23" s="3970" t="n"/>
    </row>
    <row r="24">
      <c r="A24" s="3970" t="n"/>
      <c r="B24" s="3970" t="n"/>
      <c r="C24" s="3970" t="n"/>
      <c r="D24" s="3970" t="n"/>
      <c r="E24" s="3970" t="n"/>
      <c r="F24" s="3970" t="n"/>
      <c r="G24" s="3977" t="n"/>
      <c r="H24" s="3977" t="n"/>
      <c r="I24" s="3977" t="n"/>
      <c r="J24" s="3977" t="n"/>
      <c r="K24" s="3977" t="n"/>
      <c r="L24" s="3977" t="n"/>
      <c r="M24" s="3970" t="n"/>
      <c r="N24" s="3970" t="n"/>
      <c r="O24" s="3970" t="n"/>
      <c r="P24" s="3970" t="n"/>
      <c r="Q24" s="3970" t="n"/>
      <c r="R24" s="3970" t="n"/>
      <c r="S24" s="3970" t="n"/>
      <c r="T24" s="3970" t="n"/>
      <c r="U24" s="3970" t="n"/>
      <c r="V24" s="3970" t="n"/>
      <c r="W24" s="3970" t="n"/>
      <c r="X24" s="3970" t="n"/>
      <c r="Y24" s="3970" t="n"/>
      <c r="Z24" s="3970" t="n"/>
      <c r="AA24" s="3970" t="n"/>
      <c r="AB24" s="3970" t="n"/>
      <c r="AC24" s="3970" t="n"/>
      <c r="AD24" s="3970" t="n"/>
      <c r="AE24" s="3970" t="n"/>
      <c r="AF24" s="3970" t="n"/>
      <c r="AG24" s="3970" t="n"/>
      <c r="AH24" s="3970" t="n"/>
      <c r="AI24" s="3970" t="n"/>
      <c r="AJ24" s="3970" t="n"/>
      <c r="AK24" s="3970" t="n"/>
      <c r="AL24" s="3970" t="n"/>
      <c r="AM24" s="3970" t="n"/>
      <c r="AN24" s="3970" t="n"/>
      <c r="AO24" s="3970" t="n"/>
      <c r="AP24" s="3970" t="n"/>
      <c r="AQ24" s="3970" t="n"/>
      <c r="AR24" s="3970" t="n"/>
      <c r="AS24" s="3970" t="n"/>
    </row>
    <row r="25">
      <c r="A25" s="3970" t="n"/>
      <c r="B25" s="3970" t="n"/>
      <c r="C25" s="3970" t="n"/>
      <c r="D25" s="3970" t="n"/>
      <c r="E25" s="3970" t="n"/>
      <c r="F25" s="3970" t="n"/>
      <c r="G25" s="3977" t="n"/>
      <c r="H25" s="3977" t="n"/>
      <c r="I25" s="3977" t="n"/>
      <c r="J25" s="3977" t="n"/>
      <c r="K25" s="3977" t="n"/>
      <c r="L25" s="3977" t="n"/>
      <c r="M25" s="3970" t="n"/>
      <c r="N25" s="3970" t="n"/>
      <c r="O25" s="3970" t="n"/>
      <c r="P25" s="3970" t="n"/>
      <c r="Q25" s="3970" t="n"/>
      <c r="R25" s="3970" t="n"/>
      <c r="S25" s="3970" t="n"/>
      <c r="T25" s="3970" t="n"/>
      <c r="U25" s="3970" t="n"/>
      <c r="V25" s="3970" t="n"/>
      <c r="W25" s="3970" t="n"/>
      <c r="X25" s="3970" t="n"/>
      <c r="Y25" s="3970" t="n"/>
      <c r="Z25" s="3970" t="n"/>
      <c r="AA25" s="3970" t="n"/>
      <c r="AB25" s="3970" t="n"/>
      <c r="AC25" s="3970" t="n"/>
      <c r="AD25" s="3970" t="n"/>
      <c r="AE25" s="3970" t="n"/>
      <c r="AF25" s="3970" t="n"/>
      <c r="AG25" s="3970" t="n"/>
      <c r="AH25" s="3970" t="n"/>
      <c r="AI25" s="3970" t="n"/>
      <c r="AJ25" s="3970" t="n"/>
      <c r="AK25" s="3970" t="n"/>
      <c r="AL25" s="3970" t="n"/>
      <c r="AM25" s="3970" t="n"/>
      <c r="AN25" s="3970" t="n"/>
      <c r="AO25" s="3970" t="n"/>
      <c r="AP25" s="3970" t="n"/>
      <c r="AQ25" s="3970" t="n"/>
      <c r="AR25" s="3970" t="n"/>
      <c r="AS25" s="3970" t="n"/>
    </row>
    <row r="26">
      <c r="A26" s="3970" t="n"/>
      <c r="B26" s="3970" t="n"/>
      <c r="C26" s="3970" t="n"/>
      <c r="D26" s="3970" t="n"/>
      <c r="E26" s="3970" t="n"/>
      <c r="F26" s="3970" t="n"/>
      <c r="G26" s="3977" t="n"/>
      <c r="H26" s="3977" t="n"/>
      <c r="I26" s="3977" t="n"/>
      <c r="J26" s="3977" t="n"/>
      <c r="K26" s="3977" t="n"/>
      <c r="L26" s="3977" t="n"/>
      <c r="M26" s="3970" t="n"/>
      <c r="N26" s="3970" t="n"/>
      <c r="O26" s="3970" t="n"/>
      <c r="P26" s="3970" t="n"/>
      <c r="Q26" s="3970" t="n"/>
      <c r="R26" s="3970" t="n"/>
      <c r="S26" s="3970" t="n"/>
      <c r="T26" s="3970" t="n"/>
      <c r="U26" s="3970" t="n"/>
      <c r="V26" s="3970" t="n"/>
      <c r="W26" s="3970" t="n"/>
      <c r="X26" s="3970" t="n"/>
      <c r="Y26" s="3970" t="n"/>
      <c r="Z26" s="3970" t="n"/>
      <c r="AA26" s="3970" t="n"/>
      <c r="AB26" s="3970" t="n"/>
      <c r="AC26" s="3970" t="n"/>
      <c r="AD26" s="3970" t="n"/>
      <c r="AE26" s="3970" t="n"/>
      <c r="AF26" s="3970" t="n"/>
      <c r="AG26" s="3970" t="n"/>
      <c r="AH26" s="3970" t="n"/>
      <c r="AI26" s="3970" t="n"/>
      <c r="AJ26" s="3970" t="n"/>
      <c r="AK26" s="3970" t="n"/>
      <c r="AL26" s="3970" t="n"/>
      <c r="AM26" s="3970" t="n"/>
      <c r="AN26" s="3970" t="n"/>
      <c r="AO26" s="3970" t="n"/>
      <c r="AP26" s="3970" t="n"/>
      <c r="AQ26" s="3970" t="n"/>
      <c r="AR26" s="3970" t="n"/>
      <c r="AS26" s="3970" t="n"/>
    </row>
    <row r="27">
      <c r="A27" s="3970" t="n"/>
      <c r="B27" s="3970" t="n"/>
      <c r="C27" s="3970" t="n"/>
      <c r="D27" s="3970" t="n"/>
      <c r="E27" s="3970" t="n"/>
      <c r="F27" s="3970" t="n"/>
      <c r="G27" s="3977" t="n"/>
      <c r="H27" s="3977" t="n"/>
      <c r="I27" s="3977" t="n"/>
      <c r="J27" s="3977" t="n"/>
      <c r="K27" s="3977" t="n"/>
      <c r="L27" s="3977" t="n"/>
      <c r="M27" s="3970" t="n"/>
      <c r="N27" s="3970" t="n"/>
      <c r="O27" s="3970" t="n"/>
      <c r="P27" s="3970" t="n"/>
      <c r="Q27" s="3970" t="n"/>
      <c r="R27" s="3970" t="n"/>
      <c r="S27" s="3970" t="n"/>
      <c r="T27" s="3970" t="n"/>
      <c r="U27" s="3970" t="n"/>
      <c r="V27" s="3970" t="n"/>
      <c r="W27" s="3970" t="n"/>
      <c r="X27" s="3970" t="n"/>
      <c r="Y27" s="3970" t="n"/>
      <c r="Z27" s="3970" t="n"/>
      <c r="AA27" s="3970" t="n"/>
      <c r="AB27" s="3970" t="n"/>
      <c r="AC27" s="3970" t="n"/>
      <c r="AD27" s="3970" t="n"/>
      <c r="AE27" s="3970" t="n"/>
      <c r="AF27" s="3970" t="n"/>
      <c r="AG27" s="3970" t="n"/>
      <c r="AH27" s="3970" t="n"/>
      <c r="AI27" s="3970" t="n"/>
      <c r="AJ27" s="3970" t="n"/>
      <c r="AK27" s="3970" t="n"/>
      <c r="AL27" s="3970" t="n"/>
      <c r="AM27" s="3970" t="n"/>
      <c r="AN27" s="3970" t="n"/>
      <c r="AO27" s="3970" t="n"/>
      <c r="AP27" s="3970" t="n"/>
      <c r="AQ27" s="3970" t="n"/>
      <c r="AR27" s="3970" t="n"/>
      <c r="AS27" s="3970" t="n"/>
    </row>
    <row r="28">
      <c r="A28" s="3970" t="n"/>
      <c r="B28" s="3970" t="n"/>
      <c r="C28" s="3970" t="n"/>
      <c r="D28" s="3970" t="n"/>
      <c r="E28" s="3970" t="n"/>
      <c r="F28" s="3970" t="n"/>
      <c r="G28" s="3977" t="n"/>
      <c r="H28" s="3977" t="n"/>
      <c r="I28" s="3977" t="n"/>
      <c r="J28" s="3977" t="n"/>
      <c r="K28" s="3977" t="n"/>
      <c r="L28" s="3977" t="n"/>
      <c r="M28" s="3970" t="n"/>
      <c r="N28" s="3970" t="n"/>
      <c r="O28" s="3970" t="n"/>
      <c r="P28" s="3970" t="n"/>
      <c r="Q28" s="3970" t="n"/>
      <c r="R28" s="3970" t="n"/>
      <c r="S28" s="3970" t="n"/>
      <c r="T28" s="3970" t="n"/>
      <c r="U28" s="3970" t="n"/>
      <c r="V28" s="3970" t="n"/>
      <c r="W28" s="3970" t="n"/>
      <c r="X28" s="3970" t="n"/>
      <c r="Y28" s="3970" t="n"/>
      <c r="Z28" s="3970" t="n"/>
      <c r="AA28" s="3970" t="n"/>
      <c r="AB28" s="3970" t="n"/>
      <c r="AC28" s="3970" t="n"/>
      <c r="AD28" s="3970" t="n"/>
      <c r="AE28" s="3970" t="n"/>
      <c r="AF28" s="3970" t="n"/>
      <c r="AG28" s="3970" t="n"/>
      <c r="AH28" s="3970" t="n"/>
      <c r="AI28" s="3970" t="n"/>
      <c r="AJ28" s="3970" t="n"/>
      <c r="AK28" s="3970" t="n"/>
      <c r="AL28" s="3970" t="n"/>
      <c r="AM28" s="3970" t="n"/>
      <c r="AN28" s="3970" t="n"/>
      <c r="AO28" s="3970" t="n"/>
      <c r="AP28" s="3970" t="n"/>
      <c r="AQ28" s="3970" t="n"/>
      <c r="AR28" s="3970" t="n"/>
      <c r="AS28" s="3970" t="n"/>
    </row>
    <row r="29">
      <c r="A29" s="3970" t="n"/>
      <c r="B29" s="3970" t="n"/>
      <c r="C29" s="3970" t="n"/>
      <c r="D29" s="3970" t="n"/>
      <c r="E29" s="3970" t="n"/>
      <c r="F29" s="3970" t="n"/>
      <c r="G29" s="3970" t="n"/>
      <c r="H29" s="3970" t="n"/>
      <c r="I29" s="3970" t="n"/>
      <c r="J29" s="3970" t="n"/>
      <c r="K29" s="3970" t="n"/>
      <c r="L29" s="3970" t="n"/>
      <c r="M29" s="3970" t="n"/>
      <c r="N29" s="3970" t="n"/>
      <c r="O29" s="3970" t="n"/>
      <c r="P29" s="3970" t="n"/>
      <c r="Q29" s="3970" t="n"/>
      <c r="R29" s="3970" t="n"/>
      <c r="S29" s="3970" t="n"/>
      <c r="T29" s="3970" t="n"/>
      <c r="U29" s="3970" t="n"/>
      <c r="V29" s="3970" t="n"/>
      <c r="W29" s="3970" t="n"/>
      <c r="X29" s="3970" t="n"/>
      <c r="Y29" s="3970" t="n"/>
      <c r="Z29" s="3970" t="n"/>
      <c r="AA29" s="3970" t="n"/>
      <c r="AB29" s="3970" t="n"/>
      <c r="AC29" s="3970" t="n"/>
      <c r="AD29" s="3970" t="n"/>
      <c r="AE29" s="3970" t="n"/>
      <c r="AF29" s="3970" t="n"/>
      <c r="AG29" s="3970" t="n"/>
      <c r="AH29" s="3970" t="n"/>
      <c r="AI29" s="3970" t="n"/>
      <c r="AJ29" s="3970" t="n"/>
      <c r="AK29" s="3970" t="n"/>
      <c r="AL29" s="3970" t="n"/>
      <c r="AM29" s="3970" t="n"/>
      <c r="AN29" s="3970" t="n"/>
      <c r="AO29" s="3970" t="n"/>
      <c r="AP29" s="3970" t="n"/>
      <c r="AQ29" s="3970" t="n"/>
      <c r="AR29" s="3970" t="n"/>
      <c r="AS29" s="3970" t="n"/>
    </row>
    <row r="30">
      <c r="A30" s="3970" t="n"/>
      <c r="B30" s="3970" t="n"/>
      <c r="C30" s="3970" t="n"/>
      <c r="D30" s="3970" t="n"/>
      <c r="E30" s="3970" t="n"/>
      <c r="F30" s="3970" t="n"/>
      <c r="G30" s="3970" t="n"/>
      <c r="H30" s="3970" t="n"/>
      <c r="I30" s="3970" t="n"/>
      <c r="J30" s="3970" t="n"/>
      <c r="K30" s="3970" t="n"/>
      <c r="L30" s="3970" t="n"/>
      <c r="M30" s="3970" t="n"/>
      <c r="N30" s="3970" t="n"/>
      <c r="O30" s="3970" t="n"/>
      <c r="P30" s="3970" t="n"/>
      <c r="Q30" s="3970" t="n"/>
      <c r="R30" s="3970" t="n"/>
      <c r="S30" s="3970" t="n"/>
      <c r="T30" s="3970" t="n"/>
      <c r="U30" s="3970" t="n"/>
      <c r="V30" s="3970" t="n"/>
      <c r="W30" s="3970" t="n"/>
      <c r="X30" s="3970" t="n"/>
      <c r="Y30" s="3970" t="n"/>
      <c r="Z30" s="3970" t="n"/>
      <c r="AA30" s="3970" t="n"/>
      <c r="AB30" s="3970" t="n"/>
      <c r="AC30" s="3970" t="n"/>
      <c r="AD30" s="3970" t="n"/>
      <c r="AE30" s="3970" t="n"/>
      <c r="AF30" s="3970" t="n"/>
      <c r="AG30" s="3970" t="n"/>
      <c r="AH30" s="3970" t="n"/>
      <c r="AI30" s="3970" t="n"/>
      <c r="AJ30" s="3970" t="n"/>
      <c r="AK30" s="3970" t="n"/>
      <c r="AL30" s="3970" t="n"/>
      <c r="AM30" s="3970" t="n"/>
      <c r="AN30" s="3970" t="n"/>
      <c r="AO30" s="3970" t="n"/>
      <c r="AP30" s="3970" t="n"/>
      <c r="AQ30" s="3970" t="n"/>
      <c r="AR30" s="3970" t="n"/>
      <c r="AS30" s="3970" t="n"/>
    </row>
    <row r="31">
      <c r="A31" s="3970" t="n"/>
      <c r="B31" s="3970" t="n"/>
      <c r="C31" s="3970" t="n"/>
      <c r="D31" s="3970" t="n"/>
      <c r="E31" s="3970" t="n"/>
      <c r="F31" s="3970" t="n"/>
      <c r="G31" s="3970" t="n"/>
      <c r="H31" s="3970" t="n"/>
      <c r="I31" s="3970" t="n"/>
      <c r="J31" s="3970" t="n"/>
      <c r="K31" s="3970" t="n"/>
      <c r="L31" s="3970" t="n"/>
      <c r="M31" s="3970" t="n"/>
      <c r="N31" s="3970" t="n"/>
      <c r="O31" s="3970" t="n"/>
      <c r="P31" s="3970" t="n"/>
      <c r="Q31" s="3970" t="n"/>
      <c r="R31" s="3970" t="n"/>
      <c r="S31" s="3970" t="n"/>
      <c r="T31" s="3970" t="n"/>
      <c r="U31" s="3970" t="n"/>
      <c r="V31" s="3970" t="n"/>
      <c r="W31" s="3970" t="n"/>
      <c r="X31" s="3970" t="n"/>
      <c r="Y31" s="3970" t="n"/>
      <c r="Z31" s="3970" t="n"/>
      <c r="AA31" s="3970" t="n"/>
      <c r="AB31" s="3970" t="n"/>
      <c r="AC31" s="3970" t="n"/>
      <c r="AD31" s="3970" t="n"/>
      <c r="AE31" s="3970" t="n"/>
      <c r="AF31" s="3970" t="n"/>
      <c r="AG31" s="3970" t="n"/>
      <c r="AH31" s="3970" t="n"/>
      <c r="AI31" s="3970" t="n"/>
      <c r="AJ31" s="3970" t="n"/>
      <c r="AK31" s="3970" t="n"/>
      <c r="AL31" s="3970" t="n"/>
      <c r="AM31" s="3970" t="n"/>
      <c r="AN31" s="3970" t="n"/>
      <c r="AO31" s="3970" t="n"/>
      <c r="AP31" s="3970" t="n"/>
      <c r="AQ31" s="3970" t="n"/>
      <c r="AR31" s="3970" t="n"/>
      <c r="AS31" s="3970" t="n"/>
    </row>
    <row r="32">
      <c r="A32" s="3970" t="n"/>
      <c r="B32" s="3970" t="n"/>
      <c r="C32" s="3970" t="n"/>
      <c r="D32" s="3970" t="n"/>
      <c r="E32" s="3970" t="n"/>
      <c r="F32" s="3970" t="n"/>
      <c r="G32" s="3970" t="n"/>
      <c r="H32" s="3970" t="n"/>
      <c r="I32" s="3970" t="n"/>
      <c r="J32" s="3970" t="n"/>
      <c r="K32" s="3970" t="n"/>
      <c r="L32" s="3970" t="n"/>
      <c r="M32" s="3970" t="n"/>
      <c r="N32" s="3970" t="n"/>
      <c r="O32" s="3970" t="n"/>
      <c r="P32" s="3970" t="n"/>
      <c r="Q32" s="3970" t="n"/>
      <c r="R32" s="3970" t="n"/>
      <c r="S32" s="3970" t="n"/>
      <c r="T32" s="3970" t="n"/>
      <c r="U32" s="3970" t="n"/>
      <c r="V32" s="3970" t="n"/>
      <c r="W32" s="3970" t="n"/>
      <c r="X32" s="3970" t="n"/>
      <c r="Y32" s="3970" t="n"/>
      <c r="Z32" s="3970" t="n"/>
      <c r="AA32" s="3970" t="n"/>
      <c r="AB32" s="3970" t="n"/>
      <c r="AC32" s="3970" t="n"/>
      <c r="AD32" s="3970" t="n"/>
      <c r="AE32" s="3970" t="n"/>
      <c r="AF32" s="3970" t="n"/>
      <c r="AG32" s="3970" t="n"/>
      <c r="AH32" s="3970" t="n"/>
      <c r="AI32" s="3970" t="n"/>
      <c r="AJ32" s="3970" t="n"/>
      <c r="AK32" s="3970" t="n"/>
      <c r="AL32" s="3970" t="n"/>
      <c r="AM32" s="3970" t="n"/>
      <c r="AN32" s="3970" t="n"/>
      <c r="AO32" s="3970" t="n"/>
      <c r="AP32" s="3970" t="n"/>
      <c r="AQ32" s="3970" t="n"/>
      <c r="AR32" s="3970" t="n"/>
      <c r="AS32" s="3970" t="n"/>
    </row>
    <row r="33">
      <c r="A33" s="3970" t="n"/>
      <c r="B33" s="3970" t="n"/>
      <c r="C33" s="3970" t="n"/>
      <c r="D33" s="3970" t="n"/>
      <c r="E33" s="3970" t="n"/>
      <c r="F33" s="3970" t="n"/>
      <c r="G33" s="3970" t="n"/>
      <c r="H33" s="3970" t="n"/>
      <c r="I33" s="3970" t="n"/>
      <c r="J33" s="3970" t="n"/>
      <c r="K33" s="3970" t="n"/>
      <c r="L33" s="3970" t="n"/>
      <c r="M33" s="3970" t="n"/>
      <c r="N33" s="3970" t="n"/>
      <c r="O33" s="3970" t="n"/>
      <c r="P33" s="3970" t="n"/>
      <c r="Q33" s="3970" t="n"/>
      <c r="R33" s="3970" t="n"/>
      <c r="S33" s="3970" t="n"/>
      <c r="T33" s="3970" t="n"/>
      <c r="U33" s="3970" t="n"/>
      <c r="V33" s="3970" t="n"/>
      <c r="W33" s="3970" t="n"/>
      <c r="X33" s="3970" t="n"/>
      <c r="Y33" s="3970" t="n"/>
      <c r="Z33" s="3970" t="n"/>
      <c r="AA33" s="3970" t="n"/>
      <c r="AB33" s="3970" t="n"/>
      <c r="AC33" s="3970" t="n"/>
      <c r="AD33" s="3970" t="n"/>
      <c r="AE33" s="3970" t="n"/>
      <c r="AF33" s="3970" t="n"/>
      <c r="AG33" s="3970" t="n"/>
      <c r="AH33" s="3970" t="n"/>
      <c r="AI33" s="3970" t="n"/>
      <c r="AJ33" s="3970" t="n"/>
      <c r="AK33" s="3970" t="n"/>
      <c r="AL33" s="3970" t="n"/>
      <c r="AM33" s="3970" t="n"/>
      <c r="AN33" s="3970" t="n"/>
      <c r="AO33" s="3970" t="n"/>
      <c r="AP33" s="3970" t="n"/>
      <c r="AQ33" s="3970" t="n"/>
      <c r="AR33" s="3970" t="n"/>
      <c r="AS33" s="3970" t="n"/>
    </row>
    <row r="34">
      <c r="A34" s="3970" t="n"/>
      <c r="B34" s="3970" t="n"/>
      <c r="C34" s="3970" t="n"/>
      <c r="D34" s="3970" t="n"/>
      <c r="E34" s="3970" t="n"/>
      <c r="F34" s="3970" t="n"/>
      <c r="G34" s="3970" t="n"/>
      <c r="H34" s="3970" t="n"/>
      <c r="I34" s="3970" t="n"/>
      <c r="J34" s="3970" t="n"/>
      <c r="K34" s="3970" t="n"/>
      <c r="L34" s="3970" t="n"/>
      <c r="M34" s="3970" t="n"/>
      <c r="N34" s="3970" t="n"/>
      <c r="O34" s="3970" t="n"/>
      <c r="P34" s="3970" t="n"/>
      <c r="Q34" s="3970" t="n"/>
      <c r="R34" s="3970" t="n"/>
      <c r="S34" s="3970" t="n"/>
      <c r="T34" s="3970" t="n"/>
      <c r="U34" s="3970" t="n"/>
      <c r="V34" s="3970" t="n"/>
      <c r="W34" s="3970" t="n"/>
      <c r="X34" s="3970" t="n"/>
      <c r="Y34" s="3970" t="n"/>
      <c r="Z34" s="3970" t="n"/>
      <c r="AA34" s="3970" t="n"/>
      <c r="AB34" s="3970" t="n"/>
      <c r="AC34" s="3970" t="n"/>
      <c r="AD34" s="3970" t="n"/>
      <c r="AE34" s="3970" t="n"/>
      <c r="AF34" s="3970" t="n"/>
      <c r="AG34" s="3970" t="n"/>
      <c r="AH34" s="3970" t="n"/>
      <c r="AI34" s="3970" t="n"/>
      <c r="AJ34" s="3970" t="n"/>
      <c r="AK34" s="3970" t="n"/>
      <c r="AL34" s="3970" t="n"/>
      <c r="AM34" s="3970" t="n"/>
      <c r="AN34" s="3970" t="n"/>
      <c r="AO34" s="3970" t="n"/>
      <c r="AP34" s="3970" t="n"/>
      <c r="AQ34" s="3970" t="n"/>
      <c r="AR34" s="3970" t="n"/>
      <c r="AS34" s="3970" t="n"/>
    </row>
    <row r="35">
      <c r="A35" s="3970" t="n"/>
      <c r="B35" s="3970" t="n"/>
      <c r="C35" s="3970" t="n"/>
      <c r="D35" s="3970" t="n"/>
      <c r="E35" s="3970" t="n"/>
      <c r="F35" s="3970" t="n"/>
      <c r="G35" s="3970" t="n"/>
      <c r="H35" s="3970" t="n"/>
      <c r="I35" s="3970" t="n"/>
      <c r="J35" s="3970" t="n"/>
      <c r="K35" s="3970" t="n"/>
      <c r="L35" s="3970" t="n"/>
      <c r="M35" s="3970" t="n"/>
      <c r="N35" s="3970" t="n"/>
      <c r="O35" s="3970" t="n"/>
      <c r="P35" s="3970" t="n"/>
      <c r="Q35" s="3970" t="n"/>
      <c r="R35" s="3970" t="n"/>
      <c r="S35" s="3970" t="n"/>
      <c r="T35" s="3970" t="n"/>
      <c r="U35" s="3970" t="n"/>
      <c r="V35" s="3970" t="n"/>
      <c r="W35" s="3970" t="n"/>
      <c r="X35" s="3970" t="n"/>
      <c r="Y35" s="3970" t="n"/>
      <c r="Z35" s="3970" t="n"/>
      <c r="AA35" s="3970" t="n"/>
      <c r="AB35" s="3970" t="n"/>
      <c r="AC35" s="3970" t="n"/>
      <c r="AD35" s="3970" t="n"/>
      <c r="AE35" s="3970" t="n"/>
      <c r="AF35" s="3970" t="n"/>
      <c r="AG35" s="3970" t="n"/>
      <c r="AH35" s="3970" t="n"/>
      <c r="AI35" s="3970" t="n"/>
      <c r="AJ35" s="3970" t="n"/>
      <c r="AK35" s="3970" t="n"/>
      <c r="AL35" s="3970" t="n"/>
      <c r="AM35" s="3970" t="n"/>
      <c r="AN35" s="3970" t="n"/>
      <c r="AO35" s="3970" t="n"/>
      <c r="AP35" s="3970" t="n"/>
      <c r="AQ35" s="3970" t="n"/>
      <c r="AR35" s="3970" t="n"/>
      <c r="AS35" s="3970" t="n"/>
    </row>
    <row r="36">
      <c r="A36" s="3970" t="n"/>
      <c r="B36" s="3970" t="n"/>
      <c r="C36" s="3970" t="n"/>
      <c r="D36" s="3970" t="n"/>
      <c r="E36" s="3970" t="n"/>
      <c r="F36" s="3970" t="n"/>
      <c r="G36" s="3970" t="n"/>
      <c r="H36" s="3970" t="n"/>
      <c r="I36" s="3970" t="n"/>
      <c r="J36" s="3970" t="n"/>
      <c r="K36" s="3970" t="n"/>
      <c r="L36" s="3970" t="n"/>
      <c r="M36" s="3970" t="n"/>
      <c r="N36" s="3970" t="n"/>
      <c r="O36" s="3970" t="n"/>
      <c r="P36" s="3970" t="n"/>
      <c r="Q36" s="3970" t="n"/>
      <c r="R36" s="3970" t="n"/>
      <c r="S36" s="3970" t="n"/>
      <c r="T36" s="3970" t="n"/>
      <c r="U36" s="3970" t="n"/>
      <c r="V36" s="3970" t="n"/>
      <c r="W36" s="3970" t="n"/>
      <c r="X36" s="3970" t="n"/>
      <c r="Y36" s="3970" t="n"/>
      <c r="Z36" s="3970" t="n"/>
      <c r="AA36" s="3970" t="n"/>
      <c r="AB36" s="3970" t="n"/>
      <c r="AC36" s="3970" t="n"/>
      <c r="AD36" s="3970" t="n"/>
      <c r="AE36" s="3970" t="n"/>
      <c r="AF36" s="3970" t="n"/>
      <c r="AG36" s="3970" t="n"/>
      <c r="AH36" s="3970" t="n"/>
      <c r="AI36" s="3970" t="n"/>
      <c r="AJ36" s="3970" t="n"/>
      <c r="AK36" s="3970" t="n"/>
      <c r="AL36" s="3970" t="n"/>
      <c r="AM36" s="3970" t="n"/>
      <c r="AN36" s="3970" t="n"/>
      <c r="AO36" s="3970" t="n"/>
      <c r="AP36" s="3970" t="n"/>
      <c r="AQ36" s="3970" t="n"/>
      <c r="AR36" s="3970" t="n"/>
      <c r="AS36" s="3970" t="n"/>
    </row>
    <row r="37">
      <c r="A37" s="3970" t="n"/>
      <c r="B37" s="3970" t="n"/>
      <c r="C37" s="3970" t="n"/>
      <c r="D37" s="3970" t="n"/>
      <c r="E37" s="3970" t="n"/>
      <c r="F37" s="3970" t="n"/>
      <c r="G37" s="3970" t="n"/>
      <c r="H37" s="3970" t="n"/>
      <c r="I37" s="3970" t="n"/>
      <c r="J37" s="3970" t="n"/>
      <c r="K37" s="3970" t="n"/>
      <c r="L37" s="3970" t="n"/>
      <c r="M37" s="3970" t="n"/>
      <c r="N37" s="3970" t="n"/>
      <c r="O37" s="3970" t="n"/>
      <c r="P37" s="3970" t="n"/>
      <c r="Q37" s="3970" t="n"/>
      <c r="R37" s="3970" t="n"/>
      <c r="S37" s="3970" t="n"/>
      <c r="T37" s="3970" t="n"/>
      <c r="U37" s="3970" t="n"/>
      <c r="V37" s="3970" t="n"/>
      <c r="W37" s="3970" t="n"/>
      <c r="X37" s="3970" t="n"/>
      <c r="Y37" s="3970" t="n"/>
      <c r="Z37" s="3970" t="n"/>
      <c r="AA37" s="3970" t="n"/>
      <c r="AB37" s="3970" t="n"/>
      <c r="AC37" s="3970" t="n"/>
      <c r="AD37" s="3970" t="n"/>
      <c r="AE37" s="3970" t="n"/>
      <c r="AF37" s="3970" t="n"/>
      <c r="AG37" s="3970" t="n"/>
      <c r="AH37" s="3970" t="n"/>
      <c r="AI37" s="3970" t="n"/>
      <c r="AJ37" s="3970" t="n"/>
      <c r="AK37" s="3970" t="n"/>
      <c r="AL37" s="3970" t="n"/>
      <c r="AM37" s="3970" t="n"/>
      <c r="AN37" s="3970" t="n"/>
      <c r="AO37" s="3970" t="n"/>
      <c r="AP37" s="3970" t="n"/>
      <c r="AQ37" s="3970" t="n"/>
      <c r="AR37" s="3970" t="n"/>
      <c r="AS37" s="3970" t="n"/>
    </row>
    <row r="38">
      <c r="A38" s="3970" t="n"/>
      <c r="B38" s="3970" t="n"/>
      <c r="C38" s="3970" t="n"/>
      <c r="D38" s="3970" t="n"/>
      <c r="E38" s="3970" t="n"/>
      <c r="F38" s="3970" t="n"/>
      <c r="G38" s="3970" t="n"/>
      <c r="H38" s="3970" t="n"/>
      <c r="I38" s="3970" t="n"/>
      <c r="J38" s="3970" t="n"/>
      <c r="K38" s="3970" t="n"/>
      <c r="L38" s="3970" t="n"/>
      <c r="M38" s="3970" t="n"/>
      <c r="N38" s="3970" t="n"/>
      <c r="O38" s="3970" t="n"/>
      <c r="P38" s="3970" t="n"/>
      <c r="Q38" s="3970" t="n"/>
      <c r="R38" s="3970" t="n"/>
      <c r="S38" s="3970" t="n"/>
      <c r="T38" s="3970" t="n"/>
      <c r="U38" s="3970" t="n"/>
      <c r="V38" s="3970" t="n"/>
      <c r="W38" s="3970" t="n"/>
      <c r="X38" s="3970" t="n"/>
      <c r="Y38" s="3970" t="n"/>
      <c r="Z38" s="3970" t="n"/>
      <c r="AA38" s="3970" t="n"/>
      <c r="AB38" s="3970" t="n"/>
      <c r="AC38" s="3970" t="n"/>
      <c r="AD38" s="3970" t="n"/>
      <c r="AE38" s="3970" t="n"/>
      <c r="AF38" s="3970" t="n"/>
      <c r="AG38" s="3970" t="n"/>
      <c r="AH38" s="3970" t="n"/>
      <c r="AI38" s="3970" t="n"/>
      <c r="AJ38" s="3970" t="n"/>
      <c r="AK38" s="3970" t="n"/>
      <c r="AL38" s="3970" t="n"/>
      <c r="AM38" s="3970" t="n"/>
      <c r="AN38" s="3970" t="n"/>
      <c r="AO38" s="3970" t="n"/>
      <c r="AP38" s="3970" t="n"/>
      <c r="AQ38" s="3970" t="n"/>
      <c r="AR38" s="3970" t="n"/>
      <c r="AS38" s="3970" t="n"/>
    </row>
    <row r="39">
      <c r="A39" s="3970" t="n"/>
      <c r="B39" s="3970" t="n"/>
      <c r="C39" s="3970" t="n"/>
      <c r="D39" s="3970" t="n"/>
      <c r="E39" s="3970" t="n"/>
      <c r="F39" s="3970" t="n"/>
      <c r="G39" s="3970" t="n"/>
      <c r="H39" s="3970" t="n"/>
      <c r="I39" s="3970" t="n"/>
      <c r="J39" s="3970" t="n"/>
      <c r="K39" s="3970" t="n"/>
      <c r="L39" s="3970" t="n"/>
      <c r="M39" s="3970" t="n"/>
      <c r="N39" s="3970" t="n"/>
      <c r="O39" s="3970" t="n"/>
      <c r="P39" s="3970" t="n"/>
      <c r="Q39" s="3970" t="n"/>
      <c r="R39" s="3970" t="n"/>
      <c r="S39" s="3970" t="n"/>
      <c r="T39" s="3970" t="n"/>
      <c r="U39" s="3970" t="n"/>
      <c r="V39" s="3970" t="n"/>
      <c r="W39" s="3970" t="n"/>
      <c r="X39" s="3970" t="n"/>
      <c r="Y39" s="3970" t="n"/>
      <c r="Z39" s="3970" t="n"/>
      <c r="AA39" s="3970" t="n"/>
      <c r="AB39" s="3970" t="n"/>
      <c r="AC39" s="3970" t="n"/>
      <c r="AD39" s="3970" t="n"/>
      <c r="AE39" s="3970" t="n"/>
      <c r="AF39" s="3970" t="n"/>
      <c r="AG39" s="3970" t="n"/>
      <c r="AH39" s="3970" t="n"/>
      <c r="AI39" s="3970" t="n"/>
      <c r="AJ39" s="3970" t="n"/>
      <c r="AK39" s="3970" t="n"/>
      <c r="AL39" s="3970" t="n"/>
      <c r="AM39" s="3970" t="n"/>
      <c r="AN39" s="3970" t="n"/>
      <c r="AO39" s="3970" t="n"/>
      <c r="AP39" s="3970" t="n"/>
      <c r="AQ39" s="3970" t="n"/>
      <c r="AR39" s="3970" t="n"/>
      <c r="AS39" s="3970" t="n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S28"/>
  <sheetViews>
    <sheetView showGridLines="0" zoomScale="100" zoomScaleNormal="100" workbookViewId="0">
      <pane xSplit="6" ySplit="8" topLeftCell="G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28" customWidth="1" min="2" max="2"/>
    <col width="16" customWidth="1" min="3" max="3"/>
    <col width="7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</cols>
  <sheetData>
    <row r="1">
      <c r="A1" s="3962" t="inlineStr">
        <is>
          <t>NWC Detail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  <c r="AS1" s="3934" t="n"/>
    </row>
    <row r="2">
      <c r="A2" s="3978" t="inlineStr">
        <is>
          <t>Source: &lt;document_source&gt;</t>
        </is>
      </c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  <c r="AS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  <c r="AS3" s="3934" t="n"/>
    </row>
    <row r="4">
      <c r="A4" s="3934" t="n"/>
      <c r="B4" s="3934" t="n"/>
      <c r="C4" s="3934" t="n"/>
      <c r="D4" s="3934" t="n"/>
      <c r="E4" s="3934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  <c r="AS4" s="3934" t="n"/>
    </row>
    <row r="5">
      <c r="A5" s="3934" t="n"/>
      <c r="B5" s="3934" t="n"/>
      <c r="C5" s="3934" t="n"/>
      <c r="D5" s="3934" t="n"/>
      <c r="E5" s="3934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  <c r="AS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  <c r="AS6" s="3934" t="n"/>
    </row>
    <row r="7">
      <c r="A7" s="3979" t="inlineStr">
        <is>
          <t>NWC Detail</t>
        </is>
      </c>
      <c r="B7" s="3980" t="n"/>
      <c r="C7" s="3980" t="n"/>
      <c r="D7" s="3980" t="n"/>
      <c r="E7" s="3980" t="n"/>
      <c r="F7" s="3980" t="n"/>
      <c r="G7" s="3980" t="n"/>
      <c r="H7" s="3980" t="n"/>
      <c r="I7" s="3980" t="n"/>
      <c r="J7" s="3980" t="n"/>
      <c r="K7" s="3980" t="n"/>
      <c r="L7" s="3980" t="n"/>
      <c r="M7" s="3980" t="n"/>
      <c r="N7" s="3980" t="n"/>
      <c r="O7" s="3980" t="n"/>
      <c r="P7" s="3980" t="n"/>
      <c r="Q7" s="3980" t="n"/>
      <c r="R7" s="3980" t="n"/>
      <c r="S7" s="3980" t="n"/>
      <c r="T7" s="3980" t="n"/>
      <c r="U7" s="3980" t="n"/>
      <c r="V7" s="3980" t="n"/>
      <c r="W7" s="3980" t="n"/>
      <c r="X7" s="3980" t="n"/>
      <c r="Y7" s="3980" t="n"/>
      <c r="Z7" s="3980" t="n"/>
      <c r="AA7" s="3980" t="n"/>
      <c r="AB7" s="3980" t="n"/>
      <c r="AC7" s="3980" t="n"/>
      <c r="AD7" s="3980" t="n"/>
      <c r="AE7" s="3980" t="n"/>
      <c r="AF7" s="3980" t="n"/>
      <c r="AG7" s="3980" t="n"/>
      <c r="AH7" s="3980" t="n"/>
      <c r="AI7" s="3980" t="n"/>
      <c r="AJ7" s="3980" t="n"/>
      <c r="AK7" s="3980" t="n"/>
      <c r="AL7" s="3980" t="n"/>
      <c r="AM7" s="3980" t="n"/>
      <c r="AN7" s="3980" t="n"/>
      <c r="AO7" s="3980" t="n"/>
      <c r="AP7" s="3980" t="n"/>
      <c r="AQ7" s="3980" t="n"/>
      <c r="AR7" s="3980" t="n"/>
      <c r="AS7" s="3980" t="n"/>
    </row>
    <row r="8">
      <c r="A8" s="3923" t="inlineStr">
        <is>
          <t>LineKey</t>
        </is>
      </c>
      <c r="B8" s="3964" t="inlineStr">
        <is>
          <t>$'000</t>
        </is>
      </c>
      <c r="C8" s="3964" t="inlineStr">
        <is>
          <t>TB Account No.</t>
        </is>
      </c>
      <c r="D8" s="3964" t="inlineStr">
        <is>
          <t>Sign</t>
        </is>
      </c>
      <c r="E8" s="3964" t="inlineStr">
        <is>
          <t>Source</t>
        </is>
      </c>
      <c r="F8" s="3964" t="inlineStr">
        <is>
          <t>Comments</t>
        </is>
      </c>
      <c r="G8" s="3965">
        <f>'Control | Setup'!A22</f>
        <v/>
      </c>
      <c r="H8" s="3965">
        <f>'Control | Setup'!A23</f>
        <v/>
      </c>
      <c r="I8" s="3965">
        <f>'Control | Setup'!A24</f>
        <v/>
      </c>
      <c r="J8" s="3965">
        <f>'Control | Setup'!A25</f>
        <v/>
      </c>
      <c r="K8" s="3965">
        <f>'Control | Setup'!A26</f>
        <v/>
      </c>
      <c r="L8" s="3965">
        <f>'Control | Setup'!A27</f>
        <v/>
      </c>
      <c r="M8" s="3965">
        <f>'Control | Setup'!A28</f>
        <v/>
      </c>
      <c r="N8" s="3965">
        <f>'Control | Setup'!A29</f>
        <v/>
      </c>
      <c r="O8" s="3965">
        <f>'Control | Setup'!A30</f>
        <v/>
      </c>
      <c r="P8" s="3965">
        <f>'Control | Setup'!A31</f>
        <v/>
      </c>
      <c r="Q8" s="3965">
        <f>'Control | Setup'!A32</f>
        <v/>
      </c>
      <c r="R8" s="3965">
        <f>'Control | Setup'!A33</f>
        <v/>
      </c>
      <c r="S8" s="3965">
        <f>'Control | Setup'!A34</f>
        <v/>
      </c>
      <c r="T8" s="3965">
        <f>'Control | Setup'!A35</f>
        <v/>
      </c>
      <c r="U8" s="3965">
        <f>'Control | Setup'!A36</f>
        <v/>
      </c>
      <c r="V8" s="3965">
        <f>'Control | Setup'!A37</f>
        <v/>
      </c>
      <c r="W8" s="3965">
        <f>'Control | Setup'!A38</f>
        <v/>
      </c>
      <c r="X8" s="3965">
        <f>'Control | Setup'!A39</f>
        <v/>
      </c>
      <c r="Y8" s="3965">
        <f>'Control | Setup'!A40</f>
        <v/>
      </c>
      <c r="Z8" s="3965">
        <f>'Control | Setup'!A41</f>
        <v/>
      </c>
      <c r="AA8" s="3965">
        <f>'Control | Setup'!A42</f>
        <v/>
      </c>
      <c r="AB8" s="3965">
        <f>'Control | Setup'!A43</f>
        <v/>
      </c>
      <c r="AC8" s="3965">
        <f>'Control | Setup'!A44</f>
        <v/>
      </c>
      <c r="AD8" s="3965">
        <f>'Control | Setup'!A45</f>
        <v/>
      </c>
      <c r="AE8" s="3965">
        <f>'Control | Setup'!A46</f>
        <v/>
      </c>
      <c r="AF8" s="3965">
        <f>'Control | Setup'!A47</f>
        <v/>
      </c>
      <c r="AG8" s="3965">
        <f>'Control | Setup'!A48</f>
        <v/>
      </c>
      <c r="AH8" s="3965">
        <f>'Control | Setup'!A49</f>
        <v/>
      </c>
      <c r="AI8" s="3965">
        <f>'Control | Setup'!A50</f>
        <v/>
      </c>
      <c r="AJ8" s="3965">
        <f>'Control | Setup'!A51</f>
        <v/>
      </c>
      <c r="AK8" s="3965">
        <f>'Control | Setup'!A52</f>
        <v/>
      </c>
      <c r="AL8" s="3965">
        <f>'Control | Setup'!A53</f>
        <v/>
      </c>
      <c r="AM8" s="3965">
        <f>'Control | Setup'!A54</f>
        <v/>
      </c>
      <c r="AN8" s="3965">
        <f>'Control | Setup'!A55</f>
        <v/>
      </c>
      <c r="AO8" s="3965">
        <f>'Control | Setup'!A56</f>
        <v/>
      </c>
      <c r="AP8" s="3965">
        <f>'Control | Setup'!A57</f>
        <v/>
      </c>
      <c r="AQ8" s="3965" t="inlineStr">
        <is>
          <t>FY-2</t>
        </is>
      </c>
      <c r="AR8" s="3965" t="inlineStr">
        <is>
          <t>FY-1</t>
        </is>
      </c>
      <c r="AS8" s="3965" t="inlineStr">
        <is>
          <t>TTM</t>
        </is>
      </c>
    </row>
    <row r="9">
      <c r="A9" s="3959" t="inlineStr">
        <is>
          <t>NWC_AR</t>
        </is>
      </c>
      <c r="B9" s="3959" t="inlineStr">
        <is>
          <t>Accounts receivable</t>
        </is>
      </c>
      <c r="C9" s="3959" t="inlineStr"/>
      <c r="D9" s="3959" t="inlineStr">
        <is>
          <t>+</t>
        </is>
      </c>
      <c r="E9" s="3959" t="inlineStr">
        <is>
          <t>Class map</t>
        </is>
      </c>
      <c r="F9" s="3959" t="inlineStr"/>
      <c r="G9" s="3929" t="n"/>
      <c r="H9" s="3929" t="n"/>
      <c r="I9" s="3929" t="n"/>
      <c r="J9" s="3929" t="n"/>
      <c r="K9" s="3929" t="n"/>
      <c r="L9" s="3929" t="n"/>
      <c r="M9" s="3929" t="n"/>
      <c r="N9" s="3929" t="n"/>
      <c r="O9" s="3929" t="n"/>
      <c r="P9" s="3929" t="n"/>
      <c r="Q9" s="3929" t="n"/>
      <c r="R9" s="3929" t="n"/>
      <c r="S9" s="3929" t="n"/>
      <c r="T9" s="3929" t="n"/>
      <c r="U9" s="3929" t="n"/>
      <c r="V9" s="3929" t="n"/>
      <c r="W9" s="3929" t="n"/>
      <c r="X9" s="3929" t="n"/>
      <c r="Y9" s="3929" t="n"/>
      <c r="Z9" s="3929" t="n"/>
      <c r="AA9" s="3929" t="n"/>
      <c r="AB9" s="3929" t="n"/>
      <c r="AC9" s="3929" t="n"/>
      <c r="AD9" s="3929" t="n"/>
      <c r="AE9" s="3929" t="n"/>
      <c r="AF9" s="3929" t="n"/>
      <c r="AG9" s="3929" t="n"/>
      <c r="AH9" s="3929" t="n"/>
      <c r="AI9" s="3929" t="n"/>
      <c r="AJ9" s="3929" t="n"/>
      <c r="AK9" s="3929" t="n"/>
      <c r="AL9" s="3929" t="n"/>
      <c r="AM9" s="3929" t="n"/>
      <c r="AN9" s="3929" t="n"/>
      <c r="AO9" s="3929" t="n"/>
      <c r="AP9" s="3929" t="n"/>
      <c r="AQ9" s="3949">
        <f>IF(COUNT(G9:R9)=0,"",SUM(G9:R9))</f>
        <v/>
      </c>
      <c r="AR9" s="3949">
        <f>IF(COUNT(S9:AD9)=0,"",SUM(S9:AD9))</f>
        <v/>
      </c>
      <c r="AS9" s="3949">
        <f>IF(COUNT(AE9:AP9)=0,"",SUM(AE9:AP9))</f>
        <v/>
      </c>
    </row>
    <row r="10">
      <c r="A10" s="3959" t="inlineStr">
        <is>
          <t>NWC_INV</t>
        </is>
      </c>
      <c r="B10" s="3959" t="inlineStr">
        <is>
          <t>Inventory</t>
        </is>
      </c>
      <c r="C10" s="3959" t="inlineStr"/>
      <c r="D10" s="3959" t="inlineStr">
        <is>
          <t>+</t>
        </is>
      </c>
      <c r="E10" s="3959" t="inlineStr">
        <is>
          <t>Class map</t>
        </is>
      </c>
      <c r="F10" s="3959" t="inlineStr"/>
      <c r="G10" s="3929" t="n"/>
      <c r="H10" s="3929" t="n"/>
      <c r="I10" s="3929" t="n"/>
      <c r="J10" s="3929" t="n"/>
      <c r="K10" s="3929" t="n"/>
      <c r="L10" s="3929" t="n"/>
      <c r="M10" s="3929" t="n"/>
      <c r="N10" s="3929" t="n"/>
      <c r="O10" s="3929" t="n"/>
      <c r="P10" s="3929" t="n"/>
      <c r="Q10" s="3929" t="n"/>
      <c r="R10" s="3929" t="n"/>
      <c r="S10" s="3929" t="n"/>
      <c r="T10" s="3929" t="n"/>
      <c r="U10" s="3929" t="n"/>
      <c r="V10" s="3929" t="n"/>
      <c r="W10" s="3929" t="n"/>
      <c r="X10" s="3929" t="n"/>
      <c r="Y10" s="3929" t="n"/>
      <c r="Z10" s="3929" t="n"/>
      <c r="AA10" s="3929" t="n"/>
      <c r="AB10" s="3929" t="n"/>
      <c r="AC10" s="3929" t="n"/>
      <c r="AD10" s="3929" t="n"/>
      <c r="AE10" s="3929" t="n"/>
      <c r="AF10" s="3929" t="n"/>
      <c r="AG10" s="3929" t="n"/>
      <c r="AH10" s="3929" t="n"/>
      <c r="AI10" s="3929" t="n"/>
      <c r="AJ10" s="3929" t="n"/>
      <c r="AK10" s="3929" t="n"/>
      <c r="AL10" s="3929" t="n"/>
      <c r="AM10" s="3929" t="n"/>
      <c r="AN10" s="3929" t="n"/>
      <c r="AO10" s="3929" t="n"/>
      <c r="AP10" s="3929" t="n"/>
      <c r="AQ10" s="3949">
        <f>IF(COUNT(G10:R10)=0,"",SUM(G10:R10))</f>
        <v/>
      </c>
      <c r="AR10" s="3949">
        <f>IF(COUNT(S10:AD10)=0,"",SUM(S10:AD10))</f>
        <v/>
      </c>
      <c r="AS10" s="3949">
        <f>IF(COUNT(AE10:AP10)=0,"",SUM(AE10:AP10))</f>
        <v/>
      </c>
    </row>
    <row r="11">
      <c r="A11" s="3959" t="inlineStr">
        <is>
          <t>NWC_AP</t>
        </is>
      </c>
      <c r="B11" s="3959" t="inlineStr">
        <is>
          <t>Accounts payable</t>
        </is>
      </c>
      <c r="C11" s="3959" t="inlineStr"/>
      <c r="D11" s="3959" t="inlineStr">
        <is>
          <t>+</t>
        </is>
      </c>
      <c r="E11" s="3959" t="inlineStr">
        <is>
          <t>Class map</t>
        </is>
      </c>
      <c r="F11" s="3959" t="inlineStr"/>
      <c r="G11" s="3929" t="n"/>
      <c r="H11" s="3929" t="n"/>
      <c r="I11" s="3929" t="n"/>
      <c r="J11" s="3929" t="n"/>
      <c r="K11" s="3929" t="n"/>
      <c r="L11" s="3929" t="n"/>
      <c r="M11" s="3929" t="n"/>
      <c r="N11" s="3929" t="n"/>
      <c r="O11" s="3929" t="n"/>
      <c r="P11" s="3929" t="n"/>
      <c r="Q11" s="3929" t="n"/>
      <c r="R11" s="3929" t="n"/>
      <c r="S11" s="3929" t="n"/>
      <c r="T11" s="3929" t="n"/>
      <c r="U11" s="3929" t="n"/>
      <c r="V11" s="3929" t="n"/>
      <c r="W11" s="3929" t="n"/>
      <c r="X11" s="3929" t="n"/>
      <c r="Y11" s="3929" t="n"/>
      <c r="Z11" s="3929" t="n"/>
      <c r="AA11" s="3929" t="n"/>
      <c r="AB11" s="3929" t="n"/>
      <c r="AC11" s="3929" t="n"/>
      <c r="AD11" s="3929" t="n"/>
      <c r="AE11" s="3929" t="n"/>
      <c r="AF11" s="3929" t="n"/>
      <c r="AG11" s="3929" t="n"/>
      <c r="AH11" s="3929" t="n"/>
      <c r="AI11" s="3929" t="n"/>
      <c r="AJ11" s="3929" t="n"/>
      <c r="AK11" s="3929" t="n"/>
      <c r="AL11" s="3929" t="n"/>
      <c r="AM11" s="3929" t="n"/>
      <c r="AN11" s="3929" t="n"/>
      <c r="AO11" s="3929" t="n"/>
      <c r="AP11" s="3929" t="n"/>
      <c r="AQ11" s="3949">
        <f>IF(COUNT(G11:R11)=0,"",SUM(G11:R11))</f>
        <v/>
      </c>
      <c r="AR11" s="3949">
        <f>IF(COUNT(S11:AD11)=0,"",SUM(S11:AD11))</f>
        <v/>
      </c>
      <c r="AS11" s="3949">
        <f>IF(COUNT(AE11:AP11)=0,"",SUM(AE11:AP11))</f>
        <v/>
      </c>
    </row>
    <row r="12">
      <c r="A12" s="3959" t="inlineStr">
        <is>
          <t>NWC_ACCR</t>
        </is>
      </c>
      <c r="B12" s="3959" t="inlineStr">
        <is>
          <t>Accruals</t>
        </is>
      </c>
      <c r="C12" s="3959" t="inlineStr"/>
      <c r="D12" s="3959" t="inlineStr">
        <is>
          <t>+</t>
        </is>
      </c>
      <c r="E12" s="3959" t="inlineStr">
        <is>
          <t>Class map</t>
        </is>
      </c>
      <c r="F12" s="3959" t="inlineStr"/>
      <c r="G12" s="3929" t="n"/>
      <c r="H12" s="3929" t="n"/>
      <c r="I12" s="3929" t="n"/>
      <c r="J12" s="3929" t="n"/>
      <c r="K12" s="3929" t="n"/>
      <c r="L12" s="3929" t="n"/>
      <c r="M12" s="3929" t="n"/>
      <c r="N12" s="3929" t="n"/>
      <c r="O12" s="3929" t="n"/>
      <c r="P12" s="3929" t="n"/>
      <c r="Q12" s="3929" t="n"/>
      <c r="R12" s="3929" t="n"/>
      <c r="S12" s="3929" t="n"/>
      <c r="T12" s="3929" t="n"/>
      <c r="U12" s="3929" t="n"/>
      <c r="V12" s="3929" t="n"/>
      <c r="W12" s="3929" t="n"/>
      <c r="X12" s="3929" t="n"/>
      <c r="Y12" s="3929" t="n"/>
      <c r="Z12" s="3929" t="n"/>
      <c r="AA12" s="3929" t="n"/>
      <c r="AB12" s="3929" t="n"/>
      <c r="AC12" s="3929" t="n"/>
      <c r="AD12" s="3929" t="n"/>
      <c r="AE12" s="3929" t="n"/>
      <c r="AF12" s="3929" t="n"/>
      <c r="AG12" s="3929" t="n"/>
      <c r="AH12" s="3929" t="n"/>
      <c r="AI12" s="3929" t="n"/>
      <c r="AJ12" s="3929" t="n"/>
      <c r="AK12" s="3929" t="n"/>
      <c r="AL12" s="3929" t="n"/>
      <c r="AM12" s="3929" t="n"/>
      <c r="AN12" s="3929" t="n"/>
      <c r="AO12" s="3929" t="n"/>
      <c r="AP12" s="3929" t="n"/>
      <c r="AQ12" s="3949">
        <f>IF(COUNT(G12:R12)=0,"",SUM(G12:R12))</f>
        <v/>
      </c>
      <c r="AR12" s="3949">
        <f>IF(COUNT(S12:AD12)=0,"",SUM(S12:AD12))</f>
        <v/>
      </c>
      <c r="AS12" s="3949">
        <f>IF(COUNT(AE12:AP12)=0,"",SUM(AE12:AP12))</f>
        <v/>
      </c>
    </row>
    <row r="13">
      <c r="A13" s="3959" t="inlineStr">
        <is>
          <t>NWC_OTH</t>
        </is>
      </c>
      <c r="B13" s="3959" t="inlineStr">
        <is>
          <t>Other</t>
        </is>
      </c>
      <c r="C13" s="3959" t="inlineStr"/>
      <c r="D13" s="3959" t="inlineStr">
        <is>
          <t>+</t>
        </is>
      </c>
      <c r="E13" s="3959" t="inlineStr">
        <is>
          <t>Class map</t>
        </is>
      </c>
      <c r="F13" s="3959" t="inlineStr"/>
      <c r="G13" s="3929" t="n"/>
      <c r="H13" s="3929" t="n"/>
      <c r="I13" s="3929" t="n"/>
      <c r="J13" s="3929" t="n"/>
      <c r="K13" s="3929" t="n"/>
      <c r="L13" s="3929" t="n"/>
      <c r="M13" s="3929" t="n"/>
      <c r="N13" s="3929" t="n"/>
      <c r="O13" s="3929" t="n"/>
      <c r="P13" s="3929" t="n"/>
      <c r="Q13" s="3929" t="n"/>
      <c r="R13" s="3929" t="n"/>
      <c r="S13" s="3929" t="n"/>
      <c r="T13" s="3929" t="n"/>
      <c r="U13" s="3929" t="n"/>
      <c r="V13" s="3929" t="n"/>
      <c r="W13" s="3929" t="n"/>
      <c r="X13" s="3929" t="n"/>
      <c r="Y13" s="3929" t="n"/>
      <c r="Z13" s="3929" t="n"/>
      <c r="AA13" s="3929" t="n"/>
      <c r="AB13" s="3929" t="n"/>
      <c r="AC13" s="3929" t="n"/>
      <c r="AD13" s="3929" t="n"/>
      <c r="AE13" s="3929" t="n"/>
      <c r="AF13" s="3929" t="n"/>
      <c r="AG13" s="3929" t="n"/>
      <c r="AH13" s="3929" t="n"/>
      <c r="AI13" s="3929" t="n"/>
      <c r="AJ13" s="3929" t="n"/>
      <c r="AK13" s="3929" t="n"/>
      <c r="AL13" s="3929" t="n"/>
      <c r="AM13" s="3929" t="n"/>
      <c r="AN13" s="3929" t="n"/>
      <c r="AO13" s="3929" t="n"/>
      <c r="AP13" s="3929" t="n"/>
      <c r="AQ13" s="3949">
        <f>IF(COUNT(G13:R13)=0,"",SUM(G13:R13))</f>
        <v/>
      </c>
      <c r="AR13" s="3949">
        <f>IF(COUNT(S13:AD13)=0,"",SUM(S13:AD13))</f>
        <v/>
      </c>
      <c r="AS13" s="3949">
        <f>IF(COUNT(AE13:AP13)=0,"",SUM(AE13:AP13))</f>
        <v/>
      </c>
    </row>
    <row r="14">
      <c r="A14" s="3959" t="inlineStr">
        <is>
          <t>NWC_TOTAL</t>
        </is>
      </c>
      <c r="B14" s="3959" t="inlineStr">
        <is>
          <t>Total NWC</t>
        </is>
      </c>
      <c r="C14" s="3959" t="inlineStr"/>
      <c r="D14" s="3959" t="inlineStr">
        <is>
          <t>+</t>
        </is>
      </c>
      <c r="E14" s="3959" t="inlineStr">
        <is>
          <t>Formula</t>
        </is>
      </c>
      <c r="F14" s="3959" t="inlineStr">
        <is>
          <t>Derived</t>
        </is>
      </c>
      <c r="G14" s="3960">
        <f>IF(COUNT(G9:G13)=0,"",SUM(G9:G13))</f>
        <v/>
      </c>
      <c r="H14" s="3960">
        <f>IF(COUNT(H9:H13)=0,"",SUM(H9:H13))</f>
        <v/>
      </c>
      <c r="I14" s="3960">
        <f>IF(COUNT(I9:I13)=0,"",SUM(I9:I13))</f>
        <v/>
      </c>
      <c r="J14" s="3960">
        <f>IF(COUNT(J9:J13)=0,"",SUM(J9:J13))</f>
        <v/>
      </c>
      <c r="K14" s="3960">
        <f>IF(COUNT(K9:K13)=0,"",SUM(K9:K13))</f>
        <v/>
      </c>
      <c r="L14" s="3960">
        <f>IF(COUNT(L9:L13)=0,"",SUM(L9:L13))</f>
        <v/>
      </c>
      <c r="M14" s="3960">
        <f>IF(COUNT(M9:M13)=0,"",SUM(M9:M13))</f>
        <v/>
      </c>
      <c r="N14" s="3960">
        <f>IF(COUNT(N9:N13)=0,"",SUM(N9:N13))</f>
        <v/>
      </c>
      <c r="O14" s="3960">
        <f>IF(COUNT(O9:O13)=0,"",SUM(O9:O13))</f>
        <v/>
      </c>
      <c r="P14" s="3960">
        <f>IF(COUNT(P9:P13)=0,"",SUM(P9:P13))</f>
        <v/>
      </c>
      <c r="Q14" s="3960">
        <f>IF(COUNT(Q9:Q13)=0,"",SUM(Q9:Q13))</f>
        <v/>
      </c>
      <c r="R14" s="3960">
        <f>IF(COUNT(R9:R13)=0,"",SUM(R9:R13))</f>
        <v/>
      </c>
      <c r="S14" s="3960">
        <f>IF(COUNT(S9:S13)=0,"",SUM(S9:S13))</f>
        <v/>
      </c>
      <c r="T14" s="3960">
        <f>IF(COUNT(T9:T13)=0,"",SUM(T9:T13))</f>
        <v/>
      </c>
      <c r="U14" s="3960">
        <f>IF(COUNT(U9:U13)=0,"",SUM(U9:U13))</f>
        <v/>
      </c>
      <c r="V14" s="3960">
        <f>IF(COUNT(V9:V13)=0,"",SUM(V9:V13))</f>
        <v/>
      </c>
      <c r="W14" s="3960">
        <f>IF(COUNT(W9:W13)=0,"",SUM(W9:W13))</f>
        <v/>
      </c>
      <c r="X14" s="3960">
        <f>IF(COUNT(X9:X13)=0,"",SUM(X9:X13))</f>
        <v/>
      </c>
      <c r="Y14" s="3960">
        <f>IF(COUNT(Y9:Y13)=0,"",SUM(Y9:Y13))</f>
        <v/>
      </c>
      <c r="Z14" s="3960">
        <f>IF(COUNT(Z9:Z13)=0,"",SUM(Z9:Z13))</f>
        <v/>
      </c>
      <c r="AA14" s="3960">
        <f>IF(COUNT(AA9:AA13)=0,"",SUM(AA9:AA13))</f>
        <v/>
      </c>
      <c r="AB14" s="3960">
        <f>IF(COUNT(AB9:AB13)=0,"",SUM(AB9:AB13))</f>
        <v/>
      </c>
      <c r="AC14" s="3960">
        <f>IF(COUNT(AC9:AC13)=0,"",SUM(AC9:AC13))</f>
        <v/>
      </c>
      <c r="AD14" s="3960">
        <f>IF(COUNT(AD9:AD13)=0,"",SUM(AD9:AD13))</f>
        <v/>
      </c>
      <c r="AE14" s="3960">
        <f>IF(COUNT(AE9:AE13)=0,"",SUM(AE9:AE13))</f>
        <v/>
      </c>
      <c r="AF14" s="3960">
        <f>IF(COUNT(AF9:AF13)=0,"",SUM(AF9:AF13))</f>
        <v/>
      </c>
      <c r="AG14" s="3960">
        <f>IF(COUNT(AG9:AG13)=0,"",SUM(AG9:AG13))</f>
        <v/>
      </c>
      <c r="AH14" s="3960">
        <f>IF(COUNT(AH9:AH13)=0,"",SUM(AH9:AH13))</f>
        <v/>
      </c>
      <c r="AI14" s="3960">
        <f>IF(COUNT(AI9:AI13)=0,"",SUM(AI9:AI13))</f>
        <v/>
      </c>
      <c r="AJ14" s="3960">
        <f>IF(COUNT(AJ9:AJ13)=0,"",SUM(AJ9:AJ13))</f>
        <v/>
      </c>
      <c r="AK14" s="3960">
        <f>IF(COUNT(AK9:AK13)=0,"",SUM(AK9:AK13))</f>
        <v/>
      </c>
      <c r="AL14" s="3960">
        <f>IF(COUNT(AL9:AL13)=0,"",SUM(AL9:AL13))</f>
        <v/>
      </c>
      <c r="AM14" s="3960">
        <f>IF(COUNT(AM9:AM13)=0,"",SUM(AM9:AM13))</f>
        <v/>
      </c>
      <c r="AN14" s="3960">
        <f>IF(COUNT(AN9:AN13)=0,"",SUM(AN9:AN13))</f>
        <v/>
      </c>
      <c r="AO14" s="3960">
        <f>IF(COUNT(AO9:AO13)=0,"",SUM(AO9:AO13))</f>
        <v/>
      </c>
      <c r="AP14" s="3960">
        <f>IF(COUNT(AP9:AP13)=0,"",SUM(AP9:AP13))</f>
        <v/>
      </c>
      <c r="AQ14" s="3949">
        <f>IF(COUNT(G14:R14)=0,"",SUM(G14:R14))</f>
        <v/>
      </c>
      <c r="AR14" s="3949">
        <f>IF(COUNT(S14:AD14)=0,"",SUM(S14:AD14))</f>
        <v/>
      </c>
      <c r="AS14" s="3949">
        <f>IF(COUNT(AE14:AP14)=0,"",SUM(AE14:AP14))</f>
        <v/>
      </c>
    </row>
    <row r="15">
      <c r="A15" s="3959" t="n"/>
      <c r="B15" s="3959" t="n"/>
      <c r="C15" s="3959" t="n"/>
      <c r="D15" s="3959" t="n"/>
      <c r="E15" s="3959" t="n"/>
      <c r="F15" s="3959" t="n"/>
      <c r="G15" s="3960" t="n"/>
      <c r="H15" s="3960" t="n"/>
      <c r="I15" s="3960" t="n"/>
      <c r="J15" s="3960" t="n"/>
      <c r="K15" s="3960" t="n"/>
      <c r="L15" s="3960" t="n"/>
      <c r="M15" s="3960" t="n"/>
      <c r="N15" s="3960" t="n"/>
      <c r="O15" s="3960" t="n"/>
      <c r="P15" s="3960" t="n"/>
      <c r="Q15" s="3960" t="n"/>
      <c r="R15" s="3960" t="n"/>
      <c r="S15" s="3960" t="n"/>
      <c r="T15" s="3960" t="n"/>
      <c r="U15" s="3960" t="n"/>
      <c r="V15" s="3960" t="n"/>
      <c r="W15" s="3960" t="n"/>
      <c r="X15" s="3960" t="n"/>
      <c r="Y15" s="3960" t="n"/>
      <c r="Z15" s="3960" t="n"/>
      <c r="AA15" s="3960" t="n"/>
      <c r="AB15" s="3960" t="n"/>
      <c r="AC15" s="3960" t="n"/>
      <c r="AD15" s="3960" t="n"/>
      <c r="AE15" s="3960" t="n"/>
      <c r="AF15" s="3960" t="n"/>
      <c r="AG15" s="3960" t="n"/>
      <c r="AH15" s="3960" t="n"/>
      <c r="AI15" s="3960" t="n"/>
      <c r="AJ15" s="3960" t="n"/>
      <c r="AK15" s="3960" t="n"/>
      <c r="AL15" s="3960" t="n"/>
      <c r="AM15" s="3960" t="n"/>
      <c r="AN15" s="3960" t="n"/>
      <c r="AO15" s="3960" t="n"/>
      <c r="AP15" s="3960" t="n"/>
      <c r="AQ15" s="3960" t="n"/>
      <c r="AR15" s="3960" t="n"/>
      <c r="AS15" s="3960" t="n"/>
    </row>
    <row r="16">
      <c r="A16" s="3959" t="n"/>
      <c r="B16" s="3959" t="n"/>
      <c r="C16" s="3959" t="n"/>
      <c r="D16" s="3959" t="n"/>
      <c r="E16" s="3959" t="n"/>
      <c r="F16" s="3959" t="n"/>
      <c r="G16" s="3960" t="n"/>
      <c r="H16" s="3960" t="n"/>
      <c r="I16" s="3960" t="n"/>
      <c r="J16" s="3960" t="n"/>
      <c r="K16" s="3960" t="n"/>
      <c r="L16" s="3960" t="n"/>
      <c r="M16" s="3960" t="n"/>
      <c r="N16" s="3960" t="n"/>
      <c r="O16" s="3960" t="n"/>
      <c r="P16" s="3960" t="n"/>
      <c r="Q16" s="3960" t="n"/>
      <c r="R16" s="3960" t="n"/>
      <c r="S16" s="3960" t="n"/>
      <c r="T16" s="3960" t="n"/>
      <c r="U16" s="3960" t="n"/>
      <c r="V16" s="3960" t="n"/>
      <c r="W16" s="3960" t="n"/>
      <c r="X16" s="3960" t="n"/>
      <c r="Y16" s="3960" t="n"/>
      <c r="Z16" s="3960" t="n"/>
      <c r="AA16" s="3960" t="n"/>
      <c r="AB16" s="3960" t="n"/>
      <c r="AC16" s="3960" t="n"/>
      <c r="AD16" s="3960" t="n"/>
      <c r="AE16" s="3960" t="n"/>
      <c r="AF16" s="3960" t="n"/>
      <c r="AG16" s="3960" t="n"/>
      <c r="AH16" s="3960" t="n"/>
      <c r="AI16" s="3960" t="n"/>
      <c r="AJ16" s="3960" t="n"/>
      <c r="AK16" s="3960" t="n"/>
      <c r="AL16" s="3960" t="n"/>
      <c r="AM16" s="3960" t="n"/>
      <c r="AN16" s="3960" t="n"/>
      <c r="AO16" s="3960" t="n"/>
      <c r="AP16" s="3960" t="n"/>
      <c r="AQ16" s="3960" t="n"/>
      <c r="AR16" s="3960" t="n"/>
      <c r="AS16" s="3960" t="n"/>
    </row>
    <row r="17">
      <c r="A17" s="3959" t="n"/>
      <c r="B17" s="3959" t="n"/>
      <c r="C17" s="3959" t="n"/>
      <c r="D17" s="3959" t="n"/>
      <c r="E17" s="3959" t="n"/>
      <c r="F17" s="3959" t="n"/>
      <c r="G17" s="3960" t="n"/>
      <c r="H17" s="3960" t="n"/>
      <c r="I17" s="3960" t="n"/>
      <c r="J17" s="3960" t="n"/>
      <c r="K17" s="3960" t="n"/>
      <c r="L17" s="3960" t="n"/>
      <c r="M17" s="3960" t="n"/>
      <c r="N17" s="3960" t="n"/>
      <c r="O17" s="3960" t="n"/>
      <c r="P17" s="3960" t="n"/>
      <c r="Q17" s="3960" t="n"/>
      <c r="R17" s="3960" t="n"/>
      <c r="S17" s="3960" t="n"/>
      <c r="T17" s="3960" t="n"/>
      <c r="U17" s="3960" t="n"/>
      <c r="V17" s="3960" t="n"/>
      <c r="W17" s="3960" t="n"/>
      <c r="X17" s="3960" t="n"/>
      <c r="Y17" s="3960" t="n"/>
      <c r="Z17" s="3960" t="n"/>
      <c r="AA17" s="3960" t="n"/>
      <c r="AB17" s="3960" t="n"/>
      <c r="AC17" s="3960" t="n"/>
      <c r="AD17" s="3960" t="n"/>
      <c r="AE17" s="3960" t="n"/>
      <c r="AF17" s="3960" t="n"/>
      <c r="AG17" s="3960" t="n"/>
      <c r="AH17" s="3960" t="n"/>
      <c r="AI17" s="3960" t="n"/>
      <c r="AJ17" s="3960" t="n"/>
      <c r="AK17" s="3960" t="n"/>
      <c r="AL17" s="3960" t="n"/>
      <c r="AM17" s="3960" t="n"/>
      <c r="AN17" s="3960" t="n"/>
      <c r="AO17" s="3960" t="n"/>
      <c r="AP17" s="3960" t="n"/>
      <c r="AQ17" s="3960" t="n"/>
      <c r="AR17" s="3960" t="n"/>
      <c r="AS17" s="3960" t="n"/>
    </row>
    <row r="18">
      <c r="A18" s="3959" t="n"/>
      <c r="B18" s="3959" t="n"/>
      <c r="C18" s="3959" t="n"/>
      <c r="D18" s="3959" t="n"/>
      <c r="E18" s="3959" t="n"/>
      <c r="F18" s="3959" t="n"/>
      <c r="G18" s="3960" t="n"/>
      <c r="H18" s="3960" t="n"/>
      <c r="I18" s="3960" t="n"/>
      <c r="J18" s="3960" t="n"/>
      <c r="K18" s="3960" t="n"/>
      <c r="L18" s="3960" t="n"/>
      <c r="M18" s="3960" t="n"/>
      <c r="N18" s="3960" t="n"/>
      <c r="O18" s="3960" t="n"/>
      <c r="P18" s="3960" t="n"/>
      <c r="Q18" s="3960" t="n"/>
      <c r="R18" s="3960" t="n"/>
      <c r="S18" s="3960" t="n"/>
      <c r="T18" s="3960" t="n"/>
      <c r="U18" s="3960" t="n"/>
      <c r="V18" s="3960" t="n"/>
      <c r="W18" s="3960" t="n"/>
      <c r="X18" s="3960" t="n"/>
      <c r="Y18" s="3960" t="n"/>
      <c r="Z18" s="3960" t="n"/>
      <c r="AA18" s="3960" t="n"/>
      <c r="AB18" s="3960" t="n"/>
      <c r="AC18" s="3960" t="n"/>
      <c r="AD18" s="3960" t="n"/>
      <c r="AE18" s="3960" t="n"/>
      <c r="AF18" s="3960" t="n"/>
      <c r="AG18" s="3960" t="n"/>
      <c r="AH18" s="3960" t="n"/>
      <c r="AI18" s="3960" t="n"/>
      <c r="AJ18" s="3960" t="n"/>
      <c r="AK18" s="3960" t="n"/>
      <c r="AL18" s="3960" t="n"/>
      <c r="AM18" s="3960" t="n"/>
      <c r="AN18" s="3960" t="n"/>
      <c r="AO18" s="3960" t="n"/>
      <c r="AP18" s="3960" t="n"/>
      <c r="AQ18" s="3960" t="n"/>
      <c r="AR18" s="3960" t="n"/>
      <c r="AS18" s="3960" t="n"/>
    </row>
    <row r="19">
      <c r="A19" s="3959" t="n"/>
      <c r="B19" s="3959" t="n"/>
      <c r="C19" s="3959" t="n"/>
      <c r="D19" s="3959" t="n"/>
      <c r="E19" s="3959" t="n"/>
      <c r="F19" s="3959" t="n"/>
      <c r="G19" s="3960" t="n"/>
      <c r="H19" s="3960" t="n"/>
      <c r="I19" s="3960" t="n"/>
      <c r="J19" s="3960" t="n"/>
      <c r="K19" s="3960" t="n"/>
      <c r="L19" s="3960" t="n"/>
      <c r="M19" s="3960" t="n"/>
      <c r="N19" s="3960" t="n"/>
      <c r="O19" s="3960" t="n"/>
      <c r="P19" s="3960" t="n"/>
      <c r="Q19" s="3960" t="n"/>
      <c r="R19" s="3960" t="n"/>
      <c r="S19" s="3960" t="n"/>
      <c r="T19" s="3960" t="n"/>
      <c r="U19" s="3960" t="n"/>
      <c r="V19" s="3960" t="n"/>
      <c r="W19" s="3960" t="n"/>
      <c r="X19" s="3960" t="n"/>
      <c r="Y19" s="3960" t="n"/>
      <c r="Z19" s="3960" t="n"/>
      <c r="AA19" s="3960" t="n"/>
      <c r="AB19" s="3960" t="n"/>
      <c r="AC19" s="3960" t="n"/>
      <c r="AD19" s="3960" t="n"/>
      <c r="AE19" s="3960" t="n"/>
      <c r="AF19" s="3960" t="n"/>
      <c r="AG19" s="3960" t="n"/>
      <c r="AH19" s="3960" t="n"/>
      <c r="AI19" s="3960" t="n"/>
      <c r="AJ19" s="3960" t="n"/>
      <c r="AK19" s="3960" t="n"/>
      <c r="AL19" s="3960" t="n"/>
      <c r="AM19" s="3960" t="n"/>
      <c r="AN19" s="3960" t="n"/>
      <c r="AO19" s="3960" t="n"/>
      <c r="AP19" s="3960" t="n"/>
      <c r="AQ19" s="3960" t="n"/>
      <c r="AR19" s="3960" t="n"/>
      <c r="AS19" s="3960" t="n"/>
    </row>
    <row r="20">
      <c r="A20" s="3959" t="n"/>
      <c r="B20" s="3959" t="n"/>
      <c r="C20" s="3959" t="n"/>
      <c r="D20" s="3959" t="n"/>
      <c r="E20" s="3959" t="n"/>
      <c r="F20" s="3959" t="n"/>
      <c r="G20" s="3960" t="n"/>
      <c r="H20" s="3960" t="n"/>
      <c r="I20" s="3960" t="n"/>
      <c r="J20" s="3960" t="n"/>
      <c r="K20" s="3960" t="n"/>
      <c r="L20" s="3960" t="n"/>
      <c r="M20" s="3960" t="n"/>
      <c r="N20" s="3960" t="n"/>
      <c r="O20" s="3960" t="n"/>
      <c r="P20" s="3960" t="n"/>
      <c r="Q20" s="3960" t="n"/>
      <c r="R20" s="3960" t="n"/>
      <c r="S20" s="3960" t="n"/>
      <c r="T20" s="3960" t="n"/>
      <c r="U20" s="3960" t="n"/>
      <c r="V20" s="3960" t="n"/>
      <c r="W20" s="3960" t="n"/>
      <c r="X20" s="3960" t="n"/>
      <c r="Y20" s="3960" t="n"/>
      <c r="Z20" s="3960" t="n"/>
      <c r="AA20" s="3960" t="n"/>
      <c r="AB20" s="3960" t="n"/>
      <c r="AC20" s="3960" t="n"/>
      <c r="AD20" s="3960" t="n"/>
      <c r="AE20" s="3960" t="n"/>
      <c r="AF20" s="3960" t="n"/>
      <c r="AG20" s="3960" t="n"/>
      <c r="AH20" s="3960" t="n"/>
      <c r="AI20" s="3960" t="n"/>
      <c r="AJ20" s="3960" t="n"/>
      <c r="AK20" s="3960" t="n"/>
      <c r="AL20" s="3960" t="n"/>
      <c r="AM20" s="3960" t="n"/>
      <c r="AN20" s="3960" t="n"/>
      <c r="AO20" s="3960" t="n"/>
      <c r="AP20" s="3960" t="n"/>
      <c r="AQ20" s="3960" t="n"/>
      <c r="AR20" s="3960" t="n"/>
      <c r="AS20" s="3960" t="n"/>
    </row>
    <row r="21">
      <c r="A21" s="3959" t="n"/>
      <c r="B21" s="3959" t="n"/>
      <c r="C21" s="3959" t="n"/>
      <c r="D21" s="3959" t="n"/>
      <c r="E21" s="3959" t="n"/>
      <c r="F21" s="3959" t="n"/>
      <c r="G21" s="3960" t="n"/>
      <c r="H21" s="3960" t="n"/>
      <c r="I21" s="3960" t="n"/>
      <c r="J21" s="3960" t="n"/>
      <c r="K21" s="3960" t="n"/>
      <c r="L21" s="3960" t="n"/>
      <c r="M21" s="3960" t="n"/>
      <c r="N21" s="3960" t="n"/>
      <c r="O21" s="3960" t="n"/>
      <c r="P21" s="3960" t="n"/>
      <c r="Q21" s="3960" t="n"/>
      <c r="R21" s="3960" t="n"/>
      <c r="S21" s="3960" t="n"/>
      <c r="T21" s="3960" t="n"/>
      <c r="U21" s="3960" t="n"/>
      <c r="V21" s="3960" t="n"/>
      <c r="W21" s="3960" t="n"/>
      <c r="X21" s="3960" t="n"/>
      <c r="Y21" s="3960" t="n"/>
      <c r="Z21" s="3960" t="n"/>
      <c r="AA21" s="3960" t="n"/>
      <c r="AB21" s="3960" t="n"/>
      <c r="AC21" s="3960" t="n"/>
      <c r="AD21" s="3960" t="n"/>
      <c r="AE21" s="3960" t="n"/>
      <c r="AF21" s="3960" t="n"/>
      <c r="AG21" s="3960" t="n"/>
      <c r="AH21" s="3960" t="n"/>
      <c r="AI21" s="3960" t="n"/>
      <c r="AJ21" s="3960" t="n"/>
      <c r="AK21" s="3960" t="n"/>
      <c r="AL21" s="3960" t="n"/>
      <c r="AM21" s="3960" t="n"/>
      <c r="AN21" s="3960" t="n"/>
      <c r="AO21" s="3960" t="n"/>
      <c r="AP21" s="3960" t="n"/>
      <c r="AQ21" s="3960" t="n"/>
      <c r="AR21" s="3960" t="n"/>
      <c r="AS21" s="3960" t="n"/>
    </row>
    <row r="22">
      <c r="A22" s="3959" t="n"/>
      <c r="B22" s="3959" t="n"/>
      <c r="C22" s="3959" t="n"/>
      <c r="D22" s="3959" t="n"/>
      <c r="E22" s="3959" t="n"/>
      <c r="F22" s="3959" t="n"/>
      <c r="G22" s="3960" t="n"/>
      <c r="H22" s="3960" t="n"/>
      <c r="I22" s="3960" t="n"/>
      <c r="J22" s="3960" t="n"/>
      <c r="K22" s="3960" t="n"/>
      <c r="L22" s="3960" t="n"/>
      <c r="M22" s="3960" t="n"/>
      <c r="N22" s="3960" t="n"/>
      <c r="O22" s="3960" t="n"/>
      <c r="P22" s="3960" t="n"/>
      <c r="Q22" s="3960" t="n"/>
      <c r="R22" s="3960" t="n"/>
      <c r="S22" s="3960" t="n"/>
      <c r="T22" s="3960" t="n"/>
      <c r="U22" s="3960" t="n"/>
      <c r="V22" s="3960" t="n"/>
      <c r="W22" s="3960" t="n"/>
      <c r="X22" s="3960" t="n"/>
      <c r="Y22" s="3960" t="n"/>
      <c r="Z22" s="3960" t="n"/>
      <c r="AA22" s="3960" t="n"/>
      <c r="AB22" s="3960" t="n"/>
      <c r="AC22" s="3960" t="n"/>
      <c r="AD22" s="3960" t="n"/>
      <c r="AE22" s="3960" t="n"/>
      <c r="AF22" s="3960" t="n"/>
      <c r="AG22" s="3960" t="n"/>
      <c r="AH22" s="3960" t="n"/>
      <c r="AI22" s="3960" t="n"/>
      <c r="AJ22" s="3960" t="n"/>
      <c r="AK22" s="3960" t="n"/>
      <c r="AL22" s="3960" t="n"/>
      <c r="AM22" s="3960" t="n"/>
      <c r="AN22" s="3960" t="n"/>
      <c r="AO22" s="3960" t="n"/>
      <c r="AP22" s="3960" t="n"/>
      <c r="AQ22" s="3960" t="n"/>
      <c r="AR22" s="3960" t="n"/>
      <c r="AS22" s="3960" t="n"/>
    </row>
    <row r="23">
      <c r="A23" s="3959" t="n"/>
      <c r="B23" s="3959" t="n"/>
      <c r="C23" s="3959" t="n"/>
      <c r="D23" s="3959" t="n"/>
      <c r="E23" s="3959" t="n"/>
      <c r="F23" s="3959" t="n"/>
      <c r="G23" s="3960" t="n"/>
      <c r="H23" s="3960" t="n"/>
      <c r="I23" s="3960" t="n"/>
      <c r="J23" s="3960" t="n"/>
      <c r="K23" s="3960" t="n"/>
      <c r="L23" s="3960" t="n"/>
      <c r="M23" s="3960" t="n"/>
      <c r="N23" s="3960" t="n"/>
      <c r="O23" s="3960" t="n"/>
      <c r="P23" s="3960" t="n"/>
      <c r="Q23" s="3960" t="n"/>
      <c r="R23" s="3960" t="n"/>
      <c r="S23" s="3960" t="n"/>
      <c r="T23" s="3960" t="n"/>
      <c r="U23" s="3960" t="n"/>
      <c r="V23" s="3960" t="n"/>
      <c r="W23" s="3960" t="n"/>
      <c r="X23" s="3960" t="n"/>
      <c r="Y23" s="3960" t="n"/>
      <c r="Z23" s="3960" t="n"/>
      <c r="AA23" s="3960" t="n"/>
      <c r="AB23" s="3960" t="n"/>
      <c r="AC23" s="3960" t="n"/>
      <c r="AD23" s="3960" t="n"/>
      <c r="AE23" s="3960" t="n"/>
      <c r="AF23" s="3960" t="n"/>
      <c r="AG23" s="3960" t="n"/>
      <c r="AH23" s="3960" t="n"/>
      <c r="AI23" s="3960" t="n"/>
      <c r="AJ23" s="3960" t="n"/>
      <c r="AK23" s="3960" t="n"/>
      <c r="AL23" s="3960" t="n"/>
      <c r="AM23" s="3960" t="n"/>
      <c r="AN23" s="3960" t="n"/>
      <c r="AO23" s="3960" t="n"/>
      <c r="AP23" s="3960" t="n"/>
      <c r="AQ23" s="3960" t="n"/>
      <c r="AR23" s="3960" t="n"/>
      <c r="AS23" s="3960" t="n"/>
    </row>
    <row r="24">
      <c r="A24" s="3959" t="n"/>
      <c r="B24" s="3959" t="n"/>
      <c r="C24" s="3959" t="n"/>
      <c r="D24" s="3959" t="n"/>
      <c r="E24" s="3959" t="n"/>
      <c r="F24" s="3959" t="n"/>
      <c r="G24" s="3960" t="n"/>
      <c r="H24" s="3960" t="n"/>
      <c r="I24" s="3960" t="n"/>
      <c r="J24" s="3960" t="n"/>
      <c r="K24" s="3960" t="n"/>
      <c r="L24" s="3960" t="n"/>
      <c r="M24" s="3960" t="n"/>
      <c r="N24" s="3960" t="n"/>
      <c r="O24" s="3960" t="n"/>
      <c r="P24" s="3960" t="n"/>
      <c r="Q24" s="3960" t="n"/>
      <c r="R24" s="3960" t="n"/>
      <c r="S24" s="3960" t="n"/>
      <c r="T24" s="3960" t="n"/>
      <c r="U24" s="3960" t="n"/>
      <c r="V24" s="3960" t="n"/>
      <c r="W24" s="3960" t="n"/>
      <c r="X24" s="3960" t="n"/>
      <c r="Y24" s="3960" t="n"/>
      <c r="Z24" s="3960" t="n"/>
      <c r="AA24" s="3960" t="n"/>
      <c r="AB24" s="3960" t="n"/>
      <c r="AC24" s="3960" t="n"/>
      <c r="AD24" s="3960" t="n"/>
      <c r="AE24" s="3960" t="n"/>
      <c r="AF24" s="3960" t="n"/>
      <c r="AG24" s="3960" t="n"/>
      <c r="AH24" s="3960" t="n"/>
      <c r="AI24" s="3960" t="n"/>
      <c r="AJ24" s="3960" t="n"/>
      <c r="AK24" s="3960" t="n"/>
      <c r="AL24" s="3960" t="n"/>
      <c r="AM24" s="3960" t="n"/>
      <c r="AN24" s="3960" t="n"/>
      <c r="AO24" s="3960" t="n"/>
      <c r="AP24" s="3960" t="n"/>
      <c r="AQ24" s="3960" t="n"/>
      <c r="AR24" s="3960" t="n"/>
      <c r="AS24" s="3960" t="n"/>
    </row>
    <row r="25">
      <c r="A25" s="3959" t="n"/>
      <c r="B25" s="3959" t="n"/>
      <c r="C25" s="3959" t="n"/>
      <c r="D25" s="3959" t="n"/>
      <c r="E25" s="3959" t="n"/>
      <c r="F25" s="3959" t="n"/>
      <c r="G25" s="3960" t="n"/>
      <c r="H25" s="3960" t="n"/>
      <c r="I25" s="3960" t="n"/>
      <c r="J25" s="3960" t="n"/>
      <c r="K25" s="3960" t="n"/>
      <c r="L25" s="3960" t="n"/>
      <c r="M25" s="3960" t="n"/>
      <c r="N25" s="3960" t="n"/>
      <c r="O25" s="3960" t="n"/>
      <c r="P25" s="3960" t="n"/>
      <c r="Q25" s="3960" t="n"/>
      <c r="R25" s="3960" t="n"/>
      <c r="S25" s="3960" t="n"/>
      <c r="T25" s="3960" t="n"/>
      <c r="U25" s="3960" t="n"/>
      <c r="V25" s="3960" t="n"/>
      <c r="W25" s="3960" t="n"/>
      <c r="X25" s="3960" t="n"/>
      <c r="Y25" s="3960" t="n"/>
      <c r="Z25" s="3960" t="n"/>
      <c r="AA25" s="3960" t="n"/>
      <c r="AB25" s="3960" t="n"/>
      <c r="AC25" s="3960" t="n"/>
      <c r="AD25" s="3960" t="n"/>
      <c r="AE25" s="3960" t="n"/>
      <c r="AF25" s="3960" t="n"/>
      <c r="AG25" s="3960" t="n"/>
      <c r="AH25" s="3960" t="n"/>
      <c r="AI25" s="3960" t="n"/>
      <c r="AJ25" s="3960" t="n"/>
      <c r="AK25" s="3960" t="n"/>
      <c r="AL25" s="3960" t="n"/>
      <c r="AM25" s="3960" t="n"/>
      <c r="AN25" s="3960" t="n"/>
      <c r="AO25" s="3960" t="n"/>
      <c r="AP25" s="3960" t="n"/>
      <c r="AQ25" s="3960" t="n"/>
      <c r="AR25" s="3960" t="n"/>
      <c r="AS25" s="3960" t="n"/>
    </row>
    <row r="26">
      <c r="A26" s="3959" t="n"/>
      <c r="B26" s="3959" t="n"/>
      <c r="C26" s="3959" t="n"/>
      <c r="D26" s="3959" t="n"/>
      <c r="E26" s="3959" t="n"/>
      <c r="F26" s="3959" t="n"/>
      <c r="G26" s="3960" t="n"/>
      <c r="H26" s="3960" t="n"/>
      <c r="I26" s="3960" t="n"/>
      <c r="J26" s="3960" t="n"/>
      <c r="K26" s="3960" t="n"/>
      <c r="L26" s="3960" t="n"/>
      <c r="M26" s="3960" t="n"/>
      <c r="N26" s="3960" t="n"/>
      <c r="O26" s="3960" t="n"/>
      <c r="P26" s="3960" t="n"/>
      <c r="Q26" s="3960" t="n"/>
      <c r="R26" s="3960" t="n"/>
      <c r="S26" s="3960" t="n"/>
      <c r="T26" s="3960" t="n"/>
      <c r="U26" s="3960" t="n"/>
      <c r="V26" s="3960" t="n"/>
      <c r="W26" s="3960" t="n"/>
      <c r="X26" s="3960" t="n"/>
      <c r="Y26" s="3960" t="n"/>
      <c r="Z26" s="3960" t="n"/>
      <c r="AA26" s="3960" t="n"/>
      <c r="AB26" s="3960" t="n"/>
      <c r="AC26" s="3960" t="n"/>
      <c r="AD26" s="3960" t="n"/>
      <c r="AE26" s="3960" t="n"/>
      <c r="AF26" s="3960" t="n"/>
      <c r="AG26" s="3960" t="n"/>
      <c r="AH26" s="3960" t="n"/>
      <c r="AI26" s="3960" t="n"/>
      <c r="AJ26" s="3960" t="n"/>
      <c r="AK26" s="3960" t="n"/>
      <c r="AL26" s="3960" t="n"/>
      <c r="AM26" s="3960" t="n"/>
      <c r="AN26" s="3960" t="n"/>
      <c r="AO26" s="3960" t="n"/>
      <c r="AP26" s="3960" t="n"/>
      <c r="AQ26" s="3960" t="n"/>
      <c r="AR26" s="3960" t="n"/>
      <c r="AS26" s="3960" t="n"/>
    </row>
    <row r="27">
      <c r="A27" s="3979" t="inlineStr">
        <is>
          <t>NWC_DETAIL_CHECKS</t>
        </is>
      </c>
      <c r="B27" s="3980" t="n"/>
      <c r="C27" s="3980" t="n"/>
      <c r="D27" s="3980" t="n"/>
      <c r="E27" s="3980" t="n"/>
      <c r="F27" s="3980" t="n"/>
      <c r="G27" s="3981" t="n"/>
      <c r="H27" s="3981" t="n"/>
      <c r="I27" s="3981" t="n"/>
      <c r="J27" s="3981" t="n"/>
      <c r="K27" s="3981" t="n"/>
      <c r="L27" s="3981" t="n"/>
      <c r="M27" s="3981" t="n"/>
      <c r="N27" s="3981" t="n"/>
      <c r="O27" s="3981" t="n"/>
      <c r="P27" s="3981" t="n"/>
      <c r="Q27" s="3981" t="n"/>
      <c r="R27" s="3981" t="n"/>
      <c r="S27" s="3981" t="n"/>
      <c r="T27" s="3981" t="n"/>
      <c r="U27" s="3981" t="n"/>
      <c r="V27" s="3981" t="n"/>
      <c r="W27" s="3981" t="n"/>
      <c r="X27" s="3981" t="n"/>
      <c r="Y27" s="3981" t="n"/>
      <c r="Z27" s="3981" t="n"/>
      <c r="AA27" s="3981" t="n"/>
      <c r="AB27" s="3981" t="n"/>
      <c r="AC27" s="3981" t="n"/>
      <c r="AD27" s="3981" t="n"/>
      <c r="AE27" s="3981" t="n"/>
      <c r="AF27" s="3981" t="n"/>
      <c r="AG27" s="3981" t="n"/>
      <c r="AH27" s="3981" t="n"/>
      <c r="AI27" s="3981" t="n"/>
      <c r="AJ27" s="3981" t="n"/>
      <c r="AK27" s="3981" t="n"/>
      <c r="AL27" s="3981" t="n"/>
      <c r="AM27" s="3981" t="n"/>
      <c r="AN27" s="3981" t="n"/>
      <c r="AO27" s="3981" t="n"/>
      <c r="AP27" s="3981" t="n"/>
      <c r="AQ27" s="3981" t="n"/>
      <c r="AR27" s="3981" t="n"/>
      <c r="AS27" s="3981" t="n"/>
    </row>
    <row r="28">
      <c r="A28" s="3959" t="inlineStr">
        <is>
          <t>NWC total tie-out vs Stratified BS</t>
        </is>
      </c>
      <c r="B28" s="3959" t="n"/>
      <c r="C28" s="3959" t="n"/>
      <c r="D28" s="3959" t="n"/>
      <c r="E28" s="3959" t="n"/>
      <c r="F28" s="3959" t="n"/>
      <c r="G28" s="3961" t="n"/>
      <c r="H28" s="3961" t="n"/>
      <c r="I28" s="3961" t="n"/>
      <c r="J28" s="3961" t="n"/>
      <c r="K28" s="3961" t="n"/>
      <c r="L28" s="3961" t="n"/>
      <c r="M28" s="3961" t="n"/>
      <c r="N28" s="3961" t="n"/>
      <c r="O28" s="3961" t="n"/>
      <c r="P28" s="3961" t="n"/>
      <c r="Q28" s="3961" t="n"/>
      <c r="R28" s="3961" t="n"/>
      <c r="S28" s="3961" t="n"/>
      <c r="T28" s="3961" t="n"/>
      <c r="U28" s="3961" t="n"/>
      <c r="V28" s="3961" t="n"/>
      <c r="W28" s="3961" t="n"/>
      <c r="X28" s="3961" t="n"/>
      <c r="Y28" s="3961" t="n"/>
      <c r="Z28" s="3961" t="n"/>
      <c r="AA28" s="3961" t="n"/>
      <c r="AB28" s="3961" t="n"/>
      <c r="AC28" s="3961" t="n"/>
      <c r="AD28" s="3961" t="n"/>
      <c r="AE28" s="3961" t="n"/>
      <c r="AF28" s="3961" t="n"/>
      <c r="AG28" s="3961" t="n"/>
      <c r="AH28" s="3961" t="n"/>
      <c r="AI28" s="3961" t="n"/>
      <c r="AJ28" s="3961" t="n"/>
      <c r="AK28" s="3961" t="n"/>
      <c r="AL28" s="3961" t="n"/>
      <c r="AM28" s="3961" t="n"/>
      <c r="AN28" s="3961" t="n"/>
      <c r="AO28" s="3961" t="n"/>
      <c r="AP28" s="3961" t="n"/>
      <c r="AQ28" s="3961" t="n"/>
      <c r="AR28" s="3961" t="n"/>
      <c r="AS28" s="3961" t="n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S28"/>
  <sheetViews>
    <sheetView showGridLines="0" zoomScale="100" zoomScaleNormal="100" workbookViewId="0">
      <pane xSplit="6" ySplit="8" topLeftCell="G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28" customWidth="1" min="2" max="2"/>
    <col width="16" customWidth="1" min="3" max="3"/>
    <col width="7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</cols>
  <sheetData>
    <row r="1">
      <c r="A1" s="3962" t="inlineStr">
        <is>
          <t>NWC Days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  <c r="AS1" s="3934" t="n"/>
    </row>
    <row r="2">
      <c r="A2" s="3978" t="inlineStr">
        <is>
          <t>Source: &lt;document_source&gt;</t>
        </is>
      </c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  <c r="AS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  <c r="AS3" s="3934" t="n"/>
    </row>
    <row r="4">
      <c r="A4" s="3934" t="n"/>
      <c r="B4" s="3934" t="n"/>
      <c r="C4" s="3934" t="n"/>
      <c r="D4" s="3934" t="n"/>
      <c r="E4" s="3934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  <c r="AS4" s="3934" t="n"/>
    </row>
    <row r="5">
      <c r="A5" s="3934" t="n"/>
      <c r="B5" s="3934" t="n"/>
      <c r="C5" s="3934" t="n"/>
      <c r="D5" s="3934" t="n"/>
      <c r="E5" s="3934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  <c r="AS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  <c r="AS6" s="3934" t="n"/>
    </row>
    <row r="7">
      <c r="A7" s="3979" t="inlineStr">
        <is>
          <t>NWC Days</t>
        </is>
      </c>
      <c r="B7" s="3980" t="n"/>
      <c r="C7" s="3980" t="n"/>
      <c r="D7" s="3980" t="n"/>
      <c r="E7" s="3980" t="n"/>
      <c r="F7" s="3980" t="n"/>
      <c r="G7" s="3980" t="n"/>
      <c r="H7" s="3980" t="n"/>
      <c r="I7" s="3980" t="n"/>
      <c r="J7" s="3980" t="n"/>
      <c r="K7" s="3980" t="n"/>
      <c r="L7" s="3980" t="n"/>
      <c r="M7" s="3980" t="n"/>
      <c r="N7" s="3980" t="n"/>
      <c r="O7" s="3980" t="n"/>
      <c r="P7" s="3980" t="n"/>
      <c r="Q7" s="3980" t="n"/>
      <c r="R7" s="3980" t="n"/>
      <c r="S7" s="3980" t="n"/>
      <c r="T7" s="3980" t="n"/>
      <c r="U7" s="3980" t="n"/>
      <c r="V7" s="3980" t="n"/>
      <c r="W7" s="3980" t="n"/>
      <c r="X7" s="3980" t="n"/>
      <c r="Y7" s="3980" t="n"/>
      <c r="Z7" s="3980" t="n"/>
      <c r="AA7" s="3980" t="n"/>
      <c r="AB7" s="3980" t="n"/>
      <c r="AC7" s="3980" t="n"/>
      <c r="AD7" s="3980" t="n"/>
      <c r="AE7" s="3980" t="n"/>
      <c r="AF7" s="3980" t="n"/>
      <c r="AG7" s="3980" t="n"/>
      <c r="AH7" s="3980" t="n"/>
      <c r="AI7" s="3980" t="n"/>
      <c r="AJ7" s="3980" t="n"/>
      <c r="AK7" s="3980" t="n"/>
      <c r="AL7" s="3980" t="n"/>
      <c r="AM7" s="3980" t="n"/>
      <c r="AN7" s="3980" t="n"/>
      <c r="AO7" s="3980" t="n"/>
      <c r="AP7" s="3980" t="n"/>
      <c r="AQ7" s="3980" t="n"/>
      <c r="AR7" s="3980" t="n"/>
      <c r="AS7" s="3980" t="n"/>
    </row>
    <row r="8">
      <c r="A8" s="3923" t="inlineStr">
        <is>
          <t>Metric</t>
        </is>
      </c>
      <c r="B8" s="3964" t="inlineStr">
        <is>
          <t>Jan</t>
        </is>
      </c>
      <c r="C8" s="3964" t="inlineStr">
        <is>
          <t>Feb</t>
        </is>
      </c>
      <c r="D8" s="3964" t="inlineStr">
        <is>
          <t>Mar</t>
        </is>
      </c>
      <c r="E8" s="3964" t="inlineStr">
        <is>
          <t>Apr</t>
        </is>
      </c>
      <c r="F8" s="3964" t="inlineStr">
        <is>
          <t>May</t>
        </is>
      </c>
      <c r="G8" s="3965" t="inlineStr">
        <is>
          <t>Jun</t>
        </is>
      </c>
      <c r="H8" s="3965" t="inlineStr">
        <is>
          <t>Jul</t>
        </is>
      </c>
      <c r="I8" s="3965" t="inlineStr">
        <is>
          <t>Aug</t>
        </is>
      </c>
      <c r="J8" s="3965" t="inlineStr">
        <is>
          <t>Sep</t>
        </is>
      </c>
      <c r="K8" s="3965" t="inlineStr">
        <is>
          <t>Oct</t>
        </is>
      </c>
      <c r="L8" s="3965" t="inlineStr">
        <is>
          <t>Nov</t>
        </is>
      </c>
      <c r="M8" s="3965" t="inlineStr">
        <is>
          <t>Dec</t>
        </is>
      </c>
      <c r="N8" s="3965" t="inlineStr">
        <is>
          <t>FY Avg</t>
        </is>
      </c>
      <c r="O8" s="3965" t="inlineStr">
        <is>
          <t>FY Min</t>
        </is>
      </c>
      <c r="P8" s="3965" t="inlineStr">
        <is>
          <t>FY Max</t>
        </is>
      </c>
      <c r="Q8" s="3965" t="n"/>
      <c r="R8" s="3965" t="n"/>
      <c r="S8" s="3965" t="n"/>
      <c r="T8" s="3965" t="n"/>
      <c r="U8" s="3965" t="n"/>
      <c r="V8" s="3965" t="n"/>
      <c r="W8" s="3965" t="n"/>
      <c r="X8" s="3965" t="n"/>
      <c r="Y8" s="3965" t="n"/>
      <c r="Z8" s="3965" t="n"/>
      <c r="AA8" s="3965" t="n"/>
      <c r="AB8" s="3965" t="n"/>
      <c r="AC8" s="3965" t="n"/>
      <c r="AD8" s="3965" t="n"/>
      <c r="AE8" s="3965" t="n"/>
      <c r="AF8" s="3965" t="n"/>
      <c r="AG8" s="3965" t="n"/>
      <c r="AH8" s="3965" t="n"/>
      <c r="AI8" s="3965" t="n"/>
      <c r="AJ8" s="3965" t="n"/>
      <c r="AK8" s="3965" t="n"/>
      <c r="AL8" s="3965" t="n"/>
      <c r="AM8" s="3965" t="n"/>
      <c r="AN8" s="3965" t="n"/>
      <c r="AO8" s="3965" t="n"/>
      <c r="AP8" s="3965" t="n"/>
      <c r="AQ8" s="3965" t="n"/>
      <c r="AR8" s="3965" t="n"/>
      <c r="AS8" s="3965" t="n"/>
    </row>
    <row r="9">
      <c r="A9" s="3959" t="inlineStr">
        <is>
          <t>DSO</t>
        </is>
      </c>
      <c r="B9" s="3966" t="n"/>
      <c r="C9" s="3966" t="n"/>
      <c r="D9" s="3966" t="n"/>
      <c r="E9" s="3966" t="n"/>
      <c r="F9" s="3966" t="n"/>
      <c r="G9" s="3929" t="n"/>
      <c r="H9" s="3929" t="n"/>
      <c r="I9" s="3929" t="n"/>
      <c r="J9" s="3929" t="n"/>
      <c r="K9" s="3929" t="n"/>
      <c r="L9" s="3929" t="n"/>
      <c r="M9" s="3929" t="n"/>
      <c r="N9" s="3929" t="n"/>
      <c r="O9" s="3929" t="n"/>
      <c r="P9" s="3929" t="n"/>
      <c r="Q9" s="3960" t="n"/>
      <c r="R9" s="3960" t="n"/>
      <c r="S9" s="3960" t="n"/>
      <c r="T9" s="3960" t="n"/>
      <c r="U9" s="3960" t="n"/>
      <c r="V9" s="3960" t="n"/>
      <c r="W9" s="3960" t="n"/>
      <c r="X9" s="3960" t="n"/>
      <c r="Y9" s="3960" t="n"/>
      <c r="Z9" s="3960" t="n"/>
      <c r="AA9" s="3960" t="n"/>
      <c r="AB9" s="3960" t="n"/>
      <c r="AC9" s="3960" t="n"/>
      <c r="AD9" s="3960" t="n"/>
      <c r="AE9" s="3960" t="n"/>
      <c r="AF9" s="3960" t="n"/>
      <c r="AG9" s="3960" t="n"/>
      <c r="AH9" s="3960" t="n"/>
      <c r="AI9" s="3960" t="n"/>
      <c r="AJ9" s="3960" t="n"/>
      <c r="AK9" s="3960" t="n"/>
      <c r="AL9" s="3960" t="n"/>
      <c r="AM9" s="3960" t="n"/>
      <c r="AN9" s="3960" t="n"/>
      <c r="AO9" s="3960" t="n"/>
      <c r="AP9" s="3960" t="n"/>
      <c r="AQ9" s="3960" t="n"/>
      <c r="AR9" s="3960" t="n"/>
      <c r="AS9" s="3960" t="n"/>
    </row>
    <row r="10">
      <c r="A10" s="3959" t="inlineStr">
        <is>
          <t>DPO</t>
        </is>
      </c>
      <c r="B10" s="3966" t="n"/>
      <c r="C10" s="3966" t="n"/>
      <c r="D10" s="3966" t="n"/>
      <c r="E10" s="3966" t="n"/>
      <c r="F10" s="3966" t="n"/>
      <c r="G10" s="3929" t="n"/>
      <c r="H10" s="3929" t="n"/>
      <c r="I10" s="3929" t="n"/>
      <c r="J10" s="3929" t="n"/>
      <c r="K10" s="3929" t="n"/>
      <c r="L10" s="3929" t="n"/>
      <c r="M10" s="3929" t="n"/>
      <c r="N10" s="3929" t="n"/>
      <c r="O10" s="3929" t="n"/>
      <c r="P10" s="3929" t="n"/>
      <c r="Q10" s="3960" t="n"/>
      <c r="R10" s="3960" t="n"/>
      <c r="S10" s="3960" t="n"/>
      <c r="T10" s="3960" t="n"/>
      <c r="U10" s="3960" t="n"/>
      <c r="V10" s="3960" t="n"/>
      <c r="W10" s="3960" t="n"/>
      <c r="X10" s="3960" t="n"/>
      <c r="Y10" s="3960" t="n"/>
      <c r="Z10" s="3960" t="n"/>
      <c r="AA10" s="3960" t="n"/>
      <c r="AB10" s="3960" t="n"/>
      <c r="AC10" s="3960" t="n"/>
      <c r="AD10" s="3960" t="n"/>
      <c r="AE10" s="3960" t="n"/>
      <c r="AF10" s="3960" t="n"/>
      <c r="AG10" s="3960" t="n"/>
      <c r="AH10" s="3960" t="n"/>
      <c r="AI10" s="3960" t="n"/>
      <c r="AJ10" s="3960" t="n"/>
      <c r="AK10" s="3960" t="n"/>
      <c r="AL10" s="3960" t="n"/>
      <c r="AM10" s="3960" t="n"/>
      <c r="AN10" s="3960" t="n"/>
      <c r="AO10" s="3960" t="n"/>
      <c r="AP10" s="3960" t="n"/>
      <c r="AQ10" s="3960" t="n"/>
      <c r="AR10" s="3960" t="n"/>
      <c r="AS10" s="3960" t="n"/>
    </row>
    <row r="11">
      <c r="A11" s="3959" t="inlineStr">
        <is>
          <t>DIO</t>
        </is>
      </c>
      <c r="B11" s="3966" t="n"/>
      <c r="C11" s="3966" t="n"/>
      <c r="D11" s="3966" t="n"/>
      <c r="E11" s="3966" t="n"/>
      <c r="F11" s="3966" t="n"/>
      <c r="G11" s="3929" t="n"/>
      <c r="H11" s="3929" t="n"/>
      <c r="I11" s="3929" t="n"/>
      <c r="J11" s="3929" t="n"/>
      <c r="K11" s="3929" t="n"/>
      <c r="L11" s="3929" t="n"/>
      <c r="M11" s="3929" t="n"/>
      <c r="N11" s="3929" t="n"/>
      <c r="O11" s="3929" t="n"/>
      <c r="P11" s="3929" t="n"/>
      <c r="Q11" s="3960" t="n"/>
      <c r="R11" s="3960" t="n"/>
      <c r="S11" s="3960" t="n"/>
      <c r="T11" s="3960" t="n"/>
      <c r="U11" s="3960" t="n"/>
      <c r="V11" s="3960" t="n"/>
      <c r="W11" s="3960" t="n"/>
      <c r="X11" s="3960" t="n"/>
      <c r="Y11" s="3960" t="n"/>
      <c r="Z11" s="3960" t="n"/>
      <c r="AA11" s="3960" t="n"/>
      <c r="AB11" s="3960" t="n"/>
      <c r="AC11" s="3960" t="n"/>
      <c r="AD11" s="3960" t="n"/>
      <c r="AE11" s="3960" t="n"/>
      <c r="AF11" s="3960" t="n"/>
      <c r="AG11" s="3960" t="n"/>
      <c r="AH11" s="3960" t="n"/>
      <c r="AI11" s="3960" t="n"/>
      <c r="AJ11" s="3960" t="n"/>
      <c r="AK11" s="3960" t="n"/>
      <c r="AL11" s="3960" t="n"/>
      <c r="AM11" s="3960" t="n"/>
      <c r="AN11" s="3960" t="n"/>
      <c r="AO11" s="3960" t="n"/>
      <c r="AP11" s="3960" t="n"/>
      <c r="AQ11" s="3960" t="n"/>
      <c r="AR11" s="3960" t="n"/>
      <c r="AS11" s="3960" t="n"/>
    </row>
    <row r="12">
      <c r="A12" s="3959" t="inlineStr">
        <is>
          <t>CCC</t>
        </is>
      </c>
      <c r="B12" s="3966" t="n"/>
      <c r="C12" s="3966" t="n"/>
      <c r="D12" s="3966" t="n"/>
      <c r="E12" s="3966" t="n"/>
      <c r="F12" s="3966" t="n"/>
      <c r="G12" s="3929" t="n"/>
      <c r="H12" s="3929" t="n"/>
      <c r="I12" s="3929" t="n"/>
      <c r="J12" s="3929" t="n"/>
      <c r="K12" s="3929" t="n"/>
      <c r="L12" s="3929" t="n"/>
      <c r="M12" s="3929" t="n"/>
      <c r="N12" s="3929" t="n"/>
      <c r="O12" s="3929" t="n"/>
      <c r="P12" s="3929" t="n"/>
      <c r="Q12" s="3960" t="n"/>
      <c r="R12" s="3960" t="n"/>
      <c r="S12" s="3960" t="n"/>
      <c r="T12" s="3960" t="n"/>
      <c r="U12" s="3960" t="n"/>
      <c r="V12" s="3960" t="n"/>
      <c r="W12" s="3960" t="n"/>
      <c r="X12" s="3960" t="n"/>
      <c r="Y12" s="3960" t="n"/>
      <c r="Z12" s="3960" t="n"/>
      <c r="AA12" s="3960" t="n"/>
      <c r="AB12" s="3960" t="n"/>
      <c r="AC12" s="3960" t="n"/>
      <c r="AD12" s="3960" t="n"/>
      <c r="AE12" s="3960" t="n"/>
      <c r="AF12" s="3960" t="n"/>
      <c r="AG12" s="3960" t="n"/>
      <c r="AH12" s="3960" t="n"/>
      <c r="AI12" s="3960" t="n"/>
      <c r="AJ12" s="3960" t="n"/>
      <c r="AK12" s="3960" t="n"/>
      <c r="AL12" s="3960" t="n"/>
      <c r="AM12" s="3960" t="n"/>
      <c r="AN12" s="3960" t="n"/>
      <c r="AO12" s="3960" t="n"/>
      <c r="AP12" s="3960" t="n"/>
      <c r="AQ12" s="3960" t="n"/>
      <c r="AR12" s="3960" t="n"/>
      <c r="AS12" s="3960" t="n"/>
    </row>
    <row r="13">
      <c r="A13" s="3959" t="n"/>
      <c r="B13" s="3959" t="n"/>
      <c r="C13" s="3959" t="n"/>
      <c r="D13" s="3959" t="n"/>
      <c r="E13" s="3959" t="n"/>
      <c r="F13" s="3959" t="n"/>
      <c r="G13" s="3960" t="n"/>
      <c r="H13" s="3960" t="n"/>
      <c r="I13" s="3960" t="n"/>
      <c r="J13" s="3960" t="n"/>
      <c r="K13" s="3960" t="n"/>
      <c r="L13" s="3960" t="n"/>
      <c r="M13" s="3960" t="n"/>
      <c r="N13" s="3960" t="n"/>
      <c r="O13" s="3960" t="n"/>
      <c r="P13" s="3960" t="n"/>
      <c r="Q13" s="3960" t="n"/>
      <c r="R13" s="3960" t="n"/>
      <c r="S13" s="3960" t="n"/>
      <c r="T13" s="3960" t="n"/>
      <c r="U13" s="3960" t="n"/>
      <c r="V13" s="3960" t="n"/>
      <c r="W13" s="3960" t="n"/>
      <c r="X13" s="3960" t="n"/>
      <c r="Y13" s="3960" t="n"/>
      <c r="Z13" s="3960" t="n"/>
      <c r="AA13" s="3960" t="n"/>
      <c r="AB13" s="3960" t="n"/>
      <c r="AC13" s="3960" t="n"/>
      <c r="AD13" s="3960" t="n"/>
      <c r="AE13" s="3960" t="n"/>
      <c r="AF13" s="3960" t="n"/>
      <c r="AG13" s="3960" t="n"/>
      <c r="AH13" s="3960" t="n"/>
      <c r="AI13" s="3960" t="n"/>
      <c r="AJ13" s="3960" t="n"/>
      <c r="AK13" s="3960" t="n"/>
      <c r="AL13" s="3960" t="n"/>
      <c r="AM13" s="3960" t="n"/>
      <c r="AN13" s="3960" t="n"/>
      <c r="AO13" s="3960" t="n"/>
      <c r="AP13" s="3960" t="n"/>
      <c r="AQ13" s="3960" t="n"/>
      <c r="AR13" s="3960" t="n"/>
      <c r="AS13" s="3960" t="n"/>
    </row>
    <row r="14">
      <c r="A14" s="3959" t="n"/>
      <c r="B14" s="3959" t="n"/>
      <c r="C14" s="3959" t="n"/>
      <c r="D14" s="3959" t="n"/>
      <c r="E14" s="3959" t="n"/>
      <c r="F14" s="3959" t="n"/>
      <c r="G14" s="3960" t="n"/>
      <c r="H14" s="3960" t="n"/>
      <c r="I14" s="3960" t="n"/>
      <c r="J14" s="3960" t="n"/>
      <c r="K14" s="3960" t="n"/>
      <c r="L14" s="3960" t="n"/>
      <c r="M14" s="3960" t="n"/>
      <c r="N14" s="3960" t="n"/>
      <c r="O14" s="3960" t="n"/>
      <c r="P14" s="3960" t="n"/>
      <c r="Q14" s="3960" t="n"/>
      <c r="R14" s="3960" t="n"/>
      <c r="S14" s="3960" t="n"/>
      <c r="T14" s="3960" t="n"/>
      <c r="U14" s="3960" t="n"/>
      <c r="V14" s="3960" t="n"/>
      <c r="W14" s="3960" t="n"/>
      <c r="X14" s="3960" t="n"/>
      <c r="Y14" s="3960" t="n"/>
      <c r="Z14" s="3960" t="n"/>
      <c r="AA14" s="3960" t="n"/>
      <c r="AB14" s="3960" t="n"/>
      <c r="AC14" s="3960" t="n"/>
      <c r="AD14" s="3960" t="n"/>
      <c r="AE14" s="3960" t="n"/>
      <c r="AF14" s="3960" t="n"/>
      <c r="AG14" s="3960" t="n"/>
      <c r="AH14" s="3960" t="n"/>
      <c r="AI14" s="3960" t="n"/>
      <c r="AJ14" s="3960" t="n"/>
      <c r="AK14" s="3960" t="n"/>
      <c r="AL14" s="3960" t="n"/>
      <c r="AM14" s="3960" t="n"/>
      <c r="AN14" s="3960" t="n"/>
      <c r="AO14" s="3960" t="n"/>
      <c r="AP14" s="3960" t="n"/>
      <c r="AQ14" s="3960" t="n"/>
      <c r="AR14" s="3960" t="n"/>
      <c r="AS14" s="3960" t="n"/>
    </row>
    <row r="15">
      <c r="A15" s="3959" t="n"/>
      <c r="B15" s="3959" t="n"/>
      <c r="C15" s="3959" t="n"/>
      <c r="D15" s="3959" t="n"/>
      <c r="E15" s="3959" t="n"/>
      <c r="F15" s="3959" t="n"/>
      <c r="G15" s="3960" t="n"/>
      <c r="H15" s="3960" t="n"/>
      <c r="I15" s="3960" t="n"/>
      <c r="J15" s="3960" t="n"/>
      <c r="K15" s="3960" t="n"/>
      <c r="L15" s="3960" t="n"/>
      <c r="M15" s="3960" t="n"/>
      <c r="N15" s="3960" t="n"/>
      <c r="O15" s="3960" t="n"/>
      <c r="P15" s="3960" t="n"/>
      <c r="Q15" s="3960" t="n"/>
      <c r="R15" s="3960" t="n"/>
      <c r="S15" s="3960" t="n"/>
      <c r="T15" s="3960" t="n"/>
      <c r="U15" s="3960" t="n"/>
      <c r="V15" s="3960" t="n"/>
      <c r="W15" s="3960" t="n"/>
      <c r="X15" s="3960" t="n"/>
      <c r="Y15" s="3960" t="n"/>
      <c r="Z15" s="3960" t="n"/>
      <c r="AA15" s="3960" t="n"/>
      <c r="AB15" s="3960" t="n"/>
      <c r="AC15" s="3960" t="n"/>
      <c r="AD15" s="3960" t="n"/>
      <c r="AE15" s="3960" t="n"/>
      <c r="AF15" s="3960" t="n"/>
      <c r="AG15" s="3960" t="n"/>
      <c r="AH15" s="3960" t="n"/>
      <c r="AI15" s="3960" t="n"/>
      <c r="AJ15" s="3960" t="n"/>
      <c r="AK15" s="3960" t="n"/>
      <c r="AL15" s="3960" t="n"/>
      <c r="AM15" s="3960" t="n"/>
      <c r="AN15" s="3960" t="n"/>
      <c r="AO15" s="3960" t="n"/>
      <c r="AP15" s="3960" t="n"/>
      <c r="AQ15" s="3960" t="n"/>
      <c r="AR15" s="3960" t="n"/>
      <c r="AS15" s="3960" t="n"/>
    </row>
    <row r="16">
      <c r="A16" s="3959" t="n"/>
      <c r="B16" s="3959" t="n"/>
      <c r="C16" s="3959" t="n"/>
      <c r="D16" s="3959" t="n"/>
      <c r="E16" s="3959" t="n"/>
      <c r="F16" s="3959" t="n"/>
      <c r="G16" s="3960" t="n"/>
      <c r="H16" s="3960" t="n"/>
      <c r="I16" s="3960" t="n"/>
      <c r="J16" s="3960" t="n"/>
      <c r="K16" s="3960" t="n"/>
      <c r="L16" s="3960" t="n"/>
      <c r="M16" s="3960" t="n"/>
      <c r="N16" s="3960" t="n"/>
      <c r="O16" s="3960" t="n"/>
      <c r="P16" s="3960" t="n"/>
      <c r="Q16" s="3960" t="n"/>
      <c r="R16" s="3960" t="n"/>
      <c r="S16" s="3960" t="n"/>
      <c r="T16" s="3960" t="n"/>
      <c r="U16" s="3960" t="n"/>
      <c r="V16" s="3960" t="n"/>
      <c r="W16" s="3960" t="n"/>
      <c r="X16" s="3960" t="n"/>
      <c r="Y16" s="3960" t="n"/>
      <c r="Z16" s="3960" t="n"/>
      <c r="AA16" s="3960" t="n"/>
      <c r="AB16" s="3960" t="n"/>
      <c r="AC16" s="3960" t="n"/>
      <c r="AD16" s="3960" t="n"/>
      <c r="AE16" s="3960" t="n"/>
      <c r="AF16" s="3960" t="n"/>
      <c r="AG16" s="3960" t="n"/>
      <c r="AH16" s="3960" t="n"/>
      <c r="AI16" s="3960" t="n"/>
      <c r="AJ16" s="3960" t="n"/>
      <c r="AK16" s="3960" t="n"/>
      <c r="AL16" s="3960" t="n"/>
      <c r="AM16" s="3960" t="n"/>
      <c r="AN16" s="3960" t="n"/>
      <c r="AO16" s="3960" t="n"/>
      <c r="AP16" s="3960" t="n"/>
      <c r="AQ16" s="3960" t="n"/>
      <c r="AR16" s="3960" t="n"/>
      <c r="AS16" s="3960" t="n"/>
    </row>
    <row r="17">
      <c r="A17" s="3959" t="n"/>
      <c r="B17" s="3959" t="n"/>
      <c r="C17" s="3959" t="n"/>
      <c r="D17" s="3959" t="n"/>
      <c r="E17" s="3959" t="n"/>
      <c r="F17" s="3959" t="n"/>
      <c r="G17" s="3960" t="n"/>
      <c r="H17" s="3960" t="n"/>
      <c r="I17" s="3960" t="n"/>
      <c r="J17" s="3960" t="n"/>
      <c r="K17" s="3960" t="n"/>
      <c r="L17" s="3960" t="n"/>
      <c r="M17" s="3960" t="n"/>
      <c r="N17" s="3960" t="n"/>
      <c r="O17" s="3960" t="n"/>
      <c r="P17" s="3960" t="n"/>
      <c r="Q17" s="3960" t="n"/>
      <c r="R17" s="3960" t="n"/>
      <c r="S17" s="3960" t="n"/>
      <c r="T17" s="3960" t="n"/>
      <c r="U17" s="3960" t="n"/>
      <c r="V17" s="3960" t="n"/>
      <c r="W17" s="3960" t="n"/>
      <c r="X17" s="3960" t="n"/>
      <c r="Y17" s="3960" t="n"/>
      <c r="Z17" s="3960" t="n"/>
      <c r="AA17" s="3960" t="n"/>
      <c r="AB17" s="3960" t="n"/>
      <c r="AC17" s="3960" t="n"/>
      <c r="AD17" s="3960" t="n"/>
      <c r="AE17" s="3960" t="n"/>
      <c r="AF17" s="3960" t="n"/>
      <c r="AG17" s="3960" t="n"/>
      <c r="AH17" s="3960" t="n"/>
      <c r="AI17" s="3960" t="n"/>
      <c r="AJ17" s="3960" t="n"/>
      <c r="AK17" s="3960" t="n"/>
      <c r="AL17" s="3960" t="n"/>
      <c r="AM17" s="3960" t="n"/>
      <c r="AN17" s="3960" t="n"/>
      <c r="AO17" s="3960" t="n"/>
      <c r="AP17" s="3960" t="n"/>
      <c r="AQ17" s="3960" t="n"/>
      <c r="AR17" s="3960" t="n"/>
      <c r="AS17" s="3960" t="n"/>
    </row>
    <row r="18">
      <c r="A18" s="3959" t="n"/>
      <c r="B18" s="3959" t="n"/>
      <c r="C18" s="3959" t="n"/>
      <c r="D18" s="3959" t="n"/>
      <c r="E18" s="3959" t="n"/>
      <c r="F18" s="3959" t="n"/>
      <c r="G18" s="3960" t="n"/>
      <c r="H18" s="3960" t="n"/>
      <c r="I18" s="3960" t="n"/>
      <c r="J18" s="3960" t="n"/>
      <c r="K18" s="3960" t="n"/>
      <c r="L18" s="3960" t="n"/>
      <c r="M18" s="3960" t="n"/>
      <c r="N18" s="3960" t="n"/>
      <c r="O18" s="3960" t="n"/>
      <c r="P18" s="3960" t="n"/>
      <c r="Q18" s="3960" t="n"/>
      <c r="R18" s="3960" t="n"/>
      <c r="S18" s="3960" t="n"/>
      <c r="T18" s="3960" t="n"/>
      <c r="U18" s="3960" t="n"/>
      <c r="V18" s="3960" t="n"/>
      <c r="W18" s="3960" t="n"/>
      <c r="X18" s="3960" t="n"/>
      <c r="Y18" s="3960" t="n"/>
      <c r="Z18" s="3960" t="n"/>
      <c r="AA18" s="3960" t="n"/>
      <c r="AB18" s="3960" t="n"/>
      <c r="AC18" s="3960" t="n"/>
      <c r="AD18" s="3960" t="n"/>
      <c r="AE18" s="3960" t="n"/>
      <c r="AF18" s="3960" t="n"/>
      <c r="AG18" s="3960" t="n"/>
      <c r="AH18" s="3960" t="n"/>
      <c r="AI18" s="3960" t="n"/>
      <c r="AJ18" s="3960" t="n"/>
      <c r="AK18" s="3960" t="n"/>
      <c r="AL18" s="3960" t="n"/>
      <c r="AM18" s="3960" t="n"/>
      <c r="AN18" s="3960" t="n"/>
      <c r="AO18" s="3960" t="n"/>
      <c r="AP18" s="3960" t="n"/>
      <c r="AQ18" s="3960" t="n"/>
      <c r="AR18" s="3960" t="n"/>
      <c r="AS18" s="3960" t="n"/>
    </row>
    <row r="19">
      <c r="A19" s="3959" t="n"/>
      <c r="B19" s="3959" t="n"/>
      <c r="C19" s="3959" t="n"/>
      <c r="D19" s="3959" t="n"/>
      <c r="E19" s="3959" t="n"/>
      <c r="F19" s="3959" t="n"/>
      <c r="G19" s="3960" t="n"/>
      <c r="H19" s="3960" t="n"/>
      <c r="I19" s="3960" t="n"/>
      <c r="J19" s="3960" t="n"/>
      <c r="K19" s="3960" t="n"/>
      <c r="L19" s="3960" t="n"/>
      <c r="M19" s="3960" t="n"/>
      <c r="N19" s="3960" t="n"/>
      <c r="O19" s="3960" t="n"/>
      <c r="P19" s="3960" t="n"/>
      <c r="Q19" s="3960" t="n"/>
      <c r="R19" s="3960" t="n"/>
      <c r="S19" s="3960" t="n"/>
      <c r="T19" s="3960" t="n"/>
      <c r="U19" s="3960" t="n"/>
      <c r="V19" s="3960" t="n"/>
      <c r="W19" s="3960" t="n"/>
      <c r="X19" s="3960" t="n"/>
      <c r="Y19" s="3960" t="n"/>
      <c r="Z19" s="3960" t="n"/>
      <c r="AA19" s="3960" t="n"/>
      <c r="AB19" s="3960" t="n"/>
      <c r="AC19" s="3960" t="n"/>
      <c r="AD19" s="3960" t="n"/>
      <c r="AE19" s="3960" t="n"/>
      <c r="AF19" s="3960" t="n"/>
      <c r="AG19" s="3960" t="n"/>
      <c r="AH19" s="3960" t="n"/>
      <c r="AI19" s="3960" t="n"/>
      <c r="AJ19" s="3960" t="n"/>
      <c r="AK19" s="3960" t="n"/>
      <c r="AL19" s="3960" t="n"/>
      <c r="AM19" s="3960" t="n"/>
      <c r="AN19" s="3960" t="n"/>
      <c r="AO19" s="3960" t="n"/>
      <c r="AP19" s="3960" t="n"/>
      <c r="AQ19" s="3960" t="n"/>
      <c r="AR19" s="3960" t="n"/>
      <c r="AS19" s="3960" t="n"/>
    </row>
    <row r="20">
      <c r="A20" s="3959" t="n"/>
      <c r="B20" s="3959" t="n"/>
      <c r="C20" s="3959" t="n"/>
      <c r="D20" s="3959" t="n"/>
      <c r="E20" s="3959" t="n"/>
      <c r="F20" s="3959" t="n"/>
      <c r="G20" s="3960" t="n"/>
      <c r="H20" s="3960" t="n"/>
      <c r="I20" s="3960" t="n"/>
      <c r="J20" s="3960" t="n"/>
      <c r="K20" s="3960" t="n"/>
      <c r="L20" s="3960" t="n"/>
      <c r="M20" s="3960" t="n"/>
      <c r="N20" s="3960" t="n"/>
      <c r="O20" s="3960" t="n"/>
      <c r="P20" s="3960" t="n"/>
      <c r="Q20" s="3960" t="n"/>
      <c r="R20" s="3960" t="n"/>
      <c r="S20" s="3960" t="n"/>
      <c r="T20" s="3960" t="n"/>
      <c r="U20" s="3960" t="n"/>
      <c r="V20" s="3960" t="n"/>
      <c r="W20" s="3960" t="n"/>
      <c r="X20" s="3960" t="n"/>
      <c r="Y20" s="3960" t="n"/>
      <c r="Z20" s="3960" t="n"/>
      <c r="AA20" s="3960" t="n"/>
      <c r="AB20" s="3960" t="n"/>
      <c r="AC20" s="3960" t="n"/>
      <c r="AD20" s="3960" t="n"/>
      <c r="AE20" s="3960" t="n"/>
      <c r="AF20" s="3960" t="n"/>
      <c r="AG20" s="3960" t="n"/>
      <c r="AH20" s="3960" t="n"/>
      <c r="AI20" s="3960" t="n"/>
      <c r="AJ20" s="3960" t="n"/>
      <c r="AK20" s="3960" t="n"/>
      <c r="AL20" s="3960" t="n"/>
      <c r="AM20" s="3960" t="n"/>
      <c r="AN20" s="3960" t="n"/>
      <c r="AO20" s="3960" t="n"/>
      <c r="AP20" s="3960" t="n"/>
      <c r="AQ20" s="3960" t="n"/>
      <c r="AR20" s="3960" t="n"/>
      <c r="AS20" s="3960" t="n"/>
    </row>
    <row r="21">
      <c r="A21" s="3959" t="n"/>
      <c r="B21" s="3959" t="n"/>
      <c r="C21" s="3959" t="n"/>
      <c r="D21" s="3959" t="n"/>
      <c r="E21" s="3959" t="n"/>
      <c r="F21" s="3959" t="n"/>
      <c r="G21" s="3960" t="n"/>
      <c r="H21" s="3960" t="n"/>
      <c r="I21" s="3960" t="n"/>
      <c r="J21" s="3960" t="n"/>
      <c r="K21" s="3960" t="n"/>
      <c r="L21" s="3960" t="n"/>
      <c r="M21" s="3960" t="n"/>
      <c r="N21" s="3960" t="n"/>
      <c r="O21" s="3960" t="n"/>
      <c r="P21" s="3960" t="n"/>
      <c r="Q21" s="3960" t="n"/>
      <c r="R21" s="3960" t="n"/>
      <c r="S21" s="3960" t="n"/>
      <c r="T21" s="3960" t="n"/>
      <c r="U21" s="3960" t="n"/>
      <c r="V21" s="3960" t="n"/>
      <c r="W21" s="3960" t="n"/>
      <c r="X21" s="3960" t="n"/>
      <c r="Y21" s="3960" t="n"/>
      <c r="Z21" s="3960" t="n"/>
      <c r="AA21" s="3960" t="n"/>
      <c r="AB21" s="3960" t="n"/>
      <c r="AC21" s="3960" t="n"/>
      <c r="AD21" s="3960" t="n"/>
      <c r="AE21" s="3960" t="n"/>
      <c r="AF21" s="3960" t="n"/>
      <c r="AG21" s="3960" t="n"/>
      <c r="AH21" s="3960" t="n"/>
      <c r="AI21" s="3960" t="n"/>
      <c r="AJ21" s="3960" t="n"/>
      <c r="AK21" s="3960" t="n"/>
      <c r="AL21" s="3960" t="n"/>
      <c r="AM21" s="3960" t="n"/>
      <c r="AN21" s="3960" t="n"/>
      <c r="AO21" s="3960" t="n"/>
      <c r="AP21" s="3960" t="n"/>
      <c r="AQ21" s="3960" t="n"/>
      <c r="AR21" s="3960" t="n"/>
      <c r="AS21" s="3960" t="n"/>
    </row>
    <row r="22">
      <c r="A22" s="3959" t="n"/>
      <c r="B22" s="3959" t="n"/>
      <c r="C22" s="3959" t="n"/>
      <c r="D22" s="3959" t="n"/>
      <c r="E22" s="3959" t="n"/>
      <c r="F22" s="3959" t="n"/>
      <c r="G22" s="3960" t="n"/>
      <c r="H22" s="3960" t="n"/>
      <c r="I22" s="3960" t="n"/>
      <c r="J22" s="3960" t="n"/>
      <c r="K22" s="3960" t="n"/>
      <c r="L22" s="3960" t="n"/>
      <c r="M22" s="3960" t="n"/>
      <c r="N22" s="3960" t="n"/>
      <c r="O22" s="3960" t="n"/>
      <c r="P22" s="3960" t="n"/>
      <c r="Q22" s="3960" t="n"/>
      <c r="R22" s="3960" t="n"/>
      <c r="S22" s="3960" t="n"/>
      <c r="T22" s="3960" t="n"/>
      <c r="U22" s="3960" t="n"/>
      <c r="V22" s="3960" t="n"/>
      <c r="W22" s="3960" t="n"/>
      <c r="X22" s="3960" t="n"/>
      <c r="Y22" s="3960" t="n"/>
      <c r="Z22" s="3960" t="n"/>
      <c r="AA22" s="3960" t="n"/>
      <c r="AB22" s="3960" t="n"/>
      <c r="AC22" s="3960" t="n"/>
      <c r="AD22" s="3960" t="n"/>
      <c r="AE22" s="3960" t="n"/>
      <c r="AF22" s="3960" t="n"/>
      <c r="AG22" s="3960" t="n"/>
      <c r="AH22" s="3960" t="n"/>
      <c r="AI22" s="3960" t="n"/>
      <c r="AJ22" s="3960" t="n"/>
      <c r="AK22" s="3960" t="n"/>
      <c r="AL22" s="3960" t="n"/>
      <c r="AM22" s="3960" t="n"/>
      <c r="AN22" s="3960" t="n"/>
      <c r="AO22" s="3960" t="n"/>
      <c r="AP22" s="3960" t="n"/>
      <c r="AQ22" s="3960" t="n"/>
      <c r="AR22" s="3960" t="n"/>
      <c r="AS22" s="3960" t="n"/>
    </row>
    <row r="23">
      <c r="A23" s="3959" t="n"/>
      <c r="B23" s="3959" t="n"/>
      <c r="C23" s="3959" t="n"/>
      <c r="D23" s="3959" t="n"/>
      <c r="E23" s="3959" t="n"/>
      <c r="F23" s="3959" t="n"/>
      <c r="G23" s="3960" t="n"/>
      <c r="H23" s="3960" t="n"/>
      <c r="I23" s="3960" t="n"/>
      <c r="J23" s="3960" t="n"/>
      <c r="K23" s="3960" t="n"/>
      <c r="L23" s="3960" t="n"/>
      <c r="M23" s="3960" t="n"/>
      <c r="N23" s="3960" t="n"/>
      <c r="O23" s="3960" t="n"/>
      <c r="P23" s="3960" t="n"/>
      <c r="Q23" s="3960" t="n"/>
      <c r="R23" s="3960" t="n"/>
      <c r="S23" s="3960" t="n"/>
      <c r="T23" s="3960" t="n"/>
      <c r="U23" s="3960" t="n"/>
      <c r="V23" s="3960" t="n"/>
      <c r="W23" s="3960" t="n"/>
      <c r="X23" s="3960" t="n"/>
      <c r="Y23" s="3960" t="n"/>
      <c r="Z23" s="3960" t="n"/>
      <c r="AA23" s="3960" t="n"/>
      <c r="AB23" s="3960" t="n"/>
      <c r="AC23" s="3960" t="n"/>
      <c r="AD23" s="3960" t="n"/>
      <c r="AE23" s="3960" t="n"/>
      <c r="AF23" s="3960" t="n"/>
      <c r="AG23" s="3960" t="n"/>
      <c r="AH23" s="3960" t="n"/>
      <c r="AI23" s="3960" t="n"/>
      <c r="AJ23" s="3960" t="n"/>
      <c r="AK23" s="3960" t="n"/>
      <c r="AL23" s="3960" t="n"/>
      <c r="AM23" s="3960" t="n"/>
      <c r="AN23" s="3960" t="n"/>
      <c r="AO23" s="3960" t="n"/>
      <c r="AP23" s="3960" t="n"/>
      <c r="AQ23" s="3960" t="n"/>
      <c r="AR23" s="3960" t="n"/>
      <c r="AS23" s="3960" t="n"/>
    </row>
    <row r="24">
      <c r="A24" s="3959" t="n"/>
      <c r="B24" s="3959" t="n"/>
      <c r="C24" s="3959" t="n"/>
      <c r="D24" s="3959" t="n"/>
      <c r="E24" s="3959" t="n"/>
      <c r="F24" s="3959" t="n"/>
      <c r="G24" s="3960" t="n"/>
      <c r="H24" s="3960" t="n"/>
      <c r="I24" s="3960" t="n"/>
      <c r="J24" s="3960" t="n"/>
      <c r="K24" s="3960" t="n"/>
      <c r="L24" s="3960" t="n"/>
      <c r="M24" s="3960" t="n"/>
      <c r="N24" s="3960" t="n"/>
      <c r="O24" s="3960" t="n"/>
      <c r="P24" s="3960" t="n"/>
      <c r="Q24" s="3960" t="n"/>
      <c r="R24" s="3960" t="n"/>
      <c r="S24" s="3960" t="n"/>
      <c r="T24" s="3960" t="n"/>
      <c r="U24" s="3960" t="n"/>
      <c r="V24" s="3960" t="n"/>
      <c r="W24" s="3960" t="n"/>
      <c r="X24" s="3960" t="n"/>
      <c r="Y24" s="3960" t="n"/>
      <c r="Z24" s="3960" t="n"/>
      <c r="AA24" s="3960" t="n"/>
      <c r="AB24" s="3960" t="n"/>
      <c r="AC24" s="3960" t="n"/>
      <c r="AD24" s="3960" t="n"/>
      <c r="AE24" s="3960" t="n"/>
      <c r="AF24" s="3960" t="n"/>
      <c r="AG24" s="3960" t="n"/>
      <c r="AH24" s="3960" t="n"/>
      <c r="AI24" s="3960" t="n"/>
      <c r="AJ24" s="3960" t="n"/>
      <c r="AK24" s="3960" t="n"/>
      <c r="AL24" s="3960" t="n"/>
      <c r="AM24" s="3960" t="n"/>
      <c r="AN24" s="3960" t="n"/>
      <c r="AO24" s="3960" t="n"/>
      <c r="AP24" s="3960" t="n"/>
      <c r="AQ24" s="3960" t="n"/>
      <c r="AR24" s="3960" t="n"/>
      <c r="AS24" s="3960" t="n"/>
    </row>
    <row r="25">
      <c r="A25" s="3959" t="n"/>
      <c r="B25" s="3959" t="n"/>
      <c r="C25" s="3959" t="n"/>
      <c r="D25" s="3959" t="n"/>
      <c r="E25" s="3959" t="n"/>
      <c r="F25" s="3959" t="n"/>
      <c r="G25" s="3960" t="n"/>
      <c r="H25" s="3960" t="n"/>
      <c r="I25" s="3960" t="n"/>
      <c r="J25" s="3960" t="n"/>
      <c r="K25" s="3960" t="n"/>
      <c r="L25" s="3960" t="n"/>
      <c r="M25" s="3960" t="n"/>
      <c r="N25" s="3960" t="n"/>
      <c r="O25" s="3960" t="n"/>
      <c r="P25" s="3960" t="n"/>
      <c r="Q25" s="3960" t="n"/>
      <c r="R25" s="3960" t="n"/>
      <c r="S25" s="3960" t="n"/>
      <c r="T25" s="3960" t="n"/>
      <c r="U25" s="3960" t="n"/>
      <c r="V25" s="3960" t="n"/>
      <c r="W25" s="3960" t="n"/>
      <c r="X25" s="3960" t="n"/>
      <c r="Y25" s="3960" t="n"/>
      <c r="Z25" s="3960" t="n"/>
      <c r="AA25" s="3960" t="n"/>
      <c r="AB25" s="3960" t="n"/>
      <c r="AC25" s="3960" t="n"/>
      <c r="AD25" s="3960" t="n"/>
      <c r="AE25" s="3960" t="n"/>
      <c r="AF25" s="3960" t="n"/>
      <c r="AG25" s="3960" t="n"/>
      <c r="AH25" s="3960" t="n"/>
      <c r="AI25" s="3960" t="n"/>
      <c r="AJ25" s="3960" t="n"/>
      <c r="AK25" s="3960" t="n"/>
      <c r="AL25" s="3960" t="n"/>
      <c r="AM25" s="3960" t="n"/>
      <c r="AN25" s="3960" t="n"/>
      <c r="AO25" s="3960" t="n"/>
      <c r="AP25" s="3960" t="n"/>
      <c r="AQ25" s="3960" t="n"/>
      <c r="AR25" s="3960" t="n"/>
      <c r="AS25" s="3960" t="n"/>
    </row>
    <row r="26">
      <c r="A26" s="3959" t="n"/>
      <c r="B26" s="3959" t="n"/>
      <c r="C26" s="3959" t="n"/>
      <c r="D26" s="3959" t="n"/>
      <c r="E26" s="3959" t="n"/>
      <c r="F26" s="3959" t="n"/>
      <c r="G26" s="3960" t="n"/>
      <c r="H26" s="3960" t="n"/>
      <c r="I26" s="3960" t="n"/>
      <c r="J26" s="3960" t="n"/>
      <c r="K26" s="3960" t="n"/>
      <c r="L26" s="3960" t="n"/>
      <c r="M26" s="3960" t="n"/>
      <c r="N26" s="3960" t="n"/>
      <c r="O26" s="3960" t="n"/>
      <c r="P26" s="3960" t="n"/>
      <c r="Q26" s="3960" t="n"/>
      <c r="R26" s="3960" t="n"/>
      <c r="S26" s="3960" t="n"/>
      <c r="T26" s="3960" t="n"/>
      <c r="U26" s="3960" t="n"/>
      <c r="V26" s="3960" t="n"/>
      <c r="W26" s="3960" t="n"/>
      <c r="X26" s="3960" t="n"/>
      <c r="Y26" s="3960" t="n"/>
      <c r="Z26" s="3960" t="n"/>
      <c r="AA26" s="3960" t="n"/>
      <c r="AB26" s="3960" t="n"/>
      <c r="AC26" s="3960" t="n"/>
      <c r="AD26" s="3960" t="n"/>
      <c r="AE26" s="3960" t="n"/>
      <c r="AF26" s="3960" t="n"/>
      <c r="AG26" s="3960" t="n"/>
      <c r="AH26" s="3960" t="n"/>
      <c r="AI26" s="3960" t="n"/>
      <c r="AJ26" s="3960" t="n"/>
      <c r="AK26" s="3960" t="n"/>
      <c r="AL26" s="3960" t="n"/>
      <c r="AM26" s="3960" t="n"/>
      <c r="AN26" s="3960" t="n"/>
      <c r="AO26" s="3960" t="n"/>
      <c r="AP26" s="3960" t="n"/>
      <c r="AQ26" s="3960" t="n"/>
      <c r="AR26" s="3960" t="n"/>
      <c r="AS26" s="3960" t="n"/>
    </row>
    <row r="27">
      <c r="A27" s="3979" t="inlineStr">
        <is>
          <t>NWC_DAYS_CHECKS</t>
        </is>
      </c>
      <c r="B27" s="3980" t="n"/>
      <c r="C27" s="3980" t="n"/>
      <c r="D27" s="3980" t="n"/>
      <c r="E27" s="3980" t="n"/>
      <c r="F27" s="3980" t="n"/>
      <c r="G27" s="3981" t="n"/>
      <c r="H27" s="3981" t="n"/>
      <c r="I27" s="3981" t="n"/>
      <c r="J27" s="3981" t="n"/>
      <c r="K27" s="3981" t="n"/>
      <c r="L27" s="3981" t="n"/>
      <c r="M27" s="3981" t="n"/>
      <c r="N27" s="3981" t="n"/>
      <c r="O27" s="3981" t="n"/>
      <c r="P27" s="3981" t="n"/>
      <c r="Q27" s="3981" t="n"/>
      <c r="R27" s="3981" t="n"/>
      <c r="S27" s="3981" t="n"/>
      <c r="T27" s="3981" t="n"/>
      <c r="U27" s="3981" t="n"/>
      <c r="V27" s="3981" t="n"/>
      <c r="W27" s="3981" t="n"/>
      <c r="X27" s="3981" t="n"/>
      <c r="Y27" s="3981" t="n"/>
      <c r="Z27" s="3981" t="n"/>
      <c r="AA27" s="3981" t="n"/>
      <c r="AB27" s="3981" t="n"/>
      <c r="AC27" s="3981" t="n"/>
      <c r="AD27" s="3981" t="n"/>
      <c r="AE27" s="3981" t="n"/>
      <c r="AF27" s="3981" t="n"/>
      <c r="AG27" s="3981" t="n"/>
      <c r="AH27" s="3981" t="n"/>
      <c r="AI27" s="3981" t="n"/>
      <c r="AJ27" s="3981" t="n"/>
      <c r="AK27" s="3981" t="n"/>
      <c r="AL27" s="3981" t="n"/>
      <c r="AM27" s="3981" t="n"/>
      <c r="AN27" s="3981" t="n"/>
      <c r="AO27" s="3981" t="n"/>
      <c r="AP27" s="3981" t="n"/>
      <c r="AQ27" s="3981" t="n"/>
      <c r="AR27" s="3981" t="n"/>
      <c r="AS27" s="3981" t="n"/>
    </row>
    <row r="28">
      <c r="A28" s="3959" t="inlineStr">
        <is>
          <t>Days metrics reasonableness review</t>
        </is>
      </c>
      <c r="B28" s="3967" t="n"/>
      <c r="C28" s="3967" t="n"/>
      <c r="D28" s="3967" t="n"/>
      <c r="E28" s="3967" t="n"/>
      <c r="F28" s="3967" t="n"/>
      <c r="G28" s="3961" t="n"/>
      <c r="H28" s="3961" t="n"/>
      <c r="I28" s="3961" t="n"/>
      <c r="J28" s="3961" t="n"/>
      <c r="K28" s="3961" t="n"/>
      <c r="L28" s="3961" t="n"/>
      <c r="M28" s="3961" t="n"/>
      <c r="N28" s="3961" t="n"/>
      <c r="O28" s="3961" t="n"/>
      <c r="P28" s="3961" t="n"/>
      <c r="Q28" s="3960" t="n"/>
      <c r="R28" s="3960" t="n"/>
      <c r="S28" s="3960" t="n"/>
      <c r="T28" s="3960" t="n"/>
      <c r="U28" s="3960" t="n"/>
      <c r="V28" s="3960" t="n"/>
      <c r="W28" s="3960" t="n"/>
      <c r="X28" s="3960" t="n"/>
      <c r="Y28" s="3960" t="n"/>
      <c r="Z28" s="3960" t="n"/>
      <c r="AA28" s="3960" t="n"/>
      <c r="AB28" s="3960" t="n"/>
      <c r="AC28" s="3960" t="n"/>
      <c r="AD28" s="3960" t="n"/>
      <c r="AE28" s="3960" t="n"/>
      <c r="AF28" s="3960" t="n"/>
      <c r="AG28" s="3960" t="n"/>
      <c r="AH28" s="3960" t="n"/>
      <c r="AI28" s="3960" t="n"/>
      <c r="AJ28" s="3960" t="n"/>
      <c r="AK28" s="3960" t="n"/>
      <c r="AL28" s="3960" t="n"/>
      <c r="AM28" s="3960" t="n"/>
      <c r="AN28" s="3960" t="n"/>
      <c r="AO28" s="3960" t="n"/>
      <c r="AP28" s="3960" t="n"/>
      <c r="AQ28" s="3960" t="n"/>
      <c r="AR28" s="3960" t="n"/>
      <c r="AS28" s="3960" t="n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S28"/>
  <sheetViews>
    <sheetView showGridLines="0" zoomScale="100" zoomScaleNormal="100" workbookViewId="0">
      <pane xSplit="6" ySplit="8" topLeftCell="G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28" customWidth="1" min="2" max="2"/>
    <col width="16" customWidth="1" min="3" max="3"/>
    <col width="7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</cols>
  <sheetData>
    <row r="1">
      <c r="A1" s="3962" t="inlineStr">
        <is>
          <t>Stratified BS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  <c r="AS1" s="3934" t="n"/>
    </row>
    <row r="2">
      <c r="A2" s="3978" t="inlineStr">
        <is>
          <t>Source: &lt;document_source&gt;</t>
        </is>
      </c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  <c r="AS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  <c r="AS3" s="3934" t="n"/>
    </row>
    <row r="4">
      <c r="A4" s="3934" t="n"/>
      <c r="B4" s="3934" t="n"/>
      <c r="C4" s="3934" t="n"/>
      <c r="D4" s="3934" t="n"/>
      <c r="E4" s="3934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  <c r="AS4" s="3934" t="n"/>
    </row>
    <row r="5">
      <c r="A5" s="3934" t="n"/>
      <c r="B5" s="3934" t="n"/>
      <c r="C5" s="3934" t="n"/>
      <c r="D5" s="3934" t="n"/>
      <c r="E5" s="3934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  <c r="AS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  <c r="AS6" s="3934" t="n"/>
    </row>
    <row r="7">
      <c r="A7" s="3979" t="inlineStr">
        <is>
          <t>Stratified BS</t>
        </is>
      </c>
      <c r="B7" s="3980" t="n"/>
      <c r="C7" s="3980" t="n"/>
      <c r="D7" s="3980" t="n"/>
      <c r="E7" s="3980" t="n"/>
      <c r="F7" s="3980" t="n"/>
      <c r="G7" s="3980" t="n"/>
      <c r="H7" s="3980" t="n"/>
      <c r="I7" s="3980" t="n"/>
      <c r="J7" s="3980" t="n"/>
      <c r="K7" s="3980" t="n"/>
      <c r="L7" s="3980" t="n"/>
      <c r="M7" s="3980" t="n"/>
      <c r="N7" s="3980" t="n"/>
      <c r="O7" s="3980" t="n"/>
      <c r="P7" s="3980" t="n"/>
      <c r="Q7" s="3980" t="n"/>
      <c r="R7" s="3980" t="n"/>
      <c r="S7" s="3980" t="n"/>
      <c r="T7" s="3980" t="n"/>
      <c r="U7" s="3980" t="n"/>
      <c r="V7" s="3980" t="n"/>
      <c r="W7" s="3980" t="n"/>
      <c r="X7" s="3980" t="n"/>
      <c r="Y7" s="3980" t="n"/>
      <c r="Z7" s="3980" t="n"/>
      <c r="AA7" s="3980" t="n"/>
      <c r="AB7" s="3980" t="n"/>
      <c r="AC7" s="3980" t="n"/>
      <c r="AD7" s="3980" t="n"/>
      <c r="AE7" s="3980" t="n"/>
      <c r="AF7" s="3980" t="n"/>
      <c r="AG7" s="3980" t="n"/>
      <c r="AH7" s="3980" t="n"/>
      <c r="AI7" s="3980" t="n"/>
      <c r="AJ7" s="3980" t="n"/>
      <c r="AK7" s="3980" t="n"/>
      <c r="AL7" s="3980" t="n"/>
      <c r="AM7" s="3980" t="n"/>
      <c r="AN7" s="3980" t="n"/>
      <c r="AO7" s="3980" t="n"/>
      <c r="AP7" s="3980" t="n"/>
      <c r="AQ7" s="3980" t="n"/>
      <c r="AR7" s="3980" t="n"/>
      <c r="AS7" s="3980" t="n"/>
    </row>
    <row r="8">
      <c r="A8" s="3923" t="inlineStr">
        <is>
          <t>LineKey</t>
        </is>
      </c>
      <c r="B8" s="3964" t="inlineStr">
        <is>
          <t>$'000</t>
        </is>
      </c>
      <c r="C8" s="3964" t="inlineStr">
        <is>
          <t>TB Account No.</t>
        </is>
      </c>
      <c r="D8" s="3964" t="inlineStr">
        <is>
          <t>Sign</t>
        </is>
      </c>
      <c r="E8" s="3964" t="inlineStr">
        <is>
          <t>Source</t>
        </is>
      </c>
      <c r="F8" s="3964" t="inlineStr">
        <is>
          <t>Comments</t>
        </is>
      </c>
      <c r="G8" s="3965">
        <f>'Control | Setup'!A22</f>
        <v/>
      </c>
      <c r="H8" s="3965">
        <f>'Control | Setup'!A23</f>
        <v/>
      </c>
      <c r="I8" s="3965">
        <f>'Control | Setup'!A24</f>
        <v/>
      </c>
      <c r="J8" s="3965">
        <f>'Control | Setup'!A25</f>
        <v/>
      </c>
      <c r="K8" s="3965">
        <f>'Control | Setup'!A26</f>
        <v/>
      </c>
      <c r="L8" s="3965">
        <f>'Control | Setup'!A27</f>
        <v/>
      </c>
      <c r="M8" s="3965">
        <f>'Control | Setup'!A28</f>
        <v/>
      </c>
      <c r="N8" s="3965">
        <f>'Control | Setup'!A29</f>
        <v/>
      </c>
      <c r="O8" s="3965">
        <f>'Control | Setup'!A30</f>
        <v/>
      </c>
      <c r="P8" s="3965">
        <f>'Control | Setup'!A31</f>
        <v/>
      </c>
      <c r="Q8" s="3965">
        <f>'Control | Setup'!A32</f>
        <v/>
      </c>
      <c r="R8" s="3965">
        <f>'Control | Setup'!A33</f>
        <v/>
      </c>
      <c r="S8" s="3965">
        <f>'Control | Setup'!A34</f>
        <v/>
      </c>
      <c r="T8" s="3965">
        <f>'Control | Setup'!A35</f>
        <v/>
      </c>
      <c r="U8" s="3965">
        <f>'Control | Setup'!A36</f>
        <v/>
      </c>
      <c r="V8" s="3965">
        <f>'Control | Setup'!A37</f>
        <v/>
      </c>
      <c r="W8" s="3965">
        <f>'Control | Setup'!A38</f>
        <v/>
      </c>
      <c r="X8" s="3965">
        <f>'Control | Setup'!A39</f>
        <v/>
      </c>
      <c r="Y8" s="3965">
        <f>'Control | Setup'!A40</f>
        <v/>
      </c>
      <c r="Z8" s="3965">
        <f>'Control | Setup'!A41</f>
        <v/>
      </c>
      <c r="AA8" s="3965">
        <f>'Control | Setup'!A42</f>
        <v/>
      </c>
      <c r="AB8" s="3965">
        <f>'Control | Setup'!A43</f>
        <v/>
      </c>
      <c r="AC8" s="3965">
        <f>'Control | Setup'!A44</f>
        <v/>
      </c>
      <c r="AD8" s="3965">
        <f>'Control | Setup'!A45</f>
        <v/>
      </c>
      <c r="AE8" s="3965">
        <f>'Control | Setup'!A46</f>
        <v/>
      </c>
      <c r="AF8" s="3965">
        <f>'Control | Setup'!A47</f>
        <v/>
      </c>
      <c r="AG8" s="3965">
        <f>'Control | Setup'!A48</f>
        <v/>
      </c>
      <c r="AH8" s="3965">
        <f>'Control | Setup'!A49</f>
        <v/>
      </c>
      <c r="AI8" s="3965">
        <f>'Control | Setup'!A50</f>
        <v/>
      </c>
      <c r="AJ8" s="3965">
        <f>'Control | Setup'!A51</f>
        <v/>
      </c>
      <c r="AK8" s="3965">
        <f>'Control | Setup'!A52</f>
        <v/>
      </c>
      <c r="AL8" s="3965">
        <f>'Control | Setup'!A53</f>
        <v/>
      </c>
      <c r="AM8" s="3965">
        <f>'Control | Setup'!A54</f>
        <v/>
      </c>
      <c r="AN8" s="3965">
        <f>'Control | Setup'!A55</f>
        <v/>
      </c>
      <c r="AO8" s="3965">
        <f>'Control | Setup'!A56</f>
        <v/>
      </c>
      <c r="AP8" s="3965">
        <f>'Control | Setup'!A57</f>
        <v/>
      </c>
      <c r="AQ8" s="3965" t="inlineStr">
        <is>
          <t>FY-2</t>
        </is>
      </c>
      <c r="AR8" s="3965" t="inlineStr">
        <is>
          <t>FY-1</t>
        </is>
      </c>
      <c r="AS8" s="3965" t="inlineStr">
        <is>
          <t>TTM</t>
        </is>
      </c>
    </row>
    <row r="9">
      <c r="A9" s="3959" t="inlineStr">
        <is>
          <t>STRAT_AR</t>
        </is>
      </c>
      <c r="B9" s="3959" t="inlineStr">
        <is>
          <t>AR</t>
        </is>
      </c>
      <c r="C9" s="3959" t="inlineStr"/>
      <c r="D9" s="3959" t="inlineStr">
        <is>
          <t>+</t>
        </is>
      </c>
      <c r="E9" s="3959" t="inlineStr">
        <is>
          <t>Class map</t>
        </is>
      </c>
      <c r="F9" s="3959" t="inlineStr"/>
      <c r="G9" s="3929" t="n"/>
      <c r="H9" s="3929" t="n"/>
      <c r="I9" s="3929" t="n"/>
      <c r="J9" s="3929" t="n"/>
      <c r="K9" s="3929" t="n"/>
      <c r="L9" s="3929" t="n"/>
      <c r="M9" s="3929" t="n"/>
      <c r="N9" s="3929" t="n"/>
      <c r="O9" s="3929" t="n"/>
      <c r="P9" s="3929" t="n"/>
      <c r="Q9" s="3929" t="n"/>
      <c r="R9" s="3929" t="n"/>
      <c r="S9" s="3929" t="n"/>
      <c r="T9" s="3929" t="n"/>
      <c r="U9" s="3929" t="n"/>
      <c r="V9" s="3929" t="n"/>
      <c r="W9" s="3929" t="n"/>
      <c r="X9" s="3929" t="n"/>
      <c r="Y9" s="3929" t="n"/>
      <c r="Z9" s="3929" t="n"/>
      <c r="AA9" s="3929" t="n"/>
      <c r="AB9" s="3929" t="n"/>
      <c r="AC9" s="3929" t="n"/>
      <c r="AD9" s="3929" t="n"/>
      <c r="AE9" s="3929" t="n"/>
      <c r="AF9" s="3929" t="n"/>
      <c r="AG9" s="3929" t="n"/>
      <c r="AH9" s="3929" t="n"/>
      <c r="AI9" s="3929" t="n"/>
      <c r="AJ9" s="3929" t="n"/>
      <c r="AK9" s="3929" t="n"/>
      <c r="AL9" s="3929" t="n"/>
      <c r="AM9" s="3929" t="n"/>
      <c r="AN9" s="3929" t="n"/>
      <c r="AO9" s="3929" t="n"/>
      <c r="AP9" s="3929" t="n"/>
      <c r="AQ9" s="3949">
        <f>IF(COUNT(G9:R9)=0,"",SUM(G9:R9))</f>
        <v/>
      </c>
      <c r="AR9" s="3949">
        <f>IF(COUNT(S9:AD9)=0,"",SUM(S9:AD9))</f>
        <v/>
      </c>
      <c r="AS9" s="3949">
        <f>IF(COUNT(AE9:AP9)=0,"",SUM(AE9:AP9))</f>
        <v/>
      </c>
    </row>
    <row r="10">
      <c r="A10" s="3959" t="inlineStr">
        <is>
          <t>STRAT_INV</t>
        </is>
      </c>
      <c r="B10" s="3959" t="inlineStr">
        <is>
          <t>Inventory</t>
        </is>
      </c>
      <c r="C10" s="3959" t="inlineStr"/>
      <c r="D10" s="3959" t="inlineStr">
        <is>
          <t>+</t>
        </is>
      </c>
      <c r="E10" s="3959" t="inlineStr">
        <is>
          <t>Class map</t>
        </is>
      </c>
      <c r="F10" s="3959" t="inlineStr"/>
      <c r="G10" s="3929" t="n"/>
      <c r="H10" s="3929" t="n"/>
      <c r="I10" s="3929" t="n"/>
      <c r="J10" s="3929" t="n"/>
      <c r="K10" s="3929" t="n"/>
      <c r="L10" s="3929" t="n"/>
      <c r="M10" s="3929" t="n"/>
      <c r="N10" s="3929" t="n"/>
      <c r="O10" s="3929" t="n"/>
      <c r="P10" s="3929" t="n"/>
      <c r="Q10" s="3929" t="n"/>
      <c r="R10" s="3929" t="n"/>
      <c r="S10" s="3929" t="n"/>
      <c r="T10" s="3929" t="n"/>
      <c r="U10" s="3929" t="n"/>
      <c r="V10" s="3929" t="n"/>
      <c r="W10" s="3929" t="n"/>
      <c r="X10" s="3929" t="n"/>
      <c r="Y10" s="3929" t="n"/>
      <c r="Z10" s="3929" t="n"/>
      <c r="AA10" s="3929" t="n"/>
      <c r="AB10" s="3929" t="n"/>
      <c r="AC10" s="3929" t="n"/>
      <c r="AD10" s="3929" t="n"/>
      <c r="AE10" s="3929" t="n"/>
      <c r="AF10" s="3929" t="n"/>
      <c r="AG10" s="3929" t="n"/>
      <c r="AH10" s="3929" t="n"/>
      <c r="AI10" s="3929" t="n"/>
      <c r="AJ10" s="3929" t="n"/>
      <c r="AK10" s="3929" t="n"/>
      <c r="AL10" s="3929" t="n"/>
      <c r="AM10" s="3929" t="n"/>
      <c r="AN10" s="3929" t="n"/>
      <c r="AO10" s="3929" t="n"/>
      <c r="AP10" s="3929" t="n"/>
      <c r="AQ10" s="3949">
        <f>IF(COUNT(G10:R10)=0,"",SUM(G10:R10))</f>
        <v/>
      </c>
      <c r="AR10" s="3949">
        <f>IF(COUNT(S10:AD10)=0,"",SUM(S10:AD10))</f>
        <v/>
      </c>
      <c r="AS10" s="3949">
        <f>IF(COUNT(AE10:AP10)=0,"",SUM(AE10:AP10))</f>
        <v/>
      </c>
    </row>
    <row r="11">
      <c r="A11" s="3959" t="inlineStr">
        <is>
          <t>STRAT_AP</t>
        </is>
      </c>
      <c r="B11" s="3959" t="inlineStr">
        <is>
          <t>AP</t>
        </is>
      </c>
      <c r="C11" s="3959" t="inlineStr"/>
      <c r="D11" s="3959" t="inlineStr">
        <is>
          <t>+</t>
        </is>
      </c>
      <c r="E11" s="3959" t="inlineStr">
        <is>
          <t>Class map</t>
        </is>
      </c>
      <c r="F11" s="3959" t="inlineStr"/>
      <c r="G11" s="3929" t="n"/>
      <c r="H11" s="3929" t="n"/>
      <c r="I11" s="3929" t="n"/>
      <c r="J11" s="3929" t="n"/>
      <c r="K11" s="3929" t="n"/>
      <c r="L11" s="3929" t="n"/>
      <c r="M11" s="3929" t="n"/>
      <c r="N11" s="3929" t="n"/>
      <c r="O11" s="3929" t="n"/>
      <c r="P11" s="3929" t="n"/>
      <c r="Q11" s="3929" t="n"/>
      <c r="R11" s="3929" t="n"/>
      <c r="S11" s="3929" t="n"/>
      <c r="T11" s="3929" t="n"/>
      <c r="U11" s="3929" t="n"/>
      <c r="V11" s="3929" t="n"/>
      <c r="W11" s="3929" t="n"/>
      <c r="X11" s="3929" t="n"/>
      <c r="Y11" s="3929" t="n"/>
      <c r="Z11" s="3929" t="n"/>
      <c r="AA11" s="3929" t="n"/>
      <c r="AB11" s="3929" t="n"/>
      <c r="AC11" s="3929" t="n"/>
      <c r="AD11" s="3929" t="n"/>
      <c r="AE11" s="3929" t="n"/>
      <c r="AF11" s="3929" t="n"/>
      <c r="AG11" s="3929" t="n"/>
      <c r="AH11" s="3929" t="n"/>
      <c r="AI11" s="3929" t="n"/>
      <c r="AJ11" s="3929" t="n"/>
      <c r="AK11" s="3929" t="n"/>
      <c r="AL11" s="3929" t="n"/>
      <c r="AM11" s="3929" t="n"/>
      <c r="AN11" s="3929" t="n"/>
      <c r="AO11" s="3929" t="n"/>
      <c r="AP11" s="3929" t="n"/>
      <c r="AQ11" s="3949">
        <f>IF(COUNT(G11:R11)=0,"",SUM(G11:R11))</f>
        <v/>
      </c>
      <c r="AR11" s="3949">
        <f>IF(COUNT(S11:AD11)=0,"",SUM(S11:AD11))</f>
        <v/>
      </c>
      <c r="AS11" s="3949">
        <f>IF(COUNT(AE11:AP11)=0,"",SUM(AE11:AP11))</f>
        <v/>
      </c>
    </row>
    <row r="12">
      <c r="A12" s="3959" t="inlineStr">
        <is>
          <t>STRAT_ACCR</t>
        </is>
      </c>
      <c r="B12" s="3959" t="inlineStr">
        <is>
          <t>Accruals</t>
        </is>
      </c>
      <c r="C12" s="3959" t="inlineStr"/>
      <c r="D12" s="3959" t="inlineStr">
        <is>
          <t>+</t>
        </is>
      </c>
      <c r="E12" s="3959" t="inlineStr">
        <is>
          <t>Class map</t>
        </is>
      </c>
      <c r="F12" s="3959" t="inlineStr"/>
      <c r="G12" s="3929" t="n"/>
      <c r="H12" s="3929" t="n"/>
      <c r="I12" s="3929" t="n"/>
      <c r="J12" s="3929" t="n"/>
      <c r="K12" s="3929" t="n"/>
      <c r="L12" s="3929" t="n"/>
      <c r="M12" s="3929" t="n"/>
      <c r="N12" s="3929" t="n"/>
      <c r="O12" s="3929" t="n"/>
      <c r="P12" s="3929" t="n"/>
      <c r="Q12" s="3929" t="n"/>
      <c r="R12" s="3929" t="n"/>
      <c r="S12" s="3929" t="n"/>
      <c r="T12" s="3929" t="n"/>
      <c r="U12" s="3929" t="n"/>
      <c r="V12" s="3929" t="n"/>
      <c r="W12" s="3929" t="n"/>
      <c r="X12" s="3929" t="n"/>
      <c r="Y12" s="3929" t="n"/>
      <c r="Z12" s="3929" t="n"/>
      <c r="AA12" s="3929" t="n"/>
      <c r="AB12" s="3929" t="n"/>
      <c r="AC12" s="3929" t="n"/>
      <c r="AD12" s="3929" t="n"/>
      <c r="AE12" s="3929" t="n"/>
      <c r="AF12" s="3929" t="n"/>
      <c r="AG12" s="3929" t="n"/>
      <c r="AH12" s="3929" t="n"/>
      <c r="AI12" s="3929" t="n"/>
      <c r="AJ12" s="3929" t="n"/>
      <c r="AK12" s="3929" t="n"/>
      <c r="AL12" s="3929" t="n"/>
      <c r="AM12" s="3929" t="n"/>
      <c r="AN12" s="3929" t="n"/>
      <c r="AO12" s="3929" t="n"/>
      <c r="AP12" s="3929" t="n"/>
      <c r="AQ12" s="3949">
        <f>IF(COUNT(G12:R12)=0,"",SUM(G12:R12))</f>
        <v/>
      </c>
      <c r="AR12" s="3949">
        <f>IF(COUNT(S12:AD12)=0,"",SUM(S12:AD12))</f>
        <v/>
      </c>
      <c r="AS12" s="3949">
        <f>IF(COUNT(AE12:AP12)=0,"",SUM(AE12:AP12))</f>
        <v/>
      </c>
    </row>
    <row r="13">
      <c r="A13" s="3959" t="inlineStr">
        <is>
          <t>STRAT_CASH</t>
        </is>
      </c>
      <c r="B13" s="3959" t="inlineStr">
        <is>
          <t>Cash</t>
        </is>
      </c>
      <c r="C13" s="3959" t="inlineStr"/>
      <c r="D13" s="3959" t="inlineStr">
        <is>
          <t>+</t>
        </is>
      </c>
      <c r="E13" s="3959" t="inlineStr">
        <is>
          <t>Class map</t>
        </is>
      </c>
      <c r="F13" s="3959" t="inlineStr"/>
      <c r="G13" s="3929" t="n"/>
      <c r="H13" s="3929" t="n"/>
      <c r="I13" s="3929" t="n"/>
      <c r="J13" s="3929" t="n"/>
      <c r="K13" s="3929" t="n"/>
      <c r="L13" s="3929" t="n"/>
      <c r="M13" s="3929" t="n"/>
      <c r="N13" s="3929" t="n"/>
      <c r="O13" s="3929" t="n"/>
      <c r="P13" s="3929" t="n"/>
      <c r="Q13" s="3929" t="n"/>
      <c r="R13" s="3929" t="n"/>
      <c r="S13" s="3929" t="n"/>
      <c r="T13" s="3929" t="n"/>
      <c r="U13" s="3929" t="n"/>
      <c r="V13" s="3929" t="n"/>
      <c r="W13" s="3929" t="n"/>
      <c r="X13" s="3929" t="n"/>
      <c r="Y13" s="3929" t="n"/>
      <c r="Z13" s="3929" t="n"/>
      <c r="AA13" s="3929" t="n"/>
      <c r="AB13" s="3929" t="n"/>
      <c r="AC13" s="3929" t="n"/>
      <c r="AD13" s="3929" t="n"/>
      <c r="AE13" s="3929" t="n"/>
      <c r="AF13" s="3929" t="n"/>
      <c r="AG13" s="3929" t="n"/>
      <c r="AH13" s="3929" t="n"/>
      <c r="AI13" s="3929" t="n"/>
      <c r="AJ13" s="3929" t="n"/>
      <c r="AK13" s="3929" t="n"/>
      <c r="AL13" s="3929" t="n"/>
      <c r="AM13" s="3929" t="n"/>
      <c r="AN13" s="3929" t="n"/>
      <c r="AO13" s="3929" t="n"/>
      <c r="AP13" s="3929" t="n"/>
      <c r="AQ13" s="3949">
        <f>IF(COUNT(G13:R13)=0,"",SUM(G13:R13))</f>
        <v/>
      </c>
      <c r="AR13" s="3949">
        <f>IF(COUNT(S13:AD13)=0,"",SUM(S13:AD13))</f>
        <v/>
      </c>
      <c r="AS13" s="3949">
        <f>IF(COUNT(AE13:AP13)=0,"",SUM(AE13:AP13))</f>
        <v/>
      </c>
    </row>
    <row r="14">
      <c r="A14" s="3959" t="inlineStr">
        <is>
          <t>STRAT_DEBT</t>
        </is>
      </c>
      <c r="B14" s="3959" t="inlineStr">
        <is>
          <t>Debt</t>
        </is>
      </c>
      <c r="C14" s="3959" t="inlineStr"/>
      <c r="D14" s="3959" t="inlineStr">
        <is>
          <t>+</t>
        </is>
      </c>
      <c r="E14" s="3959" t="inlineStr">
        <is>
          <t>Class map</t>
        </is>
      </c>
      <c r="F14" s="3959" t="inlineStr"/>
      <c r="G14" s="3929" t="n"/>
      <c r="H14" s="3929" t="n"/>
      <c r="I14" s="3929" t="n"/>
      <c r="J14" s="3929" t="n"/>
      <c r="K14" s="3929" t="n"/>
      <c r="L14" s="3929" t="n"/>
      <c r="M14" s="3929" t="n"/>
      <c r="N14" s="3929" t="n"/>
      <c r="O14" s="3929" t="n"/>
      <c r="P14" s="3929" t="n"/>
      <c r="Q14" s="3929" t="n"/>
      <c r="R14" s="3929" t="n"/>
      <c r="S14" s="3929" t="n"/>
      <c r="T14" s="3929" t="n"/>
      <c r="U14" s="3929" t="n"/>
      <c r="V14" s="3929" t="n"/>
      <c r="W14" s="3929" t="n"/>
      <c r="X14" s="3929" t="n"/>
      <c r="Y14" s="3929" t="n"/>
      <c r="Z14" s="3929" t="n"/>
      <c r="AA14" s="3929" t="n"/>
      <c r="AB14" s="3929" t="n"/>
      <c r="AC14" s="3929" t="n"/>
      <c r="AD14" s="3929" t="n"/>
      <c r="AE14" s="3929" t="n"/>
      <c r="AF14" s="3929" t="n"/>
      <c r="AG14" s="3929" t="n"/>
      <c r="AH14" s="3929" t="n"/>
      <c r="AI14" s="3929" t="n"/>
      <c r="AJ14" s="3929" t="n"/>
      <c r="AK14" s="3929" t="n"/>
      <c r="AL14" s="3929" t="n"/>
      <c r="AM14" s="3929" t="n"/>
      <c r="AN14" s="3929" t="n"/>
      <c r="AO14" s="3929" t="n"/>
      <c r="AP14" s="3929" t="n"/>
      <c r="AQ14" s="3949">
        <f>IF(COUNT(G14:R14)=0,"",SUM(G14:R14))</f>
        <v/>
      </c>
      <c r="AR14" s="3949">
        <f>IF(COUNT(S14:AD14)=0,"",SUM(S14:AD14))</f>
        <v/>
      </c>
      <c r="AS14" s="3949">
        <f>IF(COUNT(AE14:AP14)=0,"",SUM(AE14:AP14))</f>
        <v/>
      </c>
    </row>
    <row r="15">
      <c r="A15" s="3959" t="inlineStr">
        <is>
          <t>STRAT_OTH</t>
        </is>
      </c>
      <c r="B15" s="3959" t="inlineStr">
        <is>
          <t>Other</t>
        </is>
      </c>
      <c r="C15" s="3959" t="inlineStr"/>
      <c r="D15" s="3959" t="inlineStr">
        <is>
          <t>+</t>
        </is>
      </c>
      <c r="E15" s="3959" t="inlineStr">
        <is>
          <t>Class map</t>
        </is>
      </c>
      <c r="F15" s="3959" t="inlineStr"/>
      <c r="G15" s="3929" t="n"/>
      <c r="H15" s="3929" t="n"/>
      <c r="I15" s="3929" t="n"/>
      <c r="J15" s="3929" t="n"/>
      <c r="K15" s="3929" t="n"/>
      <c r="L15" s="3929" t="n"/>
      <c r="M15" s="3929" t="n"/>
      <c r="N15" s="3929" t="n"/>
      <c r="O15" s="3929" t="n"/>
      <c r="P15" s="3929" t="n"/>
      <c r="Q15" s="3929" t="n"/>
      <c r="R15" s="3929" t="n"/>
      <c r="S15" s="3929" t="n"/>
      <c r="T15" s="3929" t="n"/>
      <c r="U15" s="3929" t="n"/>
      <c r="V15" s="3929" t="n"/>
      <c r="W15" s="3929" t="n"/>
      <c r="X15" s="3929" t="n"/>
      <c r="Y15" s="3929" t="n"/>
      <c r="Z15" s="3929" t="n"/>
      <c r="AA15" s="3929" t="n"/>
      <c r="AB15" s="3929" t="n"/>
      <c r="AC15" s="3929" t="n"/>
      <c r="AD15" s="3929" t="n"/>
      <c r="AE15" s="3929" t="n"/>
      <c r="AF15" s="3929" t="n"/>
      <c r="AG15" s="3929" t="n"/>
      <c r="AH15" s="3929" t="n"/>
      <c r="AI15" s="3929" t="n"/>
      <c r="AJ15" s="3929" t="n"/>
      <c r="AK15" s="3929" t="n"/>
      <c r="AL15" s="3929" t="n"/>
      <c r="AM15" s="3929" t="n"/>
      <c r="AN15" s="3929" t="n"/>
      <c r="AO15" s="3929" t="n"/>
      <c r="AP15" s="3929" t="n"/>
      <c r="AQ15" s="3949">
        <f>IF(COUNT(G15:R15)=0,"",SUM(G15:R15))</f>
        <v/>
      </c>
      <c r="AR15" s="3949">
        <f>IF(COUNT(S15:AD15)=0,"",SUM(S15:AD15))</f>
        <v/>
      </c>
      <c r="AS15" s="3949">
        <f>IF(COUNT(AE15:AP15)=0,"",SUM(AE15:AP15))</f>
        <v/>
      </c>
    </row>
    <row r="16">
      <c r="A16" s="3959" t="inlineStr">
        <is>
          <t>STRAT_TOTAL</t>
        </is>
      </c>
      <c r="B16" s="3959" t="inlineStr">
        <is>
          <t>Total stratified BS</t>
        </is>
      </c>
      <c r="C16" s="3959" t="inlineStr"/>
      <c r="D16" s="3959" t="inlineStr">
        <is>
          <t>+</t>
        </is>
      </c>
      <c r="E16" s="3959" t="inlineStr">
        <is>
          <t>Formula</t>
        </is>
      </c>
      <c r="F16" s="3959" t="inlineStr">
        <is>
          <t>Derived</t>
        </is>
      </c>
      <c r="G16" s="3960">
        <f>IF(COUNT(G9:G15)=0,"",SUM(G9:G15))</f>
        <v/>
      </c>
      <c r="H16" s="3960">
        <f>IF(COUNT(H9:H15)=0,"",SUM(H9:H15))</f>
        <v/>
      </c>
      <c r="I16" s="3960">
        <f>IF(COUNT(I9:I15)=0,"",SUM(I9:I15))</f>
        <v/>
      </c>
      <c r="J16" s="3960">
        <f>IF(COUNT(J9:J15)=0,"",SUM(J9:J15))</f>
        <v/>
      </c>
      <c r="K16" s="3960">
        <f>IF(COUNT(K9:K15)=0,"",SUM(K9:K15))</f>
        <v/>
      </c>
      <c r="L16" s="3960">
        <f>IF(COUNT(L9:L15)=0,"",SUM(L9:L15))</f>
        <v/>
      </c>
      <c r="M16" s="3960">
        <f>IF(COUNT(M9:M15)=0,"",SUM(M9:M15))</f>
        <v/>
      </c>
      <c r="N16" s="3960">
        <f>IF(COUNT(N9:N15)=0,"",SUM(N9:N15))</f>
        <v/>
      </c>
      <c r="O16" s="3960">
        <f>IF(COUNT(O9:O15)=0,"",SUM(O9:O15))</f>
        <v/>
      </c>
      <c r="P16" s="3960">
        <f>IF(COUNT(P9:P15)=0,"",SUM(P9:P15))</f>
        <v/>
      </c>
      <c r="Q16" s="3960">
        <f>IF(COUNT(Q9:Q15)=0,"",SUM(Q9:Q15))</f>
        <v/>
      </c>
      <c r="R16" s="3960">
        <f>IF(COUNT(R9:R15)=0,"",SUM(R9:R15))</f>
        <v/>
      </c>
      <c r="S16" s="3960">
        <f>IF(COUNT(S9:S15)=0,"",SUM(S9:S15))</f>
        <v/>
      </c>
      <c r="T16" s="3960">
        <f>IF(COUNT(T9:T15)=0,"",SUM(T9:T15))</f>
        <v/>
      </c>
      <c r="U16" s="3960">
        <f>IF(COUNT(U9:U15)=0,"",SUM(U9:U15))</f>
        <v/>
      </c>
      <c r="V16" s="3960">
        <f>IF(COUNT(V9:V15)=0,"",SUM(V9:V15))</f>
        <v/>
      </c>
      <c r="W16" s="3960">
        <f>IF(COUNT(W9:W15)=0,"",SUM(W9:W15))</f>
        <v/>
      </c>
      <c r="X16" s="3960">
        <f>IF(COUNT(X9:X15)=0,"",SUM(X9:X15))</f>
        <v/>
      </c>
      <c r="Y16" s="3960">
        <f>IF(COUNT(Y9:Y15)=0,"",SUM(Y9:Y15))</f>
        <v/>
      </c>
      <c r="Z16" s="3960">
        <f>IF(COUNT(Z9:Z15)=0,"",SUM(Z9:Z15))</f>
        <v/>
      </c>
      <c r="AA16" s="3960">
        <f>IF(COUNT(AA9:AA15)=0,"",SUM(AA9:AA15))</f>
        <v/>
      </c>
      <c r="AB16" s="3960">
        <f>IF(COUNT(AB9:AB15)=0,"",SUM(AB9:AB15))</f>
        <v/>
      </c>
      <c r="AC16" s="3960">
        <f>IF(COUNT(AC9:AC15)=0,"",SUM(AC9:AC15))</f>
        <v/>
      </c>
      <c r="AD16" s="3960">
        <f>IF(COUNT(AD9:AD15)=0,"",SUM(AD9:AD15))</f>
        <v/>
      </c>
      <c r="AE16" s="3960">
        <f>IF(COUNT(AE9:AE15)=0,"",SUM(AE9:AE15))</f>
        <v/>
      </c>
      <c r="AF16" s="3960">
        <f>IF(COUNT(AF9:AF15)=0,"",SUM(AF9:AF15))</f>
        <v/>
      </c>
      <c r="AG16" s="3960">
        <f>IF(COUNT(AG9:AG15)=0,"",SUM(AG9:AG15))</f>
        <v/>
      </c>
      <c r="AH16" s="3960">
        <f>IF(COUNT(AH9:AH15)=0,"",SUM(AH9:AH15))</f>
        <v/>
      </c>
      <c r="AI16" s="3960">
        <f>IF(COUNT(AI9:AI15)=0,"",SUM(AI9:AI15))</f>
        <v/>
      </c>
      <c r="AJ16" s="3960">
        <f>IF(COUNT(AJ9:AJ15)=0,"",SUM(AJ9:AJ15))</f>
        <v/>
      </c>
      <c r="AK16" s="3960">
        <f>IF(COUNT(AK9:AK15)=0,"",SUM(AK9:AK15))</f>
        <v/>
      </c>
      <c r="AL16" s="3960">
        <f>IF(COUNT(AL9:AL15)=0,"",SUM(AL9:AL15))</f>
        <v/>
      </c>
      <c r="AM16" s="3960">
        <f>IF(COUNT(AM9:AM15)=0,"",SUM(AM9:AM15))</f>
        <v/>
      </c>
      <c r="AN16" s="3960">
        <f>IF(COUNT(AN9:AN15)=0,"",SUM(AN9:AN15))</f>
        <v/>
      </c>
      <c r="AO16" s="3960">
        <f>IF(COUNT(AO9:AO15)=0,"",SUM(AO9:AO15))</f>
        <v/>
      </c>
      <c r="AP16" s="3960">
        <f>IF(COUNT(AP9:AP15)=0,"",SUM(AP9:AP15))</f>
        <v/>
      </c>
      <c r="AQ16" s="3949">
        <f>IF(COUNT(G16:R16)=0,"",SUM(G16:R16))</f>
        <v/>
      </c>
      <c r="AR16" s="3949">
        <f>IF(COUNT(S16:AD16)=0,"",SUM(S16:AD16))</f>
        <v/>
      </c>
      <c r="AS16" s="3949">
        <f>IF(COUNT(AE16:AP16)=0,"",SUM(AE16:AP16))</f>
        <v/>
      </c>
    </row>
    <row r="17">
      <c r="A17" s="3959" t="n"/>
      <c r="B17" s="3959" t="n"/>
      <c r="C17" s="3959" t="n"/>
      <c r="D17" s="3959" t="n"/>
      <c r="E17" s="3959" t="n"/>
      <c r="F17" s="3959" t="n"/>
      <c r="G17" s="3960" t="n"/>
      <c r="H17" s="3960" t="n"/>
      <c r="I17" s="3960" t="n"/>
      <c r="J17" s="3960" t="n"/>
      <c r="K17" s="3960" t="n"/>
      <c r="L17" s="3960" t="n"/>
      <c r="M17" s="3960" t="n"/>
      <c r="N17" s="3960" t="n"/>
      <c r="O17" s="3960" t="n"/>
      <c r="P17" s="3960" t="n"/>
      <c r="Q17" s="3960" t="n"/>
      <c r="R17" s="3960" t="n"/>
      <c r="S17" s="3960" t="n"/>
      <c r="T17" s="3960" t="n"/>
      <c r="U17" s="3960" t="n"/>
      <c r="V17" s="3960" t="n"/>
      <c r="W17" s="3960" t="n"/>
      <c r="X17" s="3960" t="n"/>
      <c r="Y17" s="3960" t="n"/>
      <c r="Z17" s="3960" t="n"/>
      <c r="AA17" s="3960" t="n"/>
      <c r="AB17" s="3960" t="n"/>
      <c r="AC17" s="3960" t="n"/>
      <c r="AD17" s="3960" t="n"/>
      <c r="AE17" s="3960" t="n"/>
      <c r="AF17" s="3960" t="n"/>
      <c r="AG17" s="3960" t="n"/>
      <c r="AH17" s="3960" t="n"/>
      <c r="AI17" s="3960" t="n"/>
      <c r="AJ17" s="3960" t="n"/>
      <c r="AK17" s="3960" t="n"/>
      <c r="AL17" s="3960" t="n"/>
      <c r="AM17" s="3960" t="n"/>
      <c r="AN17" s="3960" t="n"/>
      <c r="AO17" s="3960" t="n"/>
      <c r="AP17" s="3960" t="n"/>
      <c r="AQ17" s="3960" t="n"/>
      <c r="AR17" s="3960" t="n"/>
      <c r="AS17" s="3960" t="n"/>
    </row>
    <row r="18">
      <c r="A18" s="3959" t="n"/>
      <c r="B18" s="3959" t="n"/>
      <c r="C18" s="3959" t="n"/>
      <c r="D18" s="3959" t="n"/>
      <c r="E18" s="3959" t="n"/>
      <c r="F18" s="3959" t="n"/>
      <c r="G18" s="3960" t="n"/>
      <c r="H18" s="3960" t="n"/>
      <c r="I18" s="3960" t="n"/>
      <c r="J18" s="3960" t="n"/>
      <c r="K18" s="3960" t="n"/>
      <c r="L18" s="3960" t="n"/>
      <c r="M18" s="3960" t="n"/>
      <c r="N18" s="3960" t="n"/>
      <c r="O18" s="3960" t="n"/>
      <c r="P18" s="3960" t="n"/>
      <c r="Q18" s="3960" t="n"/>
      <c r="R18" s="3960" t="n"/>
      <c r="S18" s="3960" t="n"/>
      <c r="T18" s="3960" t="n"/>
      <c r="U18" s="3960" t="n"/>
      <c r="V18" s="3960" t="n"/>
      <c r="W18" s="3960" t="n"/>
      <c r="X18" s="3960" t="n"/>
      <c r="Y18" s="3960" t="n"/>
      <c r="Z18" s="3960" t="n"/>
      <c r="AA18" s="3960" t="n"/>
      <c r="AB18" s="3960" t="n"/>
      <c r="AC18" s="3960" t="n"/>
      <c r="AD18" s="3960" t="n"/>
      <c r="AE18" s="3960" t="n"/>
      <c r="AF18" s="3960" t="n"/>
      <c r="AG18" s="3960" t="n"/>
      <c r="AH18" s="3960" t="n"/>
      <c r="AI18" s="3960" t="n"/>
      <c r="AJ18" s="3960" t="n"/>
      <c r="AK18" s="3960" t="n"/>
      <c r="AL18" s="3960" t="n"/>
      <c r="AM18" s="3960" t="n"/>
      <c r="AN18" s="3960" t="n"/>
      <c r="AO18" s="3960" t="n"/>
      <c r="AP18" s="3960" t="n"/>
      <c r="AQ18" s="3960" t="n"/>
      <c r="AR18" s="3960" t="n"/>
      <c r="AS18" s="3960" t="n"/>
    </row>
    <row r="19">
      <c r="A19" s="3959" t="n"/>
      <c r="B19" s="3959" t="n"/>
      <c r="C19" s="3959" t="n"/>
      <c r="D19" s="3959" t="n"/>
      <c r="E19" s="3959" t="n"/>
      <c r="F19" s="3959" t="n"/>
      <c r="G19" s="3960" t="n"/>
      <c r="H19" s="3960" t="n"/>
      <c r="I19" s="3960" t="n"/>
      <c r="J19" s="3960" t="n"/>
      <c r="K19" s="3960" t="n"/>
      <c r="L19" s="3960" t="n"/>
      <c r="M19" s="3960" t="n"/>
      <c r="N19" s="3960" t="n"/>
      <c r="O19" s="3960" t="n"/>
      <c r="P19" s="3960" t="n"/>
      <c r="Q19" s="3960" t="n"/>
      <c r="R19" s="3960" t="n"/>
      <c r="S19" s="3960" t="n"/>
      <c r="T19" s="3960" t="n"/>
      <c r="U19" s="3960" t="n"/>
      <c r="V19" s="3960" t="n"/>
      <c r="W19" s="3960" t="n"/>
      <c r="X19" s="3960" t="n"/>
      <c r="Y19" s="3960" t="n"/>
      <c r="Z19" s="3960" t="n"/>
      <c r="AA19" s="3960" t="n"/>
      <c r="AB19" s="3960" t="n"/>
      <c r="AC19" s="3960" t="n"/>
      <c r="AD19" s="3960" t="n"/>
      <c r="AE19" s="3960" t="n"/>
      <c r="AF19" s="3960" t="n"/>
      <c r="AG19" s="3960" t="n"/>
      <c r="AH19" s="3960" t="n"/>
      <c r="AI19" s="3960" t="n"/>
      <c r="AJ19" s="3960" t="n"/>
      <c r="AK19" s="3960" t="n"/>
      <c r="AL19" s="3960" t="n"/>
      <c r="AM19" s="3960" t="n"/>
      <c r="AN19" s="3960" t="n"/>
      <c r="AO19" s="3960" t="n"/>
      <c r="AP19" s="3960" t="n"/>
      <c r="AQ19" s="3960" t="n"/>
      <c r="AR19" s="3960" t="n"/>
      <c r="AS19" s="3960" t="n"/>
    </row>
    <row r="20">
      <c r="A20" s="3959" t="n"/>
      <c r="B20" s="3959" t="n"/>
      <c r="C20" s="3959" t="n"/>
      <c r="D20" s="3959" t="n"/>
      <c r="E20" s="3959" t="n"/>
      <c r="F20" s="3959" t="n"/>
      <c r="G20" s="3960" t="n"/>
      <c r="H20" s="3960" t="n"/>
      <c r="I20" s="3960" t="n"/>
      <c r="J20" s="3960" t="n"/>
      <c r="K20" s="3960" t="n"/>
      <c r="L20" s="3960" t="n"/>
      <c r="M20" s="3960" t="n"/>
      <c r="N20" s="3960" t="n"/>
      <c r="O20" s="3960" t="n"/>
      <c r="P20" s="3960" t="n"/>
      <c r="Q20" s="3960" t="n"/>
      <c r="R20" s="3960" t="n"/>
      <c r="S20" s="3960" t="n"/>
      <c r="T20" s="3960" t="n"/>
      <c r="U20" s="3960" t="n"/>
      <c r="V20" s="3960" t="n"/>
      <c r="W20" s="3960" t="n"/>
      <c r="X20" s="3960" t="n"/>
      <c r="Y20" s="3960" t="n"/>
      <c r="Z20" s="3960" t="n"/>
      <c r="AA20" s="3960" t="n"/>
      <c r="AB20" s="3960" t="n"/>
      <c r="AC20" s="3960" t="n"/>
      <c r="AD20" s="3960" t="n"/>
      <c r="AE20" s="3960" t="n"/>
      <c r="AF20" s="3960" t="n"/>
      <c r="AG20" s="3960" t="n"/>
      <c r="AH20" s="3960" t="n"/>
      <c r="AI20" s="3960" t="n"/>
      <c r="AJ20" s="3960" t="n"/>
      <c r="AK20" s="3960" t="n"/>
      <c r="AL20" s="3960" t="n"/>
      <c r="AM20" s="3960" t="n"/>
      <c r="AN20" s="3960" t="n"/>
      <c r="AO20" s="3960" t="n"/>
      <c r="AP20" s="3960" t="n"/>
      <c r="AQ20" s="3960" t="n"/>
      <c r="AR20" s="3960" t="n"/>
      <c r="AS20" s="3960" t="n"/>
    </row>
    <row r="21">
      <c r="A21" s="3959" t="n"/>
      <c r="B21" s="3959" t="n"/>
      <c r="C21" s="3959" t="n"/>
      <c r="D21" s="3959" t="n"/>
      <c r="E21" s="3959" t="n"/>
      <c r="F21" s="3959" t="n"/>
      <c r="G21" s="3960" t="n"/>
      <c r="H21" s="3960" t="n"/>
      <c r="I21" s="3960" t="n"/>
      <c r="J21" s="3960" t="n"/>
      <c r="K21" s="3960" t="n"/>
      <c r="L21" s="3960" t="n"/>
      <c r="M21" s="3960" t="n"/>
      <c r="N21" s="3960" t="n"/>
      <c r="O21" s="3960" t="n"/>
      <c r="P21" s="3960" t="n"/>
      <c r="Q21" s="3960" t="n"/>
      <c r="R21" s="3960" t="n"/>
      <c r="S21" s="3960" t="n"/>
      <c r="T21" s="3960" t="n"/>
      <c r="U21" s="3960" t="n"/>
      <c r="V21" s="3960" t="n"/>
      <c r="W21" s="3960" t="n"/>
      <c r="X21" s="3960" t="n"/>
      <c r="Y21" s="3960" t="n"/>
      <c r="Z21" s="3960" t="n"/>
      <c r="AA21" s="3960" t="n"/>
      <c r="AB21" s="3960" t="n"/>
      <c r="AC21" s="3960" t="n"/>
      <c r="AD21" s="3960" t="n"/>
      <c r="AE21" s="3960" t="n"/>
      <c r="AF21" s="3960" t="n"/>
      <c r="AG21" s="3960" t="n"/>
      <c r="AH21" s="3960" t="n"/>
      <c r="AI21" s="3960" t="n"/>
      <c r="AJ21" s="3960" t="n"/>
      <c r="AK21" s="3960" t="n"/>
      <c r="AL21" s="3960" t="n"/>
      <c r="AM21" s="3960" t="n"/>
      <c r="AN21" s="3960" t="n"/>
      <c r="AO21" s="3960" t="n"/>
      <c r="AP21" s="3960" t="n"/>
      <c r="AQ21" s="3960" t="n"/>
      <c r="AR21" s="3960" t="n"/>
      <c r="AS21" s="3960" t="n"/>
    </row>
    <row r="22">
      <c r="A22" s="3959" t="n"/>
      <c r="B22" s="3959" t="n"/>
      <c r="C22" s="3959" t="n"/>
      <c r="D22" s="3959" t="n"/>
      <c r="E22" s="3959" t="n"/>
      <c r="F22" s="3959" t="n"/>
      <c r="G22" s="3960" t="n"/>
      <c r="H22" s="3960" t="n"/>
      <c r="I22" s="3960" t="n"/>
      <c r="J22" s="3960" t="n"/>
      <c r="K22" s="3960" t="n"/>
      <c r="L22" s="3960" t="n"/>
      <c r="M22" s="3960" t="n"/>
      <c r="N22" s="3960" t="n"/>
      <c r="O22" s="3960" t="n"/>
      <c r="P22" s="3960" t="n"/>
      <c r="Q22" s="3960" t="n"/>
      <c r="R22" s="3960" t="n"/>
      <c r="S22" s="3960" t="n"/>
      <c r="T22" s="3960" t="n"/>
      <c r="U22" s="3960" t="n"/>
      <c r="V22" s="3960" t="n"/>
      <c r="W22" s="3960" t="n"/>
      <c r="X22" s="3960" t="n"/>
      <c r="Y22" s="3960" t="n"/>
      <c r="Z22" s="3960" t="n"/>
      <c r="AA22" s="3960" t="n"/>
      <c r="AB22" s="3960" t="n"/>
      <c r="AC22" s="3960" t="n"/>
      <c r="AD22" s="3960" t="n"/>
      <c r="AE22" s="3960" t="n"/>
      <c r="AF22" s="3960" t="n"/>
      <c r="AG22" s="3960" t="n"/>
      <c r="AH22" s="3960" t="n"/>
      <c r="AI22" s="3960" t="n"/>
      <c r="AJ22" s="3960" t="n"/>
      <c r="AK22" s="3960" t="n"/>
      <c r="AL22" s="3960" t="n"/>
      <c r="AM22" s="3960" t="n"/>
      <c r="AN22" s="3960" t="n"/>
      <c r="AO22" s="3960" t="n"/>
      <c r="AP22" s="3960" t="n"/>
      <c r="AQ22" s="3960" t="n"/>
      <c r="AR22" s="3960" t="n"/>
      <c r="AS22" s="3960" t="n"/>
    </row>
    <row r="23">
      <c r="A23" s="3959" t="n"/>
      <c r="B23" s="3959" t="n"/>
      <c r="C23" s="3959" t="n"/>
      <c r="D23" s="3959" t="n"/>
      <c r="E23" s="3959" t="n"/>
      <c r="F23" s="3959" t="n"/>
      <c r="G23" s="3960" t="n"/>
      <c r="H23" s="3960" t="n"/>
      <c r="I23" s="3960" t="n"/>
      <c r="J23" s="3960" t="n"/>
      <c r="K23" s="3960" t="n"/>
      <c r="L23" s="3960" t="n"/>
      <c r="M23" s="3960" t="n"/>
      <c r="N23" s="3960" t="n"/>
      <c r="O23" s="3960" t="n"/>
      <c r="P23" s="3960" t="n"/>
      <c r="Q23" s="3960" t="n"/>
      <c r="R23" s="3960" t="n"/>
      <c r="S23" s="3960" t="n"/>
      <c r="T23" s="3960" t="n"/>
      <c r="U23" s="3960" t="n"/>
      <c r="V23" s="3960" t="n"/>
      <c r="W23" s="3960" t="n"/>
      <c r="X23" s="3960" t="n"/>
      <c r="Y23" s="3960" t="n"/>
      <c r="Z23" s="3960" t="n"/>
      <c r="AA23" s="3960" t="n"/>
      <c r="AB23" s="3960" t="n"/>
      <c r="AC23" s="3960" t="n"/>
      <c r="AD23" s="3960" t="n"/>
      <c r="AE23" s="3960" t="n"/>
      <c r="AF23" s="3960" t="n"/>
      <c r="AG23" s="3960" t="n"/>
      <c r="AH23" s="3960" t="n"/>
      <c r="AI23" s="3960" t="n"/>
      <c r="AJ23" s="3960" t="n"/>
      <c r="AK23" s="3960" t="n"/>
      <c r="AL23" s="3960" t="n"/>
      <c r="AM23" s="3960" t="n"/>
      <c r="AN23" s="3960" t="n"/>
      <c r="AO23" s="3960" t="n"/>
      <c r="AP23" s="3960" t="n"/>
      <c r="AQ23" s="3960" t="n"/>
      <c r="AR23" s="3960" t="n"/>
      <c r="AS23" s="3960" t="n"/>
    </row>
    <row r="24">
      <c r="A24" s="3959" t="n"/>
      <c r="B24" s="3959" t="n"/>
      <c r="C24" s="3959" t="n"/>
      <c r="D24" s="3959" t="n"/>
      <c r="E24" s="3959" t="n"/>
      <c r="F24" s="3959" t="n"/>
      <c r="G24" s="3960" t="n"/>
      <c r="H24" s="3960" t="n"/>
      <c r="I24" s="3960" t="n"/>
      <c r="J24" s="3960" t="n"/>
      <c r="K24" s="3960" t="n"/>
      <c r="L24" s="3960" t="n"/>
      <c r="M24" s="3960" t="n"/>
      <c r="N24" s="3960" t="n"/>
      <c r="O24" s="3960" t="n"/>
      <c r="P24" s="3960" t="n"/>
      <c r="Q24" s="3960" t="n"/>
      <c r="R24" s="3960" t="n"/>
      <c r="S24" s="3960" t="n"/>
      <c r="T24" s="3960" t="n"/>
      <c r="U24" s="3960" t="n"/>
      <c r="V24" s="3960" t="n"/>
      <c r="W24" s="3960" t="n"/>
      <c r="X24" s="3960" t="n"/>
      <c r="Y24" s="3960" t="n"/>
      <c r="Z24" s="3960" t="n"/>
      <c r="AA24" s="3960" t="n"/>
      <c r="AB24" s="3960" t="n"/>
      <c r="AC24" s="3960" t="n"/>
      <c r="AD24" s="3960" t="n"/>
      <c r="AE24" s="3960" t="n"/>
      <c r="AF24" s="3960" t="n"/>
      <c r="AG24" s="3960" t="n"/>
      <c r="AH24" s="3960" t="n"/>
      <c r="AI24" s="3960" t="n"/>
      <c r="AJ24" s="3960" t="n"/>
      <c r="AK24" s="3960" t="n"/>
      <c r="AL24" s="3960" t="n"/>
      <c r="AM24" s="3960" t="n"/>
      <c r="AN24" s="3960" t="n"/>
      <c r="AO24" s="3960" t="n"/>
      <c r="AP24" s="3960" t="n"/>
      <c r="AQ24" s="3960" t="n"/>
      <c r="AR24" s="3960" t="n"/>
      <c r="AS24" s="3960" t="n"/>
    </row>
    <row r="25">
      <c r="A25" s="3959" t="n"/>
      <c r="B25" s="3959" t="n"/>
      <c r="C25" s="3959" t="n"/>
      <c r="D25" s="3959" t="n"/>
      <c r="E25" s="3959" t="n"/>
      <c r="F25" s="3959" t="n"/>
      <c r="G25" s="3960" t="n"/>
      <c r="H25" s="3960" t="n"/>
      <c r="I25" s="3960" t="n"/>
      <c r="J25" s="3960" t="n"/>
      <c r="K25" s="3960" t="n"/>
      <c r="L25" s="3960" t="n"/>
      <c r="M25" s="3960" t="n"/>
      <c r="N25" s="3960" t="n"/>
      <c r="O25" s="3960" t="n"/>
      <c r="P25" s="3960" t="n"/>
      <c r="Q25" s="3960" t="n"/>
      <c r="R25" s="3960" t="n"/>
      <c r="S25" s="3960" t="n"/>
      <c r="T25" s="3960" t="n"/>
      <c r="U25" s="3960" t="n"/>
      <c r="V25" s="3960" t="n"/>
      <c r="W25" s="3960" t="n"/>
      <c r="X25" s="3960" t="n"/>
      <c r="Y25" s="3960" t="n"/>
      <c r="Z25" s="3960" t="n"/>
      <c r="AA25" s="3960" t="n"/>
      <c r="AB25" s="3960" t="n"/>
      <c r="AC25" s="3960" t="n"/>
      <c r="AD25" s="3960" t="n"/>
      <c r="AE25" s="3960" t="n"/>
      <c r="AF25" s="3960" t="n"/>
      <c r="AG25" s="3960" t="n"/>
      <c r="AH25" s="3960" t="n"/>
      <c r="AI25" s="3960" t="n"/>
      <c r="AJ25" s="3960" t="n"/>
      <c r="AK25" s="3960" t="n"/>
      <c r="AL25" s="3960" t="n"/>
      <c r="AM25" s="3960" t="n"/>
      <c r="AN25" s="3960" t="n"/>
      <c r="AO25" s="3960" t="n"/>
      <c r="AP25" s="3960" t="n"/>
      <c r="AQ25" s="3960" t="n"/>
      <c r="AR25" s="3960" t="n"/>
      <c r="AS25" s="3960" t="n"/>
    </row>
    <row r="26">
      <c r="A26" s="3959" t="n"/>
      <c r="B26" s="3959" t="n"/>
      <c r="C26" s="3959" t="n"/>
      <c r="D26" s="3959" t="n"/>
      <c r="E26" s="3959" t="n"/>
      <c r="F26" s="3959" t="n"/>
      <c r="G26" s="3960" t="n"/>
      <c r="H26" s="3960" t="n"/>
      <c r="I26" s="3960" t="n"/>
      <c r="J26" s="3960" t="n"/>
      <c r="K26" s="3960" t="n"/>
      <c r="L26" s="3960" t="n"/>
      <c r="M26" s="3960" t="n"/>
      <c r="N26" s="3960" t="n"/>
      <c r="O26" s="3960" t="n"/>
      <c r="P26" s="3960" t="n"/>
      <c r="Q26" s="3960" t="n"/>
      <c r="R26" s="3960" t="n"/>
      <c r="S26" s="3960" t="n"/>
      <c r="T26" s="3960" t="n"/>
      <c r="U26" s="3960" t="n"/>
      <c r="V26" s="3960" t="n"/>
      <c r="W26" s="3960" t="n"/>
      <c r="X26" s="3960" t="n"/>
      <c r="Y26" s="3960" t="n"/>
      <c r="Z26" s="3960" t="n"/>
      <c r="AA26" s="3960" t="n"/>
      <c r="AB26" s="3960" t="n"/>
      <c r="AC26" s="3960" t="n"/>
      <c r="AD26" s="3960" t="n"/>
      <c r="AE26" s="3960" t="n"/>
      <c r="AF26" s="3960" t="n"/>
      <c r="AG26" s="3960" t="n"/>
      <c r="AH26" s="3960" t="n"/>
      <c r="AI26" s="3960" t="n"/>
      <c r="AJ26" s="3960" t="n"/>
      <c r="AK26" s="3960" t="n"/>
      <c r="AL26" s="3960" t="n"/>
      <c r="AM26" s="3960" t="n"/>
      <c r="AN26" s="3960" t="n"/>
      <c r="AO26" s="3960" t="n"/>
      <c r="AP26" s="3960" t="n"/>
      <c r="AQ26" s="3960" t="n"/>
      <c r="AR26" s="3960" t="n"/>
      <c r="AS26" s="3960" t="n"/>
    </row>
    <row r="27">
      <c r="A27" s="3979" t="inlineStr">
        <is>
          <t>STRAT_BS_CHECKS</t>
        </is>
      </c>
      <c r="B27" s="3980" t="n"/>
      <c r="C27" s="3980" t="n"/>
      <c r="D27" s="3980" t="n"/>
      <c r="E27" s="3980" t="n"/>
      <c r="F27" s="3980" t="n"/>
      <c r="G27" s="3981" t="n"/>
      <c r="H27" s="3981" t="n"/>
      <c r="I27" s="3981" t="n"/>
      <c r="J27" s="3981" t="n"/>
      <c r="K27" s="3981" t="n"/>
      <c r="L27" s="3981" t="n"/>
      <c r="M27" s="3981" t="n"/>
      <c r="N27" s="3981" t="n"/>
      <c r="O27" s="3981" t="n"/>
      <c r="P27" s="3981" t="n"/>
      <c r="Q27" s="3981" t="n"/>
      <c r="R27" s="3981" t="n"/>
      <c r="S27" s="3981" t="n"/>
      <c r="T27" s="3981" t="n"/>
      <c r="U27" s="3981" t="n"/>
      <c r="V27" s="3981" t="n"/>
      <c r="W27" s="3981" t="n"/>
      <c r="X27" s="3981" t="n"/>
      <c r="Y27" s="3981" t="n"/>
      <c r="Z27" s="3981" t="n"/>
      <c r="AA27" s="3981" t="n"/>
      <c r="AB27" s="3981" t="n"/>
      <c r="AC27" s="3981" t="n"/>
      <c r="AD27" s="3981" t="n"/>
      <c r="AE27" s="3981" t="n"/>
      <c r="AF27" s="3981" t="n"/>
      <c r="AG27" s="3981" t="n"/>
      <c r="AH27" s="3981" t="n"/>
      <c r="AI27" s="3981" t="n"/>
      <c r="AJ27" s="3981" t="n"/>
      <c r="AK27" s="3981" t="n"/>
      <c r="AL27" s="3981" t="n"/>
      <c r="AM27" s="3981" t="n"/>
      <c r="AN27" s="3981" t="n"/>
      <c r="AO27" s="3981" t="n"/>
      <c r="AP27" s="3981" t="n"/>
      <c r="AQ27" s="3981" t="n"/>
      <c r="AR27" s="3981" t="n"/>
      <c r="AS27" s="3981" t="n"/>
    </row>
    <row r="28">
      <c r="A28" s="3959" t="inlineStr">
        <is>
          <t>Stratified total tie-out to Combined BS</t>
        </is>
      </c>
      <c r="B28" s="3959" t="n"/>
      <c r="C28" s="3959" t="n"/>
      <c r="D28" s="3959" t="n"/>
      <c r="E28" s="3959" t="n"/>
      <c r="F28" s="3959" t="n"/>
      <c r="G28" s="3961" t="n"/>
      <c r="H28" s="3961" t="n"/>
      <c r="I28" s="3961" t="n"/>
      <c r="J28" s="3961" t="n"/>
      <c r="K28" s="3961" t="n"/>
      <c r="L28" s="3961" t="n"/>
      <c r="M28" s="3961" t="n"/>
      <c r="N28" s="3961" t="n"/>
      <c r="O28" s="3961" t="n"/>
      <c r="P28" s="3961" t="n"/>
      <c r="Q28" s="3961" t="n"/>
      <c r="R28" s="3961" t="n"/>
      <c r="S28" s="3961" t="n"/>
      <c r="T28" s="3961" t="n"/>
      <c r="U28" s="3961" t="n"/>
      <c r="V28" s="3961" t="n"/>
      <c r="W28" s="3961" t="n"/>
      <c r="X28" s="3961" t="n"/>
      <c r="Y28" s="3961" t="n"/>
      <c r="Z28" s="3961" t="n"/>
      <c r="AA28" s="3961" t="n"/>
      <c r="AB28" s="3961" t="n"/>
      <c r="AC28" s="3961" t="n"/>
      <c r="AD28" s="3961" t="n"/>
      <c r="AE28" s="3961" t="n"/>
      <c r="AF28" s="3961" t="n"/>
      <c r="AG28" s="3961" t="n"/>
      <c r="AH28" s="3961" t="n"/>
      <c r="AI28" s="3961" t="n"/>
      <c r="AJ28" s="3961" t="n"/>
      <c r="AK28" s="3961" t="n"/>
      <c r="AL28" s="3961" t="n"/>
      <c r="AM28" s="3961" t="n"/>
      <c r="AN28" s="3961" t="n"/>
      <c r="AO28" s="3961" t="n"/>
      <c r="AP28" s="3961" t="n"/>
      <c r="AQ28" s="3961" t="n"/>
      <c r="AR28" s="3961" t="n"/>
      <c r="AS28" s="3961" t="n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S28"/>
  <sheetViews>
    <sheetView showGridLines="0" zoomScale="100" zoomScaleNormal="100" workbookViewId="0">
      <pane xSplit="6" ySplit="8" topLeftCell="G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28" customWidth="1" min="2" max="2"/>
    <col width="16" customWidth="1" min="3" max="3"/>
    <col width="7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</cols>
  <sheetData>
    <row r="1">
      <c r="A1" s="3962" t="inlineStr">
        <is>
          <t>Net Debt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  <c r="AS1" s="3934" t="n"/>
    </row>
    <row r="2">
      <c r="A2" s="3978" t="inlineStr">
        <is>
          <t>Source: &lt;document_source&gt;</t>
        </is>
      </c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  <c r="AS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  <c r="AS3" s="3934" t="n"/>
    </row>
    <row r="4">
      <c r="A4" s="3934" t="n"/>
      <c r="B4" s="3934" t="n"/>
      <c r="C4" s="3934" t="n"/>
      <c r="D4" s="3934" t="n"/>
      <c r="E4" s="3934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  <c r="AS4" s="3934" t="n"/>
    </row>
    <row r="5">
      <c r="A5" s="3934" t="n"/>
      <c r="B5" s="3934" t="n"/>
      <c r="C5" s="3934" t="n"/>
      <c r="D5" s="3934" t="n"/>
      <c r="E5" s="3934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  <c r="AS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  <c r="AS6" s="3934" t="n"/>
    </row>
    <row r="7">
      <c r="A7" s="3979" t="inlineStr">
        <is>
          <t>Net_debt</t>
        </is>
      </c>
      <c r="B7" s="3980" t="n"/>
      <c r="C7" s="3980" t="n"/>
      <c r="D7" s="3980" t="n"/>
      <c r="E7" s="3980" t="n"/>
      <c r="F7" s="3980" t="n"/>
      <c r="G7" s="3980" t="n"/>
      <c r="H7" s="3980" t="n"/>
      <c r="I7" s="3980" t="n"/>
      <c r="J7" s="3980" t="n"/>
      <c r="K7" s="3980" t="n"/>
      <c r="L7" s="3980" t="n"/>
      <c r="M7" s="3980" t="n"/>
      <c r="N7" s="3980" t="n"/>
      <c r="O7" s="3980" t="n"/>
      <c r="P7" s="3980" t="n"/>
      <c r="Q7" s="3980" t="n"/>
      <c r="R7" s="3980" t="n"/>
      <c r="S7" s="3980" t="n"/>
      <c r="T7" s="3980" t="n"/>
      <c r="U7" s="3980" t="n"/>
      <c r="V7" s="3980" t="n"/>
      <c r="W7" s="3980" t="n"/>
      <c r="X7" s="3980" t="n"/>
      <c r="Y7" s="3980" t="n"/>
      <c r="Z7" s="3980" t="n"/>
      <c r="AA7" s="3980" t="n"/>
      <c r="AB7" s="3980" t="n"/>
      <c r="AC7" s="3980" t="n"/>
      <c r="AD7" s="3980" t="n"/>
      <c r="AE7" s="3980" t="n"/>
      <c r="AF7" s="3980" t="n"/>
      <c r="AG7" s="3980" t="n"/>
      <c r="AH7" s="3980" t="n"/>
      <c r="AI7" s="3980" t="n"/>
      <c r="AJ7" s="3980" t="n"/>
      <c r="AK7" s="3980" t="n"/>
      <c r="AL7" s="3980" t="n"/>
      <c r="AM7" s="3980" t="n"/>
      <c r="AN7" s="3980" t="n"/>
      <c r="AO7" s="3980" t="n"/>
      <c r="AP7" s="3980" t="n"/>
      <c r="AQ7" s="3980" t="n"/>
      <c r="AR7" s="3980" t="n"/>
      <c r="AS7" s="3980" t="n"/>
    </row>
    <row r="8">
      <c r="A8" s="3923" t="inlineStr">
        <is>
          <t>LineKey</t>
        </is>
      </c>
      <c r="B8" s="3964" t="inlineStr">
        <is>
          <t>$'000</t>
        </is>
      </c>
      <c r="C8" s="3964" t="inlineStr">
        <is>
          <t>TB Account No.</t>
        </is>
      </c>
      <c r="D8" s="3964" t="inlineStr">
        <is>
          <t>Sign</t>
        </is>
      </c>
      <c r="E8" s="3964" t="inlineStr">
        <is>
          <t>Source</t>
        </is>
      </c>
      <c r="F8" s="3964" t="inlineStr">
        <is>
          <t>Comments</t>
        </is>
      </c>
      <c r="G8" s="3965" t="inlineStr">
        <is>
          <t>FY-3</t>
        </is>
      </c>
      <c r="H8" s="3965" t="inlineStr">
        <is>
          <t>FY-2</t>
        </is>
      </c>
      <c r="I8" s="3965" t="inlineStr">
        <is>
          <t>FY-1</t>
        </is>
      </c>
      <c r="J8" s="3965" t="inlineStr">
        <is>
          <t>Latest ME</t>
        </is>
      </c>
      <c r="K8" s="3965" t="n"/>
      <c r="L8" s="3965" t="n"/>
      <c r="M8" s="3965" t="n"/>
      <c r="N8" s="3965" t="n"/>
      <c r="O8" s="3965" t="n"/>
      <c r="P8" s="3965" t="n"/>
      <c r="Q8" s="3965" t="n"/>
      <c r="R8" s="3965" t="n"/>
      <c r="S8" s="3965" t="n"/>
      <c r="T8" s="3965" t="n"/>
      <c r="U8" s="3965" t="n"/>
      <c r="V8" s="3965" t="n"/>
      <c r="W8" s="3965" t="n"/>
      <c r="X8" s="3965" t="n"/>
      <c r="Y8" s="3965" t="n"/>
      <c r="Z8" s="3965" t="n"/>
      <c r="AA8" s="3965" t="n"/>
      <c r="AB8" s="3965" t="n"/>
      <c r="AC8" s="3965" t="n"/>
      <c r="AD8" s="3965" t="n"/>
      <c r="AE8" s="3965" t="n"/>
      <c r="AF8" s="3965" t="n"/>
      <c r="AG8" s="3965" t="n"/>
      <c r="AH8" s="3965" t="n"/>
      <c r="AI8" s="3965" t="n"/>
      <c r="AJ8" s="3965" t="n"/>
      <c r="AK8" s="3965" t="n"/>
      <c r="AL8" s="3965" t="n"/>
      <c r="AM8" s="3965" t="n"/>
      <c r="AN8" s="3965" t="n"/>
      <c r="AO8" s="3965" t="n"/>
      <c r="AP8" s="3965" t="n"/>
      <c r="AQ8" s="3965" t="n"/>
      <c r="AR8" s="3965" t="n"/>
      <c r="AS8" s="3965" t="n"/>
    </row>
    <row r="9">
      <c r="A9" s="3959" t="inlineStr">
        <is>
          <t>ND_CASH</t>
        </is>
      </c>
      <c r="B9" s="3959" t="inlineStr">
        <is>
          <t>Cash components</t>
        </is>
      </c>
      <c r="C9" s="3959" t="inlineStr"/>
      <c r="D9" s="3959" t="inlineStr">
        <is>
          <t>+</t>
        </is>
      </c>
      <c r="E9" s="3959" t="inlineStr">
        <is>
          <t>Class map</t>
        </is>
      </c>
      <c r="F9" s="3959" t="inlineStr"/>
      <c r="G9" s="3929" t="n"/>
      <c r="H9" s="3929" t="n"/>
      <c r="I9" s="3929" t="n"/>
      <c r="J9" s="3929" t="n"/>
      <c r="K9" s="3960" t="n"/>
      <c r="L9" s="3960" t="n"/>
      <c r="M9" s="3960" t="n"/>
      <c r="N9" s="3960" t="n"/>
      <c r="O9" s="3960" t="n"/>
      <c r="P9" s="3960" t="n"/>
      <c r="Q9" s="3960" t="n"/>
      <c r="R9" s="3960" t="n"/>
      <c r="S9" s="3960" t="n"/>
      <c r="T9" s="3960" t="n"/>
      <c r="U9" s="3960" t="n"/>
      <c r="V9" s="3960" t="n"/>
      <c r="W9" s="3960" t="n"/>
      <c r="X9" s="3960" t="n"/>
      <c r="Y9" s="3960" t="n"/>
      <c r="Z9" s="3960" t="n"/>
      <c r="AA9" s="3960" t="n"/>
      <c r="AB9" s="3960" t="n"/>
      <c r="AC9" s="3960" t="n"/>
      <c r="AD9" s="3960" t="n"/>
      <c r="AE9" s="3960" t="n"/>
      <c r="AF9" s="3960" t="n"/>
      <c r="AG9" s="3960" t="n"/>
      <c r="AH9" s="3960" t="n"/>
      <c r="AI9" s="3960" t="n"/>
      <c r="AJ9" s="3960" t="n"/>
      <c r="AK9" s="3960" t="n"/>
      <c r="AL9" s="3960" t="n"/>
      <c r="AM9" s="3960" t="n"/>
      <c r="AN9" s="3960" t="n"/>
      <c r="AO9" s="3960" t="n"/>
      <c r="AP9" s="3960" t="n"/>
      <c r="AQ9" s="3960" t="n"/>
      <c r="AR9" s="3960" t="n"/>
      <c r="AS9" s="3960" t="n"/>
    </row>
    <row r="10">
      <c r="A10" s="3959" t="inlineStr">
        <is>
          <t>ND_DEBT</t>
        </is>
      </c>
      <c r="B10" s="3959" t="inlineStr">
        <is>
          <t>Debt components</t>
        </is>
      </c>
      <c r="C10" s="3959" t="inlineStr"/>
      <c r="D10" s="3959" t="inlineStr">
        <is>
          <t>+</t>
        </is>
      </c>
      <c r="E10" s="3959" t="inlineStr">
        <is>
          <t>Class map</t>
        </is>
      </c>
      <c r="F10" s="3959" t="inlineStr"/>
      <c r="G10" s="3929" t="n"/>
      <c r="H10" s="3929" t="n"/>
      <c r="I10" s="3929" t="n"/>
      <c r="J10" s="3929" t="n"/>
      <c r="K10" s="3960" t="n"/>
      <c r="L10" s="3960" t="n"/>
      <c r="M10" s="3960" t="n"/>
      <c r="N10" s="3960" t="n"/>
      <c r="O10" s="3960" t="n"/>
      <c r="P10" s="3960" t="n"/>
      <c r="Q10" s="3960" t="n"/>
      <c r="R10" s="3960" t="n"/>
      <c r="S10" s="3960" t="n"/>
      <c r="T10" s="3960" t="n"/>
      <c r="U10" s="3960" t="n"/>
      <c r="V10" s="3960" t="n"/>
      <c r="W10" s="3960" t="n"/>
      <c r="X10" s="3960" t="n"/>
      <c r="Y10" s="3960" t="n"/>
      <c r="Z10" s="3960" t="n"/>
      <c r="AA10" s="3960" t="n"/>
      <c r="AB10" s="3960" t="n"/>
      <c r="AC10" s="3960" t="n"/>
      <c r="AD10" s="3960" t="n"/>
      <c r="AE10" s="3960" t="n"/>
      <c r="AF10" s="3960" t="n"/>
      <c r="AG10" s="3960" t="n"/>
      <c r="AH10" s="3960" t="n"/>
      <c r="AI10" s="3960" t="n"/>
      <c r="AJ10" s="3960" t="n"/>
      <c r="AK10" s="3960" t="n"/>
      <c r="AL10" s="3960" t="n"/>
      <c r="AM10" s="3960" t="n"/>
      <c r="AN10" s="3960" t="n"/>
      <c r="AO10" s="3960" t="n"/>
      <c r="AP10" s="3960" t="n"/>
      <c r="AQ10" s="3960" t="n"/>
      <c r="AR10" s="3960" t="n"/>
      <c r="AS10" s="3960" t="n"/>
    </row>
    <row r="11">
      <c r="A11" s="3959" t="inlineStr">
        <is>
          <t>ND_DEBTLIKE</t>
        </is>
      </c>
      <c r="B11" s="3959" t="inlineStr">
        <is>
          <t>Debt-like components</t>
        </is>
      </c>
      <c r="C11" s="3959" t="inlineStr"/>
      <c r="D11" s="3959" t="inlineStr">
        <is>
          <t>+</t>
        </is>
      </c>
      <c r="E11" s="3959" t="inlineStr">
        <is>
          <t>Class map</t>
        </is>
      </c>
      <c r="F11" s="3959" t="inlineStr"/>
      <c r="G11" s="3929" t="n"/>
      <c r="H11" s="3929" t="n"/>
      <c r="I11" s="3929" t="n"/>
      <c r="J11" s="3929" t="n"/>
      <c r="K11" s="3960" t="n"/>
      <c r="L11" s="3960" t="n"/>
      <c r="M11" s="3960" t="n"/>
      <c r="N11" s="3960" t="n"/>
      <c r="O11" s="3960" t="n"/>
      <c r="P11" s="3960" t="n"/>
      <c r="Q11" s="3960" t="n"/>
      <c r="R11" s="3960" t="n"/>
      <c r="S11" s="3960" t="n"/>
      <c r="T11" s="3960" t="n"/>
      <c r="U11" s="3960" t="n"/>
      <c r="V11" s="3960" t="n"/>
      <c r="W11" s="3960" t="n"/>
      <c r="X11" s="3960" t="n"/>
      <c r="Y11" s="3960" t="n"/>
      <c r="Z11" s="3960" t="n"/>
      <c r="AA11" s="3960" t="n"/>
      <c r="AB11" s="3960" t="n"/>
      <c r="AC11" s="3960" t="n"/>
      <c r="AD11" s="3960" t="n"/>
      <c r="AE11" s="3960" t="n"/>
      <c r="AF11" s="3960" t="n"/>
      <c r="AG11" s="3960" t="n"/>
      <c r="AH11" s="3960" t="n"/>
      <c r="AI11" s="3960" t="n"/>
      <c r="AJ11" s="3960" t="n"/>
      <c r="AK11" s="3960" t="n"/>
      <c r="AL11" s="3960" t="n"/>
      <c r="AM11" s="3960" t="n"/>
      <c r="AN11" s="3960" t="n"/>
      <c r="AO11" s="3960" t="n"/>
      <c r="AP11" s="3960" t="n"/>
      <c r="AQ11" s="3960" t="n"/>
      <c r="AR11" s="3960" t="n"/>
      <c r="AS11" s="3960" t="n"/>
    </row>
    <row r="12">
      <c r="A12" s="3959" t="inlineStr">
        <is>
          <t>ND_REPORTED</t>
        </is>
      </c>
      <c r="B12" s="3959" t="inlineStr">
        <is>
          <t>Reported net debt</t>
        </is>
      </c>
      <c r="C12" s="3959" t="inlineStr"/>
      <c r="D12" s="3959" t="inlineStr">
        <is>
          <t>+</t>
        </is>
      </c>
      <c r="E12" s="3959" t="inlineStr">
        <is>
          <t>Formula</t>
        </is>
      </c>
      <c r="F12" s="3959" t="inlineStr">
        <is>
          <t>Derived</t>
        </is>
      </c>
      <c r="G12" s="3960">
        <f>IF(COUNT(G9:G11)=0,"",G10-G9+G11)</f>
        <v/>
      </c>
      <c r="H12" s="3960">
        <f>IF(COUNT(H9:H11)=0,"",H10-H9+H11)</f>
        <v/>
      </c>
      <c r="I12" s="3960">
        <f>IF(COUNT(I9:I11)=0,"",I10-I9+I11)</f>
        <v/>
      </c>
      <c r="J12" s="3960">
        <f>IF(COUNT(J9:J11)=0,"",J10-J9+J11)</f>
        <v/>
      </c>
      <c r="K12" s="3960" t="n"/>
      <c r="L12" s="3960" t="n"/>
      <c r="M12" s="3960" t="n"/>
      <c r="N12" s="3960" t="n"/>
      <c r="O12" s="3960" t="n"/>
      <c r="P12" s="3960" t="n"/>
      <c r="Q12" s="3960" t="n"/>
      <c r="R12" s="3960" t="n"/>
      <c r="S12" s="3960" t="n"/>
      <c r="T12" s="3960" t="n"/>
      <c r="U12" s="3960" t="n"/>
      <c r="V12" s="3960" t="n"/>
      <c r="W12" s="3960" t="n"/>
      <c r="X12" s="3960" t="n"/>
      <c r="Y12" s="3960" t="n"/>
      <c r="Z12" s="3960" t="n"/>
      <c r="AA12" s="3960" t="n"/>
      <c r="AB12" s="3960" t="n"/>
      <c r="AC12" s="3960" t="n"/>
      <c r="AD12" s="3960" t="n"/>
      <c r="AE12" s="3960" t="n"/>
      <c r="AF12" s="3960" t="n"/>
      <c r="AG12" s="3960" t="n"/>
      <c r="AH12" s="3960" t="n"/>
      <c r="AI12" s="3960" t="n"/>
      <c r="AJ12" s="3960" t="n"/>
      <c r="AK12" s="3960" t="n"/>
      <c r="AL12" s="3960" t="n"/>
      <c r="AM12" s="3960" t="n"/>
      <c r="AN12" s="3960" t="n"/>
      <c r="AO12" s="3960" t="n"/>
      <c r="AP12" s="3960" t="n"/>
      <c r="AQ12" s="3960" t="n"/>
      <c r="AR12" s="3960" t="n"/>
      <c r="AS12" s="3960" t="n"/>
    </row>
    <row r="13">
      <c r="A13" s="3959" t="inlineStr">
        <is>
          <t>ND_DD_ADJ</t>
        </is>
      </c>
      <c r="B13" s="3959" t="inlineStr">
        <is>
          <t>DD adjustments</t>
        </is>
      </c>
      <c r="C13" s="3959" t="inlineStr"/>
      <c r="D13" s="3959" t="inlineStr">
        <is>
          <t>+</t>
        </is>
      </c>
      <c r="E13" s="3959" t="inlineStr">
        <is>
          <t>Input</t>
        </is>
      </c>
      <c r="F13" s="3959" t="inlineStr"/>
      <c r="G13" s="3929" t="n"/>
      <c r="H13" s="3929" t="n"/>
      <c r="I13" s="3929" t="n"/>
      <c r="J13" s="3929" t="n"/>
      <c r="K13" s="3960" t="n"/>
      <c r="L13" s="3960" t="n"/>
      <c r="M13" s="3960" t="n"/>
      <c r="N13" s="3960" t="n"/>
      <c r="O13" s="3960" t="n"/>
      <c r="P13" s="3960" t="n"/>
      <c r="Q13" s="3960" t="n"/>
      <c r="R13" s="3960" t="n"/>
      <c r="S13" s="3960" t="n"/>
      <c r="T13" s="3960" t="n"/>
      <c r="U13" s="3960" t="n"/>
      <c r="V13" s="3960" t="n"/>
      <c r="W13" s="3960" t="n"/>
      <c r="X13" s="3960" t="n"/>
      <c r="Y13" s="3960" t="n"/>
      <c r="Z13" s="3960" t="n"/>
      <c r="AA13" s="3960" t="n"/>
      <c r="AB13" s="3960" t="n"/>
      <c r="AC13" s="3960" t="n"/>
      <c r="AD13" s="3960" t="n"/>
      <c r="AE13" s="3960" t="n"/>
      <c r="AF13" s="3960" t="n"/>
      <c r="AG13" s="3960" t="n"/>
      <c r="AH13" s="3960" t="n"/>
      <c r="AI13" s="3960" t="n"/>
      <c r="AJ13" s="3960" t="n"/>
      <c r="AK13" s="3960" t="n"/>
      <c r="AL13" s="3960" t="n"/>
      <c r="AM13" s="3960" t="n"/>
      <c r="AN13" s="3960" t="n"/>
      <c r="AO13" s="3960" t="n"/>
      <c r="AP13" s="3960" t="n"/>
      <c r="AQ13" s="3960" t="n"/>
      <c r="AR13" s="3960" t="n"/>
      <c r="AS13" s="3960" t="n"/>
    </row>
    <row r="14">
      <c r="A14" s="3959" t="inlineStr">
        <is>
          <t>ND_PF_ADJ</t>
        </is>
      </c>
      <c r="B14" s="3959" t="inlineStr">
        <is>
          <t>PF adjustments</t>
        </is>
      </c>
      <c r="C14" s="3959" t="inlineStr"/>
      <c r="D14" s="3959" t="inlineStr">
        <is>
          <t>+</t>
        </is>
      </c>
      <c r="E14" s="3959" t="inlineStr">
        <is>
          <t>Input</t>
        </is>
      </c>
      <c r="F14" s="3959" t="inlineStr"/>
      <c r="G14" s="3929" t="n"/>
      <c r="H14" s="3929" t="n"/>
      <c r="I14" s="3929" t="n"/>
      <c r="J14" s="3929" t="n"/>
      <c r="K14" s="3960" t="n"/>
      <c r="L14" s="3960" t="n"/>
      <c r="M14" s="3960" t="n"/>
      <c r="N14" s="3960" t="n"/>
      <c r="O14" s="3960" t="n"/>
      <c r="P14" s="3960" t="n"/>
      <c r="Q14" s="3960" t="n"/>
      <c r="R14" s="3960" t="n"/>
      <c r="S14" s="3960" t="n"/>
      <c r="T14" s="3960" t="n"/>
      <c r="U14" s="3960" t="n"/>
      <c r="V14" s="3960" t="n"/>
      <c r="W14" s="3960" t="n"/>
      <c r="X14" s="3960" t="n"/>
      <c r="Y14" s="3960" t="n"/>
      <c r="Z14" s="3960" t="n"/>
      <c r="AA14" s="3960" t="n"/>
      <c r="AB14" s="3960" t="n"/>
      <c r="AC14" s="3960" t="n"/>
      <c r="AD14" s="3960" t="n"/>
      <c r="AE14" s="3960" t="n"/>
      <c r="AF14" s="3960" t="n"/>
      <c r="AG14" s="3960" t="n"/>
      <c r="AH14" s="3960" t="n"/>
      <c r="AI14" s="3960" t="n"/>
      <c r="AJ14" s="3960" t="n"/>
      <c r="AK14" s="3960" t="n"/>
      <c r="AL14" s="3960" t="n"/>
      <c r="AM14" s="3960" t="n"/>
      <c r="AN14" s="3960" t="n"/>
      <c r="AO14" s="3960" t="n"/>
      <c r="AP14" s="3960" t="n"/>
      <c r="AQ14" s="3960" t="n"/>
      <c r="AR14" s="3960" t="n"/>
      <c r="AS14" s="3960" t="n"/>
    </row>
    <row r="15">
      <c r="A15" s="3959" t="inlineStr">
        <is>
          <t>ND_ADJ</t>
        </is>
      </c>
      <c r="B15" s="3959" t="inlineStr">
        <is>
          <t>Adjusted net debt</t>
        </is>
      </c>
      <c r="C15" s="3959" t="inlineStr"/>
      <c r="D15" s="3959" t="inlineStr">
        <is>
          <t>+</t>
        </is>
      </c>
      <c r="E15" s="3959" t="inlineStr">
        <is>
          <t>Formula</t>
        </is>
      </c>
      <c r="F15" s="3959" t="inlineStr">
        <is>
          <t>Derived</t>
        </is>
      </c>
      <c r="G15" s="3960">
        <f>IF(COUNT(G12:G14)=0,"",G12+G13+G14)</f>
        <v/>
      </c>
      <c r="H15" s="3960">
        <f>IF(COUNT(H12:H14)=0,"",H12+H13+H14)</f>
        <v/>
      </c>
      <c r="I15" s="3960">
        <f>IF(COUNT(I12:I14)=0,"",I12+I13+I14)</f>
        <v/>
      </c>
      <c r="J15" s="3960">
        <f>IF(COUNT(J12:J14)=0,"",J12+J13+J14)</f>
        <v/>
      </c>
      <c r="K15" s="3960" t="n"/>
      <c r="L15" s="3960" t="n"/>
      <c r="M15" s="3960" t="n"/>
      <c r="N15" s="3960" t="n"/>
      <c r="O15" s="3960" t="n"/>
      <c r="P15" s="3960" t="n"/>
      <c r="Q15" s="3960" t="n"/>
      <c r="R15" s="3960" t="n"/>
      <c r="S15" s="3960" t="n"/>
      <c r="T15" s="3960" t="n"/>
      <c r="U15" s="3960" t="n"/>
      <c r="V15" s="3960" t="n"/>
      <c r="W15" s="3960" t="n"/>
      <c r="X15" s="3960" t="n"/>
      <c r="Y15" s="3960" t="n"/>
      <c r="Z15" s="3960" t="n"/>
      <c r="AA15" s="3960" t="n"/>
      <c r="AB15" s="3960" t="n"/>
      <c r="AC15" s="3960" t="n"/>
      <c r="AD15" s="3960" t="n"/>
      <c r="AE15" s="3960" t="n"/>
      <c r="AF15" s="3960" t="n"/>
      <c r="AG15" s="3960" t="n"/>
      <c r="AH15" s="3960" t="n"/>
      <c r="AI15" s="3960" t="n"/>
      <c r="AJ15" s="3960" t="n"/>
      <c r="AK15" s="3960" t="n"/>
      <c r="AL15" s="3960" t="n"/>
      <c r="AM15" s="3960" t="n"/>
      <c r="AN15" s="3960" t="n"/>
      <c r="AO15" s="3960" t="n"/>
      <c r="AP15" s="3960" t="n"/>
      <c r="AQ15" s="3960" t="n"/>
      <c r="AR15" s="3960" t="n"/>
      <c r="AS15" s="3960" t="n"/>
    </row>
    <row r="16">
      <c r="A16" s="3959" t="n"/>
      <c r="B16" s="3959" t="n"/>
      <c r="C16" s="3959" t="n"/>
      <c r="D16" s="3959" t="n"/>
      <c r="E16" s="3959" t="n"/>
      <c r="F16" s="3959" t="n"/>
      <c r="G16" s="3960" t="n"/>
      <c r="H16" s="3960" t="n"/>
      <c r="I16" s="3960" t="n"/>
      <c r="J16" s="3960" t="n"/>
      <c r="K16" s="3960" t="n"/>
      <c r="L16" s="3960" t="n"/>
      <c r="M16" s="3960" t="n"/>
      <c r="N16" s="3960" t="n"/>
      <c r="O16" s="3960" t="n"/>
      <c r="P16" s="3960" t="n"/>
      <c r="Q16" s="3960" t="n"/>
      <c r="R16" s="3960" t="n"/>
      <c r="S16" s="3960" t="n"/>
      <c r="T16" s="3960" t="n"/>
      <c r="U16" s="3960" t="n"/>
      <c r="V16" s="3960" t="n"/>
      <c r="W16" s="3960" t="n"/>
      <c r="X16" s="3960" t="n"/>
      <c r="Y16" s="3960" t="n"/>
      <c r="Z16" s="3960" t="n"/>
      <c r="AA16" s="3960" t="n"/>
      <c r="AB16" s="3960" t="n"/>
      <c r="AC16" s="3960" t="n"/>
      <c r="AD16" s="3960" t="n"/>
      <c r="AE16" s="3960" t="n"/>
      <c r="AF16" s="3960" t="n"/>
      <c r="AG16" s="3960" t="n"/>
      <c r="AH16" s="3960" t="n"/>
      <c r="AI16" s="3960" t="n"/>
      <c r="AJ16" s="3960" t="n"/>
      <c r="AK16" s="3960" t="n"/>
      <c r="AL16" s="3960" t="n"/>
      <c r="AM16" s="3960" t="n"/>
      <c r="AN16" s="3960" t="n"/>
      <c r="AO16" s="3960" t="n"/>
      <c r="AP16" s="3960" t="n"/>
      <c r="AQ16" s="3960" t="n"/>
      <c r="AR16" s="3960" t="n"/>
      <c r="AS16" s="3960" t="n"/>
    </row>
    <row r="17">
      <c r="A17" s="3959" t="n"/>
      <c r="B17" s="3959" t="n"/>
      <c r="C17" s="3959" t="n"/>
      <c r="D17" s="3959" t="n"/>
      <c r="E17" s="3959" t="n"/>
      <c r="F17" s="3959" t="n"/>
      <c r="G17" s="3960" t="n"/>
      <c r="H17" s="3960" t="n"/>
      <c r="I17" s="3960" t="n"/>
      <c r="J17" s="3960" t="n"/>
      <c r="K17" s="3960" t="n"/>
      <c r="L17" s="3960" t="n"/>
      <c r="M17" s="3960" t="n"/>
      <c r="N17" s="3960" t="n"/>
      <c r="O17" s="3960" t="n"/>
      <c r="P17" s="3960" t="n"/>
      <c r="Q17" s="3960" t="n"/>
      <c r="R17" s="3960" t="n"/>
      <c r="S17" s="3960" t="n"/>
      <c r="T17" s="3960" t="n"/>
      <c r="U17" s="3960" t="n"/>
      <c r="V17" s="3960" t="n"/>
      <c r="W17" s="3960" t="n"/>
      <c r="X17" s="3960" t="n"/>
      <c r="Y17" s="3960" t="n"/>
      <c r="Z17" s="3960" t="n"/>
      <c r="AA17" s="3960" t="n"/>
      <c r="AB17" s="3960" t="n"/>
      <c r="AC17" s="3960" t="n"/>
      <c r="AD17" s="3960" t="n"/>
      <c r="AE17" s="3960" t="n"/>
      <c r="AF17" s="3960" t="n"/>
      <c r="AG17" s="3960" t="n"/>
      <c r="AH17" s="3960" t="n"/>
      <c r="AI17" s="3960" t="n"/>
      <c r="AJ17" s="3960" t="n"/>
      <c r="AK17" s="3960" t="n"/>
      <c r="AL17" s="3960" t="n"/>
      <c r="AM17" s="3960" t="n"/>
      <c r="AN17" s="3960" t="n"/>
      <c r="AO17" s="3960" t="n"/>
      <c r="AP17" s="3960" t="n"/>
      <c r="AQ17" s="3960" t="n"/>
      <c r="AR17" s="3960" t="n"/>
      <c r="AS17" s="3960" t="n"/>
    </row>
    <row r="18">
      <c r="A18" s="3959" t="n"/>
      <c r="B18" s="3959" t="n"/>
      <c r="C18" s="3959" t="n"/>
      <c r="D18" s="3959" t="n"/>
      <c r="E18" s="3959" t="n"/>
      <c r="F18" s="3959" t="n"/>
      <c r="G18" s="3960" t="n"/>
      <c r="H18" s="3960" t="n"/>
      <c r="I18" s="3960" t="n"/>
      <c r="J18" s="3960" t="n"/>
      <c r="K18" s="3960" t="n"/>
      <c r="L18" s="3960" t="n"/>
      <c r="M18" s="3960" t="n"/>
      <c r="N18" s="3960" t="n"/>
      <c r="O18" s="3960" t="n"/>
      <c r="P18" s="3960" t="n"/>
      <c r="Q18" s="3960" t="n"/>
      <c r="R18" s="3960" t="n"/>
      <c r="S18" s="3960" t="n"/>
      <c r="T18" s="3960" t="n"/>
      <c r="U18" s="3960" t="n"/>
      <c r="V18" s="3960" t="n"/>
      <c r="W18" s="3960" t="n"/>
      <c r="X18" s="3960" t="n"/>
      <c r="Y18" s="3960" t="n"/>
      <c r="Z18" s="3960" t="n"/>
      <c r="AA18" s="3960" t="n"/>
      <c r="AB18" s="3960" t="n"/>
      <c r="AC18" s="3960" t="n"/>
      <c r="AD18" s="3960" t="n"/>
      <c r="AE18" s="3960" t="n"/>
      <c r="AF18" s="3960" t="n"/>
      <c r="AG18" s="3960" t="n"/>
      <c r="AH18" s="3960" t="n"/>
      <c r="AI18" s="3960" t="n"/>
      <c r="AJ18" s="3960" t="n"/>
      <c r="AK18" s="3960" t="n"/>
      <c r="AL18" s="3960" t="n"/>
      <c r="AM18" s="3960" t="n"/>
      <c r="AN18" s="3960" t="n"/>
      <c r="AO18" s="3960" t="n"/>
      <c r="AP18" s="3960" t="n"/>
      <c r="AQ18" s="3960" t="n"/>
      <c r="AR18" s="3960" t="n"/>
      <c r="AS18" s="3960" t="n"/>
    </row>
    <row r="19">
      <c r="A19" s="3959" t="n"/>
      <c r="B19" s="3959" t="n"/>
      <c r="C19" s="3959" t="n"/>
      <c r="D19" s="3959" t="n"/>
      <c r="E19" s="3959" t="n"/>
      <c r="F19" s="3959" t="n"/>
      <c r="G19" s="3960" t="n"/>
      <c r="H19" s="3960" t="n"/>
      <c r="I19" s="3960" t="n"/>
      <c r="J19" s="3960" t="n"/>
      <c r="K19" s="3960" t="n"/>
      <c r="L19" s="3960" t="n"/>
      <c r="M19" s="3960" t="n"/>
      <c r="N19" s="3960" t="n"/>
      <c r="O19" s="3960" t="n"/>
      <c r="P19" s="3960" t="n"/>
      <c r="Q19" s="3960" t="n"/>
      <c r="R19" s="3960" t="n"/>
      <c r="S19" s="3960" t="n"/>
      <c r="T19" s="3960" t="n"/>
      <c r="U19" s="3960" t="n"/>
      <c r="V19" s="3960" t="n"/>
      <c r="W19" s="3960" t="n"/>
      <c r="X19" s="3960" t="n"/>
      <c r="Y19" s="3960" t="n"/>
      <c r="Z19" s="3960" t="n"/>
      <c r="AA19" s="3960" t="n"/>
      <c r="AB19" s="3960" t="n"/>
      <c r="AC19" s="3960" t="n"/>
      <c r="AD19" s="3960" t="n"/>
      <c r="AE19" s="3960" t="n"/>
      <c r="AF19" s="3960" t="n"/>
      <c r="AG19" s="3960" t="n"/>
      <c r="AH19" s="3960" t="n"/>
      <c r="AI19" s="3960" t="n"/>
      <c r="AJ19" s="3960" t="n"/>
      <c r="AK19" s="3960" t="n"/>
      <c r="AL19" s="3960" t="n"/>
      <c r="AM19" s="3960" t="n"/>
      <c r="AN19" s="3960" t="n"/>
      <c r="AO19" s="3960" t="n"/>
      <c r="AP19" s="3960" t="n"/>
      <c r="AQ19" s="3960" t="n"/>
      <c r="AR19" s="3960" t="n"/>
      <c r="AS19" s="3960" t="n"/>
    </row>
    <row r="20">
      <c r="A20" s="3959" t="n"/>
      <c r="B20" s="3959" t="n"/>
      <c r="C20" s="3959" t="n"/>
      <c r="D20" s="3959" t="n"/>
      <c r="E20" s="3959" t="n"/>
      <c r="F20" s="3959" t="n"/>
      <c r="G20" s="3960" t="n"/>
      <c r="H20" s="3960" t="n"/>
      <c r="I20" s="3960" t="n"/>
      <c r="J20" s="3960" t="n"/>
      <c r="K20" s="3960" t="n"/>
      <c r="L20" s="3960" t="n"/>
      <c r="M20" s="3960" t="n"/>
      <c r="N20" s="3960" t="n"/>
      <c r="O20" s="3960" t="n"/>
      <c r="P20" s="3960" t="n"/>
      <c r="Q20" s="3960" t="n"/>
      <c r="R20" s="3960" t="n"/>
      <c r="S20" s="3960" t="n"/>
      <c r="T20" s="3960" t="n"/>
      <c r="U20" s="3960" t="n"/>
      <c r="V20" s="3960" t="n"/>
      <c r="W20" s="3960" t="n"/>
      <c r="X20" s="3960" t="n"/>
      <c r="Y20" s="3960" t="n"/>
      <c r="Z20" s="3960" t="n"/>
      <c r="AA20" s="3960" t="n"/>
      <c r="AB20" s="3960" t="n"/>
      <c r="AC20" s="3960" t="n"/>
      <c r="AD20" s="3960" t="n"/>
      <c r="AE20" s="3960" t="n"/>
      <c r="AF20" s="3960" t="n"/>
      <c r="AG20" s="3960" t="n"/>
      <c r="AH20" s="3960" t="n"/>
      <c r="AI20" s="3960" t="n"/>
      <c r="AJ20" s="3960" t="n"/>
      <c r="AK20" s="3960" t="n"/>
      <c r="AL20" s="3960" t="n"/>
      <c r="AM20" s="3960" t="n"/>
      <c r="AN20" s="3960" t="n"/>
      <c r="AO20" s="3960" t="n"/>
      <c r="AP20" s="3960" t="n"/>
      <c r="AQ20" s="3960" t="n"/>
      <c r="AR20" s="3960" t="n"/>
      <c r="AS20" s="3960" t="n"/>
    </row>
    <row r="21">
      <c r="A21" s="3959" t="n"/>
      <c r="B21" s="3959" t="n"/>
      <c r="C21" s="3959" t="n"/>
      <c r="D21" s="3959" t="n"/>
      <c r="E21" s="3959" t="n"/>
      <c r="F21" s="3959" t="n"/>
      <c r="G21" s="3960" t="n"/>
      <c r="H21" s="3960" t="n"/>
      <c r="I21" s="3960" t="n"/>
      <c r="J21" s="3960" t="n"/>
      <c r="K21" s="3960" t="n"/>
      <c r="L21" s="3960" t="n"/>
      <c r="M21" s="3960" t="n"/>
      <c r="N21" s="3960" t="n"/>
      <c r="O21" s="3960" t="n"/>
      <c r="P21" s="3960" t="n"/>
      <c r="Q21" s="3960" t="n"/>
      <c r="R21" s="3960" t="n"/>
      <c r="S21" s="3960" t="n"/>
      <c r="T21" s="3960" t="n"/>
      <c r="U21" s="3960" t="n"/>
      <c r="V21" s="3960" t="n"/>
      <c r="W21" s="3960" t="n"/>
      <c r="X21" s="3960" t="n"/>
      <c r="Y21" s="3960" t="n"/>
      <c r="Z21" s="3960" t="n"/>
      <c r="AA21" s="3960" t="n"/>
      <c r="AB21" s="3960" t="n"/>
      <c r="AC21" s="3960" t="n"/>
      <c r="AD21" s="3960" t="n"/>
      <c r="AE21" s="3960" t="n"/>
      <c r="AF21" s="3960" t="n"/>
      <c r="AG21" s="3960" t="n"/>
      <c r="AH21" s="3960" t="n"/>
      <c r="AI21" s="3960" t="n"/>
      <c r="AJ21" s="3960" t="n"/>
      <c r="AK21" s="3960" t="n"/>
      <c r="AL21" s="3960" t="n"/>
      <c r="AM21" s="3960" t="n"/>
      <c r="AN21" s="3960" t="n"/>
      <c r="AO21" s="3960" t="n"/>
      <c r="AP21" s="3960" t="n"/>
      <c r="AQ21" s="3960" t="n"/>
      <c r="AR21" s="3960" t="n"/>
      <c r="AS21" s="3960" t="n"/>
    </row>
    <row r="22">
      <c r="A22" s="3959" t="n"/>
      <c r="B22" s="3959" t="n"/>
      <c r="C22" s="3959" t="n"/>
      <c r="D22" s="3959" t="n"/>
      <c r="E22" s="3959" t="n"/>
      <c r="F22" s="3959" t="n"/>
      <c r="G22" s="3960" t="n"/>
      <c r="H22" s="3960" t="n"/>
      <c r="I22" s="3960" t="n"/>
      <c r="J22" s="3960" t="n"/>
      <c r="K22" s="3960" t="n"/>
      <c r="L22" s="3960" t="n"/>
      <c r="M22" s="3960" t="n"/>
      <c r="N22" s="3960" t="n"/>
      <c r="O22" s="3960" t="n"/>
      <c r="P22" s="3960" t="n"/>
      <c r="Q22" s="3960" t="n"/>
      <c r="R22" s="3960" t="n"/>
      <c r="S22" s="3960" t="n"/>
      <c r="T22" s="3960" t="n"/>
      <c r="U22" s="3960" t="n"/>
      <c r="V22" s="3960" t="n"/>
      <c r="W22" s="3960" t="n"/>
      <c r="X22" s="3960" t="n"/>
      <c r="Y22" s="3960" t="n"/>
      <c r="Z22" s="3960" t="n"/>
      <c r="AA22" s="3960" t="n"/>
      <c r="AB22" s="3960" t="n"/>
      <c r="AC22" s="3960" t="n"/>
      <c r="AD22" s="3960" t="n"/>
      <c r="AE22" s="3960" t="n"/>
      <c r="AF22" s="3960" t="n"/>
      <c r="AG22" s="3960" t="n"/>
      <c r="AH22" s="3960" t="n"/>
      <c r="AI22" s="3960" t="n"/>
      <c r="AJ22" s="3960" t="n"/>
      <c r="AK22" s="3960" t="n"/>
      <c r="AL22" s="3960" t="n"/>
      <c r="AM22" s="3960" t="n"/>
      <c r="AN22" s="3960" t="n"/>
      <c r="AO22" s="3960" t="n"/>
      <c r="AP22" s="3960" t="n"/>
      <c r="AQ22" s="3960" t="n"/>
      <c r="AR22" s="3960" t="n"/>
      <c r="AS22" s="3960" t="n"/>
    </row>
    <row r="23">
      <c r="A23" s="3959" t="n"/>
      <c r="B23" s="3959" t="n"/>
      <c r="C23" s="3959" t="n"/>
      <c r="D23" s="3959" t="n"/>
      <c r="E23" s="3959" t="n"/>
      <c r="F23" s="3959" t="n"/>
      <c r="G23" s="3960" t="n"/>
      <c r="H23" s="3960" t="n"/>
      <c r="I23" s="3960" t="n"/>
      <c r="J23" s="3960" t="n"/>
      <c r="K23" s="3960" t="n"/>
      <c r="L23" s="3960" t="n"/>
      <c r="M23" s="3960" t="n"/>
      <c r="N23" s="3960" t="n"/>
      <c r="O23" s="3960" t="n"/>
      <c r="P23" s="3960" t="n"/>
      <c r="Q23" s="3960" t="n"/>
      <c r="R23" s="3960" t="n"/>
      <c r="S23" s="3960" t="n"/>
      <c r="T23" s="3960" t="n"/>
      <c r="U23" s="3960" t="n"/>
      <c r="V23" s="3960" t="n"/>
      <c r="W23" s="3960" t="n"/>
      <c r="X23" s="3960" t="n"/>
      <c r="Y23" s="3960" t="n"/>
      <c r="Z23" s="3960" t="n"/>
      <c r="AA23" s="3960" t="n"/>
      <c r="AB23" s="3960" t="n"/>
      <c r="AC23" s="3960" t="n"/>
      <c r="AD23" s="3960" t="n"/>
      <c r="AE23" s="3960" t="n"/>
      <c r="AF23" s="3960" t="n"/>
      <c r="AG23" s="3960" t="n"/>
      <c r="AH23" s="3960" t="n"/>
      <c r="AI23" s="3960" t="n"/>
      <c r="AJ23" s="3960" t="n"/>
      <c r="AK23" s="3960" t="n"/>
      <c r="AL23" s="3960" t="n"/>
      <c r="AM23" s="3960" t="n"/>
      <c r="AN23" s="3960" t="n"/>
      <c r="AO23" s="3960" t="n"/>
      <c r="AP23" s="3960" t="n"/>
      <c r="AQ23" s="3960" t="n"/>
      <c r="AR23" s="3960" t="n"/>
      <c r="AS23" s="3960" t="n"/>
    </row>
    <row r="24">
      <c r="A24" s="3959" t="n"/>
      <c r="B24" s="3959" t="n"/>
      <c r="C24" s="3959" t="n"/>
      <c r="D24" s="3959" t="n"/>
      <c r="E24" s="3959" t="n"/>
      <c r="F24" s="3959" t="n"/>
      <c r="G24" s="3960" t="n"/>
      <c r="H24" s="3960" t="n"/>
      <c r="I24" s="3960" t="n"/>
      <c r="J24" s="3960" t="n"/>
      <c r="K24" s="3960" t="n"/>
      <c r="L24" s="3960" t="n"/>
      <c r="M24" s="3960" t="n"/>
      <c r="N24" s="3960" t="n"/>
      <c r="O24" s="3960" t="n"/>
      <c r="P24" s="3960" t="n"/>
      <c r="Q24" s="3960" t="n"/>
      <c r="R24" s="3960" t="n"/>
      <c r="S24" s="3960" t="n"/>
      <c r="T24" s="3960" t="n"/>
      <c r="U24" s="3960" t="n"/>
      <c r="V24" s="3960" t="n"/>
      <c r="W24" s="3960" t="n"/>
      <c r="X24" s="3960" t="n"/>
      <c r="Y24" s="3960" t="n"/>
      <c r="Z24" s="3960" t="n"/>
      <c r="AA24" s="3960" t="n"/>
      <c r="AB24" s="3960" t="n"/>
      <c r="AC24" s="3960" t="n"/>
      <c r="AD24" s="3960" t="n"/>
      <c r="AE24" s="3960" t="n"/>
      <c r="AF24" s="3960" t="n"/>
      <c r="AG24" s="3960" t="n"/>
      <c r="AH24" s="3960" t="n"/>
      <c r="AI24" s="3960" t="n"/>
      <c r="AJ24" s="3960" t="n"/>
      <c r="AK24" s="3960" t="n"/>
      <c r="AL24" s="3960" t="n"/>
      <c r="AM24" s="3960" t="n"/>
      <c r="AN24" s="3960" t="n"/>
      <c r="AO24" s="3960" t="n"/>
      <c r="AP24" s="3960" t="n"/>
      <c r="AQ24" s="3960" t="n"/>
      <c r="AR24" s="3960" t="n"/>
      <c r="AS24" s="3960" t="n"/>
    </row>
    <row r="25">
      <c r="A25" s="3959" t="n"/>
      <c r="B25" s="3959" t="n"/>
      <c r="C25" s="3959" t="n"/>
      <c r="D25" s="3959" t="n"/>
      <c r="E25" s="3959" t="n"/>
      <c r="F25" s="3959" t="n"/>
      <c r="G25" s="3960" t="n"/>
      <c r="H25" s="3960" t="n"/>
      <c r="I25" s="3960" t="n"/>
      <c r="J25" s="3960" t="n"/>
      <c r="K25" s="3960" t="n"/>
      <c r="L25" s="3960" t="n"/>
      <c r="M25" s="3960" t="n"/>
      <c r="N25" s="3960" t="n"/>
      <c r="O25" s="3960" t="n"/>
      <c r="P25" s="3960" t="n"/>
      <c r="Q25" s="3960" t="n"/>
      <c r="R25" s="3960" t="n"/>
      <c r="S25" s="3960" t="n"/>
      <c r="T25" s="3960" t="n"/>
      <c r="U25" s="3960" t="n"/>
      <c r="V25" s="3960" t="n"/>
      <c r="W25" s="3960" t="n"/>
      <c r="X25" s="3960" t="n"/>
      <c r="Y25" s="3960" t="n"/>
      <c r="Z25" s="3960" t="n"/>
      <c r="AA25" s="3960" t="n"/>
      <c r="AB25" s="3960" t="n"/>
      <c r="AC25" s="3960" t="n"/>
      <c r="AD25" s="3960" t="n"/>
      <c r="AE25" s="3960" t="n"/>
      <c r="AF25" s="3960" t="n"/>
      <c r="AG25" s="3960" t="n"/>
      <c r="AH25" s="3960" t="n"/>
      <c r="AI25" s="3960" t="n"/>
      <c r="AJ25" s="3960" t="n"/>
      <c r="AK25" s="3960" t="n"/>
      <c r="AL25" s="3960" t="n"/>
      <c r="AM25" s="3960" t="n"/>
      <c r="AN25" s="3960" t="n"/>
      <c r="AO25" s="3960" t="n"/>
      <c r="AP25" s="3960" t="n"/>
      <c r="AQ25" s="3960" t="n"/>
      <c r="AR25" s="3960" t="n"/>
      <c r="AS25" s="3960" t="n"/>
    </row>
    <row r="26">
      <c r="A26" s="3959" t="n"/>
      <c r="B26" s="3959" t="n"/>
      <c r="C26" s="3959" t="n"/>
      <c r="D26" s="3959" t="n"/>
      <c r="E26" s="3959" t="n"/>
      <c r="F26" s="3959" t="n"/>
      <c r="G26" s="3960" t="n"/>
      <c r="H26" s="3960" t="n"/>
      <c r="I26" s="3960" t="n"/>
      <c r="J26" s="3960" t="n"/>
      <c r="K26" s="3960" t="n"/>
      <c r="L26" s="3960" t="n"/>
      <c r="M26" s="3960" t="n"/>
      <c r="N26" s="3960" t="n"/>
      <c r="O26" s="3960" t="n"/>
      <c r="P26" s="3960" t="n"/>
      <c r="Q26" s="3960" t="n"/>
      <c r="R26" s="3960" t="n"/>
      <c r="S26" s="3960" t="n"/>
      <c r="T26" s="3960" t="n"/>
      <c r="U26" s="3960" t="n"/>
      <c r="V26" s="3960" t="n"/>
      <c r="W26" s="3960" t="n"/>
      <c r="X26" s="3960" t="n"/>
      <c r="Y26" s="3960" t="n"/>
      <c r="Z26" s="3960" t="n"/>
      <c r="AA26" s="3960" t="n"/>
      <c r="AB26" s="3960" t="n"/>
      <c r="AC26" s="3960" t="n"/>
      <c r="AD26" s="3960" t="n"/>
      <c r="AE26" s="3960" t="n"/>
      <c r="AF26" s="3960" t="n"/>
      <c r="AG26" s="3960" t="n"/>
      <c r="AH26" s="3960" t="n"/>
      <c r="AI26" s="3960" t="n"/>
      <c r="AJ26" s="3960" t="n"/>
      <c r="AK26" s="3960" t="n"/>
      <c r="AL26" s="3960" t="n"/>
      <c r="AM26" s="3960" t="n"/>
      <c r="AN26" s="3960" t="n"/>
      <c r="AO26" s="3960" t="n"/>
      <c r="AP26" s="3960" t="n"/>
      <c r="AQ26" s="3960" t="n"/>
      <c r="AR26" s="3960" t="n"/>
      <c r="AS26" s="3960" t="n"/>
    </row>
    <row r="27">
      <c r="A27" s="3979" t="inlineStr">
        <is>
          <t>NETDEBT_CHECKS</t>
        </is>
      </c>
      <c r="B27" s="3980" t="n"/>
      <c r="C27" s="3980" t="n"/>
      <c r="D27" s="3980" t="n"/>
      <c r="E27" s="3980" t="n"/>
      <c r="F27" s="3980" t="n"/>
      <c r="G27" s="3981" t="n"/>
      <c r="H27" s="3981" t="n"/>
      <c r="I27" s="3981" t="n"/>
      <c r="J27" s="3981" t="n"/>
      <c r="K27" s="3981" t="n"/>
      <c r="L27" s="3981" t="n"/>
      <c r="M27" s="3981" t="n"/>
      <c r="N27" s="3981" t="n"/>
      <c r="O27" s="3981" t="n"/>
      <c r="P27" s="3981" t="n"/>
      <c r="Q27" s="3981" t="n"/>
      <c r="R27" s="3981" t="n"/>
      <c r="S27" s="3981" t="n"/>
      <c r="T27" s="3981" t="n"/>
      <c r="U27" s="3981" t="n"/>
      <c r="V27" s="3981" t="n"/>
      <c r="W27" s="3981" t="n"/>
      <c r="X27" s="3981" t="n"/>
      <c r="Y27" s="3981" t="n"/>
      <c r="Z27" s="3981" t="n"/>
      <c r="AA27" s="3981" t="n"/>
      <c r="AB27" s="3981" t="n"/>
      <c r="AC27" s="3981" t="n"/>
      <c r="AD27" s="3981" t="n"/>
      <c r="AE27" s="3981" t="n"/>
      <c r="AF27" s="3981" t="n"/>
      <c r="AG27" s="3981" t="n"/>
      <c r="AH27" s="3981" t="n"/>
      <c r="AI27" s="3981" t="n"/>
      <c r="AJ27" s="3981" t="n"/>
      <c r="AK27" s="3981" t="n"/>
      <c r="AL27" s="3981" t="n"/>
      <c r="AM27" s="3981" t="n"/>
      <c r="AN27" s="3981" t="n"/>
      <c r="AO27" s="3981" t="n"/>
      <c r="AP27" s="3981" t="n"/>
      <c r="AQ27" s="3981" t="n"/>
      <c r="AR27" s="3981" t="n"/>
      <c r="AS27" s="3981" t="n"/>
    </row>
    <row r="28">
      <c r="A28" s="3959" t="inlineStr">
        <is>
          <t>Net debt tie-out vs Stratified BS</t>
        </is>
      </c>
      <c r="B28" s="3959" t="n"/>
      <c r="C28" s="3959" t="n"/>
      <c r="D28" s="3959" t="n"/>
      <c r="E28" s="3959" t="n"/>
      <c r="F28" s="3959" t="n"/>
      <c r="G28" s="3961" t="n"/>
      <c r="H28" s="3961" t="n"/>
      <c r="I28" s="3961" t="n"/>
      <c r="J28" s="3961" t="n"/>
      <c r="K28" s="3960" t="n"/>
      <c r="L28" s="3960" t="n"/>
      <c r="M28" s="3960" t="n"/>
      <c r="N28" s="3960" t="n"/>
      <c r="O28" s="3960" t="n"/>
      <c r="P28" s="3960" t="n"/>
      <c r="Q28" s="3960" t="n"/>
      <c r="R28" s="3960" t="n"/>
      <c r="S28" s="3960" t="n"/>
      <c r="T28" s="3960" t="n"/>
      <c r="U28" s="3960" t="n"/>
      <c r="V28" s="3960" t="n"/>
      <c r="W28" s="3960" t="n"/>
      <c r="X28" s="3960" t="n"/>
      <c r="Y28" s="3960" t="n"/>
      <c r="Z28" s="3960" t="n"/>
      <c r="AA28" s="3960" t="n"/>
      <c r="AB28" s="3960" t="n"/>
      <c r="AC28" s="3960" t="n"/>
      <c r="AD28" s="3960" t="n"/>
      <c r="AE28" s="3960" t="n"/>
      <c r="AF28" s="3960" t="n"/>
      <c r="AG28" s="3960" t="n"/>
      <c r="AH28" s="3960" t="n"/>
      <c r="AI28" s="3960" t="n"/>
      <c r="AJ28" s="3960" t="n"/>
      <c r="AK28" s="3960" t="n"/>
      <c r="AL28" s="3960" t="n"/>
      <c r="AM28" s="3960" t="n"/>
      <c r="AN28" s="3960" t="n"/>
      <c r="AO28" s="3960" t="n"/>
      <c r="AP28" s="3960" t="n"/>
      <c r="AQ28" s="3960" t="n"/>
      <c r="AR28" s="3960" t="n"/>
      <c r="AS28" s="3960" t="n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45"/>
  <sheetViews>
    <sheetView showGridLines="0" zoomScale="100" zoomScaleNormal="10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14" customWidth="1" min="4" max="4"/>
    <col width="14" customWidth="1" min="5" max="5"/>
    <col width="14" customWidth="1" min="6" max="6"/>
    <col width="24" customWidth="1" min="7" max="7"/>
    <col width="12" customWidth="1" min="8" max="8"/>
    <col width="12" customWidth="1" min="9" max="9"/>
  </cols>
  <sheetData>
    <row r="1" ht="24" customHeight="1">
      <c r="A1" s="3921" t="inlineStr">
        <is>
          <t>Recons</t>
        </is>
      </c>
    </row>
    <row r="2">
      <c r="A2" s="3978" t="inlineStr">
        <is>
          <t>Source: &lt;document_source&gt;</t>
        </is>
      </c>
    </row>
    <row r="4">
      <c r="A4" s="3983" t="inlineStr">
        <is>
          <t>Cross-tab reconciliation mini-grids for IS, BS, CF, and other tie-outs.</t>
        </is>
      </c>
    </row>
    <row r="7">
      <c r="A7" s="3979" t="inlineStr">
        <is>
          <t>Recons | IS</t>
        </is>
      </c>
      <c r="B7" s="3979" t="n"/>
      <c r="C7" s="3979" t="n"/>
      <c r="D7" s="3979" t="n"/>
      <c r="E7" s="3979" t="n"/>
      <c r="F7" s="3979" t="n"/>
      <c r="G7" s="3979" t="n"/>
      <c r="H7" s="3979" t="n"/>
      <c r="I7" s="3979" t="n"/>
    </row>
    <row r="8">
      <c r="A8" s="3923" t="inlineStr">
        <is>
          <t>LineKey</t>
        </is>
      </c>
      <c r="B8" s="3923" t="inlineStr">
        <is>
          <t>$'000</t>
        </is>
      </c>
      <c r="C8" s="3923" t="inlineStr">
        <is>
          <t>TB Account No.</t>
        </is>
      </c>
      <c r="D8" s="3923" t="inlineStr">
        <is>
          <t>Source value</t>
        </is>
      </c>
      <c r="E8" s="3923" t="inlineStr">
        <is>
          <t>Databook value</t>
        </is>
      </c>
      <c r="F8" s="3923" t="inlineStr">
        <is>
          <t>Variance</t>
        </is>
      </c>
      <c r="G8" s="3923" t="inlineStr">
        <is>
          <t>Explanation</t>
        </is>
      </c>
      <c r="H8" s="3923" t="inlineStr">
        <is>
          <t>Check (=0)</t>
        </is>
      </c>
      <c r="I8" s="3923" t="inlineStr">
        <is>
          <t>Status</t>
        </is>
      </c>
    </row>
    <row r="9">
      <c r="A9" s="3959" t="inlineStr">
        <is>
          <t>R_IS_REV</t>
        </is>
      </c>
      <c r="B9" s="3959" t="inlineStr">
        <is>
          <t>Revenue</t>
        </is>
      </c>
      <c r="C9" s="3959" t="n"/>
      <c r="D9" s="3929" t="n"/>
      <c r="E9" s="3929" t="n"/>
      <c r="F9" s="3959">
        <f>IF(OR(D9="",E9=""),"",E9-D9)</f>
        <v/>
      </c>
      <c r="G9" s="3959" t="n"/>
      <c r="H9" s="3961">
        <f>IF(F9="","",F9)</f>
        <v/>
      </c>
      <c r="I9" s="3959">
        <f>IF(H9="","",IF(ABS(H9)&lt;=0.01,"PASS","FAIL"))</f>
        <v/>
      </c>
    </row>
    <row r="10">
      <c r="A10" s="3959" t="inlineStr">
        <is>
          <t>R_IS_NI</t>
        </is>
      </c>
      <c r="B10" s="3959" t="inlineStr">
        <is>
          <t>Net income</t>
        </is>
      </c>
      <c r="C10" s="3959" t="n"/>
      <c r="D10" s="3929" t="n"/>
      <c r="E10" s="3929" t="n"/>
      <c r="F10" s="3959">
        <f>IF(OR(D10="",E10=""),"",E10-D10)</f>
        <v/>
      </c>
      <c r="G10" s="3959" t="n"/>
      <c r="H10" s="3961">
        <f>IF(F10="","",F10)</f>
        <v/>
      </c>
      <c r="I10" s="3959">
        <f>IF(H10="","",IF(ABS(H10)&lt;=0.01,"PASS","FAIL"))</f>
        <v/>
      </c>
    </row>
    <row r="11">
      <c r="A11" s="3959" t="inlineStr">
        <is>
          <t>R_IS_EBITDA</t>
        </is>
      </c>
      <c r="B11" s="3959" t="inlineStr">
        <is>
          <t>EBITDA</t>
        </is>
      </c>
      <c r="C11" s="3959" t="n"/>
      <c r="D11" s="3929" t="n"/>
      <c r="E11" s="3929" t="n"/>
      <c r="F11" s="3959">
        <f>IF(OR(D11="",E11=""),"",E11-D11)</f>
        <v/>
      </c>
      <c r="G11" s="3959" t="n"/>
      <c r="H11" s="3961">
        <f>IF(F11="","",F11)</f>
        <v/>
      </c>
      <c r="I11" s="3959">
        <f>IF(H11="","",IF(ABS(H11)&lt;=0.01,"PASS","FAIL"))</f>
        <v/>
      </c>
    </row>
    <row r="12">
      <c r="A12" s="3959" t="inlineStr">
        <is>
          <t>R_IS_OPEX</t>
        </is>
      </c>
      <c r="B12" s="3959" t="inlineStr">
        <is>
          <t>Operating expenses</t>
        </is>
      </c>
      <c r="C12" s="3959" t="n"/>
      <c r="D12" s="3929" t="n"/>
      <c r="E12" s="3929" t="n"/>
      <c r="F12" s="3959">
        <f>IF(OR(D12="",E12=""),"",E12-D12)</f>
        <v/>
      </c>
      <c r="G12" s="3959" t="n"/>
      <c r="H12" s="3961">
        <f>IF(F12="","",F12)</f>
        <v/>
      </c>
      <c r="I12" s="3959">
        <f>IF(H12="","",IF(ABS(H12)&lt;=0.01,"PASS","FAIL"))</f>
        <v/>
      </c>
    </row>
    <row r="13">
      <c r="A13" s="3959" t="inlineStr">
        <is>
          <t>R_IS_OTHER</t>
        </is>
      </c>
      <c r="B13" s="3959" t="inlineStr">
        <is>
          <t>Other IS line</t>
        </is>
      </c>
      <c r="C13" s="3959" t="n"/>
      <c r="D13" s="3929" t="n"/>
      <c r="E13" s="3929" t="n"/>
      <c r="F13" s="3959">
        <f>IF(OR(D13="",E13=""),"",E13-D13)</f>
        <v/>
      </c>
      <c r="G13" s="3959" t="n"/>
      <c r="H13" s="3961">
        <f>IF(F13="","",F13)</f>
        <v/>
      </c>
      <c r="I13" s="3959">
        <f>IF(H13="","",IF(ABS(H13)&lt;=0.01,"PASS","FAIL"))</f>
        <v/>
      </c>
    </row>
    <row r="16">
      <c r="A16" s="3979" t="inlineStr">
        <is>
          <t>Recons | BS</t>
        </is>
      </c>
      <c r="B16" s="3979" t="n"/>
      <c r="C16" s="3979" t="n"/>
      <c r="D16" s="3979" t="n"/>
      <c r="E16" s="3979" t="n"/>
      <c r="F16" s="3979" t="n"/>
      <c r="G16" s="3979" t="n"/>
      <c r="H16" s="3979" t="n"/>
      <c r="I16" s="3979" t="n"/>
    </row>
    <row r="17">
      <c r="A17" s="3923" t="inlineStr">
        <is>
          <t>LineKey</t>
        </is>
      </c>
      <c r="B17" s="3923" t="inlineStr">
        <is>
          <t>$'000</t>
        </is>
      </c>
      <c r="C17" s="3923" t="inlineStr">
        <is>
          <t>TB Account No.</t>
        </is>
      </c>
      <c r="D17" s="3923" t="inlineStr">
        <is>
          <t>Source value</t>
        </is>
      </c>
      <c r="E17" s="3923" t="inlineStr">
        <is>
          <t>Databook value</t>
        </is>
      </c>
      <c r="F17" s="3923" t="inlineStr">
        <is>
          <t>Variance</t>
        </is>
      </c>
      <c r="G17" s="3923" t="inlineStr">
        <is>
          <t>Explanation</t>
        </is>
      </c>
      <c r="H17" s="3923" t="inlineStr">
        <is>
          <t>Check (=0)</t>
        </is>
      </c>
      <c r="I17" s="3923" t="inlineStr">
        <is>
          <t>Status</t>
        </is>
      </c>
    </row>
    <row r="18">
      <c r="A18" s="3959" t="inlineStr">
        <is>
          <t>R_BS_TA</t>
        </is>
      </c>
      <c r="B18" s="3959" t="inlineStr">
        <is>
          <t>Total assets</t>
        </is>
      </c>
      <c r="C18" s="3959" t="n"/>
      <c r="D18" s="3929" t="n"/>
      <c r="E18" s="3929" t="n"/>
      <c r="F18" s="3959">
        <f>IF(OR(D18="",E18=""),"",E18-D18)</f>
        <v/>
      </c>
      <c r="G18" s="3959" t="n"/>
      <c r="H18" s="3961">
        <f>IF(F18="","",F18)</f>
        <v/>
      </c>
      <c r="I18" s="3959">
        <f>IF(H18="","",IF(ABS(H18)&lt;=0.01,"PASS","FAIL"))</f>
        <v/>
      </c>
    </row>
    <row r="19">
      <c r="A19" s="3959" t="inlineStr">
        <is>
          <t>R_BS_TL</t>
        </is>
      </c>
      <c r="B19" s="3959" t="inlineStr">
        <is>
          <t>Total liabilities</t>
        </is>
      </c>
      <c r="C19" s="3959" t="n"/>
      <c r="D19" s="3929" t="n"/>
      <c r="E19" s="3929" t="n"/>
      <c r="F19" s="3959">
        <f>IF(OR(D19="",E19=""),"",E19-D19)</f>
        <v/>
      </c>
      <c r="G19" s="3959" t="n"/>
      <c r="H19" s="3961">
        <f>IF(F19="","",F19)</f>
        <v/>
      </c>
      <c r="I19" s="3959">
        <f>IF(H19="","",IF(ABS(H19)&lt;=0.01,"PASS","FAIL"))</f>
        <v/>
      </c>
    </row>
    <row r="20">
      <c r="A20" s="3959" t="inlineStr">
        <is>
          <t>R_BS_EQ</t>
        </is>
      </c>
      <c r="B20" s="3959" t="inlineStr">
        <is>
          <t>Equity</t>
        </is>
      </c>
      <c r="C20" s="3959" t="n"/>
      <c r="D20" s="3929" t="n"/>
      <c r="E20" s="3929" t="n"/>
      <c r="F20" s="3959">
        <f>IF(OR(D20="",E20=""),"",E20-D20)</f>
        <v/>
      </c>
      <c r="G20" s="3959" t="n"/>
      <c r="H20" s="3961">
        <f>IF(F20="","",F20)</f>
        <v/>
      </c>
      <c r="I20" s="3959">
        <f>IF(H20="","",IF(ABS(H20)&lt;=0.01,"PASS","FAIL"))</f>
        <v/>
      </c>
    </row>
    <row r="21">
      <c r="A21" s="3959" t="inlineStr">
        <is>
          <t>R_BS_TLE</t>
        </is>
      </c>
      <c r="B21" s="3959" t="inlineStr">
        <is>
          <t>Liabilities + equity</t>
        </is>
      </c>
      <c r="C21" s="3959" t="n"/>
      <c r="D21" s="3929" t="n"/>
      <c r="E21" s="3929" t="n"/>
      <c r="F21" s="3959">
        <f>IF(OR(D21="",E21=""),"",E21-D21)</f>
        <v/>
      </c>
      <c r="G21" s="3959" t="n"/>
      <c r="H21" s="3961">
        <f>IF(F21="","",F21)</f>
        <v/>
      </c>
      <c r="I21" s="3959">
        <f>IF(H21="","",IF(ABS(H21)&lt;=0.01,"PASS","FAIL"))</f>
        <v/>
      </c>
    </row>
    <row r="22">
      <c r="A22" s="3959" t="inlineStr">
        <is>
          <t>R_BS_OTHER</t>
        </is>
      </c>
      <c r="B22" s="3959" t="inlineStr">
        <is>
          <t>Other BS line</t>
        </is>
      </c>
      <c r="C22" s="3959" t="n"/>
      <c r="D22" s="3929" t="n"/>
      <c r="E22" s="3929" t="n"/>
      <c r="F22" s="3959">
        <f>IF(OR(D22="",E22=""),"",E22-D22)</f>
        <v/>
      </c>
      <c r="G22" s="3959" t="n"/>
      <c r="H22" s="3961">
        <f>IF(F22="","",F22)</f>
        <v/>
      </c>
      <c r="I22" s="3959">
        <f>IF(H22="","",IF(ABS(H22)&lt;=0.01,"PASS","FAIL"))</f>
        <v/>
      </c>
    </row>
    <row r="25">
      <c r="A25" s="3979" t="inlineStr">
        <is>
          <t>Recons | CF</t>
        </is>
      </c>
      <c r="B25" s="3979" t="n"/>
      <c r="C25" s="3979" t="n"/>
      <c r="D25" s="3979" t="n"/>
      <c r="E25" s="3979" t="n"/>
      <c r="F25" s="3979" t="n"/>
      <c r="G25" s="3979" t="n"/>
      <c r="H25" s="3979" t="n"/>
      <c r="I25" s="3979" t="n"/>
    </row>
    <row r="26">
      <c r="A26" s="3923" t="inlineStr">
        <is>
          <t>LineKey</t>
        </is>
      </c>
      <c r="B26" s="3923" t="inlineStr">
        <is>
          <t>$'000</t>
        </is>
      </c>
      <c r="C26" s="3923" t="inlineStr">
        <is>
          <t>TB Account No.</t>
        </is>
      </c>
      <c r="D26" s="3923" t="inlineStr">
        <is>
          <t>Source value</t>
        </is>
      </c>
      <c r="E26" s="3923" t="inlineStr">
        <is>
          <t>Databook value</t>
        </is>
      </c>
      <c r="F26" s="3923" t="inlineStr">
        <is>
          <t>Variance</t>
        </is>
      </c>
      <c r="G26" s="3923" t="inlineStr">
        <is>
          <t>Explanation</t>
        </is>
      </c>
      <c r="H26" s="3923" t="inlineStr">
        <is>
          <t>Check (=0)</t>
        </is>
      </c>
      <c r="I26" s="3923" t="inlineStr">
        <is>
          <t>Status</t>
        </is>
      </c>
    </row>
    <row r="27">
      <c r="A27" s="3959" t="inlineStr">
        <is>
          <t>R_CF_NET</t>
        </is>
      </c>
      <c r="B27" s="3959" t="inlineStr">
        <is>
          <t>Net cash flow</t>
        </is>
      </c>
      <c r="C27" s="3959" t="n"/>
      <c r="D27" s="3929" t="n"/>
      <c r="E27" s="3929" t="n"/>
      <c r="F27" s="3959">
        <f>IF(OR(D27="",E27=""),"",E27-D27)</f>
        <v/>
      </c>
      <c r="G27" s="3959" t="n"/>
      <c r="H27" s="3961">
        <f>IF(F27="","",F27)</f>
        <v/>
      </c>
      <c r="I27" s="3959">
        <f>IF(H27="","",IF(ABS(H27)&lt;=0.01,"PASS","FAIL"))</f>
        <v/>
      </c>
    </row>
    <row r="28">
      <c r="A28" s="3959" t="inlineStr">
        <is>
          <t>R_CF_OP</t>
        </is>
      </c>
      <c r="B28" s="3959" t="inlineStr">
        <is>
          <t>Operating cash flow</t>
        </is>
      </c>
      <c r="C28" s="3959" t="n"/>
      <c r="D28" s="3929" t="n"/>
      <c r="E28" s="3929" t="n"/>
      <c r="F28" s="3959">
        <f>IF(OR(D28="",E28=""),"",E28-D28)</f>
        <v/>
      </c>
      <c r="G28" s="3959" t="n"/>
      <c r="H28" s="3961">
        <f>IF(F28="","",F28)</f>
        <v/>
      </c>
      <c r="I28" s="3959">
        <f>IF(H28="","",IF(ABS(H28)&lt;=0.01,"PASS","FAIL"))</f>
        <v/>
      </c>
    </row>
    <row r="29">
      <c r="A29" s="3959" t="inlineStr">
        <is>
          <t>R_CF_INV</t>
        </is>
      </c>
      <c r="B29" s="3959" t="inlineStr">
        <is>
          <t>Investing cash flow</t>
        </is>
      </c>
      <c r="C29" s="3959" t="n"/>
      <c r="D29" s="3929" t="n"/>
      <c r="E29" s="3929" t="n"/>
      <c r="F29" s="3959">
        <f>IF(OR(D29="",E29=""),"",E29-D29)</f>
        <v/>
      </c>
      <c r="G29" s="3959" t="n"/>
      <c r="H29" s="3961">
        <f>IF(F29="","",F29)</f>
        <v/>
      </c>
      <c r="I29" s="3959">
        <f>IF(H29="","",IF(ABS(H29)&lt;=0.01,"PASS","FAIL"))</f>
        <v/>
      </c>
    </row>
    <row r="30">
      <c r="A30" s="3959" t="inlineStr">
        <is>
          <t>R_CF_FIN</t>
        </is>
      </c>
      <c r="B30" s="3959" t="inlineStr">
        <is>
          <t>Financing cash flow</t>
        </is>
      </c>
      <c r="C30" s="3959" t="n"/>
      <c r="D30" s="3929" t="n"/>
      <c r="E30" s="3929" t="n"/>
      <c r="F30" s="3959">
        <f>IF(OR(D30="",E30=""),"",E30-D30)</f>
        <v/>
      </c>
      <c r="G30" s="3959" t="n"/>
      <c r="H30" s="3961">
        <f>IF(F30="","",F30)</f>
        <v/>
      </c>
      <c r="I30" s="3959">
        <f>IF(H30="","",IF(ABS(H30)&lt;=0.01,"PASS","FAIL"))</f>
        <v/>
      </c>
    </row>
    <row r="31">
      <c r="A31" s="3959" t="inlineStr">
        <is>
          <t>R_CF_OTHER</t>
        </is>
      </c>
      <c r="B31" s="3959" t="inlineStr">
        <is>
          <t>Other CF line</t>
        </is>
      </c>
      <c r="C31" s="3959" t="n"/>
      <c r="D31" s="3929" t="n"/>
      <c r="E31" s="3929" t="n"/>
      <c r="F31" s="3959">
        <f>IF(OR(D31="",E31=""),"",E31-D31)</f>
        <v/>
      </c>
      <c r="G31" s="3959" t="n"/>
      <c r="H31" s="3961">
        <f>IF(F31="","",F31)</f>
        <v/>
      </c>
      <c r="I31" s="3959">
        <f>IF(H31="","",IF(ABS(H31)&lt;=0.01,"PASS","FAIL"))</f>
        <v/>
      </c>
    </row>
    <row r="34">
      <c r="A34" s="3979" t="inlineStr">
        <is>
          <t>Recons | Other</t>
        </is>
      </c>
      <c r="B34" s="3979" t="n"/>
      <c r="C34" s="3979" t="n"/>
      <c r="D34" s="3979" t="n"/>
      <c r="E34" s="3979" t="n"/>
      <c r="F34" s="3979" t="n"/>
      <c r="G34" s="3979" t="n"/>
      <c r="H34" s="3979" t="n"/>
      <c r="I34" s="3979" t="n"/>
    </row>
    <row r="35">
      <c r="A35" s="3923" t="inlineStr">
        <is>
          <t>LineKey</t>
        </is>
      </c>
      <c r="B35" s="3923" t="inlineStr">
        <is>
          <t>$'000</t>
        </is>
      </c>
      <c r="C35" s="3923" t="inlineStr">
        <is>
          <t>TB Account No.</t>
        </is>
      </c>
      <c r="D35" s="3923" t="inlineStr">
        <is>
          <t>Source value</t>
        </is>
      </c>
      <c r="E35" s="3923" t="inlineStr">
        <is>
          <t>Databook value</t>
        </is>
      </c>
      <c r="F35" s="3923" t="inlineStr">
        <is>
          <t>Variance</t>
        </is>
      </c>
      <c r="G35" s="3923" t="inlineStr">
        <is>
          <t>Explanation</t>
        </is>
      </c>
      <c r="H35" s="3923" t="inlineStr">
        <is>
          <t>Check (=0)</t>
        </is>
      </c>
      <c r="I35" s="3923" t="inlineStr">
        <is>
          <t>Status</t>
        </is>
      </c>
    </row>
    <row r="36">
      <c r="A36" s="3959" t="inlineStr">
        <is>
          <t>R_OTH_AR</t>
        </is>
      </c>
      <c r="B36" s="3959" t="inlineStr">
        <is>
          <t>AR aging to BS</t>
        </is>
      </c>
      <c r="C36" s="3959" t="n"/>
      <c r="D36" s="3929" t="n"/>
      <c r="E36" s="3929" t="n"/>
      <c r="F36" s="3959">
        <f>IF(OR(D36="",E36=""),"",E36-D36)</f>
        <v/>
      </c>
      <c r="G36" s="3959" t="n"/>
      <c r="H36" s="3961">
        <f>IF(F36="","",F36)</f>
        <v/>
      </c>
      <c r="I36" s="3959">
        <f>IF(H36="","",IF(ABS(H36)&lt;=0.01,"PASS","FAIL"))</f>
        <v/>
      </c>
    </row>
    <row r="37">
      <c r="A37" s="3959" t="inlineStr">
        <is>
          <t>R_OTH_AP</t>
        </is>
      </c>
      <c r="B37" s="3959" t="inlineStr">
        <is>
          <t>AP aging to BS</t>
        </is>
      </c>
      <c r="C37" s="3959" t="n"/>
      <c r="D37" s="3929" t="n"/>
      <c r="E37" s="3929" t="n"/>
      <c r="F37" s="3959">
        <f>IF(OR(D37="",E37=""),"",E37-D37)</f>
        <v/>
      </c>
      <c r="G37" s="3959" t="n"/>
      <c r="H37" s="3961">
        <f>IF(F37="","",F37)</f>
        <v/>
      </c>
      <c r="I37" s="3959">
        <f>IF(H37="","",IF(ABS(H37)&lt;=0.01,"PASS","FAIL"))</f>
        <v/>
      </c>
    </row>
    <row r="38">
      <c r="A38" s="3959" t="inlineStr">
        <is>
          <t>R_OTH_NWC</t>
        </is>
      </c>
      <c r="B38" s="3959" t="inlineStr">
        <is>
          <t>NWC Summary to NWC Detail</t>
        </is>
      </c>
      <c r="C38" s="3959" t="n"/>
      <c r="D38" s="3929" t="n"/>
      <c r="E38" s="3929" t="n"/>
      <c r="F38" s="3959">
        <f>IF(OR(D38="",E38=""),"",E38-D38)</f>
        <v/>
      </c>
      <c r="G38" s="3959" t="n"/>
      <c r="H38" s="3961">
        <f>IF(F38="","",F38)</f>
        <v/>
      </c>
      <c r="I38" s="3959">
        <f>IF(H38="","",IF(ABS(H38)&lt;=0.01,"PASS","FAIL"))</f>
        <v/>
      </c>
    </row>
    <row r="39">
      <c r="A39" s="3959" t="inlineStr">
        <is>
          <t>R_OTH_ND</t>
        </is>
      </c>
      <c r="B39" s="3959" t="inlineStr">
        <is>
          <t>Net debt to Stratified BS</t>
        </is>
      </c>
      <c r="C39" s="3959" t="n"/>
      <c r="D39" s="3929" t="n"/>
      <c r="E39" s="3929" t="n"/>
      <c r="F39" s="3959">
        <f>IF(OR(D39="",E39=""),"",E39-D39)</f>
        <v/>
      </c>
      <c r="G39" s="3959" t="n"/>
      <c r="H39" s="3961">
        <f>IF(F39="","",F39)</f>
        <v/>
      </c>
      <c r="I39" s="3959">
        <f>IF(H39="","",IF(ABS(H39)&lt;=0.01,"PASS","FAIL"))</f>
        <v/>
      </c>
    </row>
    <row r="40">
      <c r="A40" s="3959" t="inlineStr">
        <is>
          <t>R_OTH_MISC</t>
        </is>
      </c>
      <c r="B40" s="3959" t="inlineStr">
        <is>
          <t>Other tie-out</t>
        </is>
      </c>
      <c r="C40" s="3959" t="n"/>
      <c r="D40" s="3929" t="n"/>
      <c r="E40" s="3929" t="n"/>
      <c r="F40" s="3959">
        <f>IF(OR(D40="",E40=""),"",E40-D40)</f>
        <v/>
      </c>
      <c r="G40" s="3959" t="n"/>
      <c r="H40" s="3961">
        <f>IF(F40="","",F40)</f>
        <v/>
      </c>
      <c r="I40" s="3959">
        <f>IF(H40="","",IF(ABS(H40)&lt;=0.01,"PASS","FAIL"))</f>
        <v/>
      </c>
    </row>
    <row r="43">
      <c r="A43" s="3979" t="inlineStr">
        <is>
          <t>RECONS_CHECKS</t>
        </is>
      </c>
      <c r="B43" s="3979" t="n"/>
      <c r="C43" s="3979" t="n"/>
      <c r="D43" s="3979" t="n"/>
      <c r="E43" s="3979" t="n"/>
      <c r="F43" s="3979" t="n"/>
      <c r="G43" s="3979" t="n"/>
      <c r="H43" s="3979" t="n"/>
      <c r="I43" s="3979" t="n"/>
    </row>
    <row r="44">
      <c r="A44" s="3959" t="inlineStr">
        <is>
          <t>Open recon fails (should be 0)</t>
        </is>
      </c>
      <c r="B44" s="3959" t="n"/>
      <c r="C44" s="3959" t="n"/>
      <c r="D44" s="3959" t="n"/>
      <c r="E44" s="3959" t="n"/>
      <c r="F44" s="3959" t="n"/>
      <c r="G44" s="3959" t="n"/>
      <c r="H44" s="3961">
        <f>COUNTIF(I9:I40,"FAIL")</f>
        <v/>
      </c>
      <c r="I44" s="3959">
        <f>IF(H44=0,"PASS","FAIL")</f>
        <v/>
      </c>
    </row>
    <row r="45">
      <c r="A45" s="3959" t="inlineStr">
        <is>
          <t>Absolute variance sum (should be 0)</t>
        </is>
      </c>
      <c r="B45" s="3959" t="n"/>
      <c r="C45" s="3959" t="n"/>
      <c r="D45" s="3959" t="n"/>
      <c r="E45" s="3959" t="n"/>
      <c r="F45" s="3959" t="n"/>
      <c r="G45" s="3959" t="n"/>
      <c r="H45" s="3961">
        <f>SUMPRODUCT(ABS(F9:F40))</f>
        <v/>
      </c>
      <c r="I45" s="3959">
        <f>IF(H45=0,"PASS","FAIL")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40"/>
  <sheetViews>
    <sheetView showGridLines="0" zoomScale="100" zoomScaleNormal="10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2" customWidth="1" min="10" max="10"/>
    <col width="12" customWidth="1" min="11" max="11"/>
  </cols>
  <sheetData>
    <row r="1" ht="24" customHeight="1">
      <c r="A1" s="3921" t="inlineStr">
        <is>
          <t>Agings</t>
        </is>
      </c>
    </row>
    <row r="2">
      <c r="A2" s="3978" t="inlineStr">
        <is>
          <t>Source: &lt;document_source&gt;</t>
        </is>
      </c>
    </row>
    <row r="4">
      <c r="A4" s="3983" t="inlineStr">
        <is>
          <t>AR/AP aging scaffolds with canonical buckets and control tie-out checks.</t>
        </is>
      </c>
    </row>
    <row r="7">
      <c r="A7" s="3979" t="inlineStr">
        <is>
          <t>Aging | AR</t>
        </is>
      </c>
      <c r="B7" s="3979" t="n"/>
      <c r="C7" s="3979" t="n"/>
      <c r="D7" s="3979" t="n"/>
      <c r="E7" s="3979" t="n"/>
      <c r="F7" s="3979" t="n"/>
      <c r="G7" s="3979" t="n"/>
      <c r="H7" s="3979" t="n"/>
      <c r="I7" s="3979" t="n"/>
      <c r="J7" s="3979" t="n"/>
      <c r="K7" s="3979" t="n"/>
    </row>
    <row r="8">
      <c r="A8" s="3923" t="inlineStr">
        <is>
          <t>LineKey</t>
        </is>
      </c>
      <c r="B8" s="3923" t="inlineStr">
        <is>
          <t>$'000</t>
        </is>
      </c>
      <c r="C8" s="3923" t="inlineStr">
        <is>
          <t>Counterparty ID</t>
        </is>
      </c>
      <c r="D8" s="3923" t="inlineStr">
        <is>
          <t>Current</t>
        </is>
      </c>
      <c r="E8" s="3923" t="inlineStr">
        <is>
          <t>1-30</t>
        </is>
      </c>
      <c r="F8" s="3923" t="inlineStr">
        <is>
          <t>31-60</t>
        </is>
      </c>
      <c r="G8" s="3923" t="inlineStr">
        <is>
          <t>61-90</t>
        </is>
      </c>
      <c r="H8" s="3923" t="inlineStr">
        <is>
          <t>91-120</t>
        </is>
      </c>
      <c r="I8" s="3923" t="inlineStr">
        <is>
          <t>&gt;120</t>
        </is>
      </c>
      <c r="J8" s="3923" t="inlineStr">
        <is>
          <t>Total</t>
        </is>
      </c>
      <c r="K8" s="3923" t="inlineStr">
        <is>
          <t>Source</t>
        </is>
      </c>
    </row>
    <row r="9">
      <c r="A9" s="3959" t="inlineStr">
        <is>
          <t>AR_001</t>
        </is>
      </c>
      <c r="B9" s="3959" t="inlineStr">
        <is>
          <t>Top customer 1</t>
        </is>
      </c>
      <c r="C9" s="3959" t="inlineStr">
        <is>
          <t>AR101</t>
        </is>
      </c>
      <c r="D9" s="3929" t="n"/>
      <c r="E9" s="3929" t="n"/>
      <c r="F9" s="3929" t="n"/>
      <c r="G9" s="3929" t="n"/>
      <c r="H9" s="3929" t="n"/>
      <c r="I9" s="3929" t="n"/>
      <c r="J9" s="3959">
        <f>IF(COUNTA(D9:I9)=0,"",SUM(D9:I9))</f>
        <v/>
      </c>
      <c r="K9" s="3959" t="inlineStr">
        <is>
          <t>Input</t>
        </is>
      </c>
    </row>
    <row r="10">
      <c r="A10" s="3959" t="inlineStr">
        <is>
          <t>AR_002</t>
        </is>
      </c>
      <c r="B10" s="3959" t="inlineStr">
        <is>
          <t>Top customer 2</t>
        </is>
      </c>
      <c r="C10" s="3959" t="inlineStr">
        <is>
          <t>AR102</t>
        </is>
      </c>
      <c r="D10" s="3929" t="n"/>
      <c r="E10" s="3929" t="n"/>
      <c r="F10" s="3929" t="n"/>
      <c r="G10" s="3929" t="n"/>
      <c r="H10" s="3929" t="n"/>
      <c r="I10" s="3929" t="n"/>
      <c r="J10" s="3959">
        <f>IF(COUNTA(D10:I10)=0,"",SUM(D10:I10))</f>
        <v/>
      </c>
      <c r="K10" s="3959" t="inlineStr">
        <is>
          <t>Input</t>
        </is>
      </c>
    </row>
    <row r="11">
      <c r="A11" s="3959" t="inlineStr">
        <is>
          <t>AR_003</t>
        </is>
      </c>
      <c r="B11" s="3959" t="inlineStr">
        <is>
          <t>Top customer 3</t>
        </is>
      </c>
      <c r="C11" s="3959" t="inlineStr">
        <is>
          <t>AR103</t>
        </is>
      </c>
      <c r="D11" s="3929" t="n"/>
      <c r="E11" s="3929" t="n"/>
      <c r="F11" s="3929" t="n"/>
      <c r="G11" s="3929" t="n"/>
      <c r="H11" s="3929" t="n"/>
      <c r="I11" s="3929" t="n"/>
      <c r="J11" s="3959">
        <f>IF(COUNTA(D11:I11)=0,"",SUM(D11:I11))</f>
        <v/>
      </c>
      <c r="K11" s="3959" t="inlineStr">
        <is>
          <t>Input</t>
        </is>
      </c>
    </row>
    <row r="12">
      <c r="A12" s="3959" t="inlineStr">
        <is>
          <t>AR_004</t>
        </is>
      </c>
      <c r="B12" s="3959" t="inlineStr">
        <is>
          <t>Top customer 4</t>
        </is>
      </c>
      <c r="C12" s="3959" t="inlineStr">
        <is>
          <t>AR104</t>
        </is>
      </c>
      <c r="D12" s="3929" t="n"/>
      <c r="E12" s="3929" t="n"/>
      <c r="F12" s="3929" t="n"/>
      <c r="G12" s="3929" t="n"/>
      <c r="H12" s="3929" t="n"/>
      <c r="I12" s="3929" t="n"/>
      <c r="J12" s="3959">
        <f>IF(COUNTA(D12:I12)=0,"",SUM(D12:I12))</f>
        <v/>
      </c>
      <c r="K12" s="3959" t="inlineStr">
        <is>
          <t>Input</t>
        </is>
      </c>
    </row>
    <row r="13">
      <c r="A13" s="3959" t="inlineStr">
        <is>
          <t>AR_005</t>
        </is>
      </c>
      <c r="B13" s="3959" t="inlineStr">
        <is>
          <t>Top customer 5</t>
        </is>
      </c>
      <c r="C13" s="3959" t="inlineStr">
        <is>
          <t>AR105</t>
        </is>
      </c>
      <c r="D13" s="3929" t="n"/>
      <c r="E13" s="3929" t="n"/>
      <c r="F13" s="3929" t="n"/>
      <c r="G13" s="3929" t="n"/>
      <c r="H13" s="3929" t="n"/>
      <c r="I13" s="3929" t="n"/>
      <c r="J13" s="3959">
        <f>IF(COUNTA(D13:I13)=0,"",SUM(D13:I13))</f>
        <v/>
      </c>
      <c r="K13" s="3959" t="inlineStr">
        <is>
          <t>Input</t>
        </is>
      </c>
    </row>
    <row r="14">
      <c r="A14" s="3959" t="inlineStr">
        <is>
          <t>AR_006</t>
        </is>
      </c>
      <c r="B14" s="3959" t="inlineStr">
        <is>
          <t>Top customer 6</t>
        </is>
      </c>
      <c r="C14" s="3959" t="inlineStr">
        <is>
          <t>AR106</t>
        </is>
      </c>
      <c r="D14" s="3929" t="n"/>
      <c r="E14" s="3929" t="n"/>
      <c r="F14" s="3929" t="n"/>
      <c r="G14" s="3929" t="n"/>
      <c r="H14" s="3929" t="n"/>
      <c r="I14" s="3929" t="n"/>
      <c r="J14" s="3959">
        <f>IF(COUNTA(D14:I14)=0,"",SUM(D14:I14))</f>
        <v/>
      </c>
      <c r="K14" s="3959" t="inlineStr">
        <is>
          <t>Input</t>
        </is>
      </c>
    </row>
    <row r="15">
      <c r="A15" s="3959" t="inlineStr">
        <is>
          <t>AR_TOTAL</t>
        </is>
      </c>
      <c r="B15" s="3959" t="inlineStr">
        <is>
          <t>Total AR aging</t>
        </is>
      </c>
      <c r="C15" s="3959" t="n"/>
      <c r="D15" s="3959" t="n"/>
      <c r="E15" s="3959" t="n"/>
      <c r="F15" s="3959" t="n"/>
      <c r="G15" s="3959" t="n"/>
      <c r="H15" s="3959" t="n"/>
      <c r="I15" s="3959" t="n"/>
      <c r="J15" s="3959">
        <f>IF(COUNT(J9:J14)=0,"",SUM(J9:J14))</f>
        <v/>
      </c>
      <c r="K15" s="3959" t="inlineStr">
        <is>
          <t>Formula</t>
        </is>
      </c>
    </row>
    <row r="16">
      <c r="A16" s="3979" t="inlineStr">
        <is>
          <t>AGING_AR_CHECKS</t>
        </is>
      </c>
      <c r="B16" s="3979" t="n"/>
      <c r="C16" s="3979" t="n"/>
      <c r="D16" s="3979" t="n"/>
      <c r="E16" s="3979" t="n"/>
      <c r="F16" s="3979" t="n"/>
      <c r="G16" s="3979" t="n"/>
      <c r="H16" s="3979" t="n"/>
      <c r="I16" s="3979" t="n"/>
      <c r="J16" s="3979" t="n"/>
      <c r="K16" s="3979" t="n"/>
    </row>
    <row r="17">
      <c r="A17" s="3959" t="inlineStr">
        <is>
          <t>AR aging tie-out vs AR control</t>
        </is>
      </c>
      <c r="B17" s="3959" t="n"/>
      <c r="C17" s="3959" t="n"/>
      <c r="D17" s="3959" t="n"/>
      <c r="E17" s="3959" t="n"/>
      <c r="F17" s="3959" t="n"/>
      <c r="G17" s="3959" t="n"/>
      <c r="H17" s="3959" t="n"/>
      <c r="I17" s="3959" t="n"/>
      <c r="J17" s="3961">
        <f>IF(OR(J15="",J18=""),"",J15-J18)</f>
        <v/>
      </c>
      <c r="K17" s="3959" t="inlineStr">
        <is>
          <t>Should be 0</t>
        </is>
      </c>
    </row>
    <row r="18">
      <c r="A18" s="3959" t="inlineStr">
        <is>
          <t>AR_CONTROL</t>
        </is>
      </c>
      <c r="B18" s="3959" t="inlineStr">
        <is>
          <t>AR control account (from Combined | BS)</t>
        </is>
      </c>
      <c r="C18" s="3959" t="n"/>
      <c r="D18" s="3959" t="n"/>
      <c r="E18" s="3959" t="n"/>
      <c r="F18" s="3959" t="n"/>
      <c r="G18" s="3959" t="n"/>
      <c r="H18" s="3959" t="n"/>
      <c r="I18" s="3959" t="n"/>
      <c r="J18" s="3929" t="n"/>
      <c r="K18" s="3959" t="inlineStr">
        <is>
          <t>Input/Link</t>
        </is>
      </c>
    </row>
    <row r="19">
      <c r="A19" s="3984" t="n"/>
      <c r="B19" s="3984" t="n"/>
      <c r="C19" s="3984" t="n"/>
      <c r="D19" s="3984" t="n"/>
      <c r="E19" s="3984" t="n"/>
      <c r="F19" s="3984" t="n"/>
      <c r="G19" s="3984" t="n"/>
      <c r="H19" s="3984" t="n"/>
      <c r="I19" s="3984" t="n"/>
      <c r="J19" s="3984" t="n"/>
      <c r="K19" s="3984" t="n"/>
    </row>
    <row r="20">
      <c r="A20" s="3984" t="n"/>
      <c r="B20" s="3984" t="n"/>
      <c r="C20" s="3984" t="n"/>
      <c r="D20" s="3984" t="n"/>
      <c r="E20" s="3984" t="n"/>
      <c r="F20" s="3984" t="n"/>
      <c r="G20" s="3984" t="n"/>
      <c r="H20" s="3984" t="n"/>
      <c r="I20" s="3984" t="n"/>
      <c r="J20" s="3984" t="n"/>
      <c r="K20" s="3984" t="n"/>
    </row>
    <row r="21">
      <c r="A21" s="3984" t="n"/>
      <c r="B21" s="3984" t="n"/>
      <c r="C21" s="3984" t="n"/>
      <c r="D21" s="3984" t="n"/>
      <c r="E21" s="3984" t="n"/>
      <c r="F21" s="3984" t="n"/>
      <c r="G21" s="3984" t="n"/>
      <c r="H21" s="3984" t="n"/>
      <c r="I21" s="3984" t="n"/>
      <c r="J21" s="3984" t="n"/>
      <c r="K21" s="3984" t="n"/>
    </row>
    <row r="22">
      <c r="A22" s="3984" t="n"/>
      <c r="B22" s="3984" t="n"/>
      <c r="C22" s="3984" t="n"/>
      <c r="D22" s="3984" t="n"/>
      <c r="E22" s="3984" t="n"/>
      <c r="F22" s="3984" t="n"/>
      <c r="G22" s="3984" t="n"/>
      <c r="H22" s="3984" t="n"/>
      <c r="I22" s="3984" t="n"/>
      <c r="J22" s="3984" t="n"/>
      <c r="K22" s="3984" t="n"/>
    </row>
    <row r="23">
      <c r="A23" s="3979" t="inlineStr">
        <is>
          <t>Aging | AP</t>
        </is>
      </c>
      <c r="B23" s="3979" t="n"/>
      <c r="C23" s="3979" t="n"/>
      <c r="D23" s="3979" t="n"/>
      <c r="E23" s="3979" t="n"/>
      <c r="F23" s="3979" t="n"/>
      <c r="G23" s="3979" t="n"/>
      <c r="H23" s="3979" t="n"/>
      <c r="I23" s="3979" t="n"/>
      <c r="J23" s="3979" t="n"/>
      <c r="K23" s="3979" t="n"/>
    </row>
    <row r="24">
      <c r="A24" s="3923" t="inlineStr">
        <is>
          <t>LineKey</t>
        </is>
      </c>
      <c r="B24" s="3923" t="inlineStr">
        <is>
          <t>$'000</t>
        </is>
      </c>
      <c r="C24" s="3923" t="inlineStr">
        <is>
          <t>Counterparty ID</t>
        </is>
      </c>
      <c r="D24" s="3923" t="inlineStr">
        <is>
          <t>Current</t>
        </is>
      </c>
      <c r="E24" s="3923" t="inlineStr">
        <is>
          <t>1-30</t>
        </is>
      </c>
      <c r="F24" s="3923" t="inlineStr">
        <is>
          <t>31-60</t>
        </is>
      </c>
      <c r="G24" s="3923" t="inlineStr">
        <is>
          <t>61-90</t>
        </is>
      </c>
      <c r="H24" s="3923" t="inlineStr">
        <is>
          <t>91-120</t>
        </is>
      </c>
      <c r="I24" s="3923" t="inlineStr">
        <is>
          <t>&gt;120</t>
        </is>
      </c>
      <c r="J24" s="3923" t="inlineStr">
        <is>
          <t>Total</t>
        </is>
      </c>
      <c r="K24" s="3923" t="inlineStr">
        <is>
          <t>Source</t>
        </is>
      </c>
    </row>
    <row r="25">
      <c r="A25" s="3959" t="inlineStr">
        <is>
          <t>AP_001</t>
        </is>
      </c>
      <c r="B25" s="3959" t="inlineStr">
        <is>
          <t>Top vendor 1</t>
        </is>
      </c>
      <c r="C25" s="3959" t="inlineStr">
        <is>
          <t>AP101</t>
        </is>
      </c>
      <c r="D25" s="3929" t="n"/>
      <c r="E25" s="3929" t="n"/>
      <c r="F25" s="3929" t="n"/>
      <c r="G25" s="3929" t="n"/>
      <c r="H25" s="3929" t="n"/>
      <c r="I25" s="3929" t="n"/>
      <c r="J25" s="3959">
        <f>IF(COUNTA(D25:I25)=0,"",SUM(D25:I25))</f>
        <v/>
      </c>
      <c r="K25" s="3959" t="inlineStr">
        <is>
          <t>Input</t>
        </is>
      </c>
    </row>
    <row r="26">
      <c r="A26" s="3959" t="inlineStr">
        <is>
          <t>AP_002</t>
        </is>
      </c>
      <c r="B26" s="3959" t="inlineStr">
        <is>
          <t>Top vendor 2</t>
        </is>
      </c>
      <c r="C26" s="3959" t="inlineStr">
        <is>
          <t>AP102</t>
        </is>
      </c>
      <c r="D26" s="3929" t="n"/>
      <c r="E26" s="3929" t="n"/>
      <c r="F26" s="3929" t="n"/>
      <c r="G26" s="3929" t="n"/>
      <c r="H26" s="3929" t="n"/>
      <c r="I26" s="3929" t="n"/>
      <c r="J26" s="3959">
        <f>IF(COUNTA(D26:I26)=0,"",SUM(D26:I26))</f>
        <v/>
      </c>
      <c r="K26" s="3959" t="inlineStr">
        <is>
          <t>Input</t>
        </is>
      </c>
    </row>
    <row r="27">
      <c r="A27" s="3959" t="inlineStr">
        <is>
          <t>AP_003</t>
        </is>
      </c>
      <c r="B27" s="3959" t="inlineStr">
        <is>
          <t>Top vendor 3</t>
        </is>
      </c>
      <c r="C27" s="3959" t="inlineStr">
        <is>
          <t>AP103</t>
        </is>
      </c>
      <c r="D27" s="3929" t="n"/>
      <c r="E27" s="3929" t="n"/>
      <c r="F27" s="3929" t="n"/>
      <c r="G27" s="3929" t="n"/>
      <c r="H27" s="3929" t="n"/>
      <c r="I27" s="3929" t="n"/>
      <c r="J27" s="3959">
        <f>IF(COUNTA(D27:I27)=0,"",SUM(D27:I27))</f>
        <v/>
      </c>
      <c r="K27" s="3959" t="inlineStr">
        <is>
          <t>Input</t>
        </is>
      </c>
    </row>
    <row r="28">
      <c r="A28" s="3959" t="inlineStr">
        <is>
          <t>AP_004</t>
        </is>
      </c>
      <c r="B28" s="3959" t="inlineStr">
        <is>
          <t>Top vendor 4</t>
        </is>
      </c>
      <c r="C28" s="3959" t="inlineStr">
        <is>
          <t>AP104</t>
        </is>
      </c>
      <c r="D28" s="3929" t="n"/>
      <c r="E28" s="3929" t="n"/>
      <c r="F28" s="3929" t="n"/>
      <c r="G28" s="3929" t="n"/>
      <c r="H28" s="3929" t="n"/>
      <c r="I28" s="3929" t="n"/>
      <c r="J28" s="3959">
        <f>IF(COUNTA(D28:I28)=0,"",SUM(D28:I28))</f>
        <v/>
      </c>
      <c r="K28" s="3959" t="inlineStr">
        <is>
          <t>Input</t>
        </is>
      </c>
    </row>
    <row r="29">
      <c r="A29" s="3959" t="inlineStr">
        <is>
          <t>AP_005</t>
        </is>
      </c>
      <c r="B29" s="3959" t="inlineStr">
        <is>
          <t>Top vendor 5</t>
        </is>
      </c>
      <c r="C29" s="3959" t="inlineStr">
        <is>
          <t>AP105</t>
        </is>
      </c>
      <c r="D29" s="3929" t="n"/>
      <c r="E29" s="3929" t="n"/>
      <c r="F29" s="3929" t="n"/>
      <c r="G29" s="3929" t="n"/>
      <c r="H29" s="3929" t="n"/>
      <c r="I29" s="3929" t="n"/>
      <c r="J29" s="3959">
        <f>IF(COUNTA(D29:I29)=0,"",SUM(D29:I29))</f>
        <v/>
      </c>
      <c r="K29" s="3959" t="inlineStr">
        <is>
          <t>Input</t>
        </is>
      </c>
    </row>
    <row r="30">
      <c r="A30" s="3959" t="inlineStr">
        <is>
          <t>AP_006</t>
        </is>
      </c>
      <c r="B30" s="3959" t="inlineStr">
        <is>
          <t>Top vendor 6</t>
        </is>
      </c>
      <c r="C30" s="3959" t="inlineStr">
        <is>
          <t>AP106</t>
        </is>
      </c>
      <c r="D30" s="3929" t="n"/>
      <c r="E30" s="3929" t="n"/>
      <c r="F30" s="3929" t="n"/>
      <c r="G30" s="3929" t="n"/>
      <c r="H30" s="3929" t="n"/>
      <c r="I30" s="3929" t="n"/>
      <c r="J30" s="3959">
        <f>IF(COUNTA(D30:I30)=0,"",SUM(D30:I30))</f>
        <v/>
      </c>
      <c r="K30" s="3959" t="inlineStr">
        <is>
          <t>Input</t>
        </is>
      </c>
    </row>
    <row r="31">
      <c r="A31" s="3959" t="inlineStr">
        <is>
          <t>AP_TOTAL</t>
        </is>
      </c>
      <c r="B31" s="3959" t="inlineStr">
        <is>
          <t>Total AP aging</t>
        </is>
      </c>
      <c r="C31" s="3959" t="n"/>
      <c r="D31" s="3959" t="n"/>
      <c r="E31" s="3959" t="n"/>
      <c r="F31" s="3959" t="n"/>
      <c r="G31" s="3959" t="n"/>
      <c r="H31" s="3959" t="n"/>
      <c r="I31" s="3959" t="n"/>
      <c r="J31" s="3959">
        <f>IF(COUNT(J25:J30)=0,"",SUM(J25:J30))</f>
        <v/>
      </c>
      <c r="K31" s="3959" t="inlineStr">
        <is>
          <t>Formula</t>
        </is>
      </c>
    </row>
    <row r="32">
      <c r="A32" s="3979" t="inlineStr">
        <is>
          <t>AGING_AP_CHECKS</t>
        </is>
      </c>
      <c r="B32" s="3979" t="n"/>
      <c r="C32" s="3979" t="n"/>
      <c r="D32" s="3979" t="n"/>
      <c r="E32" s="3979" t="n"/>
      <c r="F32" s="3979" t="n"/>
      <c r="G32" s="3979" t="n"/>
      <c r="H32" s="3979" t="n"/>
      <c r="I32" s="3979" t="n"/>
      <c r="J32" s="3979" t="n"/>
      <c r="K32" s="3979" t="n"/>
    </row>
    <row r="33">
      <c r="A33" s="3959" t="inlineStr">
        <is>
          <t>AP aging tie-out vs AP control</t>
        </is>
      </c>
      <c r="B33" s="3959" t="n"/>
      <c r="C33" s="3959" t="n"/>
      <c r="D33" s="3959" t="n"/>
      <c r="E33" s="3959" t="n"/>
      <c r="F33" s="3959" t="n"/>
      <c r="G33" s="3959" t="n"/>
      <c r="H33" s="3959" t="n"/>
      <c r="I33" s="3959" t="n"/>
      <c r="J33" s="3961">
        <f>IF(OR(J31="",J34=""),"",J31-J34)</f>
        <v/>
      </c>
      <c r="K33" s="3959" t="inlineStr">
        <is>
          <t>Should be 0</t>
        </is>
      </c>
    </row>
    <row r="34">
      <c r="A34" s="3959" t="inlineStr">
        <is>
          <t>AP_CONTROL</t>
        </is>
      </c>
      <c r="B34" s="3959" t="inlineStr">
        <is>
          <t>AP control account (from Combined | BS)</t>
        </is>
      </c>
      <c r="C34" s="3959" t="n"/>
      <c r="D34" s="3959" t="n"/>
      <c r="E34" s="3959" t="n"/>
      <c r="F34" s="3959" t="n"/>
      <c r="G34" s="3959" t="n"/>
      <c r="H34" s="3959" t="n"/>
      <c r="I34" s="3959" t="n"/>
      <c r="J34" s="3929" t="n"/>
      <c r="K34" s="3959" t="inlineStr">
        <is>
          <t>Input/Link</t>
        </is>
      </c>
    </row>
    <row r="35">
      <c r="A35" s="3984" t="n"/>
      <c r="B35" s="3984" t="n"/>
      <c r="C35" s="3984" t="n"/>
      <c r="D35" s="3984" t="n"/>
      <c r="E35" s="3984" t="n"/>
      <c r="F35" s="3984" t="n"/>
      <c r="G35" s="3984" t="n"/>
      <c r="H35" s="3984" t="n"/>
      <c r="I35" s="3984" t="n"/>
      <c r="J35" s="3984" t="n"/>
      <c r="K35" s="3984" t="n"/>
    </row>
    <row r="36">
      <c r="A36" s="3984" t="n"/>
      <c r="B36" s="3984" t="n"/>
      <c r="C36" s="3984" t="n"/>
      <c r="D36" s="3984" t="n"/>
      <c r="E36" s="3984" t="n"/>
      <c r="F36" s="3984" t="n"/>
      <c r="G36" s="3984" t="n"/>
      <c r="H36" s="3984" t="n"/>
      <c r="I36" s="3984" t="n"/>
      <c r="J36" s="3984" t="n"/>
      <c r="K36" s="3984" t="n"/>
    </row>
    <row r="37">
      <c r="A37" s="3984" t="n"/>
      <c r="B37" s="3984" t="n"/>
      <c r="C37" s="3984" t="n"/>
      <c r="D37" s="3984" t="n"/>
      <c r="E37" s="3984" t="n"/>
      <c r="F37" s="3984" t="n"/>
      <c r="G37" s="3984" t="n"/>
      <c r="H37" s="3984" t="n"/>
      <c r="I37" s="3984" t="n"/>
      <c r="J37" s="3984" t="n"/>
      <c r="K37" s="3984" t="n"/>
    </row>
    <row r="38">
      <c r="A38" s="3984" t="n"/>
      <c r="B38" s="3984" t="n"/>
      <c r="C38" s="3984" t="n"/>
      <c r="D38" s="3984" t="n"/>
      <c r="E38" s="3984" t="n"/>
      <c r="F38" s="3984" t="n"/>
      <c r="G38" s="3984" t="n"/>
      <c r="H38" s="3984" t="n"/>
      <c r="I38" s="3984" t="n"/>
      <c r="J38" s="3984" t="n"/>
      <c r="K38" s="3984" t="n"/>
    </row>
    <row r="39">
      <c r="A39" s="3979" t="inlineStr">
        <is>
          <t>AGING_CHECKS</t>
        </is>
      </c>
      <c r="B39" s="3979" t="n"/>
      <c r="C39" s="3979" t="n"/>
      <c r="D39" s="3979" t="n"/>
      <c r="E39" s="3979" t="n"/>
      <c r="F39" s="3979" t="n"/>
      <c r="G39" s="3979" t="n"/>
      <c r="H39" s="3979" t="n"/>
      <c r="I39" s="3979" t="n"/>
      <c r="J39" s="3979" t="n"/>
      <c r="K39" s="3979" t="n"/>
    </row>
    <row r="40">
      <c r="A40" s="3959" t="inlineStr">
        <is>
          <t>Combined AR/AP tie-out check</t>
        </is>
      </c>
      <c r="B40" s="3959" t="n"/>
      <c r="C40" s="3959" t="n"/>
      <c r="D40" s="3959" t="n"/>
      <c r="E40" s="3959" t="n"/>
      <c r="F40" s="3959" t="n"/>
      <c r="G40" s="3959" t="n"/>
      <c r="H40" s="3959" t="n"/>
      <c r="I40" s="3959" t="n"/>
      <c r="J40" s="3961">
        <f>IF(OR(J17="",J33=""),"",J17+J33)</f>
        <v/>
      </c>
      <c r="K40" s="3959" t="inlineStr">
        <is>
          <t>Should be 0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29"/>
  <sheetViews>
    <sheetView showGridLines="0" zoomScale="100" zoomScaleNormal="100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7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 ht="24" customHeight="1">
      <c r="A1" s="3921" t="inlineStr">
        <is>
          <t>Personnel</t>
        </is>
      </c>
    </row>
    <row r="2">
      <c r="A2" s="3978" t="inlineStr">
        <is>
          <t>Source: &lt;document_source&gt;</t>
        </is>
      </c>
    </row>
    <row r="4">
      <c r="A4" s="3983" t="inlineStr">
        <is>
          <t>Personnel module scaffold for headcount and compensation analytics.</t>
        </is>
      </c>
    </row>
    <row r="7">
      <c r="A7" s="3979" t="inlineStr">
        <is>
          <t>Personnel | Main</t>
        </is>
      </c>
      <c r="B7" s="3979" t="n"/>
      <c r="C7" s="3979" t="n"/>
      <c r="D7" s="3979" t="n"/>
      <c r="E7" s="3979" t="n"/>
      <c r="F7" s="3979" t="n"/>
      <c r="G7" s="3979" t="n"/>
      <c r="H7" s="3979" t="n"/>
      <c r="I7" s="3979" t="n"/>
      <c r="J7" s="3979" t="n"/>
    </row>
    <row r="8">
      <c r="A8" s="3923" t="inlineStr">
        <is>
          <t>LineKey</t>
        </is>
      </c>
      <c r="B8" s="3923" t="inlineStr">
        <is>
          <t>$'000</t>
        </is>
      </c>
      <c r="C8" s="3923" t="inlineStr">
        <is>
          <t>TB Account No.</t>
        </is>
      </c>
      <c r="D8" s="3923" t="inlineStr">
        <is>
          <t>Sign</t>
        </is>
      </c>
      <c r="E8" s="3923" t="inlineStr">
        <is>
          <t>Source</t>
        </is>
      </c>
      <c r="F8" s="3923" t="inlineStr">
        <is>
          <t>Comments</t>
        </is>
      </c>
      <c r="G8" s="3923" t="inlineStr">
        <is>
          <t>FY-3</t>
        </is>
      </c>
      <c r="H8" s="3923" t="inlineStr">
        <is>
          <t>FY-2</t>
        </is>
      </c>
      <c r="I8" s="3923" t="inlineStr">
        <is>
          <t>FY-1</t>
        </is>
      </c>
      <c r="J8" s="3923" t="inlineStr">
        <is>
          <t>TTM</t>
        </is>
      </c>
    </row>
    <row r="9">
      <c r="A9" s="3959" t="inlineStr">
        <is>
          <t>PER_HC</t>
        </is>
      </c>
      <c r="B9" s="3959" t="inlineStr">
        <is>
          <t>Headcount</t>
        </is>
      </c>
      <c r="C9" s="3959" t="n"/>
      <c r="D9" s="3959" t="inlineStr">
        <is>
          <t>+</t>
        </is>
      </c>
      <c r="E9" s="3959" t="inlineStr">
        <is>
          <t>Input</t>
        </is>
      </c>
      <c r="F9" s="3959" t="inlineStr"/>
      <c r="G9" s="3929" t="n"/>
      <c r="H9" s="3929" t="n"/>
      <c r="I9" s="3929" t="n"/>
      <c r="J9" s="3929" t="n"/>
    </row>
    <row r="10">
      <c r="A10" s="3959" t="inlineStr">
        <is>
          <t>PER_PAYROLL</t>
        </is>
      </c>
      <c r="B10" s="3959" t="inlineStr">
        <is>
          <t>Payroll</t>
        </is>
      </c>
      <c r="C10" s="3959" t="n"/>
      <c r="D10" s="3959" t="inlineStr">
        <is>
          <t>+</t>
        </is>
      </c>
      <c r="E10" s="3959" t="inlineStr">
        <is>
          <t>Input</t>
        </is>
      </c>
      <c r="F10" s="3959" t="inlineStr"/>
      <c r="G10" s="3929" t="n"/>
      <c r="H10" s="3929" t="n"/>
      <c r="I10" s="3929" t="n"/>
      <c r="J10" s="3929" t="n"/>
    </row>
    <row r="11">
      <c r="A11" s="3959" t="inlineStr">
        <is>
          <t>PER_PAY_PER_HC</t>
        </is>
      </c>
      <c r="B11" s="3959" t="inlineStr">
        <is>
          <t>Payroll per HC</t>
        </is>
      </c>
      <c r="C11" s="3959" t="n"/>
      <c r="D11" s="3959" t="inlineStr">
        <is>
          <t>+</t>
        </is>
      </c>
      <c r="E11" s="3959" t="inlineStr">
        <is>
          <t>Formula</t>
        </is>
      </c>
      <c r="F11" s="3959" t="inlineStr">
        <is>
          <t>Derived</t>
        </is>
      </c>
      <c r="G11" s="3929">
        <f>IF(OR(G9="",G10="",G9=0),"",G10/G9)</f>
        <v/>
      </c>
      <c r="H11" s="3929">
        <f>IF(OR(H9="",H10="",H9=0),"",H10/H9)</f>
        <v/>
      </c>
      <c r="I11" s="3929">
        <f>IF(OR(I9="",I10="",I9=0),"",I10/I9)</f>
        <v/>
      </c>
      <c r="J11" s="3929">
        <f>IF(OR(J9="",J10="",J9=0),"",J10/J9)</f>
        <v/>
      </c>
    </row>
    <row r="12">
      <c r="A12" s="3959" t="inlineStr">
        <is>
          <t>PER_BONUS</t>
        </is>
      </c>
      <c r="B12" s="3959" t="inlineStr">
        <is>
          <t>Bonus</t>
        </is>
      </c>
      <c r="C12" s="3959" t="n"/>
      <c r="D12" s="3959" t="inlineStr">
        <is>
          <t>+</t>
        </is>
      </c>
      <c r="E12" s="3959" t="inlineStr">
        <is>
          <t>Input</t>
        </is>
      </c>
      <c r="F12" s="3959" t="inlineStr"/>
      <c r="G12" s="3929" t="n"/>
      <c r="H12" s="3929" t="n"/>
      <c r="I12" s="3929" t="n"/>
      <c r="J12" s="3929" t="n"/>
    </row>
    <row r="13">
      <c r="A13" s="3959" t="inlineStr">
        <is>
          <t>PER_CONTRACT</t>
        </is>
      </c>
      <c r="B13" s="3959" t="inlineStr">
        <is>
          <t>Contractors</t>
        </is>
      </c>
      <c r="C13" s="3959" t="n"/>
      <c r="D13" s="3959" t="inlineStr">
        <is>
          <t>+</t>
        </is>
      </c>
      <c r="E13" s="3959" t="inlineStr">
        <is>
          <t>Input</t>
        </is>
      </c>
      <c r="F13" s="3959" t="inlineStr"/>
      <c r="G13" s="3929" t="n"/>
      <c r="H13" s="3929" t="n"/>
      <c r="I13" s="3929" t="n"/>
      <c r="J13" s="3929" t="n"/>
    </row>
    <row r="14">
      <c r="A14" s="3959" t="inlineStr">
        <is>
          <t>PER_TOTAL_COMP</t>
        </is>
      </c>
      <c r="B14" s="3959" t="inlineStr">
        <is>
          <t>Total personnel cost</t>
        </is>
      </c>
      <c r="C14" s="3959" t="n"/>
      <c r="D14" s="3959" t="inlineStr">
        <is>
          <t>+</t>
        </is>
      </c>
      <c r="E14" s="3959" t="inlineStr">
        <is>
          <t>Formula</t>
        </is>
      </c>
      <c r="F14" s="3959" t="inlineStr">
        <is>
          <t>Derived</t>
        </is>
      </c>
      <c r="G14" s="3929">
        <f>IF(COUNT(G10:G13)=0,"",SUM(G10,G12,G13))</f>
        <v/>
      </c>
      <c r="H14" s="3929">
        <f>IF(COUNT(H10:H13)=0,"",SUM(H10,H12,H13))</f>
        <v/>
      </c>
      <c r="I14" s="3929">
        <f>IF(COUNT(I10:I13)=0,"",SUM(I10,I12,I13))</f>
        <v/>
      </c>
      <c r="J14" s="3929">
        <f>IF(COUNT(J10:J13)=0,"",SUM(J10,J12,J13))</f>
        <v/>
      </c>
    </row>
    <row r="27">
      <c r="A27" s="3979" t="inlineStr">
        <is>
          <t>PERSONNEL_CHECKS</t>
        </is>
      </c>
      <c r="B27" s="3979" t="n"/>
      <c r="C27" s="3979" t="n"/>
      <c r="D27" s="3979" t="n"/>
      <c r="E27" s="3979" t="n"/>
      <c r="F27" s="3979" t="n"/>
      <c r="G27" s="3979" t="n"/>
      <c r="H27" s="3979" t="n"/>
      <c r="I27" s="3979" t="n"/>
      <c r="J27" s="3979" t="n"/>
    </row>
    <row r="28">
      <c r="A28" s="3959" t="inlineStr">
        <is>
          <t>Primary tie-out check</t>
        </is>
      </c>
      <c r="B28" s="3959" t="n"/>
      <c r="C28" s="3959" t="n"/>
      <c r="D28" s="3959" t="n"/>
      <c r="E28" s="3959" t="n"/>
      <c r="F28" s="3959" t="n"/>
      <c r="G28" s="3961">
        <f>IF(G14="","",G14-(G10+G12+G13))</f>
        <v/>
      </c>
      <c r="H28" s="3961">
        <f>IF(H14="","",H14-(H10+H12+H13))</f>
        <v/>
      </c>
      <c r="I28" s="3961">
        <f>IF(I14="","",I14-(I10+I12+I13))</f>
        <v/>
      </c>
      <c r="J28" s="3961">
        <f>IF(J14="","",J14-(J10+J12+J13))</f>
        <v/>
      </c>
    </row>
    <row r="29">
      <c r="A29" s="3959" t="inlineStr">
        <is>
          <t>Secondary tie-out check</t>
        </is>
      </c>
      <c r="B29" s="3959" t="n"/>
      <c r="C29" s="3959" t="n"/>
      <c r="D29" s="3959" t="n"/>
      <c r="E29" s="3959" t="n"/>
      <c r="F29" s="3959" t="n"/>
      <c r="G29" s="3961">
        <f>IF(OR(G11="",G10="",G9="",G9=0),"",G11-(G10/G9))</f>
        <v/>
      </c>
      <c r="H29" s="3961">
        <f>IF(OR(H11="",H10="",H9="",H9=0),"",H11-(H10/H9))</f>
        <v/>
      </c>
      <c r="I29" s="3961">
        <f>IF(OR(I11="",I10="",I9="",I9=0),"",I11-(I10/I9))</f>
        <v/>
      </c>
      <c r="J29" s="3961">
        <f>IF(OR(J11="",J10="",J9="",J9=0),"",J11-(J10/J9))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29"/>
  <sheetViews>
    <sheetView showGridLines="0" zoomScale="100" zoomScaleNormal="100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7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 ht="24" customHeight="1">
      <c r="A1" s="3921" t="inlineStr">
        <is>
          <t>Capex</t>
        </is>
      </c>
    </row>
    <row r="2">
      <c r="A2" s="3978" t="inlineStr">
        <is>
          <t>Source: &lt;document_source&gt;</t>
        </is>
      </c>
    </row>
    <row r="4">
      <c r="A4" s="3983" t="inlineStr">
        <is>
          <t>Capex module scaffold for maintenance/growth trends and intensity checks.</t>
        </is>
      </c>
    </row>
    <row r="7">
      <c r="A7" s="3979" t="inlineStr">
        <is>
          <t>Capex | Main</t>
        </is>
      </c>
      <c r="B7" s="3979" t="n"/>
      <c r="C7" s="3979" t="n"/>
      <c r="D7" s="3979" t="n"/>
      <c r="E7" s="3979" t="n"/>
      <c r="F7" s="3979" t="n"/>
      <c r="G7" s="3979" t="n"/>
      <c r="H7" s="3979" t="n"/>
      <c r="I7" s="3979" t="n"/>
      <c r="J7" s="3979" t="n"/>
    </row>
    <row r="8">
      <c r="A8" s="3923" t="inlineStr">
        <is>
          <t>LineKey</t>
        </is>
      </c>
      <c r="B8" s="3923" t="inlineStr">
        <is>
          <t>$'000</t>
        </is>
      </c>
      <c r="C8" s="3923" t="inlineStr">
        <is>
          <t>TB Account No.</t>
        </is>
      </c>
      <c r="D8" s="3923" t="inlineStr">
        <is>
          <t>Sign</t>
        </is>
      </c>
      <c r="E8" s="3923" t="inlineStr">
        <is>
          <t>Source</t>
        </is>
      </c>
      <c r="F8" s="3923" t="inlineStr">
        <is>
          <t>Comments</t>
        </is>
      </c>
      <c r="G8" s="3923" t="inlineStr">
        <is>
          <t>FY-3</t>
        </is>
      </c>
      <c r="H8" s="3923" t="inlineStr">
        <is>
          <t>FY-2</t>
        </is>
      </c>
      <c r="I8" s="3923" t="inlineStr">
        <is>
          <t>FY-1</t>
        </is>
      </c>
      <c r="J8" s="3923" t="inlineStr">
        <is>
          <t>TTM</t>
        </is>
      </c>
    </row>
    <row r="9">
      <c r="A9" s="3959" t="inlineStr">
        <is>
          <t>CAP_MAINT</t>
        </is>
      </c>
      <c r="B9" s="3959" t="inlineStr">
        <is>
          <t>Maintenance capex</t>
        </is>
      </c>
      <c r="C9" s="3959" t="n"/>
      <c r="D9" s="3959" t="inlineStr">
        <is>
          <t>+</t>
        </is>
      </c>
      <c r="E9" s="3959" t="inlineStr">
        <is>
          <t>Input</t>
        </is>
      </c>
      <c r="F9" s="3959" t="inlineStr"/>
      <c r="G9" s="3929" t="n"/>
      <c r="H9" s="3929" t="n"/>
      <c r="I9" s="3929" t="n"/>
      <c r="J9" s="3929" t="n"/>
    </row>
    <row r="10">
      <c r="A10" s="3959" t="inlineStr">
        <is>
          <t>CAP_GROWTH</t>
        </is>
      </c>
      <c r="B10" s="3959" t="inlineStr">
        <is>
          <t>Growth capex</t>
        </is>
      </c>
      <c r="C10" s="3959" t="n"/>
      <c r="D10" s="3959" t="inlineStr">
        <is>
          <t>+</t>
        </is>
      </c>
      <c r="E10" s="3959" t="inlineStr">
        <is>
          <t>Input</t>
        </is>
      </c>
      <c r="F10" s="3959" t="inlineStr"/>
      <c r="G10" s="3929" t="n"/>
      <c r="H10" s="3929" t="n"/>
      <c r="I10" s="3929" t="n"/>
      <c r="J10" s="3929" t="n"/>
    </row>
    <row r="11">
      <c r="A11" s="3959" t="inlineStr">
        <is>
          <t>CAP_TOTAL</t>
        </is>
      </c>
      <c r="B11" s="3959" t="inlineStr">
        <is>
          <t>Total capex</t>
        </is>
      </c>
      <c r="C11" s="3959" t="n"/>
      <c r="D11" s="3959" t="inlineStr">
        <is>
          <t>+</t>
        </is>
      </c>
      <c r="E11" s="3959" t="inlineStr">
        <is>
          <t>Formula</t>
        </is>
      </c>
      <c r="F11" s="3959" t="inlineStr">
        <is>
          <t>Derived</t>
        </is>
      </c>
      <c r="G11" s="3929">
        <f>IF(COUNT(G9:G10)=0,"",SUM(G9:G10))</f>
        <v/>
      </c>
      <c r="H11" s="3929">
        <f>IF(COUNT(H9:H10)=0,"",SUM(H9:H10))</f>
        <v/>
      </c>
      <c r="I11" s="3929">
        <f>IF(COUNT(I9:I10)=0,"",SUM(I9:I10))</f>
        <v/>
      </c>
      <c r="J11" s="3929">
        <f>IF(COUNT(J9:J10)=0,"",SUM(J9:J10))</f>
        <v/>
      </c>
    </row>
    <row r="12">
      <c r="A12" s="3959" t="inlineStr">
        <is>
          <t>CAP_SALES</t>
        </is>
      </c>
      <c r="B12" s="3959" t="inlineStr">
        <is>
          <t>Sales</t>
        </is>
      </c>
      <c r="C12" s="3959" t="n"/>
      <c r="D12" s="3959" t="inlineStr">
        <is>
          <t>+</t>
        </is>
      </c>
      <c r="E12" s="3959" t="inlineStr">
        <is>
          <t>Input</t>
        </is>
      </c>
      <c r="F12" s="3959" t="inlineStr"/>
      <c r="G12" s="3929" t="n"/>
      <c r="H12" s="3929" t="n"/>
      <c r="I12" s="3929" t="n"/>
      <c r="J12" s="3929" t="n"/>
    </row>
    <row r="13">
      <c r="A13" s="3959" t="inlineStr">
        <is>
          <t>CAP_PCT</t>
        </is>
      </c>
      <c r="B13" s="3959" t="inlineStr">
        <is>
          <t>Capex % sales</t>
        </is>
      </c>
      <c r="C13" s="3959" t="n"/>
      <c r="D13" s="3959" t="inlineStr">
        <is>
          <t>+</t>
        </is>
      </c>
      <c r="E13" s="3959" t="inlineStr">
        <is>
          <t>Formula</t>
        </is>
      </c>
      <c r="F13" s="3959" t="inlineStr">
        <is>
          <t>Derived</t>
        </is>
      </c>
      <c r="G13" s="3929">
        <f>IF(OR(G11="",G12="",G12=0),"",G11/G12)</f>
        <v/>
      </c>
      <c r="H13" s="3929">
        <f>IF(OR(H11="",H12="",H12=0),"",H11/H12)</f>
        <v/>
      </c>
      <c r="I13" s="3929">
        <f>IF(OR(I11="",I12="",I12=0),"",I11/I12)</f>
        <v/>
      </c>
      <c r="J13" s="3929">
        <f>IF(OR(J11="",J12="",J12=0),"",J11/J12)</f>
        <v/>
      </c>
    </row>
    <row r="14">
      <c r="A14" s="3959" t="inlineStr">
        <is>
          <t>CAP_NONREC</t>
        </is>
      </c>
      <c r="B14" s="3959" t="inlineStr">
        <is>
          <t>Non-recurring capex</t>
        </is>
      </c>
      <c r="C14" s="3959" t="n"/>
      <c r="D14" s="3959" t="inlineStr">
        <is>
          <t>+</t>
        </is>
      </c>
      <c r="E14" s="3959" t="inlineStr">
        <is>
          <t>Input</t>
        </is>
      </c>
      <c r="F14" s="3959" t="inlineStr"/>
      <c r="G14" s="3929" t="n"/>
      <c r="H14" s="3929" t="n"/>
      <c r="I14" s="3929" t="n"/>
      <c r="J14" s="3929" t="n"/>
    </row>
    <row r="27">
      <c r="A27" s="3979" t="inlineStr">
        <is>
          <t>CAPEX_CHECKS</t>
        </is>
      </c>
      <c r="B27" s="3979" t="n"/>
      <c r="C27" s="3979" t="n"/>
      <c r="D27" s="3979" t="n"/>
      <c r="E27" s="3979" t="n"/>
      <c r="F27" s="3979" t="n"/>
      <c r="G27" s="3979" t="n"/>
      <c r="H27" s="3979" t="n"/>
      <c r="I27" s="3979" t="n"/>
      <c r="J27" s="3979" t="n"/>
    </row>
    <row r="28">
      <c r="A28" s="3959" t="inlineStr">
        <is>
          <t>Primary tie-out check</t>
        </is>
      </c>
      <c r="B28" s="3959" t="n"/>
      <c r="C28" s="3959" t="n"/>
      <c r="D28" s="3959" t="n"/>
      <c r="E28" s="3959" t="n"/>
      <c r="F28" s="3959" t="n"/>
      <c r="G28" s="3961">
        <f>IF(G11="","",G11-(G9+G10))</f>
        <v/>
      </c>
      <c r="H28" s="3961">
        <f>IF(H11="","",H11-(H9+H10))</f>
        <v/>
      </c>
      <c r="I28" s="3961">
        <f>IF(I11="","",I11-(I9+I10))</f>
        <v/>
      </c>
      <c r="J28" s="3961">
        <f>IF(J11="","",J11-(J9+J10))</f>
        <v/>
      </c>
    </row>
    <row r="29">
      <c r="A29" s="3959" t="inlineStr">
        <is>
          <t>Secondary tie-out check</t>
        </is>
      </c>
      <c r="B29" s="3959" t="n"/>
      <c r="C29" s="3959" t="n"/>
      <c r="D29" s="3959" t="n"/>
      <c r="E29" s="3959" t="n"/>
      <c r="F29" s="3959" t="n"/>
      <c r="G29" s="3961">
        <f>IF(OR(G13="",G11="",G12="",G12=0),"",G13-(G11/G12))</f>
        <v/>
      </c>
      <c r="H29" s="3961">
        <f>IF(OR(H13="",H11="",H12="",H12=0),"",H13-(H11/H12))</f>
        <v/>
      </c>
      <c r="I29" s="3961">
        <f>IF(OR(I13="",I11="",I12="",I12=0),"",I13-(I11/I12))</f>
        <v/>
      </c>
      <c r="J29" s="3961">
        <f>IF(OR(J13="",J11="",J12="",J12=0),"",J13-(J11/J12))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29"/>
  <sheetViews>
    <sheetView showGridLines="0" zoomScale="100" zoomScaleNormal="100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7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 ht="24" customHeight="1">
      <c r="A1" s="3921" t="inlineStr">
        <is>
          <t>Leases</t>
        </is>
      </c>
    </row>
    <row r="2">
      <c r="A2" s="3978" t="inlineStr">
        <is>
          <t>Source: &lt;document_source&gt;</t>
        </is>
      </c>
    </row>
    <row r="4">
      <c r="A4" s="3983" t="inlineStr">
        <is>
          <t>Leases module scaffold for lease run-rate and balance tie-outs.</t>
        </is>
      </c>
    </row>
    <row r="7">
      <c r="A7" s="3979" t="inlineStr">
        <is>
          <t>Leases | Main</t>
        </is>
      </c>
      <c r="B7" s="3979" t="n"/>
      <c r="C7" s="3979" t="n"/>
      <c r="D7" s="3979" t="n"/>
      <c r="E7" s="3979" t="n"/>
      <c r="F7" s="3979" t="n"/>
      <c r="G7" s="3979" t="n"/>
      <c r="H7" s="3979" t="n"/>
      <c r="I7" s="3979" t="n"/>
      <c r="J7" s="3979" t="n"/>
    </row>
    <row r="8">
      <c r="A8" s="3923" t="inlineStr">
        <is>
          <t>LineKey</t>
        </is>
      </c>
      <c r="B8" s="3923" t="inlineStr">
        <is>
          <t>$'000</t>
        </is>
      </c>
      <c r="C8" s="3923" t="inlineStr">
        <is>
          <t>TB Account No.</t>
        </is>
      </c>
      <c r="D8" s="3923" t="inlineStr">
        <is>
          <t>Sign</t>
        </is>
      </c>
      <c r="E8" s="3923" t="inlineStr">
        <is>
          <t>Source</t>
        </is>
      </c>
      <c r="F8" s="3923" t="inlineStr">
        <is>
          <t>Comments</t>
        </is>
      </c>
      <c r="G8" s="3923" t="inlineStr">
        <is>
          <t>FY-3</t>
        </is>
      </c>
      <c r="H8" s="3923" t="inlineStr">
        <is>
          <t>FY-2</t>
        </is>
      </c>
      <c r="I8" s="3923" t="inlineStr">
        <is>
          <t>FY-1</t>
        </is>
      </c>
      <c r="J8" s="3923" t="inlineStr">
        <is>
          <t>TTM</t>
        </is>
      </c>
    </row>
    <row r="9">
      <c r="A9" s="3959" t="inlineStr">
        <is>
          <t>LEASE_EXP</t>
        </is>
      </c>
      <c r="B9" s="3959" t="inlineStr">
        <is>
          <t>Lease expense</t>
        </is>
      </c>
      <c r="C9" s="3959" t="n"/>
      <c r="D9" s="3959" t="inlineStr">
        <is>
          <t>+</t>
        </is>
      </c>
      <c r="E9" s="3959" t="inlineStr">
        <is>
          <t>Input</t>
        </is>
      </c>
      <c r="F9" s="3959" t="inlineStr"/>
      <c r="G9" s="3929" t="n"/>
      <c r="H9" s="3929" t="n"/>
      <c r="I9" s="3929" t="n"/>
      <c r="J9" s="3929" t="n"/>
    </row>
    <row r="10">
      <c r="A10" s="3959" t="inlineStr">
        <is>
          <t>LEASE_ST_LIAB</t>
        </is>
      </c>
      <c r="B10" s="3959" t="inlineStr">
        <is>
          <t>Lease liability - current</t>
        </is>
      </c>
      <c r="C10" s="3959" t="n"/>
      <c r="D10" s="3959" t="inlineStr">
        <is>
          <t>+</t>
        </is>
      </c>
      <c r="E10" s="3959" t="inlineStr">
        <is>
          <t>Input</t>
        </is>
      </c>
      <c r="F10" s="3959" t="inlineStr"/>
      <c r="G10" s="3929" t="n"/>
      <c r="H10" s="3929" t="n"/>
      <c r="I10" s="3929" t="n"/>
      <c r="J10" s="3929" t="n"/>
    </row>
    <row r="11">
      <c r="A11" s="3959" t="inlineStr">
        <is>
          <t>LEASE_LT_LIAB</t>
        </is>
      </c>
      <c r="B11" s="3959" t="inlineStr">
        <is>
          <t>Lease liability - non-current</t>
        </is>
      </c>
      <c r="C11" s="3959" t="n"/>
      <c r="D11" s="3959" t="inlineStr">
        <is>
          <t>+</t>
        </is>
      </c>
      <c r="E11" s="3959" t="inlineStr">
        <is>
          <t>Input</t>
        </is>
      </c>
      <c r="F11" s="3959" t="inlineStr"/>
      <c r="G11" s="3929" t="n"/>
      <c r="H11" s="3929" t="n"/>
      <c r="I11" s="3929" t="n"/>
      <c r="J11" s="3929" t="n"/>
    </row>
    <row r="12">
      <c r="A12" s="3959" t="inlineStr">
        <is>
          <t>LEASE_TOTAL_LIAB</t>
        </is>
      </c>
      <c r="B12" s="3959" t="inlineStr">
        <is>
          <t>Total lease liability</t>
        </is>
      </c>
      <c r="C12" s="3959" t="n"/>
      <c r="D12" s="3959" t="inlineStr">
        <is>
          <t>+</t>
        </is>
      </c>
      <c r="E12" s="3959" t="inlineStr">
        <is>
          <t>Formula</t>
        </is>
      </c>
      <c r="F12" s="3959" t="inlineStr">
        <is>
          <t>Derived</t>
        </is>
      </c>
      <c r="G12" s="3929">
        <f>IF(COUNT(G10:G11)=0,"",SUM(G10:G11))</f>
        <v/>
      </c>
      <c r="H12" s="3929">
        <f>IF(COUNT(H10:H11)=0,"",SUM(H10:H11))</f>
        <v/>
      </c>
      <c r="I12" s="3929">
        <f>IF(COUNT(I10:I11)=0,"",SUM(I10:I11))</f>
        <v/>
      </c>
      <c r="J12" s="3929">
        <f>IF(COUNT(J10:J11)=0,"",SUM(J10:J11))</f>
        <v/>
      </c>
    </row>
    <row r="13">
      <c r="A13" s="3959" t="inlineStr">
        <is>
          <t>LEASE_INT</t>
        </is>
      </c>
      <c r="B13" s="3959" t="inlineStr">
        <is>
          <t>Lease interest</t>
        </is>
      </c>
      <c r="C13" s="3959" t="n"/>
      <c r="D13" s="3959" t="inlineStr">
        <is>
          <t>+</t>
        </is>
      </c>
      <c r="E13" s="3959" t="inlineStr">
        <is>
          <t>Input</t>
        </is>
      </c>
      <c r="F13" s="3959" t="inlineStr"/>
      <c r="G13" s="3929" t="n"/>
      <c r="H13" s="3929" t="n"/>
      <c r="I13" s="3929" t="n"/>
      <c r="J13" s="3929" t="n"/>
    </row>
    <row r="14">
      <c r="A14" s="3959" t="inlineStr">
        <is>
          <t>LEASE_CASH</t>
        </is>
      </c>
      <c r="B14" s="3959" t="inlineStr">
        <is>
          <t>Lease cash burden</t>
        </is>
      </c>
      <c r="C14" s="3959" t="n"/>
      <c r="D14" s="3959" t="inlineStr">
        <is>
          <t>+</t>
        </is>
      </c>
      <c r="E14" s="3959" t="inlineStr">
        <is>
          <t>Formula</t>
        </is>
      </c>
      <c r="F14" s="3959" t="inlineStr">
        <is>
          <t>Derived</t>
        </is>
      </c>
      <c r="G14" s="3929">
        <f>IF(COUNT(G9:G13)=0,"",SUM(G9,G13))</f>
        <v/>
      </c>
      <c r="H14" s="3929">
        <f>IF(COUNT(H9:H13)=0,"",SUM(H9,H13))</f>
        <v/>
      </c>
      <c r="I14" s="3929">
        <f>IF(COUNT(I9:I13)=0,"",SUM(I9,I13))</f>
        <v/>
      </c>
      <c r="J14" s="3929">
        <f>IF(COUNT(J9:J13)=0,"",SUM(J9,J13))</f>
        <v/>
      </c>
    </row>
    <row r="27">
      <c r="A27" s="3979" t="inlineStr">
        <is>
          <t>LEASES_CHECKS</t>
        </is>
      </c>
      <c r="B27" s="3979" t="n"/>
      <c r="C27" s="3979" t="n"/>
      <c r="D27" s="3979" t="n"/>
      <c r="E27" s="3979" t="n"/>
      <c r="F27" s="3979" t="n"/>
      <c r="G27" s="3979" t="n"/>
      <c r="H27" s="3979" t="n"/>
      <c r="I27" s="3979" t="n"/>
      <c r="J27" s="3979" t="n"/>
    </row>
    <row r="28">
      <c r="A28" s="3959" t="inlineStr">
        <is>
          <t>Primary tie-out check</t>
        </is>
      </c>
      <c r="B28" s="3959" t="n"/>
      <c r="C28" s="3959" t="n"/>
      <c r="D28" s="3959" t="n"/>
      <c r="E28" s="3959" t="n"/>
      <c r="F28" s="3959" t="n"/>
      <c r="G28" s="3961">
        <f>IF(G12="","",G12-(G10+G11))</f>
        <v/>
      </c>
      <c r="H28" s="3961">
        <f>IF(H12="","",H12-(H10+H11))</f>
        <v/>
      </c>
      <c r="I28" s="3961">
        <f>IF(I12="","",I12-(I10+I11))</f>
        <v/>
      </c>
      <c r="J28" s="3961">
        <f>IF(J12="","",J12-(J10+J11))</f>
        <v/>
      </c>
    </row>
    <row r="29">
      <c r="A29" s="3959" t="inlineStr">
        <is>
          <t>Secondary tie-out check</t>
        </is>
      </c>
      <c r="B29" s="3959" t="n"/>
      <c r="C29" s="3959" t="n"/>
      <c r="D29" s="3959" t="n"/>
      <c r="E29" s="3959" t="n"/>
      <c r="F29" s="3959" t="n"/>
      <c r="G29" s="3961">
        <f>IF(G14="","",G14-(G9+G13))</f>
        <v/>
      </c>
      <c r="H29" s="3961">
        <f>IF(H14="","",H14-(H9+H13))</f>
        <v/>
      </c>
      <c r="I29" s="3961">
        <f>IF(I14="","",I14-(I9+I13))</f>
        <v/>
      </c>
      <c r="J29" s="3961">
        <f>IF(J14="","",J14-(J9+J13))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29"/>
  <sheetViews>
    <sheetView showGridLines="0" zoomScale="100" zoomScaleNormal="100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7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 ht="24" customHeight="1">
      <c r="A1" s="3921" t="inlineStr">
        <is>
          <t>Other | Analysis</t>
        </is>
      </c>
    </row>
    <row r="2">
      <c r="A2" s="3978" t="inlineStr">
        <is>
          <t>Source: &lt;document_source&gt;</t>
        </is>
      </c>
    </row>
    <row r="4">
      <c r="A4" s="3983" t="inlineStr">
        <is>
          <t>Other analysis scaffold for bespoke deal-specific review items.</t>
        </is>
      </c>
    </row>
    <row r="7">
      <c r="A7" s="3979" t="inlineStr">
        <is>
          <t>Other | Analysis | Main</t>
        </is>
      </c>
      <c r="B7" s="3979" t="n"/>
      <c r="C7" s="3979" t="n"/>
      <c r="D7" s="3979" t="n"/>
      <c r="E7" s="3979" t="n"/>
      <c r="F7" s="3979" t="n"/>
      <c r="G7" s="3979" t="n"/>
      <c r="H7" s="3979" t="n"/>
      <c r="I7" s="3979" t="n"/>
      <c r="J7" s="3979" t="n"/>
    </row>
    <row r="8">
      <c r="A8" s="3923" t="inlineStr">
        <is>
          <t>LineKey</t>
        </is>
      </c>
      <c r="B8" s="3923" t="inlineStr">
        <is>
          <t>$'000</t>
        </is>
      </c>
      <c r="C8" s="3923" t="inlineStr">
        <is>
          <t>TB Account No.</t>
        </is>
      </c>
      <c r="D8" s="3923" t="inlineStr">
        <is>
          <t>Sign</t>
        </is>
      </c>
      <c r="E8" s="3923" t="inlineStr">
        <is>
          <t>Source</t>
        </is>
      </c>
      <c r="F8" s="3923" t="inlineStr">
        <is>
          <t>Comments</t>
        </is>
      </c>
      <c r="G8" s="3923" t="inlineStr">
        <is>
          <t>FY-3</t>
        </is>
      </c>
      <c r="H8" s="3923" t="inlineStr">
        <is>
          <t>FY-2</t>
        </is>
      </c>
      <c r="I8" s="3923" t="inlineStr">
        <is>
          <t>FY-1</t>
        </is>
      </c>
      <c r="J8" s="3923" t="inlineStr">
        <is>
          <t>TTM</t>
        </is>
      </c>
    </row>
    <row r="9">
      <c r="A9" s="3959" t="inlineStr">
        <is>
          <t>OTH_ADJ_1</t>
        </is>
      </c>
      <c r="B9" s="3959" t="inlineStr">
        <is>
          <t>Other adjustment 1</t>
        </is>
      </c>
      <c r="C9" s="3959" t="n"/>
      <c r="D9" s="3959" t="inlineStr">
        <is>
          <t>+</t>
        </is>
      </c>
      <c r="E9" s="3959" t="inlineStr">
        <is>
          <t>Input</t>
        </is>
      </c>
      <c r="F9" s="3959" t="inlineStr"/>
      <c r="G9" s="3929" t="n"/>
      <c r="H9" s="3929" t="n"/>
      <c r="I9" s="3929" t="n"/>
      <c r="J9" s="3929" t="n"/>
    </row>
    <row r="10">
      <c r="A10" s="3959" t="inlineStr">
        <is>
          <t>OTH_ADJ_2</t>
        </is>
      </c>
      <c r="B10" s="3959" t="inlineStr">
        <is>
          <t>Other adjustment 2</t>
        </is>
      </c>
      <c r="C10" s="3959" t="n"/>
      <c r="D10" s="3959" t="inlineStr">
        <is>
          <t>+</t>
        </is>
      </c>
      <c r="E10" s="3959" t="inlineStr">
        <is>
          <t>Input</t>
        </is>
      </c>
      <c r="F10" s="3959" t="inlineStr"/>
      <c r="G10" s="3929" t="n"/>
      <c r="H10" s="3929" t="n"/>
      <c r="I10" s="3929" t="n"/>
      <c r="J10" s="3929" t="n"/>
    </row>
    <row r="11">
      <c r="A11" s="3959" t="inlineStr">
        <is>
          <t>OTH_ADJ_TOTAL</t>
        </is>
      </c>
      <c r="B11" s="3959" t="inlineStr">
        <is>
          <t>Total adjustments</t>
        </is>
      </c>
      <c r="C11" s="3959" t="n"/>
      <c r="D11" s="3959" t="inlineStr">
        <is>
          <t>+</t>
        </is>
      </c>
      <c r="E11" s="3959" t="inlineStr">
        <is>
          <t>Formula</t>
        </is>
      </c>
      <c r="F11" s="3959" t="inlineStr">
        <is>
          <t>Derived</t>
        </is>
      </c>
      <c r="G11" s="3929">
        <f>IF(COUNT(G9:G10)=0,"",SUM(G9:G10))</f>
        <v/>
      </c>
      <c r="H11" s="3929">
        <f>IF(COUNT(H9:H10)=0,"",SUM(H9:H10))</f>
        <v/>
      </c>
      <c r="I11" s="3929">
        <f>IF(COUNT(I9:I10)=0,"",SUM(I9:I10))</f>
        <v/>
      </c>
      <c r="J11" s="3929">
        <f>IF(COUNT(J9:J10)=0,"",SUM(J9:J10))</f>
        <v/>
      </c>
    </row>
    <row r="12">
      <c r="A12" s="3959" t="inlineStr">
        <is>
          <t>OTH_NONREC</t>
        </is>
      </c>
      <c r="B12" s="3959" t="inlineStr">
        <is>
          <t>Non-recurring impact</t>
        </is>
      </c>
      <c r="C12" s="3959" t="n"/>
      <c r="D12" s="3959" t="inlineStr">
        <is>
          <t>+</t>
        </is>
      </c>
      <c r="E12" s="3959" t="inlineStr">
        <is>
          <t>Input</t>
        </is>
      </c>
      <c r="F12" s="3959" t="inlineStr"/>
      <c r="G12" s="3929" t="n"/>
      <c r="H12" s="3929" t="n"/>
      <c r="I12" s="3929" t="n"/>
      <c r="J12" s="3929" t="n"/>
    </row>
    <row r="13">
      <c r="A13" s="3959" t="inlineStr">
        <is>
          <t>OTH_RUNRATE</t>
        </is>
      </c>
      <c r="B13" s="3959" t="inlineStr">
        <is>
          <t>Run-rate impact</t>
        </is>
      </c>
      <c r="C13" s="3959" t="n"/>
      <c r="D13" s="3959" t="inlineStr">
        <is>
          <t>+</t>
        </is>
      </c>
      <c r="E13" s="3959" t="inlineStr">
        <is>
          <t>Formula</t>
        </is>
      </c>
      <c r="F13" s="3959" t="inlineStr">
        <is>
          <t>Derived</t>
        </is>
      </c>
      <c r="G13" s="3929">
        <f>IF(COUNT(G11:G12)=0,"",SUM(G11:G12))</f>
        <v/>
      </c>
      <c r="H13" s="3929">
        <f>IF(COUNT(H11:H12)=0,"",SUM(H11:H12))</f>
        <v/>
      </c>
      <c r="I13" s="3929">
        <f>IF(COUNT(I11:I12)=0,"",SUM(I11:I12))</f>
        <v/>
      </c>
      <c r="J13" s="3929">
        <f>IF(COUNT(J11:J12)=0,"",SUM(J11:J12))</f>
        <v/>
      </c>
    </row>
    <row r="14">
      <c r="A14" s="3959" t="inlineStr">
        <is>
          <t>OTH_REVIEW</t>
        </is>
      </c>
      <c r="B14" s="3959" t="inlineStr">
        <is>
          <t>Reviewer note line</t>
        </is>
      </c>
      <c r="C14" s="3959" t="n"/>
      <c r="D14" s="3959" t="inlineStr">
        <is>
          <t>+</t>
        </is>
      </c>
      <c r="E14" s="3959" t="inlineStr">
        <is>
          <t>Input</t>
        </is>
      </c>
      <c r="F14" s="3959" t="inlineStr">
        <is>
          <t>Review</t>
        </is>
      </c>
      <c r="G14" s="3929" t="n"/>
      <c r="H14" s="3929" t="n"/>
      <c r="I14" s="3929" t="n"/>
      <c r="J14" s="3929" t="n"/>
    </row>
    <row r="27">
      <c r="A27" s="3979" t="inlineStr">
        <is>
          <t>OTHER_ANALYSIS_CHECKS</t>
        </is>
      </c>
      <c r="B27" s="3979" t="n"/>
      <c r="C27" s="3979" t="n"/>
      <c r="D27" s="3979" t="n"/>
      <c r="E27" s="3979" t="n"/>
      <c r="F27" s="3979" t="n"/>
      <c r="G27" s="3979" t="n"/>
      <c r="H27" s="3979" t="n"/>
      <c r="I27" s="3979" t="n"/>
      <c r="J27" s="3979" t="n"/>
    </row>
    <row r="28">
      <c r="A28" s="3959" t="inlineStr">
        <is>
          <t>Primary tie-out check</t>
        </is>
      </c>
      <c r="B28" s="3959" t="n"/>
      <c r="C28" s="3959" t="n"/>
      <c r="D28" s="3959" t="n"/>
      <c r="E28" s="3959" t="n"/>
      <c r="F28" s="3959" t="n"/>
      <c r="G28" s="3961">
        <f>IF(G11="","",G11-(G9+G10))</f>
        <v/>
      </c>
      <c r="H28" s="3961">
        <f>IF(H11="","",H11-(H9+H10))</f>
        <v/>
      </c>
      <c r="I28" s="3961">
        <f>IF(I11="","",I11-(I9+I10))</f>
        <v/>
      </c>
      <c r="J28" s="3961">
        <f>IF(J11="","",J11-(J9+J10))</f>
        <v/>
      </c>
    </row>
    <row r="29">
      <c r="A29" s="3959" t="inlineStr">
        <is>
          <t>Secondary tie-out check</t>
        </is>
      </c>
      <c r="B29" s="3959" t="n"/>
      <c r="C29" s="3959" t="n"/>
      <c r="D29" s="3959" t="n"/>
      <c r="E29" s="3959" t="n"/>
      <c r="F29" s="3959" t="n"/>
      <c r="G29" s="3961">
        <f>IF(G13="","",G13-(G11+G12))</f>
        <v/>
      </c>
      <c r="H29" s="3961">
        <f>IF(H13="","",H13-(H11+H12))</f>
        <v/>
      </c>
      <c r="I29" s="3961">
        <f>IF(I13="","",I13-(I11+I12))</f>
        <v/>
      </c>
      <c r="J29" s="3961">
        <f>IF(J13="","",J13-(J11+J12))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., Arushi</dc:creator>
  <dcterms:created xsi:type="dcterms:W3CDTF">2015-06-05T18:17:20Z</dcterms:created>
  <dcterms:modified xsi:type="dcterms:W3CDTF">2026-02-18T20:21:12Z</dcterms:modified>
  <cp:lastModifiedBy>Sharma, Rishi</cp:lastModifiedBy>
  <cp:lastPrinted>2024-08-21T22:51:39Z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UpSlide_7802453903008.402533[DESTINATION]" fmtid="{D5CDD505-2E9C-101B-9397-08002B2CF9AE}" pid="2">
    <vt:lpwstr>Powerpoint, 916</vt:lpwstr>
  </property>
  <property name="UpSlide_7802453903008.402533[PATH]" fmtid="{D5CDD505-2E9C-101B-9397-08002B2CF9AE}" pid="3">
    <vt:lpwstr>C:\Users\arushi1\Documents\my projects\ongoing\North\May 20\Project Jupiter_Draft Report 05.02.2024.pptx</vt:lpwstr>
  </property>
  <property name="UpSlide_2723453903027.634093[DESTINATION]" fmtid="{D5CDD505-2E9C-101B-9397-08002B2CF9AE}" pid="4">
    <vt:lpwstr>Powerpoint, 916</vt:lpwstr>
  </property>
  <property name="UpSlide_2723453903027.634093[PATH]" fmtid="{D5CDD505-2E9C-101B-9397-08002B2CF9AE}" pid="5">
    <vt:lpwstr>C:\Users\arushi1\Documents\my projects\ongoing\North\May 20\Project Jupiter_Draft Report 05.02.2024.pptx</vt:lpwstr>
  </property>
  <property name="UpSlide_9840453903077.584699[DESTINATION]" fmtid="{D5CDD505-2E9C-101B-9397-08002B2CF9AE}" pid="6">
    <vt:lpwstr>Powerpoint, 916</vt:lpwstr>
  </property>
  <property name="UpSlide_9840453903077.584699[PATH]" fmtid="{D5CDD505-2E9C-101B-9397-08002B2CF9AE}" pid="7">
    <vt:lpwstr>C:\Users\arushi1\Documents\my projects\ongoing\North\May 20\Project Jupiter_Draft Report 05.02.2024.pptx</vt:lpwstr>
  </property>
  <property name="UpSlide_8004453903511.357921[DESTINATION]" fmtid="{D5CDD505-2E9C-101B-9397-08002B2CF9AE}" pid="8">
    <vt:lpwstr>Powerpoint, 897</vt:lpwstr>
  </property>
  <property name="UpSlide_8004453903511.357921[PATH]" fmtid="{D5CDD505-2E9C-101B-9397-08002B2CF9AE}" pid="9">
    <vt:lpwstr>C:\Users\arushi1\Documents\my projects\ongoing\North\May 20\Project Jupiter_Draft Report 05.02.2024.pptx</vt:lpwstr>
  </property>
  <property name="UpSlide_9412453903672.186011[DESTINATION]" fmtid="{D5CDD505-2E9C-101B-9397-08002B2CF9AE}" pid="10">
    <vt:lpwstr>Powerpoint, 918</vt:lpwstr>
  </property>
  <property name="UpSlide_9412453903672.186011[PATH]" fmtid="{D5CDD505-2E9C-101B-9397-08002B2CF9AE}" pid="11">
    <vt:lpwstr>https://kpmgcan.sharepoint.com/sites/CA-KGSCanada-ProjectNorth/Shared Documents/Project North/Staff Files/Project North_Draft report_23-May-24.pptx</vt:lpwstr>
  </property>
  <property name="ContentTypeId" fmtid="{D5CDD505-2E9C-101B-9397-08002B2CF9AE}" pid="12">
    <vt:lpwstr>0x010100B50ACECE49572E49B9E2B6EEF15646F3</vt:lpwstr>
  </property>
  <property name="UpSlide_6233454183555.655246[DESTINATION]" fmtid="{D5CDD505-2E9C-101B-9397-08002B2CF9AE}" pid="13">
    <vt:lpwstr>Powerpoint, 897</vt:lpwstr>
  </property>
  <property name="UpSlide_6233454183555.655246[PATH]" fmtid="{D5CDD505-2E9C-101B-9397-08002B2CF9AE}" pid="14">
    <vt:lpwstr>https://kpmgcan.sharepoint.com/sites/CA-KGSCanada-ProjectNorth/Shared Documents/Project North/Staff Files/Project North_Draft report_23-May-24.pptx</vt:lpwstr>
  </property>
  <property name="UpSlide_3748454273706.834861[DESTINATION]" fmtid="{D5CDD505-2E9C-101B-9397-08002B2CF9AE}" pid="15">
    <vt:lpwstr>Powerpoint, 796</vt:lpwstr>
  </property>
  <property name="UpSlide_3748454273706.834861[PATH]" fmtid="{D5CDD505-2E9C-101B-9397-08002B2CF9AE}" pid="16">
    <vt:lpwstr>https://kpmgcan.sharepoint.com/sites/CA-KGSCanada-ProjectNorth/Shared Documents/Project North/Staff Files/Project North_Draft report_23-May-24.pptx</vt:lpwstr>
  </property>
  <property name="UpSlide_479454274338.274045[DESTINATION]" fmtid="{D5CDD505-2E9C-101B-9397-08002B2CF9AE}" pid="17">
    <vt:lpwstr>Powerpoint, 4709</vt:lpwstr>
  </property>
  <property name="UpSlide_479454274338.274045[PATH]" fmtid="{D5CDD505-2E9C-101B-9397-08002B2CF9AE}" pid="18">
    <vt:lpwstr>https://kpmgcan.sharepoint.com/sites/CA-KGSCanada-ProjectNorth/Shared Documents/Project North/Staff Files/Project North_Draft report_23-May-24.pptx</vt:lpwstr>
  </property>
  <property name="UpSlide_3263454542442.120997[DESTINATION]" fmtid="{D5CDD505-2E9C-101B-9397-08002B2CF9AE}" pid="19">
    <vt:lpwstr>Powerpoint, 4710</vt:lpwstr>
  </property>
  <property name="UpSlide_3263454542442.120997[PATH]" fmtid="{D5CDD505-2E9C-101B-9397-08002B2CF9AE}" pid="20">
    <vt:lpwstr>https://kpmgcan.sharepoint.com/sites/CA-KGSCanada-ProjectNorth/Shared Documents/Project North/Staff Files/Project North_Draft report_27-May-24.pptx</vt:lpwstr>
  </property>
  <property name="UpSlide_7865454544806.626238[DESTINATION]" fmtid="{D5CDD505-2E9C-101B-9397-08002B2CF9AE}" pid="21">
    <vt:lpwstr>Powerpoint, 4711</vt:lpwstr>
  </property>
  <property name="UpSlide_7865454544806.626238[PATH]" fmtid="{D5CDD505-2E9C-101B-9397-08002B2CF9AE}" pid="22">
    <vt:lpwstr>https://kpmgcan.sharepoint.com/sites/CA-KGSCanada-ProjectNorth/Shared Documents/Project North/Staff Files/Project North_Draft report_28-May-24.pptx</vt:lpwstr>
  </property>
  <property name="UpSlide_7154454601005.845073[DESTINATION]" fmtid="{D5CDD505-2E9C-101B-9397-08002B2CF9AE}" pid="23">
    <vt:lpwstr>Powerpoint, 4710</vt:lpwstr>
  </property>
  <property name="UpSlide_7154454601005.845073[PATH]" fmtid="{D5CDD505-2E9C-101B-9397-08002B2CF9AE}" pid="24">
    <vt:lpwstr>https://kpmgcan.sharepoint.com/sites/CA-KGSCanada-ProjectNorth/Shared Documents/Project North/Staff Files/Project North_Draft report_28-May-24.pptx</vt:lpwstr>
  </property>
  <property name="UpSlide_8453454607423.191877[DESTINATION]" fmtid="{D5CDD505-2E9C-101B-9397-08002B2CF9AE}" pid="25">
    <vt:lpwstr>Powerpoint, 4698</vt:lpwstr>
  </property>
  <property name="UpSlide_8453454607423.191877[PATH]" fmtid="{D5CDD505-2E9C-101B-9397-08002B2CF9AE}" pid="26">
    <vt:lpwstr>https://kpmgcan.sharepoint.com/sites/CA-KGSCanada-ProjectNorth/Shared Documents/Project North/Staff Files/Project North_Draft report_28-May-24.pptx</vt:lpwstr>
  </property>
  <property name="UpSlide_3519454607766.901368[DESTINATION]" fmtid="{D5CDD505-2E9C-101B-9397-08002B2CF9AE}" pid="27">
    <vt:lpwstr>Powerpoint, 916</vt:lpwstr>
  </property>
  <property name="UpSlide_3519454607766.901368[PATH]" fmtid="{D5CDD505-2E9C-101B-9397-08002B2CF9AE}" pid="28">
    <vt:lpwstr>https://kpmgcan.sharepoint.com/sites/CA-KGSCanada-ProjectNorth/Shared Documents/Project North/Staff Files/Project North_Draft report_28-May-24.pptx</vt:lpwstr>
  </property>
  <property name="UpSlide_8819454607845.227372[DESTINATION]" fmtid="{D5CDD505-2E9C-101B-9397-08002B2CF9AE}" pid="29">
    <vt:lpwstr>Powerpoint, 916</vt:lpwstr>
  </property>
  <property name="UpSlide_8819454607845.227372[PATH]" fmtid="{D5CDD505-2E9C-101B-9397-08002B2CF9AE}" pid="30">
    <vt:lpwstr>https://kpmgcan.sharepoint.com/sites/CA-KGSCanada-ProjectNorth/Shared Documents/Project North/Staff Files/Project North_Draft report_28-May-24.pptx</vt:lpwstr>
  </property>
  <property name="UpSlide_7932454608053.193632[DESTINATION]" fmtid="{D5CDD505-2E9C-101B-9397-08002B2CF9AE}" pid="31">
    <vt:lpwstr>Powerpoint, 866</vt:lpwstr>
  </property>
  <property name="UpSlide_7932454608053.193632[PATH]" fmtid="{D5CDD505-2E9C-101B-9397-08002B2CF9AE}" pid="32">
    <vt:lpwstr>C:\Users\arushi1\Documents\my projects\ongoing\North\Jun 4\Project North_Draft report_03-Jun-24.pptx</vt:lpwstr>
  </property>
  <property name="UpSlide_2755454614933.893047[DESTINATION]" fmtid="{D5CDD505-2E9C-101B-9397-08002B2CF9AE}" pid="33">
    <vt:lpwstr>Powerpoint, 4712</vt:lpwstr>
  </property>
  <property name="UpSlide_2755454614933.893047[PATH]" fmtid="{D5CDD505-2E9C-101B-9397-08002B2CF9AE}" pid="34">
    <vt:lpwstr>C:\Users\arushi1\Documents\my projects\ongoing\North\June 3\Project North_Draft report_28-May-24.pptx</vt:lpwstr>
  </property>
  <property name="UpSlide_6367455107437.977043[DESTINATION]" fmtid="{D5CDD505-2E9C-101B-9397-08002B2CF9AE}" pid="35">
    <vt:lpwstr>Powerpoint, 4712</vt:lpwstr>
  </property>
  <property name="UpSlide_6367455107437.977043[PATH]" fmtid="{D5CDD505-2E9C-101B-9397-08002B2CF9AE}" pid="36">
    <vt:lpwstr>C:\Users\arushi1\Documents\my projects\ongoing\North\June 3\Project North_Draft report_28-May-24.pptx</vt:lpwstr>
  </property>
  <property name="UpSlide_4442455107771.750739[DESTINATION]" fmtid="{D5CDD505-2E9C-101B-9397-08002B2CF9AE}" pid="37">
    <vt:lpwstr>Powerpoint, 4713</vt:lpwstr>
  </property>
  <property name="UpSlide_4442455107771.750739[PATH]" fmtid="{D5CDD505-2E9C-101B-9397-08002B2CF9AE}" pid="38">
    <vt:lpwstr>C:\Users\arushi1\Documents\my projects\ongoing\North\June 3\Project North_Draft report_28-May-24.pptx</vt:lpwstr>
  </property>
  <property name="UpSlide_2944455108354.656794[DESTINATION]" fmtid="{D5CDD505-2E9C-101B-9397-08002B2CF9AE}" pid="39">
    <vt:lpwstr>Powerpoint, 4713</vt:lpwstr>
  </property>
  <property name="UpSlide_2944455108354.656794[PATH]" fmtid="{D5CDD505-2E9C-101B-9397-08002B2CF9AE}" pid="40">
    <vt:lpwstr>C:\Users\arushi1\Documents\my projects\ongoing\North\Jun 10\Project North_Draft report_09-Jun-24.pptx</vt:lpwstr>
  </property>
  <property name="UpSlide_384455111431.876633[DESTINATION]" fmtid="{D5CDD505-2E9C-101B-9397-08002B2CF9AE}" pid="41">
    <vt:lpwstr>Powerpoint, 4715</vt:lpwstr>
  </property>
  <property name="UpSlide_384455111431.876633[PATH]" fmtid="{D5CDD505-2E9C-101B-9397-08002B2CF9AE}" pid="42">
    <vt:lpwstr>C:\Users\arushi1\Documents\my projects\ongoing\North\June 3\Project North_Draft report_28-May-24.pptx</vt:lpwstr>
  </property>
  <property name="UpSlide_9749455116598.7686[DESTINATION]" fmtid="{D5CDD505-2E9C-101B-9397-08002B2CF9AE}" pid="43">
    <vt:lpwstr>Powerpoint, 4716</vt:lpwstr>
  </property>
  <property name="UpSlide_9749455116598.7686[PATH]" fmtid="{D5CDD505-2E9C-101B-9397-08002B2CF9AE}" pid="44">
    <vt:lpwstr>C:\Users\arushi1\Documents\my projects\ongoing\North\June 3\Project North_Draft report_28-May-24.pptx</vt:lpwstr>
  </property>
  <property name="UpSlide_6566455116839.025503[DESTINATION]" fmtid="{D5CDD505-2E9C-101B-9397-08002B2CF9AE}" pid="45">
    <vt:lpwstr>Powerpoint, 4717</vt:lpwstr>
  </property>
  <property name="UpSlide_6566455116839.025503[PATH]" fmtid="{D5CDD505-2E9C-101B-9397-08002B2CF9AE}" pid="46">
    <vt:lpwstr>C:\Users\arushi1\Documents\my projects\ongoing\North\June 3\Project North_Draft report_28-May-24.pptx</vt:lpwstr>
  </property>
  <property name="UpSlide_990455117037.98879[DESTINATION]" fmtid="{D5CDD505-2E9C-101B-9397-08002B2CF9AE}" pid="47">
    <vt:lpwstr>Powerpoint, 4717</vt:lpwstr>
  </property>
  <property name="UpSlide_990455117037.98879[PATH]" fmtid="{D5CDD505-2E9C-101B-9397-08002B2CF9AE}" pid="48">
    <vt:lpwstr>C:\Users\arushi1\Documents\my projects\ongoing\North\June 3\Project North_Draft report_28-May-24.pptx</vt:lpwstr>
  </property>
  <property name="UpSlide_639455117251.793015[DESTINATION]" fmtid="{D5CDD505-2E9C-101B-9397-08002B2CF9AE}" pid="49">
    <vt:lpwstr>Powerpoint, 4719</vt:lpwstr>
  </property>
  <property name="UpSlide_639455117251.793015[PATH]" fmtid="{D5CDD505-2E9C-101B-9397-08002B2CF9AE}" pid="50">
    <vt:lpwstr>C:\Users\arushi1\Documents\my projects\ongoing\North\June 3\Project North_Draft report_28-May-24.pptx</vt:lpwstr>
  </property>
  <property name="UpSlide_192455117408.047343[DESTINATION]" fmtid="{D5CDD505-2E9C-101B-9397-08002B2CF9AE}" pid="51">
    <vt:lpwstr>Powerpoint, 4720</vt:lpwstr>
  </property>
  <property name="UpSlide_192455117408.047343[PATH]" fmtid="{D5CDD505-2E9C-101B-9397-08002B2CF9AE}" pid="52">
    <vt:lpwstr>C:\Users\arushi1\Documents\my projects\ongoing\North\June 3\Project North_Draft report_28-May-24.pptx</vt:lpwstr>
  </property>
  <property name="UpSlide_7253455117525.149579[DESTINATION]" fmtid="{D5CDD505-2E9C-101B-9397-08002B2CF9AE}" pid="53">
    <vt:lpwstr>Powerpoint, 4721</vt:lpwstr>
  </property>
  <property name="UpSlide_7253455117525.149579[PATH]" fmtid="{D5CDD505-2E9C-101B-9397-08002B2CF9AE}" pid="54">
    <vt:lpwstr>C:\Users\arushi1\Documents\my projects\ongoing\North\June 3\Project North_Draft report_28-May-24.pptx</vt:lpwstr>
  </property>
  <property name="UpSlide_5594455186680.702484[DESTINATION]" fmtid="{D5CDD505-2E9C-101B-9397-08002B2CF9AE}" pid="55">
    <vt:lpwstr>Powerpoint, 4723</vt:lpwstr>
  </property>
  <property name="UpSlide_5594455186680.702484[PATH]" fmtid="{D5CDD505-2E9C-101B-9397-08002B2CF9AE}" pid="56">
    <vt:lpwstr>C:\Users\arushi1\Documents\my projects\ongoing\North\Jun 10\Project North_Draft report_09-Jun-24.pptx</vt:lpwstr>
  </property>
  <property name="UpSlide_3075455190189.121969[DESTINATION]" fmtid="{D5CDD505-2E9C-101B-9397-08002B2CF9AE}" pid="57">
    <vt:lpwstr>Powerpoint, 926</vt:lpwstr>
  </property>
  <property name="UpSlide_3075455190189.121969[PATH]" fmtid="{D5CDD505-2E9C-101B-9397-08002B2CF9AE}" pid="58">
    <vt:lpwstr>C:\Users\arushi1\Documents\my projects\ongoing\North\Jun 10\Project North_Draft report_09-Jun-24.pptx</vt:lpwstr>
  </property>
  <property name="UpSlide_6802455194209.081523[DESTINATION]" fmtid="{D5CDD505-2E9C-101B-9397-08002B2CF9AE}" pid="59">
    <vt:lpwstr>Powerpoint, 4723</vt:lpwstr>
  </property>
  <property name="UpSlide_6802455194209.081523[PATH]" fmtid="{D5CDD505-2E9C-101B-9397-08002B2CF9AE}" pid="60">
    <vt:lpwstr>C:\Users\arushi1\Documents\my projects\ongoing\North\Jun 10\Project North_Draft report_09-Jun-24.pptx</vt:lpwstr>
  </property>
  <property name="UpSlide_9843455195578.602867[DESTINATION]" fmtid="{D5CDD505-2E9C-101B-9397-08002B2CF9AE}" pid="61">
    <vt:lpwstr>Powerpoint, 4725</vt:lpwstr>
  </property>
  <property name="UpSlide_9843455195578.602867[PATH]" fmtid="{D5CDD505-2E9C-101B-9397-08002B2CF9AE}" pid="62">
    <vt:lpwstr>C:\Users\arushi1\Documents\my projects\ongoing\North\Jun 4\Project North_Draft report_03-Jun-24.pptx</vt:lpwstr>
  </property>
  <property name="UpSlide_5998455195604.346362[DESTINATION]" fmtid="{D5CDD505-2E9C-101B-9397-08002B2CF9AE}" pid="63">
    <vt:lpwstr>Powerpoint, 4725</vt:lpwstr>
  </property>
  <property name="UpSlide_5998455195604.346362[PATH]" fmtid="{D5CDD505-2E9C-101B-9397-08002B2CF9AE}" pid="64">
    <vt:lpwstr>C:\Users\arushi1\Documents\my projects\ongoing\North\Jun 10\Project North_Draft report_09-Jun-24.pptx</vt:lpwstr>
  </property>
  <property name="UpSlide_6222455196638.57186[DESTINATION]" fmtid="{D5CDD505-2E9C-101B-9397-08002B2CF9AE}" pid="65">
    <vt:lpwstr>Powerpoint, 4694</vt:lpwstr>
  </property>
  <property name="UpSlide_6222455196638.57186[PATH]" fmtid="{D5CDD505-2E9C-101B-9397-08002B2CF9AE}" pid="66">
    <vt:lpwstr>C:\Users\arushi1\Documents\my projects\ongoing\North\Jun 10\Project North_Draft report_09-Jun-24.pptx</vt:lpwstr>
  </property>
  <property name="UpSlide_4809455196676.457236[DESTINATION]" fmtid="{D5CDD505-2E9C-101B-9397-08002B2CF9AE}" pid="67">
    <vt:lpwstr>Powerpoint, 4694</vt:lpwstr>
  </property>
  <property name="UpSlide_4809455196676.457236[PATH]" fmtid="{D5CDD505-2E9C-101B-9397-08002B2CF9AE}" pid="68">
    <vt:lpwstr>C:\Users\arushi1\Documents\my projects\ongoing\North\Jun 10\Project North_Draft report_09-Jun-24.pptx</vt:lpwstr>
  </property>
  <property name="UpSlide_5897455197646.514908[DESTINATION]" fmtid="{D5CDD505-2E9C-101B-9397-08002B2CF9AE}" pid="69">
    <vt:lpwstr>Powerpoint, 4697</vt:lpwstr>
  </property>
  <property name="UpSlide_5897455197646.514908[PATH]" fmtid="{D5CDD505-2E9C-101B-9397-08002B2CF9AE}" pid="70">
    <vt:lpwstr>C:\Users\arushi1\Documents\my projects\ongoing\North\Jun 10\Project North_Draft report_09-Jun-24.pptx</vt:lpwstr>
  </property>
  <property name="UpSlide_5090455702373.754522[DESTINATION]" fmtid="{D5CDD505-2E9C-101B-9397-08002B2CF9AE}" pid="71">
    <vt:lpwstr>Powerpoint, 4725</vt:lpwstr>
  </property>
  <property name="UpSlide_5090455702373.754522[PATH]" fmtid="{D5CDD505-2E9C-101B-9397-08002B2CF9AE}" pid="72">
    <vt:lpwstr>C:\Users\arushi1\Documents\my projects\ongoing\North\Jun 10\Project North_Draft report_09-Jun-24.pptx</vt:lpwstr>
  </property>
  <property name="UpSlide_7829455703902.717526[DESTINATION]" fmtid="{D5CDD505-2E9C-101B-9397-08002B2CF9AE}" pid="73">
    <vt:lpwstr>Powerpoint, 4711</vt:lpwstr>
  </property>
  <property name="UpSlide_7829455703902.717526[PATH]" fmtid="{D5CDD505-2E9C-101B-9397-08002B2CF9AE}" pid="74">
    <vt:lpwstr>C:\Users\arushi1\Documents\my projects\ongoing\North\Jun 10\Project North_Draft report_09-Jun-24.pptx</vt:lpwstr>
  </property>
  <property name="UpSlide_1638455879732.84961[DESTINATION]" fmtid="{D5CDD505-2E9C-101B-9397-08002B2CF9AE}" pid="75">
    <vt:lpwstr>Powerpoint, 866</vt:lpwstr>
  </property>
  <property name="UpSlide_1638455879732.84961[PATH]" fmtid="{D5CDD505-2E9C-101B-9397-08002B2CF9AE}" pid="76">
    <vt:lpwstr>C:\Users\priyankaparihar\OneDrive - KPMG\Documents\Work\Projects\ADHOC\North\12-Jun-24\WIP\Project North_Draft report_11-Jun-24 v1.pptx</vt:lpwstr>
  </property>
  <property name="UpSlide_4849455879919.348801[DESTINATION]" fmtid="{D5CDD505-2E9C-101B-9397-08002B2CF9AE}" pid="77">
    <vt:lpwstr>Powerpoint, 916</vt:lpwstr>
  </property>
  <property name="UpSlide_4849455879919.348801[PATH]" fmtid="{D5CDD505-2E9C-101B-9397-08002B2CF9AE}" pid="78">
    <vt:lpwstr>C:\Users\priyankaparihar\OneDrive - KPMG\Documents\Work\Projects\ADHOC\North\12-Jun-24\WIP\Project North_Draft report_11-Jun-24 v1.pptx</vt:lpwstr>
  </property>
  <property name="UpSlide_2883455879974.556075[DESTINATION]" fmtid="{D5CDD505-2E9C-101B-9397-08002B2CF9AE}" pid="79">
    <vt:lpwstr>Powerpoint, 916</vt:lpwstr>
  </property>
  <property name="UpSlide_2883455879974.556075[PATH]" fmtid="{D5CDD505-2E9C-101B-9397-08002B2CF9AE}" pid="80">
    <vt:lpwstr>C:\Users\priyankaparihar\OneDrive - KPMG\Documents\Work\Projects\ADHOC\North\12-Jun-24\WIP\Project North_Draft report_11-Jun-24 v1.pptx</vt:lpwstr>
  </property>
  <property name="UpSlide_5562455880172.455196[DESTINATION]" fmtid="{D5CDD505-2E9C-101B-9397-08002B2CF9AE}" pid="81">
    <vt:lpwstr>Powerpoint, 874</vt:lpwstr>
  </property>
  <property name="UpSlide_5562455880172.455196[PATH]" fmtid="{D5CDD505-2E9C-101B-9397-08002B2CF9AE}" pid="82">
    <vt:lpwstr>C:\Users\priyankaparihar\OneDrive - KPMG\Documents\Work\Projects\ADHOC\North\12-Jun-24\WIP\Project North_Draft report_11-Jun-24 v1.pptx</vt:lpwstr>
  </property>
  <property name="UpSlide_6922455880233.804766[DESTINATION]" fmtid="{D5CDD505-2E9C-101B-9397-08002B2CF9AE}" pid="83">
    <vt:lpwstr>Powerpoint, 909</vt:lpwstr>
  </property>
  <property name="UpSlide_6922455880233.804766[PATH]" fmtid="{D5CDD505-2E9C-101B-9397-08002B2CF9AE}" pid="84">
    <vt:lpwstr>C:\Users\priyankaparihar\OneDrive - KPMG\Documents\Work\Projects\ADHOC\North\12-Jun-24\WIP\Project North_Draft report_11-Jun-24 v1.pptx</vt:lpwstr>
  </property>
  <property name="UpSlide_6367455880772.367305[DESTINATION]" fmtid="{D5CDD505-2E9C-101B-9397-08002B2CF9AE}" pid="85">
    <vt:lpwstr>Powerpoint, 4723</vt:lpwstr>
  </property>
  <property name="UpSlide_6367455880772.367305[PATH]" fmtid="{D5CDD505-2E9C-101B-9397-08002B2CF9AE}" pid="86">
    <vt:lpwstr>C:\Users\priyankaparihar\OneDrive - KPMG\Documents\Work\Projects\ADHOC\North\12-Jun-24\WIP\Project North_Draft report_11-Jun-24 v1.pptx</vt:lpwstr>
  </property>
  <property name="UpSlide_6670455881059.626045[DESTINATION]" fmtid="{D5CDD505-2E9C-101B-9397-08002B2CF9AE}" pid="87">
    <vt:lpwstr>Powerpoint, 926</vt:lpwstr>
  </property>
  <property name="UpSlide_6670455881059.626045[PATH]" fmtid="{D5CDD505-2E9C-101B-9397-08002B2CF9AE}" pid="88">
    <vt:lpwstr>C:\Users\priyankaparihar\OneDrive - KPMG\Documents\Work\Projects\ADHOC\North\12-Jun-24\WIP\Project North_Draft report_11-Jun-24 v1.pptx</vt:lpwstr>
  </property>
  <property name="UpSlide_9093455881604.585868[DESTINATION]" fmtid="{D5CDD505-2E9C-101B-9397-08002B2CF9AE}" pid="89">
    <vt:lpwstr>Powerpoint, 4723</vt:lpwstr>
  </property>
  <property name="UpSlide_9093455881604.585868[PATH]" fmtid="{D5CDD505-2E9C-101B-9397-08002B2CF9AE}" pid="90">
    <vt:lpwstr>C:\Users\priyankaparihar\OneDrive - KPMG\Documents\Work\Projects\ADHOC\North\12-Jun-24\WIP\Project North_Draft report_11-Jun-24 v1.pptx</vt:lpwstr>
  </property>
  <property name="UpSlide_3236455881832.850582[DESTINATION]" fmtid="{D5CDD505-2E9C-101B-9397-08002B2CF9AE}" pid="91">
    <vt:lpwstr>Powerpoint, 4725</vt:lpwstr>
  </property>
  <property name="UpSlide_3236455881832.850582[PATH]" fmtid="{D5CDD505-2E9C-101B-9397-08002B2CF9AE}" pid="92">
    <vt:lpwstr>C:\Users\priyankaparihar\OneDrive - KPMG\Documents\Work\Projects\ADHOC\North\12-Jun-24\WIP\Project North_Draft report_11-Jun-24 v1.pptx</vt:lpwstr>
  </property>
  <property name="UpSlide_3929455881877.177754[DESTINATION]" fmtid="{D5CDD505-2E9C-101B-9397-08002B2CF9AE}" pid="93">
    <vt:lpwstr>Powerpoint, 4725</vt:lpwstr>
  </property>
  <property name="UpSlide_3929455881877.177754[PATH]" fmtid="{D5CDD505-2E9C-101B-9397-08002B2CF9AE}" pid="94">
    <vt:lpwstr>C:\Users\priyankaparihar\OneDrive - KPMG\Documents\Work\Projects\ADHOC\North\12-Jun-24\WIP\Project North_Draft report_11-Jun-24 v1.pptx</vt:lpwstr>
  </property>
  <property name="UpSlide_785455882456.880848[DESTINATION]" fmtid="{D5CDD505-2E9C-101B-9397-08002B2CF9AE}" pid="95">
    <vt:lpwstr>Powerpoint, 4719</vt:lpwstr>
  </property>
  <property name="UpSlide_785455882456.880848[PATH]" fmtid="{D5CDD505-2E9C-101B-9397-08002B2CF9AE}" pid="96">
    <vt:lpwstr>C:\Users\priyankaparihar\OneDrive - KPMG\Documents\Work\Projects\ADHOC\North\12-Jun-24\WIP\Project North_Draft report_11-Jun-24 v1.pptx</vt:lpwstr>
  </property>
  <property name="UpSlide_6150455882610.299965[DESTINATION]" fmtid="{D5CDD505-2E9C-101B-9397-08002B2CF9AE}" pid="97">
    <vt:lpwstr>Powerpoint, 4720</vt:lpwstr>
  </property>
  <property name="UpSlide_6150455882610.299965[PATH]" fmtid="{D5CDD505-2E9C-101B-9397-08002B2CF9AE}" pid="98">
    <vt:lpwstr>C:\Users\priyankaparihar\OneDrive - KPMG\Documents\Work\Projects\ADHOC\North\12-Jun-24\WIP\Project North_Draft report_11-Jun-24 v1.pptx</vt:lpwstr>
  </property>
  <property name="UpSlide_9917455882719.774909[DESTINATION]" fmtid="{D5CDD505-2E9C-101B-9397-08002B2CF9AE}" pid="99">
    <vt:lpwstr>Powerpoint, 4716</vt:lpwstr>
  </property>
  <property name="UpSlide_9917455882719.774909[PATH]" fmtid="{D5CDD505-2E9C-101B-9397-08002B2CF9AE}" pid="100">
    <vt:lpwstr>C:\Users\priyankaparihar\OneDrive - KPMG\Documents\Work\Projects\ADHOC\North\12-Jun-24\WIP\Project North_Draft report_11-Jun-24 v1.pptx</vt:lpwstr>
  </property>
  <property name="UpSlide_7055455882916.405073[DESTINATION]" fmtid="{D5CDD505-2E9C-101B-9397-08002B2CF9AE}" pid="101">
    <vt:lpwstr>Powerpoint, 4715</vt:lpwstr>
  </property>
  <property name="UpSlide_7055455882916.405073[PATH]" fmtid="{D5CDD505-2E9C-101B-9397-08002B2CF9AE}" pid="102">
    <vt:lpwstr>C:\Users\priyankaparihar\OneDrive - KPMG\Documents\Work\Projects\ADHOC\North\12-Jun-24\WIP\Project North_Draft report_11-Jun-24 v1.pptx</vt:lpwstr>
  </property>
  <property name="UpSlide_6672455882977.88619[DESTINATION]" fmtid="{D5CDD505-2E9C-101B-9397-08002B2CF9AE}" pid="103">
    <vt:lpwstr>Powerpoint, 4721</vt:lpwstr>
  </property>
  <property name="UpSlide_6672455882977.88619[PATH]" fmtid="{D5CDD505-2E9C-101B-9397-08002B2CF9AE}" pid="104">
    <vt:lpwstr>C:\Users\priyankaparihar\OneDrive - KPMG\Documents\Work\Projects\ADHOC\North\12-Jun-24\WIP\Project North_Draft report_11-Jun-24 v1.pptx</vt:lpwstr>
  </property>
  <property name="UpSlide_2565455883087.858917[DESTINATION]" fmtid="{D5CDD505-2E9C-101B-9397-08002B2CF9AE}" pid="105">
    <vt:lpwstr>Powerpoint, 4718</vt:lpwstr>
  </property>
  <property name="UpSlide_2565455883087.858917[PATH]" fmtid="{D5CDD505-2E9C-101B-9397-08002B2CF9AE}" pid="106">
    <vt:lpwstr>C:\Users\priyankaparihar\OneDrive - KPMG\Documents\Work\Projects\ADHOC\North\12-Jun-24\WIP\Project North_Draft report_11-Jun-24 v1.pptx</vt:lpwstr>
  </property>
  <property name="UpSlide_5001455883192.943184[DESTINATION]" fmtid="{D5CDD505-2E9C-101B-9397-08002B2CF9AE}" pid="107">
    <vt:lpwstr>Powerpoint, 4717</vt:lpwstr>
  </property>
  <property name="UpSlide_5001455883192.943184[PATH]" fmtid="{D5CDD505-2E9C-101B-9397-08002B2CF9AE}" pid="108">
    <vt:lpwstr>C:\Users\priyankaparihar\OneDrive - KPMG\Documents\Work\Projects\ADHOC\North\12-Jun-24\WIP\Project North_Draft report_11-Jun-24 v1.pptx</vt:lpwstr>
  </property>
  <property name="UpSlide_1749455883402.957515[DESTINATION]" fmtid="{D5CDD505-2E9C-101B-9397-08002B2CF9AE}" pid="109">
    <vt:lpwstr>Powerpoint, 897</vt:lpwstr>
  </property>
  <property name="UpSlide_1749455883402.957515[PATH]" fmtid="{D5CDD505-2E9C-101B-9397-08002B2CF9AE}" pid="110">
    <vt:lpwstr>C:\Users\priyankaparihar\OneDrive - KPMG\Documents\Work\Projects\ADHOC\North\12-Jun-24\WIP\Project North_Draft report_11-Jun-24 v1.pptx</vt:lpwstr>
  </property>
  <property name="UpSlide_7102455883473.82207[DESTINATION]" fmtid="{D5CDD505-2E9C-101B-9397-08002B2CF9AE}" pid="111">
    <vt:lpwstr>Powerpoint, 918</vt:lpwstr>
  </property>
  <property name="UpSlide_7102455883473.82207[PATH]" fmtid="{D5CDD505-2E9C-101B-9397-08002B2CF9AE}" pid="112">
    <vt:lpwstr>C:\Users\priyankaparihar\OneDrive - KPMG\Documents\Work\Projects\ADHOC\North\12-Jun-24\WIP\Project North_Draft report_11-Jun-24 v1.pptx</vt:lpwstr>
  </property>
  <property name="UpSlide_7049455883712.059311[DESTINATION]" fmtid="{D5CDD505-2E9C-101B-9397-08002B2CF9AE}" pid="113">
    <vt:lpwstr>Powerpoint, 4698</vt:lpwstr>
  </property>
  <property name="UpSlide_7049455883712.059311[PATH]" fmtid="{D5CDD505-2E9C-101B-9397-08002B2CF9AE}" pid="114">
    <vt:lpwstr>C:\Users\priyankaparihar\OneDrive - KPMG\Documents\Work\Projects\ADHOC\North\12-Jun-24\WIP\Project North_Draft report_11-Jun-24 v1.pptx</vt:lpwstr>
  </property>
  <property name="UpSlide_1868455883778.283589[DESTINATION]" fmtid="{D5CDD505-2E9C-101B-9397-08002B2CF9AE}" pid="115">
    <vt:lpwstr>Powerpoint, 4711</vt:lpwstr>
  </property>
  <property name="UpSlide_1868455883778.283589[PATH]" fmtid="{D5CDD505-2E9C-101B-9397-08002B2CF9AE}" pid="116">
    <vt:lpwstr>C:\Users\priyankaparihar\OneDrive - KPMG\Documents\Work\Projects\ADHOC\North\12-Jun-24\WIP\Project North_Draft report_11-Jun-24 v1.pptx</vt:lpwstr>
  </property>
  <property name="UpSlide_960455883838.347959[DESTINATION]" fmtid="{D5CDD505-2E9C-101B-9397-08002B2CF9AE}" pid="117">
    <vt:lpwstr>Powerpoint, 4711</vt:lpwstr>
  </property>
  <property name="UpSlide_960455883838.347959[PATH]" fmtid="{D5CDD505-2E9C-101B-9397-08002B2CF9AE}" pid="118">
    <vt:lpwstr>C:\Users\priyankaparihar\OneDrive - KPMG\Documents\Work\Projects\ADHOC\North\12-Jun-24\WIP\Project North_Draft report_11-Jun-24 v1.pptx</vt:lpwstr>
  </property>
  <property name="UpSlide_4243455883918.467318[DESTINATION]" fmtid="{D5CDD505-2E9C-101B-9397-08002B2CF9AE}" pid="119">
    <vt:lpwstr>Powerpoint, 4710</vt:lpwstr>
  </property>
  <property name="UpSlide_4243455883918.467318[PATH]" fmtid="{D5CDD505-2E9C-101B-9397-08002B2CF9AE}" pid="120">
    <vt:lpwstr>C:\Users\priyankaparihar\OneDrive - KPMG\Documents\Work\Projects\ADHOC\North\12-Jun-24\WIP\Project North_Draft report_11-Jun-24 v1.pptx</vt:lpwstr>
  </property>
  <property name="UpSlide_816455883974.175834[DESTINATION]" fmtid="{D5CDD505-2E9C-101B-9397-08002B2CF9AE}" pid="121">
    <vt:lpwstr>Powerpoint, 4712</vt:lpwstr>
  </property>
  <property name="UpSlide_816455883974.175834[PATH]" fmtid="{D5CDD505-2E9C-101B-9397-08002B2CF9AE}" pid="122">
    <vt:lpwstr>C:\Users\priyankaparihar\OneDrive - KPMG\Documents\Work\Projects\ADHOC\North\12-Jun-24\WIP\Project North_Draft report_11-Jun-24 v1.pptx</vt:lpwstr>
  </property>
  <property name="UpSlide_9979455884142.591518[DESTINATION]" fmtid="{D5CDD505-2E9C-101B-9397-08002B2CF9AE}" pid="123">
    <vt:lpwstr>Powerpoint, 4712</vt:lpwstr>
  </property>
  <property name="UpSlide_9979455884142.591518[PATH]" fmtid="{D5CDD505-2E9C-101B-9397-08002B2CF9AE}" pid="124">
    <vt:lpwstr>C:\Users\priyankaparihar\OneDrive - KPMG\Documents\Work\Projects\ADHOC\North\12-Jun-24\WIP\Project North_Draft report_11-Jun-24 v1.pptx</vt:lpwstr>
  </property>
  <property name="UpSlide_8420455884223.339899[DESTINATION]" fmtid="{D5CDD505-2E9C-101B-9397-08002B2CF9AE}" pid="125">
    <vt:lpwstr>Powerpoint, 4713</vt:lpwstr>
  </property>
  <property name="UpSlide_8420455884223.339899[PATH]" fmtid="{D5CDD505-2E9C-101B-9397-08002B2CF9AE}" pid="126">
    <vt:lpwstr>C:\Users\priyankaparihar\OneDrive - KPMG\Documents\Work\Projects\ADHOC\North\12-Jun-24\WIP\Project North_Draft report_11-Jun-24 v1.pptx</vt:lpwstr>
  </property>
  <property name="UpSlide_5254455884271.728316[DESTINATION]" fmtid="{D5CDD505-2E9C-101B-9397-08002B2CF9AE}" pid="127">
    <vt:lpwstr>Powerpoint, 4713</vt:lpwstr>
  </property>
  <property name="UpSlide_5254455884271.728316[PATH]" fmtid="{D5CDD505-2E9C-101B-9397-08002B2CF9AE}" pid="128">
    <vt:lpwstr>C:\Users\priyankaparihar\OneDrive - KPMG\Documents\Work\Projects\ADHOC\North\12-Jun-24\WIP\Project North_Draft report_11-Jun-24 v1.pptx</vt:lpwstr>
  </property>
  <property name="UpSlide_8458455884485.860153[DESTINATION]" fmtid="{D5CDD505-2E9C-101B-9397-08002B2CF9AE}" pid="129">
    <vt:lpwstr>Powerpoint, 4697</vt:lpwstr>
  </property>
  <property name="UpSlide_8458455884485.860153[PATH]" fmtid="{D5CDD505-2E9C-101B-9397-08002B2CF9AE}" pid="130">
    <vt:lpwstr>C:\Users\priyankaparihar\OneDrive - KPMG\Documents\Work\Projects\ADHOC\North\12-Jun-24\WIP\Project North_Draft report_11-Jun-24 v1.pptx</vt:lpwstr>
  </property>
  <property name="UpSlide_6640455886493.377921[DESTINATION]" fmtid="{D5CDD505-2E9C-101B-9397-08002B2CF9AE}" pid="131">
    <vt:lpwstr>Powerpoint, 886</vt:lpwstr>
  </property>
  <property name="UpSlide_6640455886493.377921[PATH]" fmtid="{D5CDD505-2E9C-101B-9397-08002B2CF9AE}" pid="132">
    <vt:lpwstr>C:\Users\priyankaparihar\OneDrive - KPMG\Documents\Work\Projects\ADHOC\North\12-Jun-24\WIP\Project North_Draft report_11-Jun-24 v1.pptx</vt:lpwstr>
  </property>
  <property name="UpSlide_3897455886681.925004[DESTINATION]" fmtid="{D5CDD505-2E9C-101B-9397-08002B2CF9AE}" pid="133">
    <vt:lpwstr>Powerpoint, 909</vt:lpwstr>
  </property>
  <property name="UpSlide_3897455886681.925004[PATH]" fmtid="{D5CDD505-2E9C-101B-9397-08002B2CF9AE}" pid="134">
    <vt:lpwstr>C:\Users\priyankaparihar\OneDrive - KPMG\Documents\Work\Projects\ADHOC\North\12-Jun-24\WIP\Project North_Draft report_11-Jun-24 v1.pptx</vt:lpwstr>
  </property>
  <property name="UpSlide_8095455886903.926697[DESTINATION]" fmtid="{D5CDD505-2E9C-101B-9397-08002B2CF9AE}" pid="135">
    <vt:lpwstr>Powerpoint, 912</vt:lpwstr>
  </property>
  <property name="UpSlide_8095455886903.926697[PATH]" fmtid="{D5CDD505-2E9C-101B-9397-08002B2CF9AE}" pid="136">
    <vt:lpwstr>C:\Users\priyankaparihar\OneDrive - KPMG\Documents\Work\Projects\ADHOC\North\12-Jun-24\WIP\Project North_Draft report_11-Jun-24 v1.pptx</vt:lpwstr>
  </property>
  <property name="UpSlide_3874455887361.732891[DESTINATION]" fmtid="{D5CDD505-2E9C-101B-9397-08002B2CF9AE}" pid="137">
    <vt:lpwstr>Powerpoint, 912</vt:lpwstr>
  </property>
  <property name="UpSlide_3874455887361.732891[PATH]" fmtid="{D5CDD505-2E9C-101B-9397-08002B2CF9AE}" pid="138">
    <vt:lpwstr>C:\Users\priyankaparihar\OneDrive - KPMG\Documents\Work\Projects\ADHOC\North\12-Jun-24\WIP\Project North_Draft report_11-Jun-24 v1.pptx</vt:lpwstr>
  </property>
  <property name="UpSlide_9796455900563.019806[DESTINATION]" fmtid="{D5CDD505-2E9C-101B-9397-08002B2CF9AE}" pid="139">
    <vt:lpwstr>Powerpoint, 4760</vt:lpwstr>
  </property>
  <property name="UpSlide_9796455900563.019806[PATH]" fmtid="{D5CDD505-2E9C-101B-9397-08002B2CF9AE}" pid="140">
    <vt:lpwstr>https://kpmgcan.sharepoint.com/sites/CA-KGSCanada-ProjectNorth/Shared Documents/Project North/Staff Files/Project North_Draft report_27-Jun-24.pptx</vt:lpwstr>
  </property>
  <property name="UpSlide_3642455902977.999003[DESTINATION]" fmtid="{D5CDD505-2E9C-101B-9397-08002B2CF9AE}" pid="141">
    <vt:lpwstr>Powerpoint, 926</vt:lpwstr>
  </property>
  <property name="UpSlide_3642455902977.999003[PATH]" fmtid="{D5CDD505-2E9C-101B-9397-08002B2CF9AE}" pid="142">
    <vt:lpwstr>https://kpmgcan.sharepoint.com/sites/CA-KGSCanada-ProjectNorth/Shared Documents/Project North/Staff Files/Project North_Draft report_20-Jun-24.pptx</vt:lpwstr>
  </property>
  <property name="UpSlide_8339455907685.712179[DESTINATION]" fmtid="{D5CDD505-2E9C-101B-9397-08002B2CF9AE}" pid="143">
    <vt:lpwstr>Powerpoint, 4758</vt:lpwstr>
  </property>
  <property name="UpSlide_8339455907685.712179[PATH]" fmtid="{D5CDD505-2E9C-101B-9397-08002B2CF9AE}" pid="144">
    <vt:lpwstr>https://kpmgcan.sharepoint.com/sites/CA-KGSCanada-ProjectNorth/Shared Documents/Project North/Staff Files/Project North_Draft report_20-Jun-24.pptx</vt:lpwstr>
  </property>
  <property name="UpSlide_8737455910391.890918[DESTINATION]" fmtid="{D5CDD505-2E9C-101B-9397-08002B2CF9AE}" pid="145">
    <vt:lpwstr>Powerpoint, 4742</vt:lpwstr>
  </property>
  <property name="UpSlide_8737455910391.890918[PATH]" fmtid="{D5CDD505-2E9C-101B-9397-08002B2CF9AE}" pid="146">
    <vt:lpwstr>https://kpmgcan.sharepoint.com/sites/CA-KGSCanada-ProjectNorth/Shared Documents/Project North/Staff Files/Project North_Draft report_17-Jun-24.pptx</vt:lpwstr>
  </property>
  <property name="UpSlide_3638455912472.227542[DESTINATION]" fmtid="{D5CDD505-2E9C-101B-9397-08002B2CF9AE}" pid="147">
    <vt:lpwstr>Powerpoint, 4694</vt:lpwstr>
  </property>
  <property name="UpSlide_3638455912472.227542[PATH]" fmtid="{D5CDD505-2E9C-101B-9397-08002B2CF9AE}" pid="148">
    <vt:lpwstr>https://kpmgcan.sharepoint.com/sites/CA-KGSCanada-ProjectNorth/Shared Documents/Project North/Staff Files/Project North_Draft report_10-Jul-24.pptx</vt:lpwstr>
  </property>
  <property name="UpSlide_2878455912644.499085[DESTINATION]" fmtid="{D5CDD505-2E9C-101B-9397-08002B2CF9AE}" pid="149">
    <vt:lpwstr>Powerpoint, 909</vt:lpwstr>
  </property>
  <property name="UpSlide_2878455912644.499085[PATH]" fmtid="{D5CDD505-2E9C-101B-9397-08002B2CF9AE}" pid="150">
    <vt:lpwstr>https://kpmgcan.sharepoint.com/sites/CA-KGSCanada-ProjectNorth/Shared Documents/Project North/Staff Files/Project North_Draft report_12-Jun-24.pptx</vt:lpwstr>
  </property>
  <property name="UpSlide_8541455912744.233086[DESTINATION]" fmtid="{D5CDD505-2E9C-101B-9397-08002B2CF9AE}" pid="151">
    <vt:lpwstr>Powerpoint, 909</vt:lpwstr>
  </property>
  <property name="UpSlide_8541455912744.233086[PATH]" fmtid="{D5CDD505-2E9C-101B-9397-08002B2CF9AE}" pid="152">
    <vt:lpwstr>https://kpmgcan.sharepoint.com/sites/CA-KGSCanada-ProjectNorth/Shared Documents/Project North/Staff Files/Project North_Draft report_12-Jun-24.pptx</vt:lpwstr>
  </property>
  <property name="UpSlide_6534455912982.128263[DESTINATION]" fmtid="{D5CDD505-2E9C-101B-9397-08002B2CF9AE}" pid="153">
    <vt:lpwstr>Powerpoint, 4759</vt:lpwstr>
  </property>
  <property name="UpSlide_6534455912982.128263[PATH]" fmtid="{D5CDD505-2E9C-101B-9397-08002B2CF9AE}" pid="154">
    <vt:lpwstr>https://kpmgcan.sharepoint.com/sites/CA-KGSCanada-ProjectNorth/Shared Documents/Project North/Staff Files/Project North_Draft report_20-Jun-24.pptx</vt:lpwstr>
  </property>
  <property name="UpSlide_6783455913106.084779[DESTINATION]" fmtid="{D5CDD505-2E9C-101B-9397-08002B2CF9AE}" pid="155">
    <vt:lpwstr>Powerpoint, 4773</vt:lpwstr>
  </property>
  <property name="UpSlide_6783455913106.084779[PATH]" fmtid="{D5CDD505-2E9C-101B-9397-08002B2CF9AE}" pid="156">
    <vt:lpwstr>https://kpmgcan.sharepoint.com/sites/CA-KGSCanada-ProjectNorth/Shared Documents/Project North/Staff Files/Project North_Draft report_28-Jun-24.pptx</vt:lpwstr>
  </property>
  <property name="UpSlide_6334455913722.385645[DESTINATION]" fmtid="{D5CDD505-2E9C-101B-9397-08002B2CF9AE}" pid="157">
    <vt:lpwstr>Powerpoint, 4760</vt:lpwstr>
  </property>
  <property name="UpSlide_6334455913722.385645[PATH]" fmtid="{D5CDD505-2E9C-101B-9397-08002B2CF9AE}" pid="158">
    <vt:lpwstr>https://kpmgcan.sharepoint.com/sites/CA-KGSCanada-ProjectNorth/Shared Documents/Project North/Staff Files/Project North_Draft report_14-Jun-24.pptx</vt:lpwstr>
  </property>
  <property name="UpSlide_6642455914426.341193[DESTINATION]" fmtid="{D5CDD505-2E9C-101B-9397-08002B2CF9AE}" pid="159">
    <vt:lpwstr>Powerpoint, 4760</vt:lpwstr>
  </property>
  <property name="UpSlide_6642455914426.341193[PATH]" fmtid="{D5CDD505-2E9C-101B-9397-08002B2CF9AE}" pid="160">
    <vt:lpwstr>https://kpmgcan.sharepoint.com/sites/CA-KGSCanada-ProjectNorth/Shared Documents/Project North/Staff Files/Project North_Draft report_14-Jun-24.pptx</vt:lpwstr>
  </property>
  <property name="UpSlide_7039455915981.063776[DESTINATION]" fmtid="{D5CDD505-2E9C-101B-9397-08002B2CF9AE}" pid="161">
    <vt:lpwstr>Powerpoint, 4746</vt:lpwstr>
  </property>
  <property name="UpSlide_7039455915981.063776[PATH]" fmtid="{D5CDD505-2E9C-101B-9397-08002B2CF9AE}" pid="162">
    <vt:lpwstr>https://kpmgcan.sharepoint.com/sites/CA-KGSCanada-ProjectNorth/Shared Documents/Project North/Staff Files/Project North_Draft report_12-Jun-24.pptx</vt:lpwstr>
  </property>
  <property name="UpSlide_8847455916255.030769[DESTINATION]" fmtid="{D5CDD505-2E9C-101B-9397-08002B2CF9AE}" pid="163">
    <vt:lpwstr>Powerpoint, 912</vt:lpwstr>
  </property>
  <property name="UpSlide_8847455916255.030769[PATH]" fmtid="{D5CDD505-2E9C-101B-9397-08002B2CF9AE}" pid="164">
    <vt:lpwstr>C:\Users\arushi1\Documents\my projects\ongoing\North\JUn 19\Project North_Draft report_18-Jun-24.pptx</vt:lpwstr>
  </property>
  <property name="UpSlide_4458455916378.264466[DESTINATION]" fmtid="{D5CDD505-2E9C-101B-9397-08002B2CF9AE}" pid="165">
    <vt:lpwstr>Powerpoint, 912</vt:lpwstr>
  </property>
  <property name="UpSlide_4458455916378.264466[PATH]" fmtid="{D5CDD505-2E9C-101B-9397-08002B2CF9AE}" pid="166">
    <vt:lpwstr>https://kpmgcan.sharepoint.com/sites/CA-KGSCanada-ProjectNorth/Shared Documents/Project North/Staff Files/Project North_Draft report_12-Jun-24.pptx</vt:lpwstr>
  </property>
  <property name="UpSlide_7090455916402.160618[DESTINATION]" fmtid="{D5CDD505-2E9C-101B-9397-08002B2CF9AE}" pid="167">
    <vt:lpwstr>Powerpoint, 912</vt:lpwstr>
  </property>
  <property name="UpSlide_7090455916402.160618[PATH]" fmtid="{D5CDD505-2E9C-101B-9397-08002B2CF9AE}" pid="168">
    <vt:lpwstr>https://kpmgcan.sharepoint.com/sites/CA-KGSCanada-ProjectNorth/Shared Documents/Project North/Staff Files/Project North_Draft report_12-Jun-24.pptx</vt:lpwstr>
  </property>
  <property name="UpSlide_4391455916533.645626[DESTINATION]" fmtid="{D5CDD505-2E9C-101B-9397-08002B2CF9AE}" pid="169">
    <vt:lpwstr>Powerpoint, 4761</vt:lpwstr>
  </property>
  <property name="UpSlide_4391455916533.645626[PATH]" fmtid="{D5CDD505-2E9C-101B-9397-08002B2CF9AE}" pid="170">
    <vt:lpwstr>https://kpmgcan.sharepoint.com/sites/CA-KGSCanada-ProjectNorth/Shared Documents/Project North/Staff Files/Project North_Draft report_14-Jun-24.pptx</vt:lpwstr>
  </property>
  <property name="UpSlide_8353456009377.884982[DESTINATION]" fmtid="{D5CDD505-2E9C-101B-9397-08002B2CF9AE}" pid="171">
    <vt:lpwstr>Powerpoint, 4749</vt:lpwstr>
  </property>
  <property name="UpSlide_8353456009377.884982[PATH]" fmtid="{D5CDD505-2E9C-101B-9397-08002B2CF9AE}" pid="172">
    <vt:lpwstr>https://kpmgcan.sharepoint.com/sites/CA-KGSCanada-ProjectNorth/Shared Documents/Project North/Staff Files/Project North_Draft report_14-Jun-24.pptx</vt:lpwstr>
  </property>
  <property name="UpSlide_8396456010132.831278[DESTINATION]" fmtid="{D5CDD505-2E9C-101B-9397-08002B2CF9AE}" pid="173">
    <vt:lpwstr>Powerpoint, 926</vt:lpwstr>
  </property>
  <property name="UpSlide_8396456010132.831278[PATH]" fmtid="{D5CDD505-2E9C-101B-9397-08002B2CF9AE}" pid="174">
    <vt:lpwstr>https://kpmgcan.sharepoint.com/sites/CA-KGSCanada-ProjectNorth/Shared Documents/Project North/Staff Files/Project North_Draft report_20-Jun-24.pptx</vt:lpwstr>
  </property>
  <property name="UpSlide_1119456016671.759474[DESTINATION]" fmtid="{D5CDD505-2E9C-101B-9397-08002B2CF9AE}" pid="175">
    <vt:lpwstr>Powerpoint, 874</vt:lpwstr>
  </property>
  <property name="UpSlide_1119456016671.759474[PATH]" fmtid="{D5CDD505-2E9C-101B-9397-08002B2CF9AE}" pid="176">
    <vt:lpwstr>https://kpmgcan.sharepoint.com/sites/CA-KGSCanada-ProjectNorth/Shared Documents/Project North/Staff Files/Project North_(Jun-24) RF Draft report_23-Jul-24.pptx</vt:lpwstr>
  </property>
  <property name="UpSlide_3828456025015.869228[DESTINATION]" fmtid="{D5CDD505-2E9C-101B-9397-08002B2CF9AE}" pid="177">
    <vt:lpwstr>Powerpoint, 4749</vt:lpwstr>
  </property>
  <property name="UpSlide_3828456025015.869228[PATH]" fmtid="{D5CDD505-2E9C-101B-9397-08002B2CF9AE}" pid="178">
    <vt:lpwstr>https://kpmgcan.sharepoint.com/sites/CA-KGSCanada-ProjectNorth/Shared Documents/Project North/Staff Files/Project North_Draft report_24-Jun-24.pptx</vt:lpwstr>
  </property>
  <property name="UpSlide_4168456025104.129237[DESTINATION]" fmtid="{D5CDD505-2E9C-101B-9397-08002B2CF9AE}" pid="179">
    <vt:lpwstr>Powerpoint, 4742</vt:lpwstr>
  </property>
  <property name="UpSlide_4168456025104.129237[PATH]" fmtid="{D5CDD505-2E9C-101B-9397-08002B2CF9AE}" pid="180">
    <vt:lpwstr>https://kpmgcan.sharepoint.com/sites/CA-KGSCanada-ProjectNorth/Shared Documents/Project North/Staff Files/Project North_Draft report_14-Jun-24.pptx</vt:lpwstr>
  </property>
  <property name="UpSlide_5316456026345.587209[DESTINATION]" fmtid="{D5CDD505-2E9C-101B-9397-08002B2CF9AE}" pid="181">
    <vt:lpwstr>Powerpoint, 4747</vt:lpwstr>
  </property>
  <property name="UpSlide_5316456026345.587209[PATH]" fmtid="{D5CDD505-2E9C-101B-9397-08002B2CF9AE}" pid="182">
    <vt:lpwstr>https://kpmgcan.sharepoint.com/sites/CA-KGSCanada-ProjectNorth/Shared Documents/Project North/Staff Files/Project North_Draft report_24-Jun-24.pptx</vt:lpwstr>
  </property>
  <property name="UpSlide_6184456027387.97523[DESTINATION]" fmtid="{D5CDD505-2E9C-101B-9397-08002B2CF9AE}" pid="183">
    <vt:lpwstr>Powerpoint, 4747</vt:lpwstr>
  </property>
  <property name="UpSlide_6184456027387.97523[PATH]" fmtid="{D5CDD505-2E9C-101B-9397-08002B2CF9AE}" pid="184">
    <vt:lpwstr>https://kpmgcan.sharepoint.com/sites/CA-KGSCanada-ProjectNorth/Shared Documents/Project North/Staff Files/Project North_Draft report_24-Jun-24.pptx</vt:lpwstr>
  </property>
  <property name="UpSlide_1502456028272.036038[DESTINATION]" fmtid="{D5CDD505-2E9C-101B-9397-08002B2CF9AE}" pid="185">
    <vt:lpwstr>Powerpoint, 4753</vt:lpwstr>
  </property>
  <property name="UpSlide_1502456028272.036038[PATH]" fmtid="{D5CDD505-2E9C-101B-9397-08002B2CF9AE}" pid="186">
    <vt:lpwstr>https://kpmgcan.sharepoint.com/sites/CA-KGSCanada-ProjectNorth/Shared Documents/Project North/Staff Files/Project North_Draft report_14-Jun-24.pptx</vt:lpwstr>
  </property>
  <property name="UpSlide_9444456029207.617559[DESTINATION]" fmtid="{D5CDD505-2E9C-101B-9397-08002B2CF9AE}" pid="187">
    <vt:lpwstr>Powerpoint, 4754</vt:lpwstr>
  </property>
  <property name="UpSlide_9444456029207.617559[PATH]" fmtid="{D5CDD505-2E9C-101B-9397-08002B2CF9AE}" pid="188">
    <vt:lpwstr>https://kpmgcan.sharepoint.com/sites/CA-KGSCanada-ProjectNorth/Shared Documents/Project North/Staff Files/Project North_Draft report_13-Jun-24 .pptx</vt:lpwstr>
  </property>
  <property name="UpSlide_451456029235.957318[DESTINATION]" fmtid="{D5CDD505-2E9C-101B-9397-08002B2CF9AE}" pid="189">
    <vt:lpwstr>Powerpoint, 4753</vt:lpwstr>
  </property>
  <property name="UpSlide_451456029235.957318[PATH]" fmtid="{D5CDD505-2E9C-101B-9397-08002B2CF9AE}" pid="190">
    <vt:lpwstr>https://kpmgcan.sharepoint.com/sites/CA-KGSCanada-ProjectNorth/Shared Documents/Project North/Staff Files/Project North_Draft report_14-Jun-24.pptx</vt:lpwstr>
  </property>
  <property name="UpSlide_925456030335.400969[DESTINATION]" fmtid="{D5CDD505-2E9C-101B-9397-08002B2CF9AE}" pid="191">
    <vt:lpwstr>Powerpoint, 4753</vt:lpwstr>
  </property>
  <property name="UpSlide_925456030335.400969[PATH]" fmtid="{D5CDD505-2E9C-101B-9397-08002B2CF9AE}" pid="192">
    <vt:lpwstr>https://kpmgcan.sharepoint.com/sites/CA-KGSCanada-ProjectNorth/Shared Documents/Project North/Staff Files/Project North_Draft report_24-Jun-24.pptx</vt:lpwstr>
  </property>
  <property name="UpSlide_4089456033170.815999[DESTINATION]" fmtid="{D5CDD505-2E9C-101B-9397-08002B2CF9AE}" pid="193">
    <vt:lpwstr>Powerpoint, 4755</vt:lpwstr>
  </property>
  <property name="UpSlide_4089456033170.815999[PATH]" fmtid="{D5CDD505-2E9C-101B-9397-08002B2CF9AE}" pid="194">
    <vt:lpwstr>https://kpmgcan.sharepoint.com/sites/CA-KGSCanada-ProjectNorth/Shared Documents/Project North/Staff Files/Project North_Draft report_24-Jun-24.pptx</vt:lpwstr>
  </property>
  <property name="UpSlide_2020456034331.49979[DESTINATION]" fmtid="{D5CDD505-2E9C-101B-9397-08002B2CF9AE}" pid="195">
    <vt:lpwstr>Powerpoint, 4755</vt:lpwstr>
  </property>
  <property name="UpSlide_2020456034331.49979[PATH]" fmtid="{D5CDD505-2E9C-101B-9397-08002B2CF9AE}" pid="196">
    <vt:lpwstr>https://kpmgcan.sharepoint.com/sites/CA-KGSCanada-ProjectNorth/Shared Documents/Project North/Staff Files/Project North_Draft report_24-Jun-24.pptx</vt:lpwstr>
  </property>
  <property name="UpSlide_9249456034553.633474[DESTINATION]" fmtid="{D5CDD505-2E9C-101B-9397-08002B2CF9AE}" pid="197">
    <vt:lpwstr>Powerpoint, 4757</vt:lpwstr>
  </property>
  <property name="UpSlide_9249456034553.633474[PATH]" fmtid="{D5CDD505-2E9C-101B-9397-08002B2CF9AE}" pid="198">
    <vt:lpwstr>https://kpmgcan.sharepoint.com/sites/CA-KGSCanada-ProjectNorth/Shared Documents/Project North/Staff Files/Project North_Draft report_17-Jun-24.pptx</vt:lpwstr>
  </property>
  <property name="UpSlide_3013456063015.833213[DESTINATION]" fmtid="{D5CDD505-2E9C-101B-9397-08002B2CF9AE}" pid="199">
    <vt:lpwstr>Powerpoint, 4757</vt:lpwstr>
  </property>
  <property name="UpSlide_3013456063015.833213[PATH]" fmtid="{D5CDD505-2E9C-101B-9397-08002B2CF9AE}" pid="200">
    <vt:lpwstr>https://kpmgcan.sharepoint.com/sites/CA-KGSCanada-ProjectNorth/Shared Documents/Project North/Staff Files/Project North_Draft report_20-Jun-24.pptx</vt:lpwstr>
  </property>
  <property name="UpSlide_5909456064889.761654[DESTINATION]" fmtid="{D5CDD505-2E9C-101B-9397-08002B2CF9AE}" pid="201">
    <vt:lpwstr>Powerpoint, 4762</vt:lpwstr>
  </property>
  <property name="UpSlide_5909456064889.761654[PATH]" fmtid="{D5CDD505-2E9C-101B-9397-08002B2CF9AE}" pid="202">
    <vt:lpwstr>https://kpmgcan.sharepoint.com/sites/CA-KGSCanada-ProjectNorth/Shared Documents/Project North/Staff Files/Project North_Draft report_14-Jun-24.pptx</vt:lpwstr>
  </property>
  <property name="UpSlide_6547456065769.276456[DESTINATION]" fmtid="{D5CDD505-2E9C-101B-9397-08002B2CF9AE}" pid="203">
    <vt:lpwstr>Powerpoint, 4763</vt:lpwstr>
  </property>
  <property name="UpSlide_6547456065769.276456[PATH]" fmtid="{D5CDD505-2E9C-101B-9397-08002B2CF9AE}" pid="204">
    <vt:lpwstr>https://kpmgcan.sharepoint.com/sites/CA-KGSCanada-ProjectNorth/Shared Documents/Project North/Staff Files/Project North_Draft report_14-Jun-24.pptx</vt:lpwstr>
  </property>
  <property name="UpSlide_439456065917.537741[DESTINATION]" fmtid="{D5CDD505-2E9C-101B-9397-08002B2CF9AE}" pid="205">
    <vt:lpwstr>Powerpoint, 4764</vt:lpwstr>
  </property>
  <property name="UpSlide_439456065917.537741[PATH]" fmtid="{D5CDD505-2E9C-101B-9397-08002B2CF9AE}" pid="206">
    <vt:lpwstr>C:\Users\arushi1\Documents\my projects\ongoing\North\Jun 14\Project North_Draft report_13-Jun-24 .pptx</vt:lpwstr>
  </property>
  <property name="UpSlide_5809456065950.38587[DESTINATION]" fmtid="{D5CDD505-2E9C-101B-9397-08002B2CF9AE}" pid="207">
    <vt:lpwstr>Powerpoint, 4764</vt:lpwstr>
  </property>
  <property name="UpSlide_5809456065950.38587[PATH]" fmtid="{D5CDD505-2E9C-101B-9397-08002B2CF9AE}" pid="208">
    <vt:lpwstr>https://kpmgcan.sharepoint.com/sites/CA-KGSCanada-ProjectNorth/Shared Documents/Project North/Staff Files/Project North_Draft report_20-Jun-24.pptx</vt:lpwstr>
  </property>
  <property name="UpSlide_4453456066150.658438[DESTINATION]" fmtid="{D5CDD505-2E9C-101B-9397-08002B2CF9AE}" pid="209">
    <vt:lpwstr>Powerpoint, 4764</vt:lpwstr>
  </property>
  <property name="UpSlide_4453456066150.658438[PATH]" fmtid="{D5CDD505-2E9C-101B-9397-08002B2CF9AE}" pid="210">
    <vt:lpwstr>https://kpmgcan.sharepoint.com/sites/CA-KGSCanada-ProjectNorth/Shared Documents/Project North/Staff Files/Project North_Draft report_20-Jun-24.pptx</vt:lpwstr>
  </property>
  <property name="UpSlide_12456066589.056641[DESTINATION]" fmtid="{D5CDD505-2E9C-101B-9397-08002B2CF9AE}" pid="211">
    <vt:lpwstr>Powerpoint, 4768</vt:lpwstr>
  </property>
  <property name="UpSlide_12456066589.056641[PATH]" fmtid="{D5CDD505-2E9C-101B-9397-08002B2CF9AE}" pid="212">
    <vt:lpwstr>https://kpmgcan.sharepoint.com/sites/CA-KGSCanada-ProjectNorth/Shared Documents/Project North/Staff Files/Project North_Draft report_14-Jun-24.pptx</vt:lpwstr>
  </property>
  <property name="UpSlide_7092456066838.016598[DESTINATION]" fmtid="{D5CDD505-2E9C-101B-9397-08002B2CF9AE}" pid="213">
    <vt:lpwstr>Powerpoint, 4768</vt:lpwstr>
  </property>
  <property name="UpSlide_7092456066838.016598[PATH]" fmtid="{D5CDD505-2E9C-101B-9397-08002B2CF9AE}" pid="214">
    <vt:lpwstr>https://kpmgcan.sharepoint.com/sites/CA-KGSCanada-ProjectNorth/Shared Documents/Project North/Staff Files/Project North_Draft report_24-Jun-24.pptx</vt:lpwstr>
  </property>
  <property name="UpSlide_561456067306.475098[DESTINATION]" fmtid="{D5CDD505-2E9C-101B-9397-08002B2CF9AE}" pid="215">
    <vt:lpwstr>Powerpoint, 4768</vt:lpwstr>
  </property>
  <property name="UpSlide_561456067306.475098[PATH]" fmtid="{D5CDD505-2E9C-101B-9397-08002B2CF9AE}" pid="216">
    <vt:lpwstr>https://kpmgcan.sharepoint.com/sites/CA-KGSCanada-ProjectNorth/Shared Documents/Project North/Staff Files/Project North_Draft report_26-Jun-24.pptx</vt:lpwstr>
  </property>
  <property name="UpSlide_1102456073377.55421[DESTINATION]" fmtid="{D5CDD505-2E9C-101B-9397-08002B2CF9AE}" pid="217">
    <vt:lpwstr>Powerpoint, 874</vt:lpwstr>
  </property>
  <property name="UpSlide_1102456073377.55421[PATH]" fmtid="{D5CDD505-2E9C-101B-9397-08002B2CF9AE}" pid="218">
    <vt:lpwstr>https://kpmgcan.sharepoint.com/sites/CA-KGSCanada-ProjectNorth/Shared Documents/Project North/Staff Files/Project North_Draft report_14-Jun-24.pptx</vt:lpwstr>
  </property>
  <property name="UpSlide_1604456074366.221811[DESTINATION]" fmtid="{D5CDD505-2E9C-101B-9397-08002B2CF9AE}" pid="219">
    <vt:lpwstr>Powerpoint, 4763</vt:lpwstr>
  </property>
  <property name="UpSlide_1604456074366.221811[PATH]" fmtid="{D5CDD505-2E9C-101B-9397-08002B2CF9AE}" pid="220">
    <vt:lpwstr>https://kpmgcan.sharepoint.com/sites/CA-KGSCanada-ProjectNorth/Shared Documents/Project North/Staff Files/Project North_Draft report_14-Jun-24.pptx</vt:lpwstr>
  </property>
  <property name="UpSlide_3073456331643.517452[DESTINATION]" fmtid="{D5CDD505-2E9C-101B-9397-08002B2CF9AE}" pid="221">
    <vt:lpwstr>Powerpoint, 916</vt:lpwstr>
  </property>
  <property name="UpSlide_3073456331643.517452[PATH]" fmtid="{D5CDD505-2E9C-101B-9397-08002B2CF9AE}" pid="222">
    <vt:lpwstr>https://kpmgcan.sharepoint.com/sites/CA-KGSCanada-ProjectNorth/Shared Documents/Project North/Staff Files/Project North_(Jun-24) RF Draft report_23-Jul-24.pptx</vt:lpwstr>
  </property>
  <property name="UpSlide_306456331745.077004[DESTINATION]" fmtid="{D5CDD505-2E9C-101B-9397-08002B2CF9AE}" pid="223">
    <vt:lpwstr>Powerpoint, 916</vt:lpwstr>
  </property>
  <property name="UpSlide_306456331745.077004[PATH]" fmtid="{D5CDD505-2E9C-101B-9397-08002B2CF9AE}" pid="224">
    <vt:lpwstr>https://kpmgcan.sharepoint.com/sites/CA-KGSCanada-ProjectNorth/Shared Documents/Project North/Staff Files/Project North_Draft report_10-Jul-24.pptx</vt:lpwstr>
  </property>
  <property name="UpSlide_1379456332002.359629[DESTINATION]" fmtid="{D5CDD505-2E9C-101B-9397-08002B2CF9AE}" pid="225">
    <vt:lpwstr>Powerpoint, 916</vt:lpwstr>
  </property>
  <property name="UpSlide_1379456332002.359629[PATH]" fmtid="{D5CDD505-2E9C-101B-9397-08002B2CF9AE}" pid="226">
    <vt:lpwstr>https://kpmgcan.sharepoint.com/sites/CA-KGSCanada-ProjectNorth/Shared Documents/Project North/Staff Files/Project North_Draft report_11-Jul-24.pptx</vt:lpwstr>
  </property>
  <property name="UpSlide_1643456343918.090083[DESTINATION]" fmtid="{D5CDD505-2E9C-101B-9397-08002B2CF9AE}" pid="227">
    <vt:lpwstr>Powerpoint, 4769</vt:lpwstr>
  </property>
  <property name="UpSlide_1643456343918.090083[PATH]" fmtid="{D5CDD505-2E9C-101B-9397-08002B2CF9AE}" pid="228">
    <vt:lpwstr>C:\Users\arushi1\Documents\my projects\ongoing\North\JUn 19\Project North_Draft report_18-Jun-24.pptx</vt:lpwstr>
  </property>
  <property name="UpSlide_2709456354959.773099[DESTINATION]" fmtid="{D5CDD505-2E9C-101B-9397-08002B2CF9AE}" pid="229">
    <vt:lpwstr>Powerpoint, 4751</vt:lpwstr>
  </property>
  <property name="UpSlide_2709456354959.773099[PATH]" fmtid="{D5CDD505-2E9C-101B-9397-08002B2CF9AE}" pid="230">
    <vt:lpwstr>https://kpmgcan.sharepoint.com/sites/CA-KGSCanada-ProjectNorth/Shared Documents/Project North/Staff Files/Project North_(Jun-24) RF Draft report_31-Jul-24.pptx</vt:lpwstr>
  </property>
  <property name="UpSlide_2393456373724.700018[DESTINATION]" fmtid="{D5CDD505-2E9C-101B-9397-08002B2CF9AE}" pid="231">
    <vt:lpwstr>Powerpoint, 911</vt:lpwstr>
  </property>
  <property name="UpSlide_2393456373724.700018[PATH]" fmtid="{D5CDD505-2E9C-101B-9397-08002B2CF9AE}" pid="232">
    <vt:lpwstr>https://kpmgcan.sharepoint.com/sites/CA-KGSCanada-ProjectNorth/Shared Documents/Project North/Staff Files/Project North_Draft report_20-Jun-24.pptx</vt:lpwstr>
  </property>
  <property name="UpSlide_3632456377047.670149[DESTINATION]" fmtid="{D5CDD505-2E9C-101B-9397-08002B2CF9AE}" pid="233">
    <vt:lpwstr>Powerpoint, 4770</vt:lpwstr>
  </property>
  <property name="UpSlide_3632456377047.670149[PATH]" fmtid="{D5CDD505-2E9C-101B-9397-08002B2CF9AE}" pid="234">
    <vt:lpwstr>https://kpmgcan.sharepoint.com/sites/CA-KGSCanada-ProjectNorth/Shared Documents/Project North/Staff Files/Project North_Draft report_17-Jun-24.pptx</vt:lpwstr>
  </property>
  <property name="UpSlide_7271456415689.627203[DESTINATION]" fmtid="{D5CDD505-2E9C-101B-9397-08002B2CF9AE}" pid="235">
    <vt:lpwstr>Powerpoint, 4772</vt:lpwstr>
  </property>
  <property name="UpSlide_7271456415689.627203[PATH]" fmtid="{D5CDD505-2E9C-101B-9397-08002B2CF9AE}" pid="236">
    <vt:lpwstr>https://kpmgcan.sharepoint.com/sites/CA-KGSCanada-ProjectNorth/Shared Documents/Project North/Staff Files/Project North_Draft report_24-Jun-24.pptx</vt:lpwstr>
  </property>
  <property name="UpSlide_9347456416173.977365[DESTINATION]" fmtid="{D5CDD505-2E9C-101B-9397-08002B2CF9AE}" pid="237">
    <vt:lpwstr>Powerpoint, 4793</vt:lpwstr>
  </property>
  <property name="UpSlide_9347456416173.977365[PATH]" fmtid="{D5CDD505-2E9C-101B-9397-08002B2CF9AE}" pid="238">
    <vt:lpwstr>https://kpmgcan.sharepoint.com/sites/CA-KGSCanada-ProjectNorth/Shared Documents/Project North/Staff Files/Project North_Draft report_10-Jul-24.pptx</vt:lpwstr>
  </property>
  <property name="UpSlide_9667456418417.222109[DESTINATION]" fmtid="{D5CDD505-2E9C-101B-9397-08002B2CF9AE}" pid="239">
    <vt:lpwstr>Powerpoint, 4773</vt:lpwstr>
  </property>
  <property name="UpSlide_9667456418417.222109[PATH]" fmtid="{D5CDD505-2E9C-101B-9397-08002B2CF9AE}" pid="240">
    <vt:lpwstr>https://kpmgcan.sharepoint.com/sites/CA-KGSCanada-ProjectNorth/Shared Documents/Project North/Staff Files/Project North_Draft report_20-Jun-24.pptx</vt:lpwstr>
  </property>
  <property name="UpSlide_2814456424789.841904[DESTINATION]" fmtid="{D5CDD505-2E9C-101B-9397-08002B2CF9AE}" pid="241">
    <vt:lpwstr>Powerpoint, 1214</vt:lpwstr>
  </property>
  <property name="UpSlide_2814456424789.841904[PATH]" fmtid="{D5CDD505-2E9C-101B-9397-08002B2CF9AE}" pid="242">
    <vt:lpwstr>https://kpmgcan.sharepoint.com/sites/CA-KGSCanada-ProjectNorth/Shared Documents/Project North/Staff Files/Project North_Draft report_18-Jun-24.pptx</vt:lpwstr>
  </property>
  <property name="UpSlide_7421456453885.498373[DESTINATION]" fmtid="{D5CDD505-2E9C-101B-9397-08002B2CF9AE}" pid="243">
    <vt:lpwstr>Powerpoint, 4719</vt:lpwstr>
  </property>
  <property name="UpSlide_7421456453885.498373[PATH]" fmtid="{D5CDD505-2E9C-101B-9397-08002B2CF9AE}" pid="244">
    <vt:lpwstr>https://kpmgcan.sharepoint.com/sites/CA-KGSCanada-ProjectNorth/Shared Documents/Project North/Staff Files/Project North_(Jun-24) RF Draft report_02-Aug-24.pptx</vt:lpwstr>
  </property>
  <property name="UpSlide_4173456454587.928334[DESTINATION]" fmtid="{D5CDD505-2E9C-101B-9397-08002B2CF9AE}" pid="245">
    <vt:lpwstr>Powerpoint, 4780</vt:lpwstr>
  </property>
  <property name="UpSlide_4173456454587.928334[PATH]" fmtid="{D5CDD505-2E9C-101B-9397-08002B2CF9AE}" pid="246">
    <vt:lpwstr>https://kpmgcan.sharepoint.com/sites/CA-KGSCanada-ProjectNorth/Shared Documents/Project North/Staff Files/Project North_(Jun-24) RF Draft report_07-Aug-24.pptx</vt:lpwstr>
  </property>
  <property name="UpSlide_2587456454933.024681[DESTINATION]" fmtid="{D5CDD505-2E9C-101B-9397-08002B2CF9AE}" pid="247">
    <vt:lpwstr>Powerpoint, 4782</vt:lpwstr>
  </property>
  <property name="UpSlide_2587456454933.024681[PATH]" fmtid="{D5CDD505-2E9C-101B-9397-08002B2CF9AE}" pid="248">
    <vt:lpwstr>https://kpmgcan.sharepoint.com/sites/CA-KGSCanada-ProjectNorth/Shared Documents/Project North/Staff Files/Project North_Draft report_20-Jun-24.pptx</vt:lpwstr>
  </property>
  <property name="UpSlide_4439456455149.937591[DESTINATION]" fmtid="{D5CDD505-2E9C-101B-9397-08002B2CF9AE}" pid="249">
    <vt:lpwstr>Powerpoint, 4711</vt:lpwstr>
  </property>
  <property name="UpSlide_4439456455149.937591[PATH]" fmtid="{D5CDD505-2E9C-101B-9397-08002B2CF9AE}" pid="250">
    <vt:lpwstr>https://kpmgcan.sharepoint.com/sites/CA-KGSCanada-ProjectNorth/Shared Documents/Project North/Staff Files/Project North_Draft report_10-Jul-24.pptx</vt:lpwstr>
  </property>
  <property name="UpSlide_4263456455364.202695[DESTINATION]" fmtid="{D5CDD505-2E9C-101B-9397-08002B2CF9AE}" pid="251">
    <vt:lpwstr>Powerpoint, 4713</vt:lpwstr>
  </property>
  <property name="UpSlide_4263456455364.202695[PATH]" fmtid="{D5CDD505-2E9C-101B-9397-08002B2CF9AE}" pid="252">
    <vt:lpwstr>https://kpmgcan.sharepoint.com/sites/CA-KGSCanada-ProjectNorth/Shared Documents/Project North/Staff Files/Project North_Draft report_18-Jun-24.pptx</vt:lpwstr>
  </property>
  <property name="UpSlide_5773456455399.907411[DESTINATION]" fmtid="{D5CDD505-2E9C-101B-9397-08002B2CF9AE}" pid="253">
    <vt:lpwstr>Powerpoint, 4713</vt:lpwstr>
  </property>
  <property name="UpSlide_5773456455399.907411[PATH]" fmtid="{D5CDD505-2E9C-101B-9397-08002B2CF9AE}" pid="254">
    <vt:lpwstr>https://kpmgcan.sharepoint.com/sites/CA-KGSCanada-ProjectNorth/Shared Documents/Project North/Staff Files/Project North_Draft report_20-Jun-24.pptx</vt:lpwstr>
  </property>
  <property name="UpSlide_5582456455592.510763[DESTINATION]" fmtid="{D5CDD505-2E9C-101B-9397-08002B2CF9AE}" pid="255">
    <vt:lpwstr>Powerpoint, 919</vt:lpwstr>
  </property>
  <property name="UpSlide_5582456455592.510763[PATH]" fmtid="{D5CDD505-2E9C-101B-9397-08002B2CF9AE}" pid="256">
    <vt:lpwstr>https://kpmgcan.sharepoint.com/sites/CA-KGSCanada-ProjectNorth/Shared Documents/Project North/Staff Files/Project North_Draft report_20-Jun-24.pptx</vt:lpwstr>
  </property>
  <property name="UpSlide_613456456534.69128[DESTINATION]" fmtid="{D5CDD505-2E9C-101B-9397-08002B2CF9AE}" pid="257">
    <vt:lpwstr>Powerpoint, 4774</vt:lpwstr>
  </property>
  <property name="UpSlide_613456456534.69128[PATH]" fmtid="{D5CDD505-2E9C-101B-9397-08002B2CF9AE}" pid="258">
    <vt:lpwstr>https://kpmgcan.sharepoint.com/sites/CA-KGSCanada-ProjectNorth/Shared Documents/Project North/Staff Files/Project North_(Jun-24) RF Draft report_25-Jul-24.pptx</vt:lpwstr>
  </property>
  <property name="UpSlide_8189456456663.611805[DESTINATION]" fmtid="{D5CDD505-2E9C-101B-9397-08002B2CF9AE}" pid="259">
    <vt:lpwstr>Powerpoint, 4775</vt:lpwstr>
  </property>
  <property name="UpSlide_8189456456663.611805[PATH]" fmtid="{D5CDD505-2E9C-101B-9397-08002B2CF9AE}" pid="260">
    <vt:lpwstr>https://kpmgcan.sharepoint.com/sites/CA-KGSCanada-ProjectNorth/Shared Documents/Project North/Staff Files/Project North_Draft report_20-Jun-24.pptx</vt:lpwstr>
  </property>
  <property name="UpSlide_394456456836.59389[DESTINATION]" fmtid="{D5CDD505-2E9C-101B-9397-08002B2CF9AE}" pid="261">
    <vt:lpwstr>Powerpoint, 4775</vt:lpwstr>
  </property>
  <property name="UpSlide_394456456836.59389[PATH]" fmtid="{D5CDD505-2E9C-101B-9397-08002B2CF9AE}" pid="262">
    <vt:lpwstr>https://kpmgcan.sharepoint.com/sites/CA-KGSCanada-ProjectNorth/Shared Documents/Project North/Staff Files/Project North_Draft report_20-Jun-24.pptx</vt:lpwstr>
  </property>
  <property name="UpSlide_9808456457008.087525[DESTINATION]" fmtid="{D5CDD505-2E9C-101B-9397-08002B2CF9AE}" pid="263">
    <vt:lpwstr>Powerpoint, 4776</vt:lpwstr>
  </property>
  <property name="UpSlide_9808456457008.087525[PATH]" fmtid="{D5CDD505-2E9C-101B-9397-08002B2CF9AE}" pid="264">
    <vt:lpwstr>https://kpmgcan.sharepoint.com/sites/CA-KGSCanada-ProjectNorth/Shared Documents/Project North/Staff Files/Project North_Draft report_20-Jun-24.pptx</vt:lpwstr>
  </property>
  <property name="UpSlide_6533456457131.112734[DESTINATION]" fmtid="{D5CDD505-2E9C-101B-9397-08002B2CF9AE}" pid="265">
    <vt:lpwstr>Powerpoint, 4776</vt:lpwstr>
  </property>
  <property name="UpSlide_6533456457131.112734[PATH]" fmtid="{D5CDD505-2E9C-101B-9397-08002B2CF9AE}" pid="266">
    <vt:lpwstr>https://kpmgcan.sharepoint.com/sites/CA-KGSCanada-ProjectNorth/Shared Documents/Project North/Staff Files/Project North_Draft report_20-Jun-24.pptx</vt:lpwstr>
  </property>
  <property name="UpSlide_5744456457183.083366[DESTINATION]" fmtid="{D5CDD505-2E9C-101B-9397-08002B2CF9AE}" pid="267">
    <vt:lpwstr>Powerpoint, 4777</vt:lpwstr>
  </property>
  <property name="UpSlide_5744456457183.083366[PATH]" fmtid="{D5CDD505-2E9C-101B-9397-08002B2CF9AE}" pid="268">
    <vt:lpwstr>https://kpmgcan.sharepoint.com/sites/CA-KGSCanada-ProjectNorth/Shared Documents/Project North/Staff Files/Project North_Draft report_20-Jun-24.pptx</vt:lpwstr>
  </property>
  <property name="UpSlide_8156456457278.095482[DESTINATION]" fmtid="{D5CDD505-2E9C-101B-9397-08002B2CF9AE}" pid="269">
    <vt:lpwstr>Powerpoint, 4777</vt:lpwstr>
  </property>
  <property name="UpSlide_8156456457278.095482[PATH]" fmtid="{D5CDD505-2E9C-101B-9397-08002B2CF9AE}" pid="270">
    <vt:lpwstr>https://kpmgcan.sharepoint.com/sites/CA-KGSCanada-ProjectNorth/Shared Documents/Project North/Staff Files/Project North_Draft report_20-Jun-24.pptx</vt:lpwstr>
  </property>
  <property name="UpSlide_9551456457494.175425[DESTINATION]" fmtid="{D5CDD505-2E9C-101B-9397-08002B2CF9AE}" pid="271">
    <vt:lpwstr>Powerpoint, 4778</vt:lpwstr>
  </property>
  <property name="UpSlide_9551456457494.175425[PATH]" fmtid="{D5CDD505-2E9C-101B-9397-08002B2CF9AE}" pid="272">
    <vt:lpwstr>https://kpmgcan.sharepoint.com/sites/CA-KGSCanada-ProjectNorth/Shared Documents/Project North/Staff Files/Project North_Draft report_18-Jun-24.pptx</vt:lpwstr>
  </property>
  <property name="UpSlide_188456494620.911234[DESTINATION]" fmtid="{D5CDD505-2E9C-101B-9397-08002B2CF9AE}" pid="273">
    <vt:lpwstr>Powerpoint, 916</vt:lpwstr>
  </property>
  <property name="UpSlide_188456494620.911234[PATH]" fmtid="{D5CDD505-2E9C-101B-9397-08002B2CF9AE}" pid="274">
    <vt:lpwstr>C:\Users\arushi1\Documents\my projects\ongoing\North\Jun 19\Project North_Draft report_19-Jun-24_KGS.pptx</vt:lpwstr>
  </property>
  <property name="UpSlide_6510456499322.884378[DESTINATION]" fmtid="{D5CDD505-2E9C-101B-9397-08002B2CF9AE}" pid="275">
    <vt:lpwstr>Powerpoint, 4712</vt:lpwstr>
  </property>
  <property name="UpSlide_6510456499322.884378[PATH]" fmtid="{D5CDD505-2E9C-101B-9397-08002B2CF9AE}" pid="276">
    <vt:lpwstr>https://kpmgcan.sharepoint.com/sites/CA-KGSCanada-ProjectNorth/Shared Documents/Project North/Staff Files/Project North_Draft report_20-Jun-24.pptx</vt:lpwstr>
  </property>
  <property name="UpSlide_7968456511019.586891[DESTINATION]" fmtid="{D5CDD505-2E9C-101B-9397-08002B2CF9AE}" pid="277">
    <vt:lpwstr>Powerpoint, 792</vt:lpwstr>
  </property>
  <property name="UpSlide_7968456511019.586891[PATH]" fmtid="{D5CDD505-2E9C-101B-9397-08002B2CF9AE}" pid="278">
    <vt:lpwstr>https://kpmgcan.sharepoint.com/sites/CA-KGSCanada-ProjectNorth/Shared Documents/Project North/Staff Files/Project North_Draft report_20-Jun-24.pptx</vt:lpwstr>
  </property>
  <property name="UpSlide_9613456514217.060624[DESTINATION]" fmtid="{D5CDD505-2E9C-101B-9397-08002B2CF9AE}" pid="279">
    <vt:lpwstr>Powerpoint, 792</vt:lpwstr>
  </property>
  <property name="UpSlide_9613456514217.060624[PATH]" fmtid="{D5CDD505-2E9C-101B-9397-08002B2CF9AE}" pid="280">
    <vt:lpwstr>https://kpmgcan.sharepoint.com/sites/CA-KGSCanada-ProjectNorth/Shared Documents/Project North/Staff Files/Project North_Draft report_20-Jun-24.pptx</vt:lpwstr>
  </property>
  <property name="UpSlide_8364456522183.615719[DESTINATION]" fmtid="{D5CDD505-2E9C-101B-9397-08002B2CF9AE}" pid="281">
    <vt:lpwstr>Powerpoint, 792</vt:lpwstr>
  </property>
  <property name="UpSlide_8364456522183.615719[PATH]" fmtid="{D5CDD505-2E9C-101B-9397-08002B2CF9AE}" pid="282">
    <vt:lpwstr>https://kpmgcan.sharepoint.com/sites/CA-KGSCanada-ProjectNorth/Shared Documents/Project North/Staff Files/Project North_Draft report_19-Jun-24.pptx</vt:lpwstr>
  </property>
  <property name="UpSlide_3753456543246.398424[DESTINATION]" fmtid="{D5CDD505-2E9C-101B-9397-08002B2CF9AE}" pid="283">
    <vt:lpwstr>Powerpoint, 4772</vt:lpwstr>
  </property>
  <property name="UpSlide_3753456543246.398424[PATH]" fmtid="{D5CDD505-2E9C-101B-9397-08002B2CF9AE}" pid="284">
    <vt:lpwstr>https://kpmgcan.sharepoint.com/sites/CA-KGSCanada-ProjectNorth/Shared Documents/Project North/Staff Files/Project North_Draft report_24-Jun-24.pptx</vt:lpwstr>
  </property>
  <property name="UpSlide_9472456544429.188224[DESTINATION]" fmtid="{D5CDD505-2E9C-101B-9397-08002B2CF9AE}" pid="285">
    <vt:lpwstr>Powerpoint, 4769</vt:lpwstr>
  </property>
  <property name="UpSlide_9472456544429.188224[PATH]" fmtid="{D5CDD505-2E9C-101B-9397-08002B2CF9AE}" pid="286">
    <vt:lpwstr>https://kpmgcan.sharepoint.com/sites/CA-KGSCanada-ProjectNorth/Shared Documents/Project North/Staff Files/Project North_Draft report_19-Jun-24.pptx</vt:lpwstr>
  </property>
  <property name="UpSlide_77456548654.278178[DESTINATION]" fmtid="{D5CDD505-2E9C-101B-9397-08002B2CF9AE}" pid="287">
    <vt:lpwstr>Powerpoint, 796</vt:lpwstr>
  </property>
  <property name="UpSlide_77456548654.278178[PATH]" fmtid="{D5CDD505-2E9C-101B-9397-08002B2CF9AE}" pid="288">
    <vt:lpwstr>https://kpmgcan.sharepoint.com/sites/CA-KGSCanada-ProjectNorth/Shared Documents/Project North/Staff Files/Project North_Draft report_19-Jun-24.pptx</vt:lpwstr>
  </property>
  <property name="UpSlide_8310456587140.094589[DESTINATION]" fmtid="{D5CDD505-2E9C-101B-9397-08002B2CF9AE}" pid="289">
    <vt:lpwstr>Powerpoint, 886</vt:lpwstr>
  </property>
  <property name="UpSlide_8310456587140.094589[PATH]" fmtid="{D5CDD505-2E9C-101B-9397-08002B2CF9AE}" pid="290">
    <vt:lpwstr>https://kpmgcan.sharepoint.com/sites/CA-KGSCanada-ProjectNorth/Shared Documents/Project North/Staff Files/Project North_Draft report_20-Jun-24.pptx</vt:lpwstr>
  </property>
  <property name="UpSlide_8792456589855.36297[DESTINATION]" fmtid="{D5CDD505-2E9C-101B-9397-08002B2CF9AE}" pid="291">
    <vt:lpwstr>Powerpoint, 4734</vt:lpwstr>
  </property>
  <property name="UpSlide_8792456589855.36297[PATH]" fmtid="{D5CDD505-2E9C-101B-9397-08002B2CF9AE}" pid="292">
    <vt:lpwstr>https://kpmgcan.sharepoint.com/sites/CA-KGSCanada-ProjectNorth/Shared Documents/Project North/Staff Files/Project North_Draft report_10-Jul-24.pptx</vt:lpwstr>
  </property>
  <property name="UpSlide_5228456602986.019564[DESTINATION]" fmtid="{D5CDD505-2E9C-101B-9397-08002B2CF9AE}" pid="293">
    <vt:lpwstr>Powerpoint, 915</vt:lpwstr>
  </property>
  <property name="UpSlide_5228456602986.019564[PATH]" fmtid="{D5CDD505-2E9C-101B-9397-08002B2CF9AE}" pid="294">
    <vt:lpwstr>https://kpmgcan.sharepoint.com/sites/CA-KGSCanada-ProjectNorth/Shared Documents/Project North/Staff Files/Project North_Draft report_24-Jun-24.pptx</vt:lpwstr>
  </property>
  <property name="UpSlide_47456614728.503293[DESTINATION]" fmtid="{D5CDD505-2E9C-101B-9397-08002B2CF9AE}" pid="295">
    <vt:lpwstr>Powerpoint, 4785</vt:lpwstr>
  </property>
  <property name="UpSlide_47456614728.503293[PATH]" fmtid="{D5CDD505-2E9C-101B-9397-08002B2CF9AE}" pid="296">
    <vt:lpwstr>https://kpmgcan.sharepoint.com/sites/CA-KGSCanada-ProjectNorth/Shared Documents/Project North/Staff Files/Project North_(Jun-24) RF Draft report_15-Aug-24.pptx</vt:lpwstr>
  </property>
  <property name="UpSlide_5155456615136.060451[DESTINATION]" fmtid="{D5CDD505-2E9C-101B-9397-08002B2CF9AE}" pid="297">
    <vt:lpwstr>Powerpoint, 4783</vt:lpwstr>
  </property>
  <property name="UpSlide_5155456615136.060451[PATH]" fmtid="{D5CDD505-2E9C-101B-9397-08002B2CF9AE}" pid="298">
    <vt:lpwstr>https://kpmgcan.sharepoint.com/sites/CA-KGSCanada-ProjectNorth/Shared Documents/Project North/Staff Files/Project North_Draft report_28-Jun-24 vS.pptx</vt:lpwstr>
  </property>
  <property name="UpSlide_8220456615289.709762[DESTINATION]" fmtid="{D5CDD505-2E9C-101B-9397-08002B2CF9AE}" pid="299">
    <vt:lpwstr>Powerpoint, 4720</vt:lpwstr>
  </property>
  <property name="UpSlide_8220456615289.709762[PATH]" fmtid="{D5CDD505-2E9C-101B-9397-08002B2CF9AE}" pid="300">
    <vt:lpwstr>https://kpmgcan.sharepoint.com/sites/CA-KGSCanada-ProjectNorth/Shared Documents/Project North/Staff Files/Project North_Draft report_28-Jun-24 vS.pptx</vt:lpwstr>
  </property>
  <property name="UpSlide_7017456615419.493863[DESTINATION]" fmtid="{D5CDD505-2E9C-101B-9397-08002B2CF9AE}" pid="301">
    <vt:lpwstr>Powerpoint, 4716</vt:lpwstr>
  </property>
  <property name="UpSlide_7017456615419.493863[PATH]" fmtid="{D5CDD505-2E9C-101B-9397-08002B2CF9AE}" pid="302">
    <vt:lpwstr>https://kpmgcan.sharepoint.com/sites/CA-KGSCanada-ProjectNorth/Shared Documents/Project North/Staff Files/Project North_Draft report_28-Jun-24 vS.pptx</vt:lpwstr>
  </property>
  <property name="UpSlide_3669456615648.902427[DESTINATION]" fmtid="{D5CDD505-2E9C-101B-9397-08002B2CF9AE}" pid="303">
    <vt:lpwstr>Powerpoint, 4715</vt:lpwstr>
  </property>
  <property name="UpSlide_3669456615648.902427[PATH]" fmtid="{D5CDD505-2E9C-101B-9397-08002B2CF9AE}" pid="304">
    <vt:lpwstr>https://kpmgcan.sharepoint.com/sites/CA-KGSCanada-ProjectNorth/Shared Documents/Project North/Staff Files/Project North_Draft report_28-Jun-24 vS.pptx</vt:lpwstr>
  </property>
  <property name="UpSlide_6631456615848.349834[DESTINATION]" fmtid="{D5CDD505-2E9C-101B-9397-08002B2CF9AE}" pid="305">
    <vt:lpwstr>Powerpoint, 4721</vt:lpwstr>
  </property>
  <property name="UpSlide_6631456615848.349834[PATH]" fmtid="{D5CDD505-2E9C-101B-9397-08002B2CF9AE}" pid="306">
    <vt:lpwstr>https://kpmgcan.sharepoint.com/sites/CA-KGSCanada-ProjectNorth/Shared Documents/Project North/Staff Files/Project North_Draft report_11-Jul-24.pptx</vt:lpwstr>
  </property>
  <property name="UpSlide_5037456615913.392471[DESTINATION]" fmtid="{D5CDD505-2E9C-101B-9397-08002B2CF9AE}" pid="307">
    <vt:lpwstr>Powerpoint, 4718</vt:lpwstr>
  </property>
  <property name="UpSlide_5037456615913.392471[PATH]" fmtid="{D5CDD505-2E9C-101B-9397-08002B2CF9AE}" pid="308">
    <vt:lpwstr>https://kpmgcan.sharepoint.com/sites/CA-KGSCanada-ProjectNorth/Shared Documents/Project North/Staff Files/Project North_Draft report_28-Jun-24 vS.pptx</vt:lpwstr>
  </property>
  <property name="UpSlide_7366456616033.413823[DESTINATION]" fmtid="{D5CDD505-2E9C-101B-9397-08002B2CF9AE}" pid="309">
    <vt:lpwstr>Powerpoint, 4717</vt:lpwstr>
  </property>
  <property name="UpSlide_7366456616033.413823[PATH]" fmtid="{D5CDD505-2E9C-101B-9397-08002B2CF9AE}" pid="310">
    <vt:lpwstr>https://kpmgcan.sharepoint.com/sites/CA-KGSCanada-ProjectNorth/Shared Documents/Project North/Staff Files/Project North_Draft report_28-Jun-24 vS.pptx</vt:lpwstr>
  </property>
  <property name="UpSlide_7689456675497.931683[DESTINATION]" fmtid="{D5CDD505-2E9C-101B-9397-08002B2CF9AE}" pid="311">
    <vt:lpwstr>Powerpoint, 4796</vt:lpwstr>
  </property>
  <property name="UpSlide_7689456675497.931683[PATH]" fmtid="{D5CDD505-2E9C-101B-9397-08002B2CF9AE}" pid="312">
    <vt:lpwstr>https://kpmgcan.sharepoint.com/sites/CA-KGSCanada-ProjectNorth/Shared Documents/Project North/Staff Files/Project North_Draft report_10-Jul-24.pptx</vt:lpwstr>
  </property>
  <property name="UpSlide_8699456676003.862565[DESTINATION]" fmtid="{D5CDD505-2E9C-101B-9397-08002B2CF9AE}" pid="313">
    <vt:lpwstr>Powerpoint, 4796</vt:lpwstr>
  </property>
  <property name="UpSlide_8699456676003.862565[PATH]" fmtid="{D5CDD505-2E9C-101B-9397-08002B2CF9AE}" pid="314">
    <vt:lpwstr>https://kpmgcan.sharepoint.com/sites/CA-KGSCanada-ProjectNorth/Shared Documents/Project North/Staff Files/Project North_Draft report_10-Jul-24.pptx</vt:lpwstr>
  </property>
  <property name="UpSlide_2731456677350.415136[DESTINATION]" fmtid="{D5CDD505-2E9C-101B-9397-08002B2CF9AE}" pid="315">
    <vt:lpwstr>Powerpoint, 4796</vt:lpwstr>
  </property>
  <property name="UpSlide_2731456677350.415136[PATH]" fmtid="{D5CDD505-2E9C-101B-9397-08002B2CF9AE}" pid="316">
    <vt:lpwstr>https://kpmgcan.sharepoint.com/sites/CA-KGSCanada-ProjectNorth/Shared Documents/Project North/Staff Files/Project North_Draft report_10-Jul-24.pptx</vt:lpwstr>
  </property>
  <property name="UpSlide_380456678984.724335[DESTINATION]" fmtid="{D5CDD505-2E9C-101B-9397-08002B2CF9AE}" pid="317">
    <vt:lpwstr>Powerpoint, 4737</vt:lpwstr>
  </property>
  <property name="UpSlide_380456678984.724335[PATH]" fmtid="{D5CDD505-2E9C-101B-9397-08002B2CF9AE}" pid="318">
    <vt:lpwstr>https://kpmgcan.sharepoint.com/sites/CA-KGSCanada-ProjectNorth/Shared Documents/Project North/Staff Files/Archive/Project North_Draft report_10-Jul-24.pptx</vt:lpwstr>
  </property>
  <property name="UpSlide_2491456680022.035343[DESTINATION]" fmtid="{D5CDD505-2E9C-101B-9397-08002B2CF9AE}" pid="319">
    <vt:lpwstr>Powerpoint, 4793</vt:lpwstr>
  </property>
  <property name="UpSlide_2491456680022.035343[PATH]" fmtid="{D5CDD505-2E9C-101B-9397-08002B2CF9AE}" pid="320">
    <vt:lpwstr>https://kpmgcan.sharepoint.com/sites/CA-KGSCanada-ProjectNorth/Shared Documents/Project North/Staff Files/Project North_Draft report_20-Jun-24.pptx</vt:lpwstr>
  </property>
  <property name="UpSlide_8551456696469.753049[DESTINATION]" fmtid="{D5CDD505-2E9C-101B-9397-08002B2CF9AE}" pid="321">
    <vt:lpwstr>Powerpoint, 897</vt:lpwstr>
  </property>
  <property name="UpSlide_8551456696469.753049[PATH]" fmtid="{D5CDD505-2E9C-101B-9397-08002B2CF9AE}" pid="322">
    <vt:lpwstr>https://kpmgcan.sharepoint.com/sites/CA-KGSCanada-ProjectNorth/Shared Documents/Project North/Staff Files/Project North_Draft report_26-Jun-24.pptx</vt:lpwstr>
  </property>
  <property name="UpSlide_7613456953423.286336[DESTINATION]" fmtid="{D5CDD505-2E9C-101B-9397-08002B2CF9AE}" pid="323">
    <vt:lpwstr>Powerpoint, 918</vt:lpwstr>
  </property>
  <property name="UpSlide_7613456953423.286336[PATH]" fmtid="{D5CDD505-2E9C-101B-9397-08002B2CF9AE}" pid="324">
    <vt:lpwstr>https://kpmgcan.sharepoint.com/sites/CA-KGSCanada-ProjectNorth/Shared Documents/Project North/Staff Files/Project North_Draft report_26-Jun-24.pptx</vt:lpwstr>
  </property>
  <property name="UpSlide_3491457113311.140477[DESTINATION]" fmtid="{D5CDD505-2E9C-101B-9397-08002B2CF9AE}" pid="325">
    <vt:lpwstr>Powerpoint, 4768</vt:lpwstr>
  </property>
  <property name="UpSlide_3491457113311.140477[PATH]" fmtid="{D5CDD505-2E9C-101B-9397-08002B2CF9AE}" pid="326">
    <vt:lpwstr>https://kpmgcan.sharepoint.com/sites/CA-KGSCanada-ProjectNorth/Shared Documents/Project North/Staff Files/Project North_Draft report_26-Jun-24.pptx</vt:lpwstr>
  </property>
  <property name="UpSlide_9962457114028.033734[DESTINATION]" fmtid="{D5CDD505-2E9C-101B-9397-08002B2CF9AE}" pid="327">
    <vt:lpwstr>Powerpoint, 4772</vt:lpwstr>
  </property>
  <property name="UpSlide_9962457114028.033734[PATH]" fmtid="{D5CDD505-2E9C-101B-9397-08002B2CF9AE}" pid="328">
    <vt:lpwstr>https://kpmgcan.sharepoint.com/sites/CA-KGSCanada-ProjectNorth/Shared Documents/Project North/Staff Files/Project North_Draft report_26-Jun-24.pptx</vt:lpwstr>
  </property>
  <property name="UpSlide_5773457281352.121476[DESTINATION]" fmtid="{D5CDD505-2E9C-101B-9397-08002B2CF9AE}" pid="329">
    <vt:lpwstr>Powerpoint, 4775</vt:lpwstr>
  </property>
  <property name="UpSlide_5773457281352.121476[PATH]" fmtid="{D5CDD505-2E9C-101B-9397-08002B2CF9AE}" pid="330">
    <vt:lpwstr>https://kpmgcan.sharepoint.com/sites/CA-KGSCanada-ProjectNorth/Shared Documents/Project North/Staff Files/Project North_Draft report_28-Jun-24.pptx</vt:lpwstr>
  </property>
  <property name="UpSlide_8421458323137.03885[DESTINATION]" fmtid="{D5CDD505-2E9C-101B-9397-08002B2CF9AE}" pid="331">
    <vt:lpwstr>Powerpoint, 909</vt:lpwstr>
  </property>
  <property name="UpSlide_8421458323137.03885[PATH]" fmtid="{D5CDD505-2E9C-101B-9397-08002B2CF9AE}" pid="332">
    <vt:lpwstr>https://kpmgcan.sharepoint.com/sites/CA-KGSCanada-ProjectNorth/Shared Documents/Project North/Staff Files/Project North_Draft report_10-Jul-24.pptx</vt:lpwstr>
  </property>
  <property name="UpSlide_4156458330987.365124[DESTINATION]" fmtid="{D5CDD505-2E9C-101B-9397-08002B2CF9AE}" pid="333">
    <vt:lpwstr>Powerpoint, 4773</vt:lpwstr>
  </property>
  <property name="UpSlide_4156458330987.365124[PATH]" fmtid="{D5CDD505-2E9C-101B-9397-08002B2CF9AE}" pid="334">
    <vt:lpwstr>https://kpmgcan.sharepoint.com/sites/CA-KGSCanada-ProjectNorth/Shared Documents/Project North/Staff Files/Project North_Draft report_10-Jul-24.pptx</vt:lpwstr>
  </property>
  <property name="UpSlide_3803458331875.038211[DESTINATION]" fmtid="{D5CDD505-2E9C-101B-9397-08002B2CF9AE}" pid="335">
    <vt:lpwstr>Powerpoint, 911</vt:lpwstr>
  </property>
  <property name="UpSlide_3803458331875.038211[PATH]" fmtid="{D5CDD505-2E9C-101B-9397-08002B2CF9AE}" pid="336">
    <vt:lpwstr>https://kpmgcan.sharepoint.com/sites/CA-KGSCanada-ProjectNorth/Shared Documents/Project North/Staff Files/Project North_Draft report_10-Jul-24.pptx</vt:lpwstr>
  </property>
  <property name="UpSlide_5814458332054.708936[DESTINATION]" fmtid="{D5CDD505-2E9C-101B-9397-08002B2CF9AE}" pid="337">
    <vt:lpwstr>Powerpoint, 4772</vt:lpwstr>
  </property>
  <property name="UpSlide_5814458332054.708936[PATH]" fmtid="{D5CDD505-2E9C-101B-9397-08002B2CF9AE}" pid="338">
    <vt:lpwstr>https://kpmgcan.sharepoint.com/sites/CA-KGSCanada-ProjectNorth/Shared Documents/Project North/Staff Files/Project North_Draft report_10-Jul-24.pptx</vt:lpwstr>
  </property>
  <property name="UpSlide_1889458332214.44613[DESTINATION]" fmtid="{D5CDD505-2E9C-101B-9397-08002B2CF9AE}" pid="339">
    <vt:lpwstr>Powerpoint, 4772</vt:lpwstr>
  </property>
  <property name="UpSlide_1889458332214.44613[PATH]" fmtid="{D5CDD505-2E9C-101B-9397-08002B2CF9AE}" pid="340">
    <vt:lpwstr>https://kpmgcan.sharepoint.com/sites/CA-KGSCanada-ProjectNorth/Shared Documents/Project North/Staff Files/Project North_Draft report_10-Jul-24.pptx</vt:lpwstr>
  </property>
  <property name="UpSlide_3916458332277.982692[DESTINATION]" fmtid="{D5CDD505-2E9C-101B-9397-08002B2CF9AE}" pid="341">
    <vt:lpwstr>Powerpoint, 4793</vt:lpwstr>
  </property>
  <property name="UpSlide_3916458332277.982692[PATH]" fmtid="{D5CDD505-2E9C-101B-9397-08002B2CF9AE}" pid="342">
    <vt:lpwstr>https://kpmgcan.sharepoint.com/sites/CA-KGSCanada-ProjectNorth/Shared Documents/Project North/Staff Files/Project North_Draft report_10-Jul-24.pptx</vt:lpwstr>
  </property>
  <property name="UpSlide_2440458332333.715755[DESTINATION]" fmtid="{D5CDD505-2E9C-101B-9397-08002B2CF9AE}" pid="343">
    <vt:lpwstr>Powerpoint, 4793</vt:lpwstr>
  </property>
  <property name="UpSlide_2440458332333.715755[PATH]" fmtid="{D5CDD505-2E9C-101B-9397-08002B2CF9AE}" pid="344">
    <vt:lpwstr>https://kpmgcan.sharepoint.com/sites/CA-KGSCanada-ProjectNorth/Shared Documents/Project North/Staff Files/Project North_Draft report_10-Jul-24.pptx</vt:lpwstr>
  </property>
  <property name="UpSlide_7871458332408.389495[DESTINATION]" fmtid="{D5CDD505-2E9C-101B-9397-08002B2CF9AE}" pid="345">
    <vt:lpwstr>Powerpoint, 4773</vt:lpwstr>
  </property>
  <property name="UpSlide_7871458332408.389495[PATH]" fmtid="{D5CDD505-2E9C-101B-9397-08002B2CF9AE}" pid="346">
    <vt:lpwstr>https://kpmgcan.sharepoint.com/sites/CA-KGSCanada-ProjectNorth/Shared Documents/Project North/Staff Files/Project North_Draft report_10-Jul-24.pptx</vt:lpwstr>
  </property>
  <property name="UpSlide_9164458396330.762034[DESTINATION]" fmtid="{D5CDD505-2E9C-101B-9397-08002B2CF9AE}" pid="347">
    <vt:lpwstr>Powerpoint, 1044</vt:lpwstr>
  </property>
  <property name="UpSlide_9164458396330.762034[PATH]" fmtid="{D5CDD505-2E9C-101B-9397-08002B2CF9AE}" pid="348">
    <vt:lpwstr>C:\Users\arushi1\Documents\my projects\ongoing\North\Phase II\Jul 11\Project North_Draft report_20-Jun-24.pptx</vt:lpwstr>
  </property>
  <property name="UpSlide_674458396443.387284[DESTINATION]" fmtid="{D5CDD505-2E9C-101B-9397-08002B2CF9AE}" pid="349">
    <vt:lpwstr>Powerpoint, 4798</vt:lpwstr>
  </property>
  <property name="UpSlide_674458396443.387284[PATH]" fmtid="{D5CDD505-2E9C-101B-9397-08002B2CF9AE}" pid="350">
    <vt:lpwstr>https://kpmgcan.sharepoint.com/sites/CA-KGSCanada-ProjectNorth/Shared Documents/Project North/Staff Files/Project North_(Jun-24) RF Draft report_25-Jul-24.pptx</vt:lpwstr>
  </property>
  <property name="UpSlide_8573458396545.918468[DESTINATION]" fmtid="{D5CDD505-2E9C-101B-9397-08002B2CF9AE}" pid="351">
    <vt:lpwstr>Powerpoint, 1044</vt:lpwstr>
  </property>
  <property name="UpSlide_8573458396545.918468[PATH]" fmtid="{D5CDD505-2E9C-101B-9397-08002B2CF9AE}" pid="352">
    <vt:lpwstr>C:\Users\arushi1\Documents\my projects\ongoing\North\Phase II\Jul 11\Project North_Draft report_20-Jun-24.pptx</vt:lpwstr>
  </property>
  <property name="UpSlide_5836458397228.079538[DESTINATION]" fmtid="{D5CDD505-2E9C-101B-9397-08002B2CF9AE}" pid="353">
    <vt:lpwstr>Powerpoint, 4798</vt:lpwstr>
  </property>
  <property name="UpSlide_5836458397228.079538[PATH]" fmtid="{D5CDD505-2E9C-101B-9397-08002B2CF9AE}" pid="354">
    <vt:lpwstr>https://kpmgcan.sharepoint.com/sites/CA-KGSCanada-ProjectNorth/Shared Documents/Project North/Staff Files/Project North_(Jun-24) RF Draft report_25-Jul-24.pptx</vt:lpwstr>
  </property>
  <property name="UpSlide_3669458397332.432167[DESTINATION]" fmtid="{D5CDD505-2E9C-101B-9397-08002B2CF9AE}" pid="355">
    <vt:lpwstr>Powerpoint, 1045</vt:lpwstr>
  </property>
  <property name="UpSlide_3669458397332.432167[PATH]" fmtid="{D5CDD505-2E9C-101B-9397-08002B2CF9AE}" pid="356">
    <vt:lpwstr>C:\Users\arushi1\Documents\my projects\ongoing\North\Phase II\Jul 11\Project North_Draft report_20-Jun-24.pptx</vt:lpwstr>
  </property>
  <property name="UpSlide_4603458397375.405362[DESTINATION]" fmtid="{D5CDD505-2E9C-101B-9397-08002B2CF9AE}" pid="357">
    <vt:lpwstr>Powerpoint, 1045</vt:lpwstr>
  </property>
  <property name="UpSlide_4603458397375.405362[PATH]" fmtid="{D5CDD505-2E9C-101B-9397-08002B2CF9AE}" pid="358">
    <vt:lpwstr>C:\Users\arushi1\Documents\my projects\ongoing\North\Phase II\Jul 11\Project North_Draft report_20-Jun-24.pptx</vt:lpwstr>
  </property>
  <property name="UpSlide_4373458411586.164723[DESTINATION]" fmtid="{D5CDD505-2E9C-101B-9397-08002B2CF9AE}" pid="359">
    <vt:lpwstr>Powerpoint, 4783</vt:lpwstr>
  </property>
  <property name="UpSlide_4373458411586.164723[PATH]" fmtid="{D5CDD505-2E9C-101B-9397-08002B2CF9AE}" pid="360">
    <vt:lpwstr>https://kpmgcan.sharepoint.com/sites/CA-KGSCanada-ProjectNorth/Shared Documents/Project North/Staff Files/Project North_Draft report_11-Jul-24.pptx</vt:lpwstr>
  </property>
  <property name="UpSlide_7391458411718.472788[DESTINATION]" fmtid="{D5CDD505-2E9C-101B-9397-08002B2CF9AE}" pid="361">
    <vt:lpwstr>Powerpoint, 4720</vt:lpwstr>
  </property>
  <property name="UpSlide_7391458411718.472788[PATH]" fmtid="{D5CDD505-2E9C-101B-9397-08002B2CF9AE}" pid="362">
    <vt:lpwstr>https://kpmgcan.sharepoint.com/sites/CA-KGSCanada-ProjectNorth/Shared Documents/Project North/Staff Files/Project North_Draft report_11-Jul-24.pptx</vt:lpwstr>
  </property>
  <property name="UpSlide_7448458411819.988599[DESTINATION]" fmtid="{D5CDD505-2E9C-101B-9397-08002B2CF9AE}" pid="363">
    <vt:lpwstr>Powerpoint, 4716</vt:lpwstr>
  </property>
  <property name="UpSlide_7448458411819.988599[PATH]" fmtid="{D5CDD505-2E9C-101B-9397-08002B2CF9AE}" pid="364">
    <vt:lpwstr>https://kpmgcan.sharepoint.com/sites/CA-KGSCanada-ProjectNorth/Shared Documents/Project North/Staff Files/Project North_Draft report_11-Jul-24.pptx</vt:lpwstr>
  </property>
  <property name="UpSlide_2646458411945.315036[DESTINATION]" fmtid="{D5CDD505-2E9C-101B-9397-08002B2CF9AE}" pid="365">
    <vt:lpwstr>Powerpoint, 4721</vt:lpwstr>
  </property>
  <property name="UpSlide_2646458411945.315036[PATH]" fmtid="{D5CDD505-2E9C-101B-9397-08002B2CF9AE}" pid="366">
    <vt:lpwstr>https://kpmgcan.sharepoint.com/sites/CA-KGSCanada-ProjectNorth/Shared Documents/Project North/Staff Files/Project North_Draft report_11-Jul-24.pptx</vt:lpwstr>
  </property>
  <property name="UpSlide_9429458412017.197666[DESTINATION]" fmtid="{D5CDD505-2E9C-101B-9397-08002B2CF9AE}" pid="367">
    <vt:lpwstr>Powerpoint, 4715</vt:lpwstr>
  </property>
  <property name="UpSlide_9429458412017.197666[PATH]" fmtid="{D5CDD505-2E9C-101B-9397-08002B2CF9AE}" pid="368">
    <vt:lpwstr>https://kpmgcan.sharepoint.com/sites/CA-KGSCanada-ProjectNorth/Shared Documents/Project North/Staff Files/Project North_(Jun-24) RF Draft report_25-Jul-24.pptx</vt:lpwstr>
  </property>
  <property name="UpSlide_7568458412118.382209[DESTINATION]" fmtid="{D5CDD505-2E9C-101B-9397-08002B2CF9AE}" pid="369">
    <vt:lpwstr>Powerpoint, 4718</vt:lpwstr>
  </property>
  <property name="UpSlide_7568458412118.382209[PATH]" fmtid="{D5CDD505-2E9C-101B-9397-08002B2CF9AE}" pid="370">
    <vt:lpwstr>https://kpmgcan.sharepoint.com/sites/CA-KGSCanada-ProjectNorth/Shared Documents/Project North/Staff Files/Project North_Draft report_11-Jul-24.pptx</vt:lpwstr>
  </property>
  <property name="UpSlide_4536458412195.168227[DESTINATION]" fmtid="{D5CDD505-2E9C-101B-9397-08002B2CF9AE}" pid="371">
    <vt:lpwstr>Powerpoint, 4717</vt:lpwstr>
  </property>
  <property name="UpSlide_4536458412195.168227[PATH]" fmtid="{D5CDD505-2E9C-101B-9397-08002B2CF9AE}" pid="372">
    <vt:lpwstr>https://kpmgcan.sharepoint.com/sites/CA-KGSCanada-ProjectNorth/Shared Documents/Project North/Staff Files/Project North_Draft report_11-Jul-24.pptx</vt:lpwstr>
  </property>
  <property name="UpSlide_6299459441093.500116[DESTINATION]" fmtid="{D5CDD505-2E9C-101B-9397-08002B2CF9AE}" pid="373">
    <vt:lpwstr>Powerpoint, 916</vt:lpwstr>
  </property>
  <property name="UpSlide_6299459441093.500116[PATH]" fmtid="{D5CDD505-2E9C-101B-9397-08002B2CF9AE}" pid="374">
    <vt:lpwstr>https://kpmgcan.sharepoint.com/sites/CA-KGSCanada-ProjectNorth/Shared Documents/Project North/Staff Files/Project North_(Jun-24) RF Draft report_12-Aug-24.pptx</vt:lpwstr>
  </property>
  <property name="UpSlide_9345459441269.142114[DESTINATION]" fmtid="{D5CDD505-2E9C-101B-9397-08002B2CF9AE}" pid="375">
    <vt:lpwstr>Powerpoint, 916</vt:lpwstr>
  </property>
  <property name="UpSlide_9345459441269.142114[PATH]" fmtid="{D5CDD505-2E9C-101B-9397-08002B2CF9AE}" pid="376">
    <vt:lpwstr>https://kpmgcan.sharepoint.com/sites/CA-KGSCanada-ProjectNorth/Shared Documents/Project North/Staff Files/Project North_(Jun-24) RF Draft report_31-Jul-24.pptx</vt:lpwstr>
  </property>
  <property name="UpSlide_4926459441333.005865[DESTINATION]" fmtid="{D5CDD505-2E9C-101B-9397-08002B2CF9AE}" pid="377">
    <vt:lpwstr>Powerpoint, 916</vt:lpwstr>
  </property>
  <property name="UpSlide_4926459441333.005865[PATH]" fmtid="{D5CDD505-2E9C-101B-9397-08002B2CF9AE}" pid="378">
    <vt:lpwstr>https://kpmgcan.sharepoint.com/sites/CA-KGSCanada-ProjectNorth/Shared Documents/Project North/Staff Files/Project North_(Jun-24) RF Draft report_31-Jul-24.pptx</vt:lpwstr>
  </property>
  <property name="UpSlide_2459459442073.161405[DESTINATION]" fmtid="{D5CDD505-2E9C-101B-9397-08002B2CF9AE}" pid="379">
    <vt:lpwstr>Powerpoint, 874</vt:lpwstr>
  </property>
  <property name="UpSlide_2459459442073.161405[PATH]" fmtid="{D5CDD505-2E9C-101B-9397-08002B2CF9AE}" pid="380">
    <vt:lpwstr>https://kpmgcan.sharepoint.com/sites/CA-KGSCanada-ProjectNorth/Shared Documents/Project North/Staff Files/Project North_(Jun-24) RF Draft report_21-Aug-24.pptx</vt:lpwstr>
  </property>
  <property name="UpSlide_7750459443236.391225[DESTINATION]" fmtid="{D5CDD505-2E9C-101B-9397-08002B2CF9AE}" pid="381">
    <vt:lpwstr>Powerpoint, 4694</vt:lpwstr>
  </property>
  <property name="UpSlide_7750459443236.391225[PATH]" fmtid="{D5CDD505-2E9C-101B-9397-08002B2CF9AE}" pid="382">
    <vt:lpwstr>https://kpmgcan.sharepoint.com/sites/CA-KGSCanada-ProjectNorth/Shared Documents/Project North/Staff Files/Project North_(Jun-24) RF Draft report_21-Aug-24.pptx</vt:lpwstr>
  </property>
  <property name="UpSlide_888459449697.535785[DESTINATION]" fmtid="{D5CDD505-2E9C-101B-9397-08002B2CF9AE}" pid="383">
    <vt:lpwstr>Powerpoint, 4762</vt:lpwstr>
  </property>
  <property name="UpSlide_888459449697.535785[PATH]" fmtid="{D5CDD505-2E9C-101B-9397-08002B2CF9AE}" pid="384">
    <vt:lpwstr>https://kpmgcan.sharepoint.com/sites/CA-KGSCanada-ProjectNorth/Shared Documents/Project North/Staff Files/Project North_(Jun-24) RF Draft report_21-Aug-24.pptx</vt:lpwstr>
  </property>
  <property name="UpSlide_222459449772.266551[DESTINATION]" fmtid="{D5CDD505-2E9C-101B-9397-08002B2CF9AE}" pid="385">
    <vt:lpwstr>Powerpoint, 926</vt:lpwstr>
  </property>
  <property name="UpSlide_222459449772.266551[PATH]" fmtid="{D5CDD505-2E9C-101B-9397-08002B2CF9AE}" pid="386">
    <vt:lpwstr>https://kpmgcan.sharepoint.com/sites/CA-KGSCanada-ProjectNorth/Shared Documents/Project North/Staff Files/Project North_(Jun-24) RF Draft report_17-Aug-24.pptx</vt:lpwstr>
  </property>
  <property name="UpSlide_7049459449925.215056[DESTINATION]" fmtid="{D5CDD505-2E9C-101B-9397-08002B2CF9AE}" pid="387">
    <vt:lpwstr>Powerpoint, 926</vt:lpwstr>
  </property>
  <property name="UpSlide_7049459449925.215056[PATH]" fmtid="{D5CDD505-2E9C-101B-9397-08002B2CF9AE}" pid="388">
    <vt:lpwstr>https://kpmgcan.sharepoint.com/sites/CA-KGSCanada-ProjectNorth/Shared Documents/Project North/Staff Files/Project North_(Jun-24) RF Draft report_31-Jul-24.pptx</vt:lpwstr>
  </property>
  <property name="UpSlide_4434459450169.794886[DESTINATION]" fmtid="{D5CDD505-2E9C-101B-9397-08002B2CF9AE}" pid="389">
    <vt:lpwstr>Powerpoint, 4749</vt:lpwstr>
  </property>
  <property name="UpSlide_4434459450169.794886[PATH]" fmtid="{D5CDD505-2E9C-101B-9397-08002B2CF9AE}" pid="390">
    <vt:lpwstr>https://kpmgcan.sharepoint.com/sites/CA-KGSCanada-ProjectNorth/Shared Documents/Project North/Staff Files/Project North_(Jun-24) RF Draft report_23-Jul-24.pptx</vt:lpwstr>
  </property>
  <property name="UpSlide_9315459450216.95082[DESTINATION]" fmtid="{D5CDD505-2E9C-101B-9397-08002B2CF9AE}" pid="391">
    <vt:lpwstr>Powerpoint, 4749</vt:lpwstr>
  </property>
  <property name="UpSlide_9315459450216.95082[PATH]" fmtid="{D5CDD505-2E9C-101B-9397-08002B2CF9AE}" pid="392">
    <vt:lpwstr>https://kpmgcan.sharepoint.com/sites/CA-KGSCanada-ProjectNorth/Shared Documents/Project North/Staff Files/Project North_(Jun-24) RF Draft report_31-Jul-24.pptx</vt:lpwstr>
  </property>
  <property name="UpSlide_5519459450278.870967[DESTINATION]" fmtid="{D5CDD505-2E9C-101B-9397-08002B2CF9AE}" pid="393">
    <vt:lpwstr>Powerpoint, 4742</vt:lpwstr>
  </property>
  <property name="UpSlide_5519459450278.870967[PATH]" fmtid="{D5CDD505-2E9C-101B-9397-08002B2CF9AE}" pid="394">
    <vt:lpwstr>https://kpmgcan.sharepoint.com/sites/CA-KGSCanada-ProjectNorth/Shared Documents/Project North/Staff Files/Project North_(Jun-24) RF Draft report_31-Jul-24.pptx</vt:lpwstr>
  </property>
  <property name="UpSlide_8907459450329.233964[DESTINATION]" fmtid="{D5CDD505-2E9C-101B-9397-08002B2CF9AE}" pid="395">
    <vt:lpwstr>Powerpoint, 4742</vt:lpwstr>
  </property>
  <property name="UpSlide_8907459450329.233964[PATH]" fmtid="{D5CDD505-2E9C-101B-9397-08002B2CF9AE}" pid="396">
    <vt:lpwstr>https://kpmgcan.sharepoint.com/sites/CA-KGSCanada-ProjectNorth/Shared Documents/Project North/Staff Files/Project North_(Jun-24) RF Draft report_31-Jul-24.pptx</vt:lpwstr>
  </property>
  <property name="UpSlide_9635459450925.337505[DESTINATION]" fmtid="{D5CDD505-2E9C-101B-9397-08002B2CF9AE}" pid="397">
    <vt:lpwstr>Powerpoint, 4759</vt:lpwstr>
  </property>
  <property name="UpSlide_9635459450925.337505[PATH]" fmtid="{D5CDD505-2E9C-101B-9397-08002B2CF9AE}" pid="398">
    <vt:lpwstr>https://kpmgcan.sharepoint.com/sites/CA-KGSCanada-ProjectNorth/Shared Documents/Project North/Staff Files/Project North_(Jun-24) RF Draft report_31-Jul-24.pptx</vt:lpwstr>
  </property>
  <property name="UpSlide_1136459450972.636196[DESTINATION]" fmtid="{D5CDD505-2E9C-101B-9397-08002B2CF9AE}" pid="399">
    <vt:lpwstr>Powerpoint, 4759</vt:lpwstr>
  </property>
  <property name="UpSlide_1136459450972.636196[PATH]" fmtid="{D5CDD505-2E9C-101B-9397-08002B2CF9AE}" pid="400">
    <vt:lpwstr>https://kpmgcan.sharepoint.com/sites/CA-KGSCanada-ProjectNorth/Shared Documents/Project North/Staff Files/Project North_(Jun-24) RF Draft report_31-Jul-24.pptx</vt:lpwstr>
  </property>
  <property name="UpSlide_7739459453911.785388[DESTINATION]" fmtid="{D5CDD505-2E9C-101B-9397-08002B2CF9AE}" pid="401">
    <vt:lpwstr>Powerpoint, 4760</vt:lpwstr>
  </property>
  <property name="UpSlide_7739459453911.785388[PATH]" fmtid="{D5CDD505-2E9C-101B-9397-08002B2CF9AE}" pid="402">
    <vt:lpwstr>https://kpmgcan.sharepoint.com/sites/CA-KGSCanada-ProjectNorth/Shared Documents/Project North/Staff Files/Project North_(Jun-24) RF Draft report_31-Jul-24.pptx</vt:lpwstr>
  </property>
  <property name="UpSlide_2493459454209.394299[DESTINATION]" fmtid="{D5CDD505-2E9C-101B-9397-08002B2CF9AE}" pid="403">
    <vt:lpwstr>Powerpoint, 4760</vt:lpwstr>
  </property>
  <property name="UpSlide_2493459454209.394299[PATH]" fmtid="{D5CDD505-2E9C-101B-9397-08002B2CF9AE}" pid="404">
    <vt:lpwstr>https://kpmgcan.sharepoint.com/sites/CA-KGSCanada-ProjectNorth/Shared Documents/Project North/Staff Files/Project North_(Jun-24) RF Draft report_31-Jul-24.pptx</vt:lpwstr>
  </property>
  <property name="UpSlide_9508459454766.701603[DESTINATION]" fmtid="{D5CDD505-2E9C-101B-9397-08002B2CF9AE}" pid="405">
    <vt:lpwstr>Powerpoint, 4747</vt:lpwstr>
  </property>
  <property name="UpSlide_9508459454766.701603[PATH]" fmtid="{D5CDD505-2E9C-101B-9397-08002B2CF9AE}" pid="406">
    <vt:lpwstr>https://kpmgcan.sharepoint.com/sites/CA-KGSCanada-ProjectNorth/Shared Documents/Project North/Staff Files/Project North_(Jun-24) RF Draft report_31-Jul-24.pptx</vt:lpwstr>
  </property>
  <property name="UpSlide_1423459454888.826195[DESTINATION]" fmtid="{D5CDD505-2E9C-101B-9397-08002B2CF9AE}" pid="407">
    <vt:lpwstr>Powerpoint, 4747</vt:lpwstr>
  </property>
  <property name="UpSlide_1423459454888.826195[PATH]" fmtid="{D5CDD505-2E9C-101B-9397-08002B2CF9AE}" pid="408">
    <vt:lpwstr>https://kpmgcan.sharepoint.com/sites/CA-KGSCanada-ProjectNorth/Shared Documents/Project North/Staff Files/Project North_(Jun-24) RF Draft report_31-Jul-24.pptx</vt:lpwstr>
  </property>
  <property name="UpSlide_1380459455960.441981[DESTINATION]" fmtid="{D5CDD505-2E9C-101B-9397-08002B2CF9AE}" pid="409">
    <vt:lpwstr>Powerpoint, 4753</vt:lpwstr>
  </property>
  <property name="UpSlide_1380459455960.441981[PATH]" fmtid="{D5CDD505-2E9C-101B-9397-08002B2CF9AE}" pid="410">
    <vt:lpwstr>https://kpmgcan.sharepoint.com/sites/CA-KGSCanada-ProjectNorth/Shared Documents/Project North/Staff Files/Project North_(Jun-24) RF Draft report_31-Jul-24.pptx</vt:lpwstr>
  </property>
  <property name="UpSlide_522459456057.893003[DESTINATION]" fmtid="{D5CDD505-2E9C-101B-9397-08002B2CF9AE}" pid="411">
    <vt:lpwstr>Powerpoint, 4753</vt:lpwstr>
  </property>
  <property name="UpSlide_522459456057.893003[PATH]" fmtid="{D5CDD505-2E9C-101B-9397-08002B2CF9AE}" pid="412">
    <vt:lpwstr>https://kpmgcan.sharepoint.com/sites/CA-KGSCanada-ProjectNorth/Shared Documents/Project North/Staff Files/Project North_(Jun-24) RF Draft report_31-Jul-24.pptx</vt:lpwstr>
  </property>
  <property name="UpSlide_9394459456405.021591[DESTINATION]" fmtid="{D5CDD505-2E9C-101B-9397-08002B2CF9AE}" pid="413">
    <vt:lpwstr>Powerpoint, 4755</vt:lpwstr>
  </property>
  <property name="UpSlide_9394459456405.021591[PATH]" fmtid="{D5CDD505-2E9C-101B-9397-08002B2CF9AE}" pid="414">
    <vt:lpwstr>https://kpmgcan.sharepoint.com/sites/CA-KGSCanada-ProjectNorth/Shared Documents/Project North/Staff Files/Project North_(Jun-24) RF Draft report_21-Aug-24.pptx</vt:lpwstr>
  </property>
  <property name="UpSlide_4724459456465.80881[DESTINATION]" fmtid="{D5CDD505-2E9C-101B-9397-08002B2CF9AE}" pid="415">
    <vt:lpwstr>Powerpoint, 4755</vt:lpwstr>
  </property>
  <property name="UpSlide_4724459456465.80881[PATH]" fmtid="{D5CDD505-2E9C-101B-9397-08002B2CF9AE}" pid="416">
    <vt:lpwstr>https://kpmgcan.sharepoint.com/sites/CA-KGSCanada-ProjectNorth/Shared Documents/Project North/Staff Files/Project North_(Jun-24) RF Draft report_17-Aug-24.pptx</vt:lpwstr>
  </property>
  <property name="UpSlide_4778459456612.179112[DESTINATION]" fmtid="{D5CDD505-2E9C-101B-9397-08002B2CF9AE}" pid="417">
    <vt:lpwstr>Powerpoint, 4756</vt:lpwstr>
  </property>
  <property name="UpSlide_4778459456612.179112[PATH]" fmtid="{D5CDD505-2E9C-101B-9397-08002B2CF9AE}" pid="418">
    <vt:lpwstr>https://kpmgcan.sharepoint.com/sites/CA-KGSCanada-ProjectNorth/Shared Documents/Project North/Staff Files/Project North_(Jun-24) RF Draft report_31-Jul-24.pptx</vt:lpwstr>
  </property>
  <property name="UpSlide_9910459456893.190606[DESTINATION]" fmtid="{D5CDD505-2E9C-101B-9397-08002B2CF9AE}" pid="419">
    <vt:lpwstr>Powerpoint, 4757</vt:lpwstr>
  </property>
  <property name="UpSlide_9910459456893.190606[PATH]" fmtid="{D5CDD505-2E9C-101B-9397-08002B2CF9AE}" pid="420">
    <vt:lpwstr>https://kpmgcan.sharepoint.com/sites/CA-KGSCanada-ProjectNorth/Shared Documents/Project North/Staff Files/Project North_(Jun-24) RF Draft report_02-Aug-24.pptx</vt:lpwstr>
  </property>
  <property name="UpSlide_3521459456979.010318[DESTINATION]" fmtid="{D5CDD505-2E9C-101B-9397-08002B2CF9AE}" pid="421">
    <vt:lpwstr>Powerpoint, 4757</vt:lpwstr>
  </property>
  <property name="UpSlide_3521459456979.010318[PATH]" fmtid="{D5CDD505-2E9C-101B-9397-08002B2CF9AE}" pid="422">
    <vt:lpwstr>https://kpmgcan.sharepoint.com/sites/CA-KGSCanada-ProjectNorth/Shared Documents/Project North/Staff Files/Project North_(Jun-24) RF Draft report_02-Aug-24.pptx</vt:lpwstr>
  </property>
  <property name="UpSlide_5953459457130.171389[DESTINATION]" fmtid="{D5CDD505-2E9C-101B-9397-08002B2CF9AE}" pid="423">
    <vt:lpwstr>Powerpoint, 4762</vt:lpwstr>
  </property>
  <property name="UpSlide_5953459457130.171389[PATH]" fmtid="{D5CDD505-2E9C-101B-9397-08002B2CF9AE}" pid="424">
    <vt:lpwstr>https://kpmgcan.sharepoint.com/sites/CA-KGSCanada-ProjectNorth/Shared Documents/Project North/Staff Files/Project North_(Jun-24) RF Draft report_02-Aug-24.pptx</vt:lpwstr>
  </property>
  <property name="UpSlide_9894459457161.97368[DESTINATION]" fmtid="{D5CDD505-2E9C-101B-9397-08002B2CF9AE}" pid="425">
    <vt:lpwstr>Powerpoint, 4762</vt:lpwstr>
  </property>
  <property name="UpSlide_9894459457161.97368[PATH]" fmtid="{D5CDD505-2E9C-101B-9397-08002B2CF9AE}" pid="426">
    <vt:lpwstr>https://kpmgcan.sharepoint.com/sites/CA-KGSCanada-ProjectNorth/Shared Documents/Project North/Staff Files/Project North_(Jun-24) RF Draft report_02-Aug-24.pptx</vt:lpwstr>
  </property>
  <property name="UpSlide_4913459457254.784648[DESTINATION]" fmtid="{D5CDD505-2E9C-101B-9397-08002B2CF9AE}" pid="427">
    <vt:lpwstr>Powerpoint, 4764</vt:lpwstr>
  </property>
  <property name="UpSlide_4913459457254.784648[PATH]" fmtid="{D5CDD505-2E9C-101B-9397-08002B2CF9AE}" pid="428">
    <vt:lpwstr>https://kpmgcan.sharepoint.com/sites/CA-KGSCanada-ProjectNorth/Shared Documents/Project North/Staff Files/Project North_(Jun-24) RF Draft report_23-Jul-24.pptx</vt:lpwstr>
  </property>
  <property name="UpSlide_2533459457312.093633[DESTINATION]" fmtid="{D5CDD505-2E9C-101B-9397-08002B2CF9AE}" pid="429">
    <vt:lpwstr>Powerpoint, 4764</vt:lpwstr>
  </property>
  <property name="UpSlide_2533459457312.093633[PATH]" fmtid="{D5CDD505-2E9C-101B-9397-08002B2CF9AE}" pid="430">
    <vt:lpwstr>https://kpmgcan.sharepoint.com/sites/CA-KGSCanada-ProjectNorth/Shared Documents/Project North/Staff Files/Project North_(Jun-24) RF Draft report_07-Aug-24.pptx</vt:lpwstr>
  </property>
  <property name="UpSlide_1221459457516.504832[DESTINATION]" fmtid="{D5CDD505-2E9C-101B-9397-08002B2CF9AE}" pid="431">
    <vt:lpwstr>Powerpoint, 4764</vt:lpwstr>
  </property>
  <property name="UpSlide_1221459457516.504832[PATH]" fmtid="{D5CDD505-2E9C-101B-9397-08002B2CF9AE}" pid="432">
    <vt:lpwstr>https://kpmgcan.sharepoint.com/sites/CA-KGSCanada-ProjectNorth/Shared Documents/Project North/Staff Files/Project North_(Jun-24) RF Draft report_07-Aug-24.pptx</vt:lpwstr>
  </property>
  <property name="UpSlide_285459457687.063318[DESTINATION]" fmtid="{D5CDD505-2E9C-101B-9397-08002B2CF9AE}" pid="433">
    <vt:lpwstr>Powerpoint, 4768</vt:lpwstr>
  </property>
  <property name="UpSlide_285459457687.063318[PATH]" fmtid="{D5CDD505-2E9C-101B-9397-08002B2CF9AE}" pid="434">
    <vt:lpwstr>https://kpmgcan.sharepoint.com/sites/CA-KGSCanada-ProjectNorth/Shared Documents/Project North/Staff Files/Project North_(Jun-24) RF Draft report_31-Jul-24.pptx</vt:lpwstr>
  </property>
  <property name="UpSlide_347459457730.101505[DESTINATION]" fmtid="{D5CDD505-2E9C-101B-9397-08002B2CF9AE}" pid="435">
    <vt:lpwstr>Powerpoint, 4768</vt:lpwstr>
  </property>
  <property name="UpSlide_347459457730.101505[PATH]" fmtid="{D5CDD505-2E9C-101B-9397-08002B2CF9AE}" pid="436">
    <vt:lpwstr>https://kpmgcan.sharepoint.com/sites/CA-KGSCanada-ProjectNorth/Shared Documents/Project North/Staff Files/Project North_(Jun-24) RF Draft report_31-Jul-24.pptx</vt:lpwstr>
  </property>
  <property name="UpSlide_8595459458523.465223[DESTINATION]" fmtid="{D5CDD505-2E9C-101B-9397-08002B2CF9AE}" pid="437">
    <vt:lpwstr>Powerpoint, 4737</vt:lpwstr>
  </property>
  <property name="UpSlide_8595459458523.465223[PATH]" fmtid="{D5CDD505-2E9C-101B-9397-08002B2CF9AE}" pid="438">
    <vt:lpwstr>https://kpmgcan.sharepoint.com/sites/CA-KGSCanada-ProjectNorth/Shared Documents/Project North/Staff Files/Project North_(Jun-24) RF Draft report_16-Aug-24.pptx</vt:lpwstr>
  </property>
  <property name="UpSlide_7317459460722.746073[DESTINATION]" fmtid="{D5CDD505-2E9C-101B-9397-08002B2CF9AE}" pid="439">
    <vt:lpwstr>Powerpoint, 4773</vt:lpwstr>
  </property>
  <property name="UpSlide_7317459460722.746073[PATH]" fmtid="{D5CDD505-2E9C-101B-9397-08002B2CF9AE}" pid="440">
    <vt:lpwstr>https://kpmgcan.sharepoint.com/sites/CA-KGSCanada-ProjectNorth/Shared Documents/Project North/Staff Files/Project North_(Jun-24) RF Draft report_21-Aug-24.pptx</vt:lpwstr>
  </property>
  <property name="UpSlide_1939459460932.260441[DESTINATION]" fmtid="{D5CDD505-2E9C-101B-9397-08002B2CF9AE}" pid="441">
    <vt:lpwstr>Powerpoint, 911</vt:lpwstr>
  </property>
  <property name="UpSlide_1939459460932.260441[PATH]" fmtid="{D5CDD505-2E9C-101B-9397-08002B2CF9AE}" pid="442">
    <vt:lpwstr>https://kpmgcan.sharepoint.com/sites/CA-KGSCanada-ProjectNorth/Shared Documents/Project North/Staff Files/Project North_(Jun-24) RF Draft report_31-Jul-24.pptx</vt:lpwstr>
  </property>
  <property name="UpSlide_8864459463306.625652[DESTINATION]" fmtid="{D5CDD505-2E9C-101B-9397-08002B2CF9AE}" pid="443">
    <vt:lpwstr>Powerpoint, 4772</vt:lpwstr>
  </property>
  <property name="UpSlide_8864459463306.625652[PATH]" fmtid="{D5CDD505-2E9C-101B-9397-08002B2CF9AE}" pid="444">
    <vt:lpwstr>https://kpmgcan.sharepoint.com/sites/CA-KGSCanada-ProjectNorth/Shared Documents/Project North/Staff Files/Project North_(Jun-24) RF Draft report_21-Aug-24.pptx</vt:lpwstr>
  </property>
  <property name="UpSlide_5472459463454.963139[DESTINATION]" fmtid="{D5CDD505-2E9C-101B-9397-08002B2CF9AE}" pid="445">
    <vt:lpwstr>Powerpoint, 4772</vt:lpwstr>
  </property>
  <property name="UpSlide_5472459463454.963139[PATH]" fmtid="{D5CDD505-2E9C-101B-9397-08002B2CF9AE}" pid="446">
    <vt:lpwstr>https://kpmgcan.sharepoint.com/sites/CA-KGSCanada-ProjectNorth/Shared Documents/Project North/Staff Files/Project North_(Jun-24) RF Draft report_21-Aug-24.pptx</vt:lpwstr>
  </property>
  <property name="UpSlide_2934459463626.443661[DESTINATION]" fmtid="{D5CDD505-2E9C-101B-9397-08002B2CF9AE}" pid="447">
    <vt:lpwstr>Powerpoint, 4793</vt:lpwstr>
  </property>
  <property name="UpSlide_2934459463626.443661[PATH]" fmtid="{D5CDD505-2E9C-101B-9397-08002B2CF9AE}" pid="448">
    <vt:lpwstr>https://kpmgcan.sharepoint.com/sites/CA-KGSCanada-ProjectNorth/Shared Documents/Project North/Staff Files/Project North_(Jun-24) RF Draft report_21-Aug-24.pptx</vt:lpwstr>
  </property>
  <property name="UpSlide_3246459463671.354052[DESTINATION]" fmtid="{D5CDD505-2E9C-101B-9397-08002B2CF9AE}" pid="449">
    <vt:lpwstr>Powerpoint, 4793</vt:lpwstr>
  </property>
  <property name="UpSlide_3246459463671.354052[PATH]" fmtid="{D5CDD505-2E9C-101B-9397-08002B2CF9AE}" pid="450">
    <vt:lpwstr>https://kpmgcan.sharepoint.com/sites/CA-KGSCanada-ProjectNorth/Shared Documents/Project North/Staff Files/Project North_(Jun-24) RF Draft report_31-Jul-24.pptx</vt:lpwstr>
  </property>
  <property name="UpSlide_5910459463770.644195[DESTINATION]" fmtid="{D5CDD505-2E9C-101B-9397-08002B2CF9AE}" pid="451">
    <vt:lpwstr>Powerpoint, 4773</vt:lpwstr>
  </property>
  <property name="UpSlide_5910459463770.644195[PATH]" fmtid="{D5CDD505-2E9C-101B-9397-08002B2CF9AE}" pid="452">
    <vt:lpwstr>https://kpmgcan.sharepoint.com/sites/CA-KGSCanada-ProjectNorth/Shared Documents/Project North/Staff Files/Project North_(Jun-24) RF Draft report_17-Aug-24.pptx</vt:lpwstr>
  </property>
  <property name="UpSlide_6768459614474.34348[DESTINATION]" fmtid="{D5CDD505-2E9C-101B-9397-08002B2CF9AE}" pid="453">
    <vt:lpwstr>Powerpoint, 4719</vt:lpwstr>
  </property>
  <property name="UpSlide_6768459614474.34348[PATH]" fmtid="{D5CDD505-2E9C-101B-9397-08002B2CF9AE}" pid="454">
    <vt:lpwstr>https://kpmgcan.sharepoint.com/sites/CA-KGSCanada-ProjectNorth/Shared Documents/Project North/Staff Files/Project North_(Jun-24) RF Draft report_25-Jul-24.pptx</vt:lpwstr>
  </property>
  <property name="UpSlide_8579459614781.300886[DESTINATION]" fmtid="{D5CDD505-2E9C-101B-9397-08002B2CF9AE}" pid="455">
    <vt:lpwstr>Powerpoint, 4783</vt:lpwstr>
  </property>
  <property name="UpSlide_8579459614781.300886[PATH]" fmtid="{D5CDD505-2E9C-101B-9397-08002B2CF9AE}" pid="456">
    <vt:lpwstr>https://kpmgcan.sharepoint.com/sites/CA-KGSCanada-ProjectNorth/Shared Documents/Project North/Staff Files/Project North_(Jun-24) RF Draft report_25-Jul-24.pptx</vt:lpwstr>
  </property>
  <property name="UpSlide_7483459615126.90295[DESTINATION]" fmtid="{D5CDD505-2E9C-101B-9397-08002B2CF9AE}" pid="457">
    <vt:lpwstr>Powerpoint, 4720</vt:lpwstr>
  </property>
  <property name="UpSlide_7483459615126.90295[PATH]" fmtid="{D5CDD505-2E9C-101B-9397-08002B2CF9AE}" pid="458">
    <vt:lpwstr>https://kpmgcan.sharepoint.com/sites/CA-KGSCanada-ProjectNorth/Shared Documents/Project North/Staff Files/Project North_(Jun-24) RF Draft report_25-Jul-24.pptx</vt:lpwstr>
  </property>
  <property name="UpSlide_5186459617061.447117[DESTINATION]" fmtid="{D5CDD505-2E9C-101B-9397-08002B2CF9AE}" pid="459">
    <vt:lpwstr>Powerpoint, 4716</vt:lpwstr>
  </property>
  <property name="UpSlide_5186459617061.447117[PATH]" fmtid="{D5CDD505-2E9C-101B-9397-08002B2CF9AE}" pid="460">
    <vt:lpwstr>https://kpmgcan.sharepoint.com/sites/CA-KGSCanada-ProjectNorth/Shared Documents/Project North/Staff Files/Project North_(Jun-24) RF Draft report_25-Jul-24.pptx</vt:lpwstr>
  </property>
  <property name="UpSlide_7084459619814.933538[DESTINATION]" fmtid="{D5CDD505-2E9C-101B-9397-08002B2CF9AE}" pid="461">
    <vt:lpwstr>Powerpoint, 4721</vt:lpwstr>
  </property>
  <property name="UpSlide_7084459619814.933538[PATH]" fmtid="{D5CDD505-2E9C-101B-9397-08002B2CF9AE}" pid="462">
    <vt:lpwstr>https://kpmgcan.sharepoint.com/sites/CA-KGSCanada-ProjectNorth/Shared Documents/Project North/Staff Files/Project North_(Jun-24) RF Draft report_25-Jul-24.pptx</vt:lpwstr>
  </property>
  <property name="UpSlide_5889459620685.10638[DESTINATION]" fmtid="{D5CDD505-2E9C-101B-9397-08002B2CF9AE}" pid="463">
    <vt:lpwstr>Powerpoint, 4718</vt:lpwstr>
  </property>
  <property name="UpSlide_5889459620685.10638[PATH]" fmtid="{D5CDD505-2E9C-101B-9397-08002B2CF9AE}" pid="464">
    <vt:lpwstr>https://kpmgcan.sharepoint.com/sites/CA-KGSCanada-ProjectNorth/Shared Documents/Project North/Staff Files/Project North_(Jun-24) RF Draft report_25-Jul-24.pptx</vt:lpwstr>
  </property>
  <property name="UpSlide_3771459621501.946437[DESTINATION]" fmtid="{D5CDD505-2E9C-101B-9397-08002B2CF9AE}" pid="465">
    <vt:lpwstr>Powerpoint, 4717</vt:lpwstr>
  </property>
  <property name="UpSlide_3771459621501.946437[PATH]" fmtid="{D5CDD505-2E9C-101B-9397-08002B2CF9AE}" pid="466">
    <vt:lpwstr>https://kpmgcan.sharepoint.com/sites/CA-KGSCanada-ProjectNorth/Shared Documents/Project North/Staff Files/Project North_(Jun-24) RF Draft report_25-Jul-24.pptx</vt:lpwstr>
  </property>
  <property name="UpSlide_33459622664.177303[DESTINATION]" fmtid="{D5CDD505-2E9C-101B-9397-08002B2CF9AE}" pid="467">
    <vt:lpwstr>Powerpoint, 4782</vt:lpwstr>
  </property>
  <property name="UpSlide_33459622664.177303[PATH]" fmtid="{D5CDD505-2E9C-101B-9397-08002B2CF9AE}" pid="468">
    <vt:lpwstr>https://kpmgcan.sharepoint.com/sites/CA-KGSCanada-ProjectNorth/Shared Documents/Project North/Staff Files/Project North_(Jun-24) RF Draft report_21-Aug-24.pptx</vt:lpwstr>
  </property>
  <property name="UpSlide_7008459622866.000846[DESTINATION]" fmtid="{D5CDD505-2E9C-101B-9397-08002B2CF9AE}" pid="469">
    <vt:lpwstr>Powerpoint, 4734</vt:lpwstr>
  </property>
  <property name="UpSlide_7008459622866.000846[PATH]" fmtid="{D5CDD505-2E9C-101B-9397-08002B2CF9AE}" pid="470">
    <vt:lpwstr>https://kpmgcan.sharepoint.com/sites/CA-KGSCanada-ProjectNorth/Shared Documents/Project North/Staff Files/Project North_(Jun-24) RF Draft report_21-Aug-24.pptx</vt:lpwstr>
  </property>
  <property name="UpSlide_4481459629747.401254[DESTINATION]" fmtid="{D5CDD505-2E9C-101B-9397-08002B2CF9AE}" pid="471">
    <vt:lpwstr>Powerpoint, 4797</vt:lpwstr>
  </property>
  <property name="UpSlide_4481459629747.401254[PATH]" fmtid="{D5CDD505-2E9C-101B-9397-08002B2CF9AE}" pid="472">
    <vt:lpwstr>https://kpmgcan.sharepoint.com/sites/CA-KGSCanada-ProjectNorth/Shared Documents/Project North/Staff Files/Project North_(Jun-24) RF Draft report_25-Jul-24.pptx</vt:lpwstr>
  </property>
  <property name="UpSlide_9481459638179.454463[DESTINATION]" fmtid="{D5CDD505-2E9C-101B-9397-08002B2CF9AE}" pid="473">
    <vt:lpwstr>Powerpoint, 4775</vt:lpwstr>
  </property>
  <property name="UpSlide_9481459638179.454463[PATH]" fmtid="{D5CDD505-2E9C-101B-9397-08002B2CF9AE}" pid="474">
    <vt:lpwstr>https://kpmgcan.sharepoint.com/sites/CA-KGSCanada-ProjectNorth/Shared Documents/Project North/Staff Files/Project North_(Jun-24) RF Draft report_31-Jul-24.pptx</vt:lpwstr>
  </property>
  <property name="UpSlide_2548459638424.873868[DESTINATION]" fmtid="{D5CDD505-2E9C-101B-9397-08002B2CF9AE}" pid="475">
    <vt:lpwstr>Powerpoint, 919</vt:lpwstr>
  </property>
  <property name="UpSlide_2548459638424.873868[PATH]" fmtid="{D5CDD505-2E9C-101B-9397-08002B2CF9AE}" pid="476">
    <vt:lpwstr>https://kpmgcan.sharepoint.com/sites/CA-KGSCanada-ProjectNorth/Shared Documents/Project North/Staff Files/Project North_(Jun-24) RF Draft report_17-Aug-24.pptx</vt:lpwstr>
  </property>
  <property name="UpSlide_2951459638495.276198[DESTINATION]" fmtid="{D5CDD505-2E9C-101B-9397-08002B2CF9AE}" pid="477">
    <vt:lpwstr>Powerpoint, 4774</vt:lpwstr>
  </property>
  <property name="UpSlide_2951459638495.276198[PATH]" fmtid="{D5CDD505-2E9C-101B-9397-08002B2CF9AE}" pid="478">
    <vt:lpwstr>https://kpmgcan.sharepoint.com/sites/CA-KGSCanada-ProjectNorth/Shared Documents/Project North/Staff Files/Project North_(Jun-24) RF Draft report_17-Aug-24.pptx</vt:lpwstr>
  </property>
  <property name="UpSlide_171459638652.078828[DESTINATION]" fmtid="{D5CDD505-2E9C-101B-9397-08002B2CF9AE}" pid="479">
    <vt:lpwstr>Powerpoint, 4796</vt:lpwstr>
  </property>
  <property name="UpSlide_171459638652.078828[PATH]" fmtid="{D5CDD505-2E9C-101B-9397-08002B2CF9AE}" pid="480">
    <vt:lpwstr>https://kpmgcan.sharepoint.com/sites/CA-KGSCanada-ProjectNorth/Shared Documents/Project North/Staff Files/Project North_(Jun-24) RF Draft report_25-Jul-24.pptx</vt:lpwstr>
  </property>
  <property name="UpSlide_7585459638725.258244[DESTINATION]" fmtid="{D5CDD505-2E9C-101B-9397-08002B2CF9AE}" pid="481">
    <vt:lpwstr>Powerpoint, 4796</vt:lpwstr>
  </property>
  <property name="UpSlide_7585459638725.258244[PATH]" fmtid="{D5CDD505-2E9C-101B-9397-08002B2CF9AE}" pid="482">
    <vt:lpwstr>https://kpmgcan.sharepoint.com/sites/CA-KGSCanada-ProjectNorth/Shared Documents/Project North/Staff Files/Project North_(Jun-24) RF Draft report_25-Jul-24.pptx</vt:lpwstr>
  </property>
  <property name="UpSlide_7534459638825.687523[DESTINATION]" fmtid="{D5CDD505-2E9C-101B-9397-08002B2CF9AE}" pid="483">
    <vt:lpwstr>Powerpoint, 4796</vt:lpwstr>
  </property>
  <property name="UpSlide_7534459638825.687523[PATH]" fmtid="{D5CDD505-2E9C-101B-9397-08002B2CF9AE}" pid="484">
    <vt:lpwstr>https://kpmgcan.sharepoint.com/sites/CA-KGSCanada-ProjectNorth/Shared Documents/Project North/Staff Files/Project North_(Jun-24) RF Draft report_25-Jul-24.pptx</vt:lpwstr>
  </property>
  <property name="UpSlide_7525459639066.847418[DESTINATION]" fmtid="{D5CDD505-2E9C-101B-9397-08002B2CF9AE}" pid="485">
    <vt:lpwstr>Powerpoint, 4776</vt:lpwstr>
  </property>
  <property name="UpSlide_7525459639066.847418[PATH]" fmtid="{D5CDD505-2E9C-101B-9397-08002B2CF9AE}" pid="486">
    <vt:lpwstr>https://kpmgcan.sharepoint.com/sites/CA-KGSCanada-ProjectNorth/Shared Documents/Project North/Staff Files/Project North_(Jun-24) RF Draft report_15-Aug-24.pptx</vt:lpwstr>
  </property>
  <property name="UpSlide_8198459639118.341285[DESTINATION]" fmtid="{D5CDD505-2E9C-101B-9397-08002B2CF9AE}" pid="487">
    <vt:lpwstr>Powerpoint, 4776</vt:lpwstr>
  </property>
  <property name="UpSlide_8198459639118.341285[PATH]" fmtid="{D5CDD505-2E9C-101B-9397-08002B2CF9AE}" pid="488">
    <vt:lpwstr>https://kpmgcan.sharepoint.com/sites/CA-KGSCanada-ProjectNorth/Shared Documents/Project North/Staff Files/Project North_(Jun-24) RF Draft report_25-Jul-24.pptx</vt:lpwstr>
  </property>
  <property name="UpSlide_9003459639180.995802[DESTINATION]" fmtid="{D5CDD505-2E9C-101B-9397-08002B2CF9AE}" pid="489">
    <vt:lpwstr>Powerpoint, 4777</vt:lpwstr>
  </property>
  <property name="UpSlide_9003459639180.995802[PATH]" fmtid="{D5CDD505-2E9C-101B-9397-08002B2CF9AE}" pid="490">
    <vt:lpwstr>https://kpmgcan.sharepoint.com/sites/CA-KGSCanada-ProjectNorth/Shared Documents/Project North/Staff Files/Project North_(Jun-24) RF Draft report_15-Aug-24.pptx</vt:lpwstr>
  </property>
  <property name="UpSlide_466459639196.541452[DESTINATION]" fmtid="{D5CDD505-2E9C-101B-9397-08002B2CF9AE}" pid="491">
    <vt:lpwstr>Powerpoint, 4777</vt:lpwstr>
  </property>
  <property name="UpSlide_466459639196.541452[PATH]" fmtid="{D5CDD505-2E9C-101B-9397-08002B2CF9AE}" pid="492">
    <vt:lpwstr>https://kpmgcan.sharepoint.com/sites/CA-KGSCanada-ProjectNorth/Shared Documents/Project North/Staff Files/Project North_(Jun-24) RF Draft report_25-Jul-24.pptx</vt:lpwstr>
  </property>
  <property name="UpSlide_5055459639406.38255[DESTINATION]" fmtid="{D5CDD505-2E9C-101B-9397-08002B2CF9AE}" pid="493">
    <vt:lpwstr>Powerpoint, 4712</vt:lpwstr>
  </property>
  <property name="UpSlide_5055459639406.38255[PATH]" fmtid="{D5CDD505-2E9C-101B-9397-08002B2CF9AE}" pid="494">
    <vt:lpwstr>https://kpmgcan.sharepoint.com/sites/CA-KGSCanada-ProjectNorth/Shared Documents/Project North/Staff Files/Project North_(Jun-24) RF Draft report_02-Aug-24.pptx</vt:lpwstr>
  </property>
  <property name="UpSlide_6893459639601.62007[DESTINATION]" fmtid="{D5CDD505-2E9C-101B-9397-08002B2CF9AE}" pid="495">
    <vt:lpwstr>Powerpoint, 915</vt:lpwstr>
  </property>
  <property name="UpSlide_6893459639601.62007[PATH]" fmtid="{D5CDD505-2E9C-101B-9397-08002B2CF9AE}" pid="496">
    <vt:lpwstr>https://kpmgcan.sharepoint.com/sites/CA-KGSCanada-ProjectNorth/Shared Documents/Project North/Staff Files/Project North_(Jun-24) RF Draft report_31-Jul-24.pptx</vt:lpwstr>
  </property>
  <property name="UpSlide_6715460155167.510482[DESTINATION]" fmtid="{D5CDD505-2E9C-101B-9397-08002B2CF9AE}" pid="497">
    <vt:lpwstr>Powerpoint, 4749</vt:lpwstr>
  </property>
  <property name="UpSlide_6715460155167.510482[PATH]" fmtid="{D5CDD505-2E9C-101B-9397-08002B2CF9AE}" pid="498">
    <vt:lpwstr>https://kpmgcan.sharepoint.com/sites/CA-KGSCanada-ProjectNorth/Shared Documents/Project North/Staff Files/Project North_(Jun-24) RF Draft report_21-Aug-24.pptx</vt:lpwstr>
  </property>
  <property name="UpSlide_8043460162165.423056[DESTINATION]" fmtid="{D5CDD505-2E9C-101B-9397-08002B2CF9AE}" pid="499">
    <vt:lpwstr>Powerpoint, 4768</vt:lpwstr>
  </property>
  <property name="UpSlide_8043460162165.423056[PATH]" fmtid="{D5CDD505-2E9C-101B-9397-08002B2CF9AE}" pid="500">
    <vt:lpwstr>https://kpmgcan.sharepoint.com/sites/CA-KGSCanada-ProjectNorth/Shared Documents/Project North/Staff Files/Project North_(Jun-24) RF Draft report_31-Jul-24.pptx</vt:lpwstr>
  </property>
  <property name="UpSlide_700460175488.780593[DESTINATION]" fmtid="{D5CDD505-2E9C-101B-9397-08002B2CF9AE}" pid="501">
    <vt:lpwstr>Powerpoint, 4698</vt:lpwstr>
  </property>
  <property name="UpSlide_700460175488.780593[PATH]" fmtid="{D5CDD505-2E9C-101B-9397-08002B2CF9AE}" pid="502">
    <vt:lpwstr>https://kpmgcan.sharepoint.com/sites/CA-KGSCanada-ProjectNorth/Shared Documents/Project North/Staff Files/Project North_(Jun-24) RF Draft report_31-Jul-24.pptx</vt:lpwstr>
  </property>
  <property name="UpSlide_5033460175586.554926[DESTINATION]" fmtid="{D5CDD505-2E9C-101B-9397-08002B2CF9AE}" pid="503">
    <vt:lpwstr>Powerpoint, 4711</vt:lpwstr>
  </property>
  <property name="UpSlide_5033460175586.554926[PATH]" fmtid="{D5CDD505-2E9C-101B-9397-08002B2CF9AE}" pid="504">
    <vt:lpwstr>https://kpmgcan.sharepoint.com/sites/CA-KGSCanada-ProjectNorth/Shared Documents/Project North/Staff Files/Project North_(Jun-24) RF Draft report_31-Jul-24.pptx</vt:lpwstr>
  </property>
  <property name="UpSlide_5159460176086.890185[DESTINATION]" fmtid="{D5CDD505-2E9C-101B-9397-08002B2CF9AE}" pid="505">
    <vt:lpwstr>Powerpoint, 4713</vt:lpwstr>
  </property>
  <property name="UpSlide_5159460176086.890185[PATH]" fmtid="{D5CDD505-2E9C-101B-9397-08002B2CF9AE}" pid="506">
    <vt:lpwstr>https://kpmgcan.sharepoint.com/sites/CA-KGSCanada-ProjectNorth/Shared Documents/Project North/Staff Files/Project North_(Jun-24) RF Draft report_31-Jul-24.pptx</vt:lpwstr>
  </property>
  <property name="UpSlide_4603460232598.763499[DESTINATION]" fmtid="{D5CDD505-2E9C-101B-9397-08002B2CF9AE}" pid="507">
    <vt:lpwstr>Powerpoint, 4697</vt:lpwstr>
  </property>
  <property name="UpSlide_4603460232598.763499[PATH]" fmtid="{D5CDD505-2E9C-101B-9397-08002B2CF9AE}" pid="508">
    <vt:lpwstr>https://kpmgcan.sharepoint.com/sites/CA-KGSCanada-ProjectNorth/Shared Documents/Project North/Staff Files/Project North_(Jun-24) RF Draft report_21-Aug-24.pptx</vt:lpwstr>
  </property>
  <property name="UpSlide_2041461444608.509369[DESTINATION]" fmtid="{D5CDD505-2E9C-101B-9397-08002B2CF9AE}" pid="509">
    <vt:lpwstr>Powerpoint, 4796</vt:lpwstr>
  </property>
  <property name="UpSlide_2041461444608.509369[PATH]" fmtid="{D5CDD505-2E9C-101B-9397-08002B2CF9AE}" pid="510">
    <vt:lpwstr>https://kpmgcan.sharepoint.com/sites/CA-KGSCanada-ProjectNorth/Shared Documents/Project North/Staff Files/Project North_(Jun-24) RF Draft report_15-Aug-24.pptx</vt:lpwstr>
  </property>
  <property name="UpSlide_1632461445333.781375[DESTINATION]" fmtid="{D5CDD505-2E9C-101B-9397-08002B2CF9AE}" pid="511">
    <vt:lpwstr>Powerpoint, 4711</vt:lpwstr>
  </property>
  <property name="UpSlide_1632461445333.781375[PATH]" fmtid="{D5CDD505-2E9C-101B-9397-08002B2CF9AE}" pid="512">
    <vt:lpwstr>https://kpmgcan.sharepoint.com/sites/CA-KGSCanada-ProjectNorth/Shared Documents/Project North/Staff Files/Project North_(Jun-24) RF Draft report_15-Aug-24.pptx</vt:lpwstr>
  </property>
  <property name="UpSlide_3457461446275.386074[DESTINATION]" fmtid="{D5CDD505-2E9C-101B-9397-08002B2CF9AE}" pid="513">
    <vt:lpwstr>Powerpoint, 4710</vt:lpwstr>
  </property>
  <property name="UpSlide_3457461446275.386074[PATH]" fmtid="{D5CDD505-2E9C-101B-9397-08002B2CF9AE}" pid="514">
    <vt:lpwstr>https://kpmgcan.sharepoint.com/sites/CA-KGSCanada-ProjectNorth/Shared Documents/Project North/Staff Files/Project North_(Jun-24) RF Draft report_15-Aug-24.pptx</vt:lpwstr>
  </property>
  <property name="UpSlide_1454461536982.730292[DESTINATION]" fmtid="{D5CDD505-2E9C-101B-9397-08002B2CF9AE}" pid="515">
    <vt:lpwstr>Powerpoint, 912</vt:lpwstr>
  </property>
  <property name="UpSlide_1454461536982.730292[PATH]" fmtid="{D5CDD505-2E9C-101B-9397-08002B2CF9AE}" pid="516">
    <vt:lpwstr>https://kpmgcan.sharepoint.com/sites/CA-KGSCanada-ProjectNorth/Shared Documents/Project North/Staff Files/Project North_(Jun-24) RF Draft report_21-Aug-24.pptx</vt:lpwstr>
  </property>
  <property name="UpSlide_6336461708171.217096[DESTINATION]" fmtid="{D5CDD505-2E9C-101B-9397-08002B2CF9AE}" pid="517">
    <vt:lpwstr>Powerpoint, 886</vt:lpwstr>
  </property>
  <property name="UpSlide_6336461708171.217096[PATH]" fmtid="{D5CDD505-2E9C-101B-9397-08002B2CF9AE}" pid="518">
    <vt:lpwstr>https://kpmgcan.sharepoint.com/sites/CA-KGSCanada-ProjectNorth/Shared Documents/Project North/Staff Files/Project North_(Jun-24) RF Draft report_17-Aug-24.pptx</vt:lpwstr>
  </property>
  <property name="UpSlide_6649461952296.870365[DESTINATION]" fmtid="{D5CDD505-2E9C-101B-9397-08002B2CF9AE}" pid="519">
    <vt:lpwstr>Powerpoint, 886</vt:lpwstr>
  </property>
  <property name="UpSlide_6649461952296.870365[PATH]" fmtid="{D5CDD505-2E9C-101B-9397-08002B2CF9AE}" pid="520">
    <vt:lpwstr>https://kpmgcan.sharepoint.com/sites/CA-KGSCanada-ProjectNorth/Shared Documents/Project North/Staff Files/Project North_(Jun-24) RF Draft report_21-Aug-24.pptx</vt:lpwstr>
  </property>
  <property name="UpSlide_311461980084.080147[DESTINATION]" fmtid="{D5CDD505-2E9C-101B-9397-08002B2CF9AE}" pid="521">
    <vt:lpwstr>Powerpoint, 4753</vt:lpwstr>
  </property>
  <property name="UpSlide_311461980084.080147[PATH]" fmtid="{D5CDD505-2E9C-101B-9397-08002B2CF9AE}" pid="522">
    <vt:lpwstr>https://kpmgcan.sharepoint.com/sites/CA-KGSCanada-ProjectNorth/Shared Documents/Project North/Staff Files/Project North_(Jun-24) RF Draft report_21-Aug-24 vS.pptx</vt:lpwstr>
  </property>
  <property name="MediaServiceImageTags" fmtid="{D5CDD505-2E9C-101B-9397-08002B2CF9AE}" pid="523">
    <vt:lpwstr/>
  </property>
</Properties>
</file>