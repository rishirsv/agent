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Setup" sheetId="1" state="visible" r:id="rId1"/>
    <sheet name="Control | QC" sheetId="2" state="visible" r:id="rId2"/>
    <sheet name="Template | Index" sheetId="3" state="visible" r:id="rId3"/>
    <sheet name="Data | TB" sheetId="4" state="visible" r:id="rId4"/>
    <sheet name="Data | AR Aging" sheetId="5" state="visible" r:id="rId5"/>
    <sheet name="Data | AP Aging" sheetId="6" state="visible" r:id="rId6"/>
    <sheet name="Map | COA to Lines" sheetId="7" state="visible" r:id="rId7"/>
    <sheet name="Map | NWC &amp; NetDebt Class" sheetId="8" state="visible" r:id="rId8"/>
    <sheet name="Map | Entities" sheetId="9" state="visible" r:id="rId9"/>
    <sheet name="Financials&gt;&gt;" sheetId="10" state="visible" r:id="rId10"/>
    <sheet name="Combined | IS" sheetId="11" state="visible" r:id="rId11"/>
    <sheet name="Combined | BS" sheetId="12" state="visible" r:id="rId12"/>
    <sheet name="Combined | CF" sheetId="13" state="visible" r:id="rId13"/>
    <sheet name="Entity 1 | IS" sheetId="14" state="visible" r:id="rId14"/>
    <sheet name="Entity 1 | BS" sheetId="15" state="visible" r:id="rId15"/>
    <sheet name="Entity 1 | CF" sheetId="16" state="visible" r:id="rId16"/>
    <sheet name="QofE&gt;&gt;" sheetId="17" state="visible" r:id="rId17"/>
    <sheet name="QofE | Summary" sheetId="18" state="visible" r:id="rId18"/>
    <sheet name="QofE | Detail" sheetId="19" state="visible" r:id="rId19"/>
    <sheet name="NWC&gt;&gt;" sheetId="20" state="visible" r:id="rId20"/>
    <sheet name="NWC | Summary" sheetId="21" state="visible" r:id="rId21"/>
    <sheet name="NWC | Detail" sheetId="22" state="visible" r:id="rId22"/>
    <sheet name="NWC | Days" sheetId="23" state="visible" r:id="rId23"/>
    <sheet name="Stratified | BS" sheetId="24" state="visible" r:id="rId24"/>
    <sheet name="Net_debt" sheetId="25" state="visible" r:id="rId25"/>
    <sheet name="Recons" sheetId="26" state="visible" r:id="rId26"/>
    <sheet name="Agings" sheetId="27" state="visible" r:id="rId27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'Control | Setup'!$A$1:$I$60</definedName>
    <definedName name="_xlnm.Print_Area" localSheetId="2">'Template | Index'!$A$1:$K$85</definedName>
    <definedName name="_xlnm.Print_Area" localSheetId="3">'Data | TB'!$A$1:$AS$220</definedName>
    <definedName name="_xlnm.Print_Area" localSheetId="10">'Combined | IS'!$A$1:$AS$32</definedName>
    <definedName name="_xlnm.Print_Area" localSheetId="11">'Combined | BS'!$A$1:$AS$32</definedName>
    <definedName name="_xlnm.Print_Area" localSheetId="12">'Combined | CF'!$A$1:$AS$32</definedName>
    <definedName name="_xlnm.Print_Area" localSheetId="13">'Entity 1 | IS'!$A$1:$AS$32</definedName>
    <definedName name="_xlnm.Print_Area" localSheetId="14">'Entity 1 | BS'!$A$1:$AS$32</definedName>
    <definedName name="_xlnm.Print_Area" localSheetId="15">'Entity 1 | CF'!$A$1:$AS$32</definedName>
    <definedName name="_xlnm.Print_Area" localSheetId="17">'QofE | Summary'!$A$1:$J$22</definedName>
    <definedName name="_xlnm.Print_Area" localSheetId="18">'QofE | Detail'!$A$1:$AS$32</definedName>
    <definedName name="_xlnm.Print_Area" localSheetId="20">'NWC | Summary'!$A$1:$L$18</definedName>
    <definedName name="_xlnm.Print_Area" localSheetId="21">'NWC | Detail'!$A$1:$AS$32</definedName>
    <definedName name="_xlnm.Print_Area" localSheetId="23">'Stratified | BS'!$A$1:$AS$32</definedName>
    <definedName name="_xlnm.Print_Area" localSheetId="24">'Net_debt'!$A$1:$J$35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/>
    </row>
    <row r="9">
      <c r="A9" s="3938" t="inlineStr">
        <is>
          <t>TemplateVersion</t>
        </is>
      </c>
      <c r="B9" s="3939" t="inlineStr">
        <is>
          <t>v1.0-packA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inlineStr"/>
    </row>
    <row r="20">
      <c r="A20" s="3979" t="inlineStr">
        <is>
          <t>Control | Periods</t>
        </is>
      </c>
      <c r="B20" s="3980" t="n"/>
      <c r="C20" s="3980" t="n"/>
      <c r="D20" s="3980" t="n"/>
      <c r="E20" s="3980" t="n"/>
      <c r="F20" s="3980" t="n"/>
      <c r="G20" s="3980" t="n"/>
      <c r="H20" s="3980" t="n"/>
      <c r="I20" s="3980" t="n"/>
    </row>
    <row r="21">
      <c r="A21" s="3923" t="inlineStr">
        <is>
          <t>PeriodEndDate</t>
        </is>
      </c>
      <c r="B21" s="3923" t="inlineStr">
        <is>
          <t>PeriodKey</t>
        </is>
      </c>
      <c r="C21" s="3923" t="inlineStr">
        <is>
          <t>Label_Flow</t>
        </is>
      </c>
      <c r="D21" s="3923" t="inlineStr">
        <is>
          <t>Label_Snapshot</t>
        </is>
      </c>
      <c r="E21" s="3923" t="inlineStr">
        <is>
          <t>FY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/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/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/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/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/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/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/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/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/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/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/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/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/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/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/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/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/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/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/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/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/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/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/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/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/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/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/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/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/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/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/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/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/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/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/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/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>
        <f>IF(A60="","",TEXT(A60,"yyyymm"))</f>
        <v/>
      </c>
      <c r="C60" s="3959">
        <f>IF(A60="","",TEXT(A60,"mmm-yy"))</f>
        <v/>
      </c>
      <c r="D60" s="3959">
        <f>IF(A60="","",TEXT(A60,"mmm-yy"))</f>
        <v/>
      </c>
      <c r="E60" s="3959">
        <f>IF(A60="","",YEAR(A60)+(MONTH(A60)&gt;$B$12))</f>
        <v/>
      </c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>
        <f>IF(A61="","",TEXT(A61,"yyyymm"))</f>
        <v/>
      </c>
      <c r="C61" s="3959">
        <f>IF(A61="","",TEXT(A61,"mmm-yy"))</f>
        <v/>
      </c>
      <c r="D61" s="3959">
        <f>IF(A61="","",TEXT(A61,"mmm-yy"))</f>
        <v/>
      </c>
      <c r="E61" s="3959">
        <f>IF(A61="","",YEAR(A61)+(MONTH(A61)&gt;$B$12))</f>
        <v/>
      </c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>
        <f>IF(A62="","",TEXT(A62,"yyyymm"))</f>
        <v/>
      </c>
      <c r="C62" s="3959">
        <f>IF(A62="","",TEXT(A62,"mmm-yy"))</f>
        <v/>
      </c>
      <c r="D62" s="3959">
        <f>IF(A62="","",TEXT(A62,"mmm-yy"))</f>
        <v/>
      </c>
      <c r="E62" s="3959">
        <f>IF(A62="","",YEAR(A62)+(MONTH(A62)&gt;$B$12))</f>
        <v/>
      </c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7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Pack A scaffold only: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Data | TB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n"/>
      <c r="B9" s="3944" t="n"/>
      <c r="C9" s="3944" t="n"/>
      <c r="D9" s="3944" t="n"/>
      <c r="E9" s="3944" t="n"/>
      <c r="F9" s="3944" t="n"/>
      <c r="G9" s="3942" t="n"/>
      <c r="H9" s="3942" t="n"/>
      <c r="I9" s="3942" t="n"/>
      <c r="J9" s="3942" t="n"/>
      <c r="K9" s="3942" t="n"/>
      <c r="L9" s="3942" t="n"/>
      <c r="M9" s="3942" t="n"/>
      <c r="N9" s="3942" t="n"/>
      <c r="O9" s="3942" t="n"/>
      <c r="P9" s="3942" t="n"/>
      <c r="Q9" s="3942" t="n"/>
      <c r="R9" s="3942" t="n"/>
      <c r="S9" s="3942" t="n"/>
      <c r="T9" s="3942" t="n"/>
      <c r="U9" s="3942" t="n"/>
      <c r="V9" s="3942" t="n"/>
      <c r="W9" s="3942" t="n"/>
      <c r="X9" s="3942" t="n"/>
      <c r="Y9" s="3942" t="n"/>
      <c r="Z9" s="3942" t="n"/>
      <c r="AA9" s="3942" t="n"/>
      <c r="AB9" s="3942" t="n"/>
      <c r="AC9" s="3942" t="n"/>
      <c r="AD9" s="3942" t="n"/>
      <c r="AE9" s="3942" t="n"/>
      <c r="AF9" s="3942" t="n"/>
      <c r="AG9" s="3942" t="n"/>
      <c r="AH9" s="3942" t="n"/>
      <c r="AI9" s="3942" t="n"/>
      <c r="AJ9" s="3942" t="n"/>
      <c r="AK9" s="3942" t="n"/>
      <c r="AL9" s="3942" t="n"/>
      <c r="AM9" s="3942" t="n"/>
      <c r="AN9" s="3942" t="n"/>
      <c r="AO9" s="3942" t="n"/>
      <c r="AP9" s="3942" t="n"/>
      <c r="AQ9" s="3942" t="n"/>
      <c r="AR9" s="3942" t="n"/>
      <c r="AS9" s="3942" t="n"/>
    </row>
    <row r="10">
      <c r="A10" s="3944" t="n"/>
      <c r="B10" s="3944" t="n"/>
      <c r="C10" s="3944" t="n"/>
      <c r="D10" s="3944" t="n"/>
      <c r="E10" s="3944" t="n"/>
      <c r="F10" s="3944" t="n"/>
      <c r="G10" s="3942" t="n"/>
      <c r="H10" s="3942" t="n"/>
      <c r="I10" s="3942" t="n"/>
      <c r="J10" s="3942" t="n"/>
      <c r="K10" s="3942" t="n"/>
      <c r="L10" s="3942" t="n"/>
      <c r="M10" s="3942" t="n"/>
      <c r="N10" s="3942" t="n"/>
      <c r="O10" s="3942" t="n"/>
      <c r="P10" s="3942" t="n"/>
      <c r="Q10" s="3942" t="n"/>
      <c r="R10" s="3942" t="n"/>
      <c r="S10" s="3942" t="n"/>
      <c r="T10" s="3942" t="n"/>
      <c r="U10" s="3942" t="n"/>
      <c r="V10" s="3942" t="n"/>
      <c r="W10" s="3942" t="n"/>
      <c r="X10" s="3942" t="n"/>
      <c r="Y10" s="3942" t="n"/>
      <c r="Z10" s="3942" t="n"/>
      <c r="AA10" s="3942" t="n"/>
      <c r="AB10" s="3942" t="n"/>
      <c r="AC10" s="3942" t="n"/>
      <c r="AD10" s="3942" t="n"/>
      <c r="AE10" s="3942" t="n"/>
      <c r="AF10" s="3942" t="n"/>
      <c r="AG10" s="3942" t="n"/>
      <c r="AH10" s="3942" t="n"/>
      <c r="AI10" s="3942" t="n"/>
      <c r="AJ10" s="3942" t="n"/>
      <c r="AK10" s="3942" t="n"/>
      <c r="AL10" s="3942" t="n"/>
      <c r="AM10" s="3942" t="n"/>
      <c r="AN10" s="3942" t="n"/>
      <c r="AO10" s="3942" t="n"/>
      <c r="AP10" s="3942" t="n"/>
      <c r="AQ10" s="3942" t="n"/>
      <c r="AR10" s="3942" t="n"/>
      <c r="AS10" s="3942" t="n"/>
    </row>
    <row r="11">
      <c r="A11" s="3944" t="n"/>
      <c r="B11" s="3944" t="n"/>
      <c r="C11" s="3944" t="n"/>
      <c r="D11" s="3944" t="n"/>
      <c r="E11" s="3944" t="n"/>
      <c r="F11" s="3944" t="n"/>
      <c r="G11" s="3942" t="n"/>
      <c r="H11" s="3942" t="n"/>
      <c r="I11" s="3942" t="n"/>
      <c r="J11" s="3942" t="n"/>
      <c r="K11" s="3942" t="n"/>
      <c r="L11" s="3942" t="n"/>
      <c r="M11" s="3942" t="n"/>
      <c r="N11" s="3942" t="n"/>
      <c r="O11" s="3942" t="n"/>
      <c r="P11" s="3942" t="n"/>
      <c r="Q11" s="3942" t="n"/>
      <c r="R11" s="3942" t="n"/>
      <c r="S11" s="3942" t="n"/>
      <c r="T11" s="3942" t="n"/>
      <c r="U11" s="3942" t="n"/>
      <c r="V11" s="3942" t="n"/>
      <c r="W11" s="3942" t="n"/>
      <c r="X11" s="3942" t="n"/>
      <c r="Y11" s="3942" t="n"/>
      <c r="Z11" s="3942" t="n"/>
      <c r="AA11" s="3942" t="n"/>
      <c r="AB11" s="3942" t="n"/>
      <c r="AC11" s="3942" t="n"/>
      <c r="AD11" s="3942" t="n"/>
      <c r="AE11" s="3942" t="n"/>
      <c r="AF11" s="3942" t="n"/>
      <c r="AG11" s="3942" t="n"/>
      <c r="AH11" s="3942" t="n"/>
      <c r="AI11" s="3942" t="n"/>
      <c r="AJ11" s="3942" t="n"/>
      <c r="AK11" s="3942" t="n"/>
      <c r="AL11" s="3942" t="n"/>
      <c r="AM11" s="3942" t="n"/>
      <c r="AN11" s="3942" t="n"/>
      <c r="AO11" s="3942" t="n"/>
      <c r="AP11" s="3942" t="n"/>
      <c r="AQ11" s="3942" t="n"/>
      <c r="AR11" s="3942" t="n"/>
      <c r="AS11" s="3942" t="n"/>
    </row>
    <row r="12">
      <c r="A12" s="3944" t="n"/>
      <c r="B12" s="3944" t="n"/>
      <c r="C12" s="3944" t="n"/>
      <c r="D12" s="3944" t="n"/>
      <c r="E12" s="3944" t="n"/>
      <c r="F12" s="3944" t="n"/>
      <c r="G12" s="3942" t="n"/>
      <c r="H12" s="3942" t="n"/>
      <c r="I12" s="3942" t="n"/>
      <c r="J12" s="3942" t="n"/>
      <c r="K12" s="3942" t="n"/>
      <c r="L12" s="3942" t="n"/>
      <c r="M12" s="3942" t="n"/>
      <c r="N12" s="3942" t="n"/>
      <c r="O12" s="3942" t="n"/>
      <c r="P12" s="3942" t="n"/>
      <c r="Q12" s="3942" t="n"/>
      <c r="R12" s="3942" t="n"/>
      <c r="S12" s="3942" t="n"/>
      <c r="T12" s="3942" t="n"/>
      <c r="U12" s="3942" t="n"/>
      <c r="V12" s="3942" t="n"/>
      <c r="W12" s="3942" t="n"/>
      <c r="X12" s="3942" t="n"/>
      <c r="Y12" s="3942" t="n"/>
      <c r="Z12" s="3942" t="n"/>
      <c r="AA12" s="3942" t="n"/>
      <c r="AB12" s="3942" t="n"/>
      <c r="AC12" s="3942" t="n"/>
      <c r="AD12" s="3942" t="n"/>
      <c r="AE12" s="3942" t="n"/>
      <c r="AF12" s="3942" t="n"/>
      <c r="AG12" s="3942" t="n"/>
      <c r="AH12" s="3942" t="n"/>
      <c r="AI12" s="3942" t="n"/>
      <c r="AJ12" s="3942" t="n"/>
      <c r="AK12" s="3942" t="n"/>
      <c r="AL12" s="3942" t="n"/>
      <c r="AM12" s="3942" t="n"/>
      <c r="AN12" s="3942" t="n"/>
      <c r="AO12" s="3942" t="n"/>
      <c r="AP12" s="3942" t="n"/>
      <c r="AQ12" s="3942" t="n"/>
      <c r="AR12" s="3942" t="n"/>
      <c r="AS12" s="3942" t="n"/>
    </row>
    <row r="13">
      <c r="A13" s="3944" t="n"/>
      <c r="B13" s="3944" t="n"/>
      <c r="C13" s="3944" t="n"/>
      <c r="D13" s="3944" t="n"/>
      <c r="E13" s="3944" t="n"/>
      <c r="F13" s="3944" t="n"/>
      <c r="G13" s="3942" t="n"/>
      <c r="H13" s="3942" t="n"/>
      <c r="I13" s="3942" t="n"/>
      <c r="J13" s="3942" t="n"/>
      <c r="K13" s="3942" t="n"/>
      <c r="L13" s="3942" t="n"/>
      <c r="M13" s="3942" t="n"/>
      <c r="N13" s="3942" t="n"/>
      <c r="O13" s="3942" t="n"/>
      <c r="P13" s="3942" t="n"/>
      <c r="Q13" s="3942" t="n"/>
      <c r="R13" s="3942" t="n"/>
      <c r="S13" s="3942" t="n"/>
      <c r="T13" s="3942" t="n"/>
      <c r="U13" s="3942" t="n"/>
      <c r="V13" s="3942" t="n"/>
      <c r="W13" s="3942" t="n"/>
      <c r="X13" s="3942" t="n"/>
      <c r="Y13" s="3942" t="n"/>
      <c r="Z13" s="3942" t="n"/>
      <c r="AA13" s="3942" t="n"/>
      <c r="AB13" s="3942" t="n"/>
      <c r="AC13" s="3942" t="n"/>
      <c r="AD13" s="3942" t="n"/>
      <c r="AE13" s="3942" t="n"/>
      <c r="AF13" s="3942" t="n"/>
      <c r="AG13" s="3942" t="n"/>
      <c r="AH13" s="3942" t="n"/>
      <c r="AI13" s="3942" t="n"/>
      <c r="AJ13" s="3942" t="n"/>
      <c r="AK13" s="3942" t="n"/>
      <c r="AL13" s="3942" t="n"/>
      <c r="AM13" s="3942" t="n"/>
      <c r="AN13" s="3942" t="n"/>
      <c r="AO13" s="3942" t="n"/>
      <c r="AP13" s="3942" t="n"/>
      <c r="AQ13" s="3942" t="n"/>
      <c r="AR13" s="3942" t="n"/>
      <c r="AS13" s="3942" t="n"/>
    </row>
    <row r="14">
      <c r="A14" s="3944" t="n"/>
      <c r="B14" s="3944" t="n"/>
      <c r="C14" s="3944" t="n"/>
      <c r="D14" s="3944" t="n"/>
      <c r="E14" s="3944" t="n"/>
      <c r="F14" s="3944" t="n"/>
      <c r="G14" s="3942" t="n"/>
      <c r="H14" s="3942" t="n"/>
      <c r="I14" s="3942" t="n"/>
      <c r="J14" s="3942" t="n"/>
      <c r="K14" s="3942" t="n"/>
      <c r="L14" s="3942" t="n"/>
      <c r="M14" s="3942" t="n"/>
      <c r="N14" s="3942" t="n"/>
      <c r="O14" s="3942" t="n"/>
      <c r="P14" s="3942" t="n"/>
      <c r="Q14" s="3942" t="n"/>
      <c r="R14" s="3942" t="n"/>
      <c r="S14" s="3942" t="n"/>
      <c r="T14" s="3942" t="n"/>
      <c r="U14" s="3942" t="n"/>
      <c r="V14" s="3942" t="n"/>
      <c r="W14" s="3942" t="n"/>
      <c r="X14" s="3942" t="n"/>
      <c r="Y14" s="3942" t="n"/>
      <c r="Z14" s="3942" t="n"/>
      <c r="AA14" s="3942" t="n"/>
      <c r="AB14" s="3942" t="n"/>
      <c r="AC14" s="3942" t="n"/>
      <c r="AD14" s="3942" t="n"/>
      <c r="AE14" s="3942" t="n"/>
      <c r="AF14" s="3942" t="n"/>
      <c r="AG14" s="3942" t="n"/>
      <c r="AH14" s="3942" t="n"/>
      <c r="AI14" s="3942" t="n"/>
      <c r="AJ14" s="3942" t="n"/>
      <c r="AK14" s="3942" t="n"/>
      <c r="AL14" s="3942" t="n"/>
      <c r="AM14" s="3942" t="n"/>
      <c r="AN14" s="3942" t="n"/>
      <c r="AO14" s="3942" t="n"/>
      <c r="AP14" s="3942" t="n"/>
      <c r="AQ14" s="3942" t="n"/>
      <c r="AR14" s="3942" t="n"/>
      <c r="AS14" s="3942" t="n"/>
    </row>
    <row r="15">
      <c r="A15" s="3944" t="n"/>
      <c r="B15" s="3944" t="n"/>
      <c r="C15" s="3944" t="n"/>
      <c r="D15" s="3944" t="n"/>
      <c r="E15" s="3944" t="n"/>
      <c r="F15" s="3944" t="n"/>
      <c r="G15" s="3942" t="n"/>
      <c r="H15" s="3942" t="n"/>
      <c r="I15" s="3942" t="n"/>
      <c r="J15" s="3942" t="n"/>
      <c r="K15" s="3942" t="n"/>
      <c r="L15" s="3942" t="n"/>
      <c r="M15" s="3942" t="n"/>
      <c r="N15" s="3942" t="n"/>
      <c r="O15" s="3942" t="n"/>
      <c r="P15" s="3942" t="n"/>
      <c r="Q15" s="3942" t="n"/>
      <c r="R15" s="3942" t="n"/>
      <c r="S15" s="3942" t="n"/>
      <c r="T15" s="3942" t="n"/>
      <c r="U15" s="3942" t="n"/>
      <c r="V15" s="3942" t="n"/>
      <c r="W15" s="3942" t="n"/>
      <c r="X15" s="3942" t="n"/>
      <c r="Y15" s="3942" t="n"/>
      <c r="Z15" s="3942" t="n"/>
      <c r="AA15" s="3942" t="n"/>
      <c r="AB15" s="3942" t="n"/>
      <c r="AC15" s="3942" t="n"/>
      <c r="AD15" s="3942" t="n"/>
      <c r="AE15" s="3942" t="n"/>
      <c r="AF15" s="3942" t="n"/>
      <c r="AG15" s="3942" t="n"/>
      <c r="AH15" s="3942" t="n"/>
      <c r="AI15" s="3942" t="n"/>
      <c r="AJ15" s="3942" t="n"/>
      <c r="AK15" s="3942" t="n"/>
      <c r="AL15" s="3942" t="n"/>
      <c r="AM15" s="3942" t="n"/>
      <c r="AN15" s="3942" t="n"/>
      <c r="AO15" s="3942" t="n"/>
      <c r="AP15" s="3942" t="n"/>
      <c r="AQ15" s="3942" t="n"/>
      <c r="AR15" s="3942" t="n"/>
      <c r="AS15" s="3942" t="n"/>
    </row>
    <row r="16">
      <c r="A16" s="3944" t="n"/>
      <c r="B16" s="3944" t="n"/>
      <c r="C16" s="3944" t="n"/>
      <c r="D16" s="3944" t="n"/>
      <c r="E16" s="3944" t="n"/>
      <c r="F16" s="3944" t="n"/>
      <c r="G16" s="3942" t="n"/>
      <c r="H16" s="3942" t="n"/>
      <c r="I16" s="3942" t="n"/>
      <c r="J16" s="3942" t="n"/>
      <c r="K16" s="3942" t="n"/>
      <c r="L16" s="3942" t="n"/>
      <c r="M16" s="3942" t="n"/>
      <c r="N16" s="3942" t="n"/>
      <c r="O16" s="3942" t="n"/>
      <c r="P16" s="3942" t="n"/>
      <c r="Q16" s="3942" t="n"/>
      <c r="R16" s="3942" t="n"/>
      <c r="S16" s="3942" t="n"/>
      <c r="T16" s="3942" t="n"/>
      <c r="U16" s="3942" t="n"/>
      <c r="V16" s="3942" t="n"/>
      <c r="W16" s="3942" t="n"/>
      <c r="X16" s="3942" t="n"/>
      <c r="Y16" s="3942" t="n"/>
      <c r="Z16" s="3942" t="n"/>
      <c r="AA16" s="3942" t="n"/>
      <c r="AB16" s="3942" t="n"/>
      <c r="AC16" s="3942" t="n"/>
      <c r="AD16" s="3942" t="n"/>
      <c r="AE16" s="3942" t="n"/>
      <c r="AF16" s="3942" t="n"/>
      <c r="AG16" s="3942" t="n"/>
      <c r="AH16" s="3942" t="n"/>
      <c r="AI16" s="3942" t="n"/>
      <c r="AJ16" s="3942" t="n"/>
      <c r="AK16" s="3942" t="n"/>
      <c r="AL16" s="3942" t="n"/>
      <c r="AM16" s="3942" t="n"/>
      <c r="AN16" s="3942" t="n"/>
      <c r="AO16" s="3942" t="n"/>
      <c r="AP16" s="3942" t="n"/>
      <c r="AQ16" s="3942" t="n"/>
      <c r="AR16" s="3942" t="n"/>
      <c r="AS16" s="3942" t="n"/>
    </row>
    <row r="17">
      <c r="A17" s="3944" t="n"/>
      <c r="B17" s="3944" t="n"/>
      <c r="C17" s="3944" t="n"/>
      <c r="D17" s="3944" t="n"/>
      <c r="E17" s="3944" t="n"/>
      <c r="F17" s="3944" t="n"/>
      <c r="G17" s="3942" t="n"/>
      <c r="H17" s="3942" t="n"/>
      <c r="I17" s="3942" t="n"/>
      <c r="J17" s="3942" t="n"/>
      <c r="K17" s="3942" t="n"/>
      <c r="L17" s="3942" t="n"/>
      <c r="M17" s="3942" t="n"/>
      <c r="N17" s="3942" t="n"/>
      <c r="O17" s="3942" t="n"/>
      <c r="P17" s="3942" t="n"/>
      <c r="Q17" s="3942" t="n"/>
      <c r="R17" s="3942" t="n"/>
      <c r="S17" s="3942" t="n"/>
      <c r="T17" s="3942" t="n"/>
      <c r="U17" s="3942" t="n"/>
      <c r="V17" s="3942" t="n"/>
      <c r="W17" s="3942" t="n"/>
      <c r="X17" s="3942" t="n"/>
      <c r="Y17" s="3942" t="n"/>
      <c r="Z17" s="3942" t="n"/>
      <c r="AA17" s="3942" t="n"/>
      <c r="AB17" s="3942" t="n"/>
      <c r="AC17" s="3942" t="n"/>
      <c r="AD17" s="3942" t="n"/>
      <c r="AE17" s="3942" t="n"/>
      <c r="AF17" s="3942" t="n"/>
      <c r="AG17" s="3942" t="n"/>
      <c r="AH17" s="3942" t="n"/>
      <c r="AI17" s="3942" t="n"/>
      <c r="AJ17" s="3942" t="n"/>
      <c r="AK17" s="3942" t="n"/>
      <c r="AL17" s="3942" t="n"/>
      <c r="AM17" s="3942" t="n"/>
      <c r="AN17" s="3942" t="n"/>
      <c r="AO17" s="3942" t="n"/>
      <c r="AP17" s="3942" t="n"/>
      <c r="AQ17" s="3942" t="n"/>
      <c r="AR17" s="3942" t="n"/>
      <c r="AS17" s="3942" t="n"/>
    </row>
    <row r="18">
      <c r="A18" s="3944" t="n"/>
      <c r="B18" s="3944" t="n"/>
      <c r="C18" s="3944" t="n"/>
      <c r="D18" s="3944" t="n"/>
      <c r="E18" s="3944" t="n"/>
      <c r="F18" s="3944" t="n"/>
      <c r="G18" s="3942" t="n"/>
      <c r="H18" s="3942" t="n"/>
      <c r="I18" s="3942" t="n"/>
      <c r="J18" s="3942" t="n"/>
      <c r="K18" s="3942" t="n"/>
      <c r="L18" s="3942" t="n"/>
      <c r="M18" s="3942" t="n"/>
      <c r="N18" s="3942" t="n"/>
      <c r="O18" s="3942" t="n"/>
      <c r="P18" s="3942" t="n"/>
      <c r="Q18" s="3942" t="n"/>
      <c r="R18" s="3942" t="n"/>
      <c r="S18" s="3942" t="n"/>
      <c r="T18" s="3942" t="n"/>
      <c r="U18" s="3942" t="n"/>
      <c r="V18" s="3942" t="n"/>
      <c r="W18" s="3942" t="n"/>
      <c r="X18" s="3942" t="n"/>
      <c r="Y18" s="3942" t="n"/>
      <c r="Z18" s="3942" t="n"/>
      <c r="AA18" s="3942" t="n"/>
      <c r="AB18" s="3942" t="n"/>
      <c r="AC18" s="3942" t="n"/>
      <c r="AD18" s="3942" t="n"/>
      <c r="AE18" s="3942" t="n"/>
      <c r="AF18" s="3942" t="n"/>
      <c r="AG18" s="3942" t="n"/>
      <c r="AH18" s="3942" t="n"/>
      <c r="AI18" s="3942" t="n"/>
      <c r="AJ18" s="3942" t="n"/>
      <c r="AK18" s="3942" t="n"/>
      <c r="AL18" s="3942" t="n"/>
      <c r="AM18" s="3942" t="n"/>
      <c r="AN18" s="3942" t="n"/>
      <c r="AO18" s="3942" t="n"/>
      <c r="AP18" s="3942" t="n"/>
      <c r="AQ18" s="3942" t="n"/>
      <c r="AR18" s="3942" t="n"/>
      <c r="AS18" s="3942" t="n"/>
    </row>
    <row r="19">
      <c r="A19" s="3944" t="n"/>
      <c r="B19" s="3944" t="n"/>
      <c r="C19" s="3944" t="n"/>
      <c r="D19" s="3944" t="n"/>
      <c r="E19" s="3944" t="n"/>
      <c r="F19" s="3944" t="n"/>
      <c r="G19" s="3942" t="n"/>
      <c r="H19" s="3942" t="n"/>
      <c r="I19" s="3942" t="n"/>
      <c r="J19" s="3942" t="n"/>
      <c r="K19" s="3942" t="n"/>
      <c r="L19" s="3942" t="n"/>
      <c r="M19" s="3942" t="n"/>
      <c r="N19" s="3942" t="n"/>
      <c r="O19" s="3942" t="n"/>
      <c r="P19" s="3942" t="n"/>
      <c r="Q19" s="3942" t="n"/>
      <c r="R19" s="3942" t="n"/>
      <c r="S19" s="3942" t="n"/>
      <c r="T19" s="3942" t="n"/>
      <c r="U19" s="3942" t="n"/>
      <c r="V19" s="3942" t="n"/>
      <c r="W19" s="3942" t="n"/>
      <c r="X19" s="3942" t="n"/>
      <c r="Y19" s="3942" t="n"/>
      <c r="Z19" s="3942" t="n"/>
      <c r="AA19" s="3942" t="n"/>
      <c r="AB19" s="3942" t="n"/>
      <c r="AC19" s="3942" t="n"/>
      <c r="AD19" s="3942" t="n"/>
      <c r="AE19" s="3942" t="n"/>
      <c r="AF19" s="3942" t="n"/>
      <c r="AG19" s="3942" t="n"/>
      <c r="AH19" s="3942" t="n"/>
      <c r="AI19" s="3942" t="n"/>
      <c r="AJ19" s="3942" t="n"/>
      <c r="AK19" s="3942" t="n"/>
      <c r="AL19" s="3942" t="n"/>
      <c r="AM19" s="3942" t="n"/>
      <c r="AN19" s="3942" t="n"/>
      <c r="AO19" s="3942" t="n"/>
      <c r="AP19" s="3942" t="n"/>
      <c r="AQ19" s="3942" t="n"/>
      <c r="AR19" s="3942" t="n"/>
      <c r="AS19" s="3942" t="n"/>
    </row>
    <row r="20">
      <c r="A20" s="3944" t="n"/>
      <c r="B20" s="3944" t="n"/>
      <c r="C20" s="3944" t="n"/>
      <c r="D20" s="3944" t="n"/>
      <c r="E20" s="3944" t="n"/>
      <c r="F20" s="3944" t="n"/>
      <c r="G20" s="3942" t="n"/>
      <c r="H20" s="3942" t="n"/>
      <c r="I20" s="3942" t="n"/>
      <c r="J20" s="3942" t="n"/>
      <c r="K20" s="3942" t="n"/>
      <c r="L20" s="3942" t="n"/>
      <c r="M20" s="3942" t="n"/>
      <c r="N20" s="3942" t="n"/>
      <c r="O20" s="3942" t="n"/>
      <c r="P20" s="3942" t="n"/>
      <c r="Q20" s="3942" t="n"/>
      <c r="R20" s="3942" t="n"/>
      <c r="S20" s="3942" t="n"/>
      <c r="T20" s="3942" t="n"/>
      <c r="U20" s="3942" t="n"/>
      <c r="V20" s="3942" t="n"/>
      <c r="W20" s="3942" t="n"/>
      <c r="X20" s="3942" t="n"/>
      <c r="Y20" s="3942" t="n"/>
      <c r="Z20" s="3942" t="n"/>
      <c r="AA20" s="3942" t="n"/>
      <c r="AB20" s="3942" t="n"/>
      <c r="AC20" s="3942" t="n"/>
      <c r="AD20" s="3942" t="n"/>
      <c r="AE20" s="3942" t="n"/>
      <c r="AF20" s="3942" t="n"/>
      <c r="AG20" s="3942" t="n"/>
      <c r="AH20" s="3942" t="n"/>
      <c r="AI20" s="3942" t="n"/>
      <c r="AJ20" s="3942" t="n"/>
      <c r="AK20" s="3942" t="n"/>
      <c r="AL20" s="3942" t="n"/>
      <c r="AM20" s="3942" t="n"/>
      <c r="AN20" s="3942" t="n"/>
      <c r="AO20" s="3942" t="n"/>
      <c r="AP20" s="3942" t="n"/>
      <c r="AQ20" s="3942" t="n"/>
      <c r="AR20" s="3942" t="n"/>
      <c r="AS20" s="3942" t="n"/>
    </row>
    <row r="21">
      <c r="A21" s="3944" t="n"/>
      <c r="B21" s="3944" t="n"/>
      <c r="C21" s="3944" t="n"/>
      <c r="D21" s="3944" t="n"/>
      <c r="E21" s="3944" t="n"/>
      <c r="F21" s="3944" t="n"/>
      <c r="G21" s="3942" t="n"/>
      <c r="H21" s="3942" t="n"/>
      <c r="I21" s="3942" t="n"/>
      <c r="J21" s="3942" t="n"/>
      <c r="K21" s="3942" t="n"/>
      <c r="L21" s="3942" t="n"/>
      <c r="M21" s="3942" t="n"/>
      <c r="N21" s="3942" t="n"/>
      <c r="O21" s="3942" t="n"/>
      <c r="P21" s="3942" t="n"/>
      <c r="Q21" s="3942" t="n"/>
      <c r="R21" s="3942" t="n"/>
      <c r="S21" s="3942" t="n"/>
      <c r="T21" s="3942" t="n"/>
      <c r="U21" s="3942" t="n"/>
      <c r="V21" s="3942" t="n"/>
      <c r="W21" s="3942" t="n"/>
      <c r="X21" s="3942" t="n"/>
      <c r="Y21" s="3942" t="n"/>
      <c r="Z21" s="3942" t="n"/>
      <c r="AA21" s="3942" t="n"/>
      <c r="AB21" s="3942" t="n"/>
      <c r="AC21" s="3942" t="n"/>
      <c r="AD21" s="3942" t="n"/>
      <c r="AE21" s="3942" t="n"/>
      <c r="AF21" s="3942" t="n"/>
      <c r="AG21" s="3942" t="n"/>
      <c r="AH21" s="3942" t="n"/>
      <c r="AI21" s="3942" t="n"/>
      <c r="AJ21" s="3942" t="n"/>
      <c r="AK21" s="3942" t="n"/>
      <c r="AL21" s="3942" t="n"/>
      <c r="AM21" s="3942" t="n"/>
      <c r="AN21" s="3942" t="n"/>
      <c r="AO21" s="3942" t="n"/>
      <c r="AP21" s="3942" t="n"/>
      <c r="AQ21" s="3942" t="n"/>
      <c r="AR21" s="3942" t="n"/>
      <c r="AS21" s="3942" t="n"/>
    </row>
    <row r="22">
      <c r="A22" s="3944" t="n"/>
      <c r="B22" s="3944" t="n"/>
      <c r="C22" s="3944" t="n"/>
      <c r="D22" s="3944" t="n"/>
      <c r="E22" s="3944" t="n"/>
      <c r="F22" s="3944" t="n"/>
      <c r="G22" s="3942" t="n"/>
      <c r="H22" s="3942" t="n"/>
      <c r="I22" s="3942" t="n"/>
      <c r="J22" s="3942" t="n"/>
      <c r="K22" s="3942" t="n"/>
      <c r="L22" s="3942" t="n"/>
      <c r="M22" s="3942" t="n"/>
      <c r="N22" s="3942" t="n"/>
      <c r="O22" s="3942" t="n"/>
      <c r="P22" s="3942" t="n"/>
      <c r="Q22" s="3942" t="n"/>
      <c r="R22" s="3942" t="n"/>
      <c r="S22" s="3942" t="n"/>
      <c r="T22" s="3942" t="n"/>
      <c r="U22" s="3942" t="n"/>
      <c r="V22" s="3942" t="n"/>
      <c r="W22" s="3942" t="n"/>
      <c r="X22" s="3942" t="n"/>
      <c r="Y22" s="3942" t="n"/>
      <c r="Z22" s="3942" t="n"/>
      <c r="AA22" s="3942" t="n"/>
      <c r="AB22" s="3942" t="n"/>
      <c r="AC22" s="3942" t="n"/>
      <c r="AD22" s="3942" t="n"/>
      <c r="AE22" s="3942" t="n"/>
      <c r="AF22" s="3942" t="n"/>
      <c r="AG22" s="3942" t="n"/>
      <c r="AH22" s="3942" t="n"/>
      <c r="AI22" s="3942" t="n"/>
      <c r="AJ22" s="3942" t="n"/>
      <c r="AK22" s="3942" t="n"/>
      <c r="AL22" s="3942" t="n"/>
      <c r="AM22" s="3942" t="n"/>
      <c r="AN22" s="3942" t="n"/>
      <c r="AO22" s="3942" t="n"/>
      <c r="AP22" s="3942" t="n"/>
      <c r="AQ22" s="3942" t="n"/>
      <c r="AR22" s="3942" t="n"/>
      <c r="AS22" s="3942" t="n"/>
    </row>
    <row r="23">
      <c r="A23" s="3944" t="n"/>
      <c r="B23" s="3944" t="n"/>
      <c r="C23" s="3944" t="n"/>
      <c r="D23" s="3944" t="n"/>
      <c r="E23" s="3944" t="n"/>
      <c r="F23" s="3944" t="n"/>
      <c r="G23" s="3942" t="n"/>
      <c r="H23" s="3942" t="n"/>
      <c r="I23" s="3942" t="n"/>
      <c r="J23" s="3942" t="n"/>
      <c r="K23" s="3942" t="n"/>
      <c r="L23" s="3942" t="n"/>
      <c r="M23" s="3942" t="n"/>
      <c r="N23" s="3942" t="n"/>
      <c r="O23" s="3942" t="n"/>
      <c r="P23" s="3942" t="n"/>
      <c r="Q23" s="3942" t="n"/>
      <c r="R23" s="3942" t="n"/>
      <c r="S23" s="3942" t="n"/>
      <c r="T23" s="3942" t="n"/>
      <c r="U23" s="3942" t="n"/>
      <c r="V23" s="3942" t="n"/>
      <c r="W23" s="3942" t="n"/>
      <c r="X23" s="3942" t="n"/>
      <c r="Y23" s="3942" t="n"/>
      <c r="Z23" s="3942" t="n"/>
      <c r="AA23" s="3942" t="n"/>
      <c r="AB23" s="3942" t="n"/>
      <c r="AC23" s="3942" t="n"/>
      <c r="AD23" s="3942" t="n"/>
      <c r="AE23" s="3942" t="n"/>
      <c r="AF23" s="3942" t="n"/>
      <c r="AG23" s="3942" t="n"/>
      <c r="AH23" s="3942" t="n"/>
      <c r="AI23" s="3942" t="n"/>
      <c r="AJ23" s="3942" t="n"/>
      <c r="AK23" s="3942" t="n"/>
      <c r="AL23" s="3942" t="n"/>
      <c r="AM23" s="3942" t="n"/>
      <c r="AN23" s="3942" t="n"/>
      <c r="AO23" s="3942" t="n"/>
      <c r="AP23" s="3942" t="n"/>
      <c r="AQ23" s="3942" t="n"/>
      <c r="AR23" s="3942" t="n"/>
      <c r="AS23" s="3942" t="n"/>
    </row>
    <row r="24">
      <c r="A24" s="3944" t="n"/>
      <c r="B24" s="3944" t="n"/>
      <c r="C24" s="3944" t="n"/>
      <c r="D24" s="3944" t="n"/>
      <c r="E24" s="3944" t="n"/>
      <c r="F24" s="3944" t="n"/>
      <c r="G24" s="3942" t="n"/>
      <c r="H24" s="3942" t="n"/>
      <c r="I24" s="3942" t="n"/>
      <c r="J24" s="3942" t="n"/>
      <c r="K24" s="3942" t="n"/>
      <c r="L24" s="3942" t="n"/>
      <c r="M24" s="3942" t="n"/>
      <c r="N24" s="3942" t="n"/>
      <c r="O24" s="3942" t="n"/>
      <c r="P24" s="3942" t="n"/>
      <c r="Q24" s="3942" t="n"/>
      <c r="R24" s="3942" t="n"/>
      <c r="S24" s="3942" t="n"/>
      <c r="T24" s="3942" t="n"/>
      <c r="U24" s="3942" t="n"/>
      <c r="V24" s="3942" t="n"/>
      <c r="W24" s="3942" t="n"/>
      <c r="X24" s="3942" t="n"/>
      <c r="Y24" s="3942" t="n"/>
      <c r="Z24" s="3942" t="n"/>
      <c r="AA24" s="3942" t="n"/>
      <c r="AB24" s="3942" t="n"/>
      <c r="AC24" s="3942" t="n"/>
      <c r="AD24" s="3942" t="n"/>
      <c r="AE24" s="3942" t="n"/>
      <c r="AF24" s="3942" t="n"/>
      <c r="AG24" s="3942" t="n"/>
      <c r="AH24" s="3942" t="n"/>
      <c r="AI24" s="3942" t="n"/>
      <c r="AJ24" s="3942" t="n"/>
      <c r="AK24" s="3942" t="n"/>
      <c r="AL24" s="3942" t="n"/>
      <c r="AM24" s="3942" t="n"/>
      <c r="AN24" s="3942" t="n"/>
      <c r="AO24" s="3942" t="n"/>
      <c r="AP24" s="3942" t="n"/>
      <c r="AQ24" s="3942" t="n"/>
      <c r="AR24" s="3942" t="n"/>
      <c r="AS24" s="3942" t="n"/>
    </row>
    <row r="25">
      <c r="A25" s="3944" t="n"/>
      <c r="B25" s="3944" t="n"/>
      <c r="C25" s="3944" t="n"/>
      <c r="D25" s="3944" t="n"/>
      <c r="E25" s="3944" t="n"/>
      <c r="F25" s="3944" t="n"/>
      <c r="G25" s="3942" t="n"/>
      <c r="H25" s="3942" t="n"/>
      <c r="I25" s="3942" t="n"/>
      <c r="J25" s="3942" t="n"/>
      <c r="K25" s="3942" t="n"/>
      <c r="L25" s="3942" t="n"/>
      <c r="M25" s="3942" t="n"/>
      <c r="N25" s="3942" t="n"/>
      <c r="O25" s="3942" t="n"/>
      <c r="P25" s="3942" t="n"/>
      <c r="Q25" s="3942" t="n"/>
      <c r="R25" s="3942" t="n"/>
      <c r="S25" s="3942" t="n"/>
      <c r="T25" s="3942" t="n"/>
      <c r="U25" s="3942" t="n"/>
      <c r="V25" s="3942" t="n"/>
      <c r="W25" s="3942" t="n"/>
      <c r="X25" s="3942" t="n"/>
      <c r="Y25" s="3942" t="n"/>
      <c r="Z25" s="3942" t="n"/>
      <c r="AA25" s="3942" t="n"/>
      <c r="AB25" s="3942" t="n"/>
      <c r="AC25" s="3942" t="n"/>
      <c r="AD25" s="3942" t="n"/>
      <c r="AE25" s="3942" t="n"/>
      <c r="AF25" s="3942" t="n"/>
      <c r="AG25" s="3942" t="n"/>
      <c r="AH25" s="3942" t="n"/>
      <c r="AI25" s="3942" t="n"/>
      <c r="AJ25" s="3942" t="n"/>
      <c r="AK25" s="3942" t="n"/>
      <c r="AL25" s="3942" t="n"/>
      <c r="AM25" s="3942" t="n"/>
      <c r="AN25" s="3942" t="n"/>
      <c r="AO25" s="3942" t="n"/>
      <c r="AP25" s="3942" t="n"/>
      <c r="AQ25" s="3942" t="n"/>
      <c r="AR25" s="3942" t="n"/>
      <c r="AS25" s="3942" t="n"/>
    </row>
    <row r="26">
      <c r="A26" s="3944" t="n"/>
      <c r="B26" s="3944" t="n"/>
      <c r="C26" s="3944" t="n"/>
      <c r="D26" s="3944" t="n"/>
      <c r="E26" s="3944" t="n"/>
      <c r="F26" s="3944" t="n"/>
      <c r="G26" s="3942" t="n"/>
      <c r="H26" s="3942" t="n"/>
      <c r="I26" s="3942" t="n"/>
      <c r="J26" s="3942" t="n"/>
      <c r="K26" s="3942" t="n"/>
      <c r="L26" s="3942" t="n"/>
      <c r="M26" s="3942" t="n"/>
      <c r="N26" s="3942" t="n"/>
      <c r="O26" s="3942" t="n"/>
      <c r="P26" s="3942" t="n"/>
      <c r="Q26" s="3942" t="n"/>
      <c r="R26" s="3942" t="n"/>
      <c r="S26" s="3942" t="n"/>
      <c r="T26" s="3942" t="n"/>
      <c r="U26" s="3942" t="n"/>
      <c r="V26" s="3942" t="n"/>
      <c r="W26" s="3942" t="n"/>
      <c r="X26" s="3942" t="n"/>
      <c r="Y26" s="3942" t="n"/>
      <c r="Z26" s="3942" t="n"/>
      <c r="AA26" s="3942" t="n"/>
      <c r="AB26" s="3942" t="n"/>
      <c r="AC26" s="3942" t="n"/>
      <c r="AD26" s="3942" t="n"/>
      <c r="AE26" s="3942" t="n"/>
      <c r="AF26" s="3942" t="n"/>
      <c r="AG26" s="3942" t="n"/>
      <c r="AH26" s="3942" t="n"/>
      <c r="AI26" s="3942" t="n"/>
      <c r="AJ26" s="3942" t="n"/>
      <c r="AK26" s="3942" t="n"/>
      <c r="AL26" s="3942" t="n"/>
      <c r="AM26" s="3942" t="n"/>
      <c r="AN26" s="3942" t="n"/>
      <c r="AO26" s="3942" t="n"/>
      <c r="AP26" s="3942" t="n"/>
      <c r="AQ26" s="3942" t="n"/>
      <c r="AR26" s="3942" t="n"/>
      <c r="AS26" s="3942" t="n"/>
    </row>
    <row r="27">
      <c r="A27" s="3944" t="n"/>
      <c r="B27" s="3944" t="n"/>
      <c r="C27" s="3944" t="n"/>
      <c r="D27" s="3944" t="n"/>
      <c r="E27" s="3944" t="n"/>
      <c r="F27" s="3944" t="n"/>
      <c r="G27" s="3942" t="n"/>
      <c r="H27" s="3942" t="n"/>
      <c r="I27" s="3942" t="n"/>
      <c r="J27" s="3942" t="n"/>
      <c r="K27" s="3942" t="n"/>
      <c r="L27" s="3942" t="n"/>
      <c r="M27" s="3942" t="n"/>
      <c r="N27" s="3942" t="n"/>
      <c r="O27" s="3942" t="n"/>
      <c r="P27" s="3942" t="n"/>
      <c r="Q27" s="3942" t="n"/>
      <c r="R27" s="3942" t="n"/>
      <c r="S27" s="3942" t="n"/>
      <c r="T27" s="3942" t="n"/>
      <c r="U27" s="3942" t="n"/>
      <c r="V27" s="3942" t="n"/>
      <c r="W27" s="3942" t="n"/>
      <c r="X27" s="3942" t="n"/>
      <c r="Y27" s="3942" t="n"/>
      <c r="Z27" s="3942" t="n"/>
      <c r="AA27" s="3942" t="n"/>
      <c r="AB27" s="3942" t="n"/>
      <c r="AC27" s="3942" t="n"/>
      <c r="AD27" s="3942" t="n"/>
      <c r="AE27" s="3942" t="n"/>
      <c r="AF27" s="3942" t="n"/>
      <c r="AG27" s="3942" t="n"/>
      <c r="AH27" s="3942" t="n"/>
      <c r="AI27" s="3942" t="n"/>
      <c r="AJ27" s="3942" t="n"/>
      <c r="AK27" s="3942" t="n"/>
      <c r="AL27" s="3942" t="n"/>
      <c r="AM27" s="3942" t="n"/>
      <c r="AN27" s="3942" t="n"/>
      <c r="AO27" s="3942" t="n"/>
      <c r="AP27" s="3942" t="n"/>
      <c r="AQ27" s="3942" t="n"/>
      <c r="AR27" s="3942" t="n"/>
      <c r="AS27" s="3942" t="n"/>
    </row>
    <row r="28">
      <c r="A28" s="3944" t="n"/>
      <c r="B28" s="3944" t="n"/>
      <c r="C28" s="3944" t="n"/>
      <c r="D28" s="3944" t="n"/>
      <c r="E28" s="3944" t="n"/>
      <c r="F28" s="3944" t="n"/>
      <c r="G28" s="3942" t="n"/>
      <c r="H28" s="3942" t="n"/>
      <c r="I28" s="3942" t="n"/>
      <c r="J28" s="3942" t="n"/>
      <c r="K28" s="3942" t="n"/>
      <c r="L28" s="3942" t="n"/>
      <c r="M28" s="3942" t="n"/>
      <c r="N28" s="3942" t="n"/>
      <c r="O28" s="3942" t="n"/>
      <c r="P28" s="3942" t="n"/>
      <c r="Q28" s="3942" t="n"/>
      <c r="R28" s="3942" t="n"/>
      <c r="S28" s="3942" t="n"/>
      <c r="T28" s="3942" t="n"/>
      <c r="U28" s="3942" t="n"/>
      <c r="V28" s="3942" t="n"/>
      <c r="W28" s="3942" t="n"/>
      <c r="X28" s="3942" t="n"/>
      <c r="Y28" s="3942" t="n"/>
      <c r="Z28" s="3942" t="n"/>
      <c r="AA28" s="3942" t="n"/>
      <c r="AB28" s="3942" t="n"/>
      <c r="AC28" s="3942" t="n"/>
      <c r="AD28" s="3942" t="n"/>
      <c r="AE28" s="3942" t="n"/>
      <c r="AF28" s="3942" t="n"/>
      <c r="AG28" s="3942" t="n"/>
      <c r="AH28" s="3942" t="n"/>
      <c r="AI28" s="3942" t="n"/>
      <c r="AJ28" s="3942" t="n"/>
      <c r="AK28" s="3942" t="n"/>
      <c r="AL28" s="3942" t="n"/>
      <c r="AM28" s="3942" t="n"/>
      <c r="AN28" s="3942" t="n"/>
      <c r="AO28" s="3942" t="n"/>
      <c r="AP28" s="3942" t="n"/>
      <c r="AQ28" s="3942" t="n"/>
      <c r="AR28" s="3942" t="n"/>
      <c r="AS28" s="3942" t="n"/>
    </row>
    <row r="29">
      <c r="A29" s="3944" t="n"/>
      <c r="B29" s="3944" t="n"/>
      <c r="C29" s="3944" t="n"/>
      <c r="D29" s="3944" t="n"/>
      <c r="E29" s="3944" t="n"/>
      <c r="F29" s="3944" t="n"/>
      <c r="G29" s="3942" t="n"/>
      <c r="H29" s="3942" t="n"/>
      <c r="I29" s="3942" t="n"/>
      <c r="J29" s="3942" t="n"/>
      <c r="K29" s="3942" t="n"/>
      <c r="L29" s="3942" t="n"/>
      <c r="M29" s="3942" t="n"/>
      <c r="N29" s="3942" t="n"/>
      <c r="O29" s="3942" t="n"/>
      <c r="P29" s="3942" t="n"/>
      <c r="Q29" s="3942" t="n"/>
      <c r="R29" s="3942" t="n"/>
      <c r="S29" s="3942" t="n"/>
      <c r="T29" s="3942" t="n"/>
      <c r="U29" s="3942" t="n"/>
      <c r="V29" s="3942" t="n"/>
      <c r="W29" s="3942" t="n"/>
      <c r="X29" s="3942" t="n"/>
      <c r="Y29" s="3942" t="n"/>
      <c r="Z29" s="3942" t="n"/>
      <c r="AA29" s="3942" t="n"/>
      <c r="AB29" s="3942" t="n"/>
      <c r="AC29" s="3942" t="n"/>
      <c r="AD29" s="3942" t="n"/>
      <c r="AE29" s="3942" t="n"/>
      <c r="AF29" s="3942" t="n"/>
      <c r="AG29" s="3942" t="n"/>
      <c r="AH29" s="3942" t="n"/>
      <c r="AI29" s="3942" t="n"/>
      <c r="AJ29" s="3942" t="n"/>
      <c r="AK29" s="3942" t="n"/>
      <c r="AL29" s="3942" t="n"/>
      <c r="AM29" s="3942" t="n"/>
      <c r="AN29" s="3942" t="n"/>
      <c r="AO29" s="3942" t="n"/>
      <c r="AP29" s="3942" t="n"/>
      <c r="AQ29" s="3942" t="n"/>
      <c r="AR29" s="3942" t="n"/>
      <c r="AS29" s="3942" t="n"/>
    </row>
    <row r="30">
      <c r="A30" s="3944" t="n"/>
      <c r="B30" s="3944" t="n"/>
      <c r="C30" s="3944" t="n"/>
      <c r="D30" s="3944" t="n"/>
      <c r="E30" s="3944" t="n"/>
      <c r="F30" s="3944" t="n"/>
      <c r="G30" s="3942" t="n"/>
      <c r="H30" s="3942" t="n"/>
      <c r="I30" s="3942" t="n"/>
      <c r="J30" s="3942" t="n"/>
      <c r="K30" s="3942" t="n"/>
      <c r="L30" s="3942" t="n"/>
      <c r="M30" s="3942" t="n"/>
      <c r="N30" s="3942" t="n"/>
      <c r="O30" s="3942" t="n"/>
      <c r="P30" s="3942" t="n"/>
      <c r="Q30" s="3942" t="n"/>
      <c r="R30" s="3942" t="n"/>
      <c r="S30" s="3942" t="n"/>
      <c r="T30" s="3942" t="n"/>
      <c r="U30" s="3942" t="n"/>
      <c r="V30" s="3942" t="n"/>
      <c r="W30" s="3942" t="n"/>
      <c r="X30" s="3942" t="n"/>
      <c r="Y30" s="3942" t="n"/>
      <c r="Z30" s="3942" t="n"/>
      <c r="AA30" s="3942" t="n"/>
      <c r="AB30" s="3942" t="n"/>
      <c r="AC30" s="3942" t="n"/>
      <c r="AD30" s="3942" t="n"/>
      <c r="AE30" s="3942" t="n"/>
      <c r="AF30" s="3942" t="n"/>
      <c r="AG30" s="3942" t="n"/>
      <c r="AH30" s="3942" t="n"/>
      <c r="AI30" s="3942" t="n"/>
      <c r="AJ30" s="3942" t="n"/>
      <c r="AK30" s="3942" t="n"/>
      <c r="AL30" s="3942" t="n"/>
      <c r="AM30" s="3942" t="n"/>
      <c r="AN30" s="3942" t="n"/>
      <c r="AO30" s="3942" t="n"/>
      <c r="AP30" s="3942" t="n"/>
      <c r="AQ30" s="3942" t="n"/>
      <c r="AR30" s="3942" t="n"/>
      <c r="AS30" s="3942" t="n"/>
    </row>
    <row r="31">
      <c r="A31" s="3944" t="n"/>
      <c r="B31" s="3944" t="n"/>
      <c r="C31" s="3944" t="n"/>
      <c r="D31" s="3944" t="n"/>
      <c r="E31" s="3944" t="n"/>
      <c r="F31" s="3944" t="n"/>
      <c r="G31" s="3942" t="n"/>
      <c r="H31" s="3942" t="n"/>
      <c r="I31" s="3942" t="n"/>
      <c r="J31" s="3942" t="n"/>
      <c r="K31" s="3942" t="n"/>
      <c r="L31" s="3942" t="n"/>
      <c r="M31" s="3942" t="n"/>
      <c r="N31" s="3942" t="n"/>
      <c r="O31" s="3942" t="n"/>
      <c r="P31" s="3942" t="n"/>
      <c r="Q31" s="3942" t="n"/>
      <c r="R31" s="3942" t="n"/>
      <c r="S31" s="3942" t="n"/>
      <c r="T31" s="3942" t="n"/>
      <c r="U31" s="3942" t="n"/>
      <c r="V31" s="3942" t="n"/>
      <c r="W31" s="3942" t="n"/>
      <c r="X31" s="3942" t="n"/>
      <c r="Y31" s="3942" t="n"/>
      <c r="Z31" s="3942" t="n"/>
      <c r="AA31" s="3942" t="n"/>
      <c r="AB31" s="3942" t="n"/>
      <c r="AC31" s="3942" t="n"/>
      <c r="AD31" s="3942" t="n"/>
      <c r="AE31" s="3942" t="n"/>
      <c r="AF31" s="3942" t="n"/>
      <c r="AG31" s="3942" t="n"/>
      <c r="AH31" s="3942" t="n"/>
      <c r="AI31" s="3942" t="n"/>
      <c r="AJ31" s="3942" t="n"/>
      <c r="AK31" s="3942" t="n"/>
      <c r="AL31" s="3942" t="n"/>
      <c r="AM31" s="3942" t="n"/>
      <c r="AN31" s="3942" t="n"/>
      <c r="AO31" s="3942" t="n"/>
      <c r="AP31" s="3942" t="n"/>
      <c r="AQ31" s="3942" t="n"/>
      <c r="AR31" s="3942" t="n"/>
      <c r="AS31" s="3942" t="n"/>
    </row>
    <row r="32">
      <c r="A32" s="3944" t="n"/>
      <c r="B32" s="3944" t="n"/>
      <c r="C32" s="3944" t="n"/>
      <c r="D32" s="3944" t="n"/>
      <c r="E32" s="3944" t="n"/>
      <c r="F32" s="3944" t="n"/>
      <c r="G32" s="3942" t="n"/>
      <c r="H32" s="3942" t="n"/>
      <c r="I32" s="3942" t="n"/>
      <c r="J32" s="3942" t="n"/>
      <c r="K32" s="3942" t="n"/>
      <c r="L32" s="3942" t="n"/>
      <c r="M32" s="3942" t="n"/>
      <c r="N32" s="3942" t="n"/>
      <c r="O32" s="3942" t="n"/>
      <c r="P32" s="3942" t="n"/>
      <c r="Q32" s="3942" t="n"/>
      <c r="R32" s="3942" t="n"/>
      <c r="S32" s="3942" t="n"/>
      <c r="T32" s="3942" t="n"/>
      <c r="U32" s="3942" t="n"/>
      <c r="V32" s="3942" t="n"/>
      <c r="W32" s="3942" t="n"/>
      <c r="X32" s="3942" t="n"/>
      <c r="Y32" s="3942" t="n"/>
      <c r="Z32" s="3942" t="n"/>
      <c r="AA32" s="3942" t="n"/>
      <c r="AB32" s="3942" t="n"/>
      <c r="AC32" s="3942" t="n"/>
      <c r="AD32" s="3942" t="n"/>
      <c r="AE32" s="3942" t="n"/>
      <c r="AF32" s="3942" t="n"/>
      <c r="AG32" s="3942" t="n"/>
      <c r="AH32" s="3942" t="n"/>
      <c r="AI32" s="3942" t="n"/>
      <c r="AJ32" s="3942" t="n"/>
      <c r="AK32" s="3942" t="n"/>
      <c r="AL32" s="3942" t="n"/>
      <c r="AM32" s="3942" t="n"/>
      <c r="AN32" s="3942" t="n"/>
      <c r="AO32" s="3942" t="n"/>
      <c r="AP32" s="3942" t="n"/>
      <c r="AQ32" s="3942" t="n"/>
      <c r="AR32" s="3942" t="n"/>
      <c r="AS32" s="3942" t="n"/>
    </row>
    <row r="33">
      <c r="A33" s="3944" t="n"/>
      <c r="B33" s="3944" t="n"/>
      <c r="C33" s="3944" t="n"/>
      <c r="D33" s="3944" t="n"/>
      <c r="E33" s="3944" t="n"/>
      <c r="F33" s="3944" t="n"/>
      <c r="G33" s="3942" t="n"/>
      <c r="H33" s="3942" t="n"/>
      <c r="I33" s="3942" t="n"/>
      <c r="J33" s="3942" t="n"/>
      <c r="K33" s="3942" t="n"/>
      <c r="L33" s="3942" t="n"/>
      <c r="M33" s="3942" t="n"/>
      <c r="N33" s="3942" t="n"/>
      <c r="O33" s="3942" t="n"/>
      <c r="P33" s="3942" t="n"/>
      <c r="Q33" s="3942" t="n"/>
      <c r="R33" s="3942" t="n"/>
      <c r="S33" s="3942" t="n"/>
      <c r="T33" s="3942" t="n"/>
      <c r="U33" s="3942" t="n"/>
      <c r="V33" s="3942" t="n"/>
      <c r="W33" s="3942" t="n"/>
      <c r="X33" s="3942" t="n"/>
      <c r="Y33" s="3942" t="n"/>
      <c r="Z33" s="3942" t="n"/>
      <c r="AA33" s="3942" t="n"/>
      <c r="AB33" s="3942" t="n"/>
      <c r="AC33" s="3942" t="n"/>
      <c r="AD33" s="3942" t="n"/>
      <c r="AE33" s="3942" t="n"/>
      <c r="AF33" s="3942" t="n"/>
      <c r="AG33" s="3942" t="n"/>
      <c r="AH33" s="3942" t="n"/>
      <c r="AI33" s="3942" t="n"/>
      <c r="AJ33" s="3942" t="n"/>
      <c r="AK33" s="3942" t="n"/>
      <c r="AL33" s="3942" t="n"/>
      <c r="AM33" s="3942" t="n"/>
      <c r="AN33" s="3942" t="n"/>
      <c r="AO33" s="3942" t="n"/>
      <c r="AP33" s="3942" t="n"/>
      <c r="AQ33" s="3942" t="n"/>
      <c r="AR33" s="3942" t="n"/>
      <c r="AS33" s="3942" t="n"/>
    </row>
    <row r="34">
      <c r="A34" s="3944" t="n"/>
      <c r="B34" s="3944" t="n"/>
      <c r="C34" s="3944" t="n"/>
      <c r="D34" s="3944" t="n"/>
      <c r="E34" s="3944" t="n"/>
      <c r="F34" s="3944" t="n"/>
      <c r="G34" s="3942" t="n"/>
      <c r="H34" s="3942" t="n"/>
      <c r="I34" s="3942" t="n"/>
      <c r="J34" s="3942" t="n"/>
      <c r="K34" s="3942" t="n"/>
      <c r="L34" s="3942" t="n"/>
      <c r="M34" s="3942" t="n"/>
      <c r="N34" s="3942" t="n"/>
      <c r="O34" s="3942" t="n"/>
      <c r="P34" s="3942" t="n"/>
      <c r="Q34" s="3942" t="n"/>
      <c r="R34" s="3942" t="n"/>
      <c r="S34" s="3942" t="n"/>
      <c r="T34" s="3942" t="n"/>
      <c r="U34" s="3942" t="n"/>
      <c r="V34" s="3942" t="n"/>
      <c r="W34" s="3942" t="n"/>
      <c r="X34" s="3942" t="n"/>
      <c r="Y34" s="3942" t="n"/>
      <c r="Z34" s="3942" t="n"/>
      <c r="AA34" s="3942" t="n"/>
      <c r="AB34" s="3942" t="n"/>
      <c r="AC34" s="3942" t="n"/>
      <c r="AD34" s="3942" t="n"/>
      <c r="AE34" s="3942" t="n"/>
      <c r="AF34" s="3942" t="n"/>
      <c r="AG34" s="3942" t="n"/>
      <c r="AH34" s="3942" t="n"/>
      <c r="AI34" s="3942" t="n"/>
      <c r="AJ34" s="3942" t="n"/>
      <c r="AK34" s="3942" t="n"/>
      <c r="AL34" s="3942" t="n"/>
      <c r="AM34" s="3942" t="n"/>
      <c r="AN34" s="3942" t="n"/>
      <c r="AO34" s="3942" t="n"/>
      <c r="AP34" s="3942" t="n"/>
      <c r="AQ34" s="3942" t="n"/>
      <c r="AR34" s="3942" t="n"/>
      <c r="AS34" s="3942" t="n"/>
    </row>
    <row r="35">
      <c r="A35" s="3944" t="n"/>
      <c r="B35" s="3944" t="n"/>
      <c r="C35" s="3944" t="n"/>
      <c r="D35" s="3944" t="n"/>
      <c r="E35" s="3944" t="n"/>
      <c r="F35" s="3944" t="n"/>
      <c r="G35" s="3942" t="n"/>
      <c r="H35" s="3942" t="n"/>
      <c r="I35" s="3942" t="n"/>
      <c r="J35" s="3942" t="n"/>
      <c r="K35" s="3942" t="n"/>
      <c r="L35" s="3942" t="n"/>
      <c r="M35" s="3942" t="n"/>
      <c r="N35" s="3942" t="n"/>
      <c r="O35" s="3942" t="n"/>
      <c r="P35" s="3942" t="n"/>
      <c r="Q35" s="3942" t="n"/>
      <c r="R35" s="3942" t="n"/>
      <c r="S35" s="3942" t="n"/>
      <c r="T35" s="3942" t="n"/>
      <c r="U35" s="3942" t="n"/>
      <c r="V35" s="3942" t="n"/>
      <c r="W35" s="3942" t="n"/>
      <c r="X35" s="3942" t="n"/>
      <c r="Y35" s="3942" t="n"/>
      <c r="Z35" s="3942" t="n"/>
      <c r="AA35" s="3942" t="n"/>
      <c r="AB35" s="3942" t="n"/>
      <c r="AC35" s="3942" t="n"/>
      <c r="AD35" s="3942" t="n"/>
      <c r="AE35" s="3942" t="n"/>
      <c r="AF35" s="3942" t="n"/>
      <c r="AG35" s="3942" t="n"/>
      <c r="AH35" s="3942" t="n"/>
      <c r="AI35" s="3942" t="n"/>
      <c r="AJ35" s="3942" t="n"/>
      <c r="AK35" s="3942" t="n"/>
      <c r="AL35" s="3942" t="n"/>
      <c r="AM35" s="3942" t="n"/>
      <c r="AN35" s="3942" t="n"/>
      <c r="AO35" s="3942" t="n"/>
      <c r="AP35" s="3942" t="n"/>
      <c r="AQ35" s="3942" t="n"/>
      <c r="AR35" s="3942" t="n"/>
      <c r="AS35" s="3942" t="n"/>
    </row>
    <row r="36">
      <c r="A36" s="3944" t="n"/>
      <c r="B36" s="3944" t="n"/>
      <c r="C36" s="3944" t="n"/>
      <c r="D36" s="3944" t="n"/>
      <c r="E36" s="3944" t="n"/>
      <c r="F36" s="3944" t="n"/>
      <c r="G36" s="3942" t="n"/>
      <c r="H36" s="3942" t="n"/>
      <c r="I36" s="3942" t="n"/>
      <c r="J36" s="3942" t="n"/>
      <c r="K36" s="3942" t="n"/>
      <c r="L36" s="3942" t="n"/>
      <c r="M36" s="3942" t="n"/>
      <c r="N36" s="3942" t="n"/>
      <c r="O36" s="3942" t="n"/>
      <c r="P36" s="3942" t="n"/>
      <c r="Q36" s="3942" t="n"/>
      <c r="R36" s="3942" t="n"/>
      <c r="S36" s="3942" t="n"/>
      <c r="T36" s="3942" t="n"/>
      <c r="U36" s="3942" t="n"/>
      <c r="V36" s="3942" t="n"/>
      <c r="W36" s="3942" t="n"/>
      <c r="X36" s="3942" t="n"/>
      <c r="Y36" s="3942" t="n"/>
      <c r="Z36" s="3942" t="n"/>
      <c r="AA36" s="3942" t="n"/>
      <c r="AB36" s="3942" t="n"/>
      <c r="AC36" s="3942" t="n"/>
      <c r="AD36" s="3942" t="n"/>
      <c r="AE36" s="3942" t="n"/>
      <c r="AF36" s="3942" t="n"/>
      <c r="AG36" s="3942" t="n"/>
      <c r="AH36" s="3942" t="n"/>
      <c r="AI36" s="3942" t="n"/>
      <c r="AJ36" s="3942" t="n"/>
      <c r="AK36" s="3942" t="n"/>
      <c r="AL36" s="3942" t="n"/>
      <c r="AM36" s="3942" t="n"/>
      <c r="AN36" s="3942" t="n"/>
      <c r="AO36" s="3942" t="n"/>
      <c r="AP36" s="3942" t="n"/>
      <c r="AQ36" s="3942" t="n"/>
      <c r="AR36" s="3942" t="n"/>
      <c r="AS36" s="3942" t="n"/>
    </row>
    <row r="37">
      <c r="A37" s="3944" t="n"/>
      <c r="B37" s="3944" t="n"/>
      <c r="C37" s="3944" t="n"/>
      <c r="D37" s="3944" t="n"/>
      <c r="E37" s="3944" t="n"/>
      <c r="F37" s="3944" t="n"/>
      <c r="G37" s="3942" t="n"/>
      <c r="H37" s="3942" t="n"/>
      <c r="I37" s="3942" t="n"/>
      <c r="J37" s="3942" t="n"/>
      <c r="K37" s="3942" t="n"/>
      <c r="L37" s="3942" t="n"/>
      <c r="M37" s="3942" t="n"/>
      <c r="N37" s="3942" t="n"/>
      <c r="O37" s="3942" t="n"/>
      <c r="P37" s="3942" t="n"/>
      <c r="Q37" s="3942" t="n"/>
      <c r="R37" s="3942" t="n"/>
      <c r="S37" s="3942" t="n"/>
      <c r="T37" s="3942" t="n"/>
      <c r="U37" s="3942" t="n"/>
      <c r="V37" s="3942" t="n"/>
      <c r="W37" s="3942" t="n"/>
      <c r="X37" s="3942" t="n"/>
      <c r="Y37" s="3942" t="n"/>
      <c r="Z37" s="3942" t="n"/>
      <c r="AA37" s="3942" t="n"/>
      <c r="AB37" s="3942" t="n"/>
      <c r="AC37" s="3942" t="n"/>
      <c r="AD37" s="3942" t="n"/>
      <c r="AE37" s="3942" t="n"/>
      <c r="AF37" s="3942" t="n"/>
      <c r="AG37" s="3942" t="n"/>
      <c r="AH37" s="3942" t="n"/>
      <c r="AI37" s="3942" t="n"/>
      <c r="AJ37" s="3942" t="n"/>
      <c r="AK37" s="3942" t="n"/>
      <c r="AL37" s="3942" t="n"/>
      <c r="AM37" s="3942" t="n"/>
      <c r="AN37" s="3942" t="n"/>
      <c r="AO37" s="3942" t="n"/>
      <c r="AP37" s="3942" t="n"/>
      <c r="AQ37" s="3942" t="n"/>
      <c r="AR37" s="3942" t="n"/>
      <c r="AS37" s="3942" t="n"/>
    </row>
    <row r="38">
      <c r="A38" s="3944" t="n"/>
      <c r="B38" s="3944" t="n"/>
      <c r="C38" s="3944" t="n"/>
      <c r="D38" s="3944" t="n"/>
      <c r="E38" s="3944" t="n"/>
      <c r="F38" s="3944" t="n"/>
      <c r="G38" s="3942" t="n"/>
      <c r="H38" s="3942" t="n"/>
      <c r="I38" s="3942" t="n"/>
      <c r="J38" s="3942" t="n"/>
      <c r="K38" s="3942" t="n"/>
      <c r="L38" s="3942" t="n"/>
      <c r="M38" s="3942" t="n"/>
      <c r="N38" s="3942" t="n"/>
      <c r="O38" s="3942" t="n"/>
      <c r="P38" s="3942" t="n"/>
      <c r="Q38" s="3942" t="n"/>
      <c r="R38" s="3942" t="n"/>
      <c r="S38" s="3942" t="n"/>
      <c r="T38" s="3942" t="n"/>
      <c r="U38" s="3942" t="n"/>
      <c r="V38" s="3942" t="n"/>
      <c r="W38" s="3942" t="n"/>
      <c r="X38" s="3942" t="n"/>
      <c r="Y38" s="3942" t="n"/>
      <c r="Z38" s="3942" t="n"/>
      <c r="AA38" s="3942" t="n"/>
      <c r="AB38" s="3942" t="n"/>
      <c r="AC38" s="3942" t="n"/>
      <c r="AD38" s="3942" t="n"/>
      <c r="AE38" s="3942" t="n"/>
      <c r="AF38" s="3942" t="n"/>
      <c r="AG38" s="3942" t="n"/>
      <c r="AH38" s="3942" t="n"/>
      <c r="AI38" s="3942" t="n"/>
      <c r="AJ38" s="3942" t="n"/>
      <c r="AK38" s="3942" t="n"/>
      <c r="AL38" s="3942" t="n"/>
      <c r="AM38" s="3942" t="n"/>
      <c r="AN38" s="3942" t="n"/>
      <c r="AO38" s="3942" t="n"/>
      <c r="AP38" s="3942" t="n"/>
      <c r="AQ38" s="3942" t="n"/>
      <c r="AR38" s="3942" t="n"/>
      <c r="AS38" s="3942" t="n"/>
    </row>
    <row r="39">
      <c r="A39" s="3944" t="n"/>
      <c r="B39" s="3944" t="n"/>
      <c r="C39" s="3944" t="n"/>
      <c r="D39" s="3944" t="n"/>
      <c r="E39" s="3944" t="n"/>
      <c r="F39" s="3944" t="n"/>
      <c r="G39" s="3942" t="n"/>
      <c r="H39" s="3942" t="n"/>
      <c r="I39" s="3942" t="n"/>
      <c r="J39" s="3942" t="n"/>
      <c r="K39" s="3942" t="n"/>
      <c r="L39" s="3942" t="n"/>
      <c r="M39" s="3942" t="n"/>
      <c r="N39" s="3942" t="n"/>
      <c r="O39" s="3942" t="n"/>
      <c r="P39" s="3942" t="n"/>
      <c r="Q39" s="3942" t="n"/>
      <c r="R39" s="3942" t="n"/>
      <c r="S39" s="3942" t="n"/>
      <c r="T39" s="3942" t="n"/>
      <c r="U39" s="3942" t="n"/>
      <c r="V39" s="3942" t="n"/>
      <c r="W39" s="3942" t="n"/>
      <c r="X39" s="3942" t="n"/>
      <c r="Y39" s="3942" t="n"/>
      <c r="Z39" s="3942" t="n"/>
      <c r="AA39" s="3942" t="n"/>
      <c r="AB39" s="3942" t="n"/>
      <c r="AC39" s="3942" t="n"/>
      <c r="AD39" s="3942" t="n"/>
      <c r="AE39" s="3942" t="n"/>
      <c r="AF39" s="3942" t="n"/>
      <c r="AG39" s="3942" t="n"/>
      <c r="AH39" s="3942" t="n"/>
      <c r="AI39" s="3942" t="n"/>
      <c r="AJ39" s="3942" t="n"/>
      <c r="AK39" s="3942" t="n"/>
      <c r="AL39" s="3942" t="n"/>
      <c r="AM39" s="3942" t="n"/>
      <c r="AN39" s="3942" t="n"/>
      <c r="AO39" s="3942" t="n"/>
      <c r="AP39" s="3942" t="n"/>
      <c r="AQ39" s="3942" t="n"/>
      <c r="AR39" s="3942" t="n"/>
      <c r="AS39" s="3942" t="n"/>
    </row>
    <row r="40">
      <c r="A40" s="3944" t="n"/>
      <c r="B40" s="3944" t="n"/>
      <c r="C40" s="3944" t="n"/>
      <c r="D40" s="3944" t="n"/>
      <c r="E40" s="3944" t="n"/>
      <c r="F40" s="3944" t="n"/>
      <c r="G40" s="3942" t="n"/>
      <c r="H40" s="3942" t="n"/>
      <c r="I40" s="3942" t="n"/>
      <c r="J40" s="3942" t="n"/>
      <c r="K40" s="3942" t="n"/>
      <c r="L40" s="3942" t="n"/>
      <c r="M40" s="3942" t="n"/>
      <c r="N40" s="3942" t="n"/>
      <c r="O40" s="3942" t="n"/>
      <c r="P40" s="3942" t="n"/>
      <c r="Q40" s="3942" t="n"/>
      <c r="R40" s="3942" t="n"/>
      <c r="S40" s="3942" t="n"/>
      <c r="T40" s="3942" t="n"/>
      <c r="U40" s="3942" t="n"/>
      <c r="V40" s="3942" t="n"/>
      <c r="W40" s="3942" t="n"/>
      <c r="X40" s="3942" t="n"/>
      <c r="Y40" s="3942" t="n"/>
      <c r="Z40" s="3942" t="n"/>
      <c r="AA40" s="3942" t="n"/>
      <c r="AB40" s="3942" t="n"/>
      <c r="AC40" s="3942" t="n"/>
      <c r="AD40" s="3942" t="n"/>
      <c r="AE40" s="3942" t="n"/>
      <c r="AF40" s="3942" t="n"/>
      <c r="AG40" s="3942" t="n"/>
      <c r="AH40" s="3942" t="n"/>
      <c r="AI40" s="3942" t="n"/>
      <c r="AJ40" s="3942" t="n"/>
      <c r="AK40" s="3942" t="n"/>
      <c r="AL40" s="3942" t="n"/>
      <c r="AM40" s="3942" t="n"/>
      <c r="AN40" s="3942" t="n"/>
      <c r="AO40" s="3942" t="n"/>
      <c r="AP40" s="3942" t="n"/>
      <c r="AQ40" s="3942" t="n"/>
      <c r="AR40" s="3942" t="n"/>
      <c r="AS40" s="3942" t="n"/>
    </row>
    <row r="41">
      <c r="A41" s="3944" t="n"/>
      <c r="B41" s="3944" t="n"/>
      <c r="C41" s="3944" t="n"/>
      <c r="D41" s="3944" t="n"/>
      <c r="E41" s="3944" t="n"/>
      <c r="F41" s="3944" t="n"/>
      <c r="G41" s="3942" t="n"/>
      <c r="H41" s="3942" t="n"/>
      <c r="I41" s="3942" t="n"/>
      <c r="J41" s="3942" t="n"/>
      <c r="K41" s="3942" t="n"/>
      <c r="L41" s="3942" t="n"/>
      <c r="M41" s="3942" t="n"/>
      <c r="N41" s="3942" t="n"/>
      <c r="O41" s="3942" t="n"/>
      <c r="P41" s="3942" t="n"/>
      <c r="Q41" s="3942" t="n"/>
      <c r="R41" s="3942" t="n"/>
      <c r="S41" s="3942" t="n"/>
      <c r="T41" s="3942" t="n"/>
      <c r="U41" s="3942" t="n"/>
      <c r="V41" s="3942" t="n"/>
      <c r="W41" s="3942" t="n"/>
      <c r="X41" s="3942" t="n"/>
      <c r="Y41" s="3942" t="n"/>
      <c r="Z41" s="3942" t="n"/>
      <c r="AA41" s="3942" t="n"/>
      <c r="AB41" s="3942" t="n"/>
      <c r="AC41" s="3942" t="n"/>
      <c r="AD41" s="3942" t="n"/>
      <c r="AE41" s="3942" t="n"/>
      <c r="AF41" s="3942" t="n"/>
      <c r="AG41" s="3942" t="n"/>
      <c r="AH41" s="3942" t="n"/>
      <c r="AI41" s="3942" t="n"/>
      <c r="AJ41" s="3942" t="n"/>
      <c r="AK41" s="3942" t="n"/>
      <c r="AL41" s="3942" t="n"/>
      <c r="AM41" s="3942" t="n"/>
      <c r="AN41" s="3942" t="n"/>
      <c r="AO41" s="3942" t="n"/>
      <c r="AP41" s="3942" t="n"/>
      <c r="AQ41" s="3942" t="n"/>
      <c r="AR41" s="3942" t="n"/>
      <c r="AS41" s="3942" t="n"/>
    </row>
    <row r="42">
      <c r="A42" s="3944" t="n"/>
      <c r="B42" s="3944" t="n"/>
      <c r="C42" s="3944" t="n"/>
      <c r="D42" s="3944" t="n"/>
      <c r="E42" s="3944" t="n"/>
      <c r="F42" s="3944" t="n"/>
      <c r="G42" s="3942" t="n"/>
      <c r="H42" s="3942" t="n"/>
      <c r="I42" s="3942" t="n"/>
      <c r="J42" s="3942" t="n"/>
      <c r="K42" s="3942" t="n"/>
      <c r="L42" s="3942" t="n"/>
      <c r="M42" s="3942" t="n"/>
      <c r="N42" s="3942" t="n"/>
      <c r="O42" s="3942" t="n"/>
      <c r="P42" s="3942" t="n"/>
      <c r="Q42" s="3942" t="n"/>
      <c r="R42" s="3942" t="n"/>
      <c r="S42" s="3942" t="n"/>
      <c r="T42" s="3942" t="n"/>
      <c r="U42" s="3942" t="n"/>
      <c r="V42" s="3942" t="n"/>
      <c r="W42" s="3942" t="n"/>
      <c r="X42" s="3942" t="n"/>
      <c r="Y42" s="3942" t="n"/>
      <c r="Z42" s="3942" t="n"/>
      <c r="AA42" s="3942" t="n"/>
      <c r="AB42" s="3942" t="n"/>
      <c r="AC42" s="3942" t="n"/>
      <c r="AD42" s="3942" t="n"/>
      <c r="AE42" s="3942" t="n"/>
      <c r="AF42" s="3942" t="n"/>
      <c r="AG42" s="3942" t="n"/>
      <c r="AH42" s="3942" t="n"/>
      <c r="AI42" s="3942" t="n"/>
      <c r="AJ42" s="3942" t="n"/>
      <c r="AK42" s="3942" t="n"/>
      <c r="AL42" s="3942" t="n"/>
      <c r="AM42" s="3942" t="n"/>
      <c r="AN42" s="3942" t="n"/>
      <c r="AO42" s="3942" t="n"/>
      <c r="AP42" s="3942" t="n"/>
      <c r="AQ42" s="3942" t="n"/>
      <c r="AR42" s="3942" t="n"/>
      <c r="AS42" s="3942" t="n"/>
    </row>
    <row r="43">
      <c r="A43" s="3944" t="n"/>
      <c r="B43" s="3944" t="n"/>
      <c r="C43" s="3944" t="n"/>
      <c r="D43" s="3944" t="n"/>
      <c r="E43" s="3944" t="n"/>
      <c r="F43" s="3944" t="n"/>
      <c r="G43" s="3942" t="n"/>
      <c r="H43" s="3942" t="n"/>
      <c r="I43" s="3942" t="n"/>
      <c r="J43" s="3942" t="n"/>
      <c r="K43" s="3942" t="n"/>
      <c r="L43" s="3942" t="n"/>
      <c r="M43" s="3942" t="n"/>
      <c r="N43" s="3942" t="n"/>
      <c r="O43" s="3942" t="n"/>
      <c r="P43" s="3942" t="n"/>
      <c r="Q43" s="3942" t="n"/>
      <c r="R43" s="3942" t="n"/>
      <c r="S43" s="3942" t="n"/>
      <c r="T43" s="3942" t="n"/>
      <c r="U43" s="3942" t="n"/>
      <c r="V43" s="3942" t="n"/>
      <c r="W43" s="3942" t="n"/>
      <c r="X43" s="3942" t="n"/>
      <c r="Y43" s="3942" t="n"/>
      <c r="Z43" s="3942" t="n"/>
      <c r="AA43" s="3942" t="n"/>
      <c r="AB43" s="3942" t="n"/>
      <c r="AC43" s="3942" t="n"/>
      <c r="AD43" s="3942" t="n"/>
      <c r="AE43" s="3942" t="n"/>
      <c r="AF43" s="3942" t="n"/>
      <c r="AG43" s="3942" t="n"/>
      <c r="AH43" s="3942" t="n"/>
      <c r="AI43" s="3942" t="n"/>
      <c r="AJ43" s="3942" t="n"/>
      <c r="AK43" s="3942" t="n"/>
      <c r="AL43" s="3942" t="n"/>
      <c r="AM43" s="3942" t="n"/>
      <c r="AN43" s="3942" t="n"/>
      <c r="AO43" s="3942" t="n"/>
      <c r="AP43" s="3942" t="n"/>
      <c r="AQ43" s="3942" t="n"/>
      <c r="AR43" s="3942" t="n"/>
      <c r="AS43" s="3942" t="n"/>
    </row>
    <row r="44">
      <c r="A44" s="3944" t="n"/>
      <c r="B44" s="3944" t="n"/>
      <c r="C44" s="3944" t="n"/>
      <c r="D44" s="3944" t="n"/>
      <c r="E44" s="3944" t="n"/>
      <c r="F44" s="3944" t="n"/>
      <c r="G44" s="3942" t="n"/>
      <c r="H44" s="3942" t="n"/>
      <c r="I44" s="3942" t="n"/>
      <c r="J44" s="3942" t="n"/>
      <c r="K44" s="3942" t="n"/>
      <c r="L44" s="3942" t="n"/>
      <c r="M44" s="3942" t="n"/>
      <c r="N44" s="3942" t="n"/>
      <c r="O44" s="3942" t="n"/>
      <c r="P44" s="3942" t="n"/>
      <c r="Q44" s="3942" t="n"/>
      <c r="R44" s="3942" t="n"/>
      <c r="S44" s="3942" t="n"/>
      <c r="T44" s="3942" t="n"/>
      <c r="U44" s="3942" t="n"/>
      <c r="V44" s="3942" t="n"/>
      <c r="W44" s="3942" t="n"/>
      <c r="X44" s="3942" t="n"/>
      <c r="Y44" s="3942" t="n"/>
      <c r="Z44" s="3942" t="n"/>
      <c r="AA44" s="3942" t="n"/>
      <c r="AB44" s="3942" t="n"/>
      <c r="AC44" s="3942" t="n"/>
      <c r="AD44" s="3942" t="n"/>
      <c r="AE44" s="3942" t="n"/>
      <c r="AF44" s="3942" t="n"/>
      <c r="AG44" s="3942" t="n"/>
      <c r="AH44" s="3942" t="n"/>
      <c r="AI44" s="3942" t="n"/>
      <c r="AJ44" s="3942" t="n"/>
      <c r="AK44" s="3942" t="n"/>
      <c r="AL44" s="3942" t="n"/>
      <c r="AM44" s="3942" t="n"/>
      <c r="AN44" s="3942" t="n"/>
      <c r="AO44" s="3942" t="n"/>
      <c r="AP44" s="3942" t="n"/>
      <c r="AQ44" s="3942" t="n"/>
      <c r="AR44" s="3942" t="n"/>
      <c r="AS44" s="3942" t="n"/>
    </row>
    <row r="45">
      <c r="A45" s="3944" t="n"/>
      <c r="B45" s="3944" t="n"/>
      <c r="C45" s="3944" t="n"/>
      <c r="D45" s="3944" t="n"/>
      <c r="E45" s="3944" t="n"/>
      <c r="F45" s="3944" t="n"/>
      <c r="G45" s="3942" t="n"/>
      <c r="H45" s="3942" t="n"/>
      <c r="I45" s="3942" t="n"/>
      <c r="J45" s="3942" t="n"/>
      <c r="K45" s="3942" t="n"/>
      <c r="L45" s="3942" t="n"/>
      <c r="M45" s="3942" t="n"/>
      <c r="N45" s="3942" t="n"/>
      <c r="O45" s="3942" t="n"/>
      <c r="P45" s="3942" t="n"/>
      <c r="Q45" s="3942" t="n"/>
      <c r="R45" s="3942" t="n"/>
      <c r="S45" s="3942" t="n"/>
      <c r="T45" s="3942" t="n"/>
      <c r="U45" s="3942" t="n"/>
      <c r="V45" s="3942" t="n"/>
      <c r="W45" s="3942" t="n"/>
      <c r="X45" s="3942" t="n"/>
      <c r="Y45" s="3942" t="n"/>
      <c r="Z45" s="3942" t="n"/>
      <c r="AA45" s="3942" t="n"/>
      <c r="AB45" s="3942" t="n"/>
      <c r="AC45" s="3942" t="n"/>
      <c r="AD45" s="3942" t="n"/>
      <c r="AE45" s="3942" t="n"/>
      <c r="AF45" s="3942" t="n"/>
      <c r="AG45" s="3942" t="n"/>
      <c r="AH45" s="3942" t="n"/>
      <c r="AI45" s="3942" t="n"/>
      <c r="AJ45" s="3942" t="n"/>
      <c r="AK45" s="3942" t="n"/>
      <c r="AL45" s="3942" t="n"/>
      <c r="AM45" s="3942" t="n"/>
      <c r="AN45" s="3942" t="n"/>
      <c r="AO45" s="3942" t="n"/>
      <c r="AP45" s="3942" t="n"/>
      <c r="AQ45" s="3942" t="n"/>
      <c r="AR45" s="3942" t="n"/>
      <c r="AS45" s="3942" t="n"/>
    </row>
    <row r="46">
      <c r="A46" s="3944" t="n"/>
      <c r="B46" s="3944" t="n"/>
      <c r="C46" s="3944" t="n"/>
      <c r="D46" s="3944" t="n"/>
      <c r="E46" s="3944" t="n"/>
      <c r="F46" s="3944" t="n"/>
      <c r="G46" s="3942" t="n"/>
      <c r="H46" s="3942" t="n"/>
      <c r="I46" s="3942" t="n"/>
      <c r="J46" s="3942" t="n"/>
      <c r="K46" s="3942" t="n"/>
      <c r="L46" s="3942" t="n"/>
      <c r="M46" s="3942" t="n"/>
      <c r="N46" s="3942" t="n"/>
      <c r="O46" s="3942" t="n"/>
      <c r="P46" s="3942" t="n"/>
      <c r="Q46" s="3942" t="n"/>
      <c r="R46" s="3942" t="n"/>
      <c r="S46" s="3942" t="n"/>
      <c r="T46" s="3942" t="n"/>
      <c r="U46" s="3942" t="n"/>
      <c r="V46" s="3942" t="n"/>
      <c r="W46" s="3942" t="n"/>
      <c r="X46" s="3942" t="n"/>
      <c r="Y46" s="3942" t="n"/>
      <c r="Z46" s="3942" t="n"/>
      <c r="AA46" s="3942" t="n"/>
      <c r="AB46" s="3942" t="n"/>
      <c r="AC46" s="3942" t="n"/>
      <c r="AD46" s="3942" t="n"/>
      <c r="AE46" s="3942" t="n"/>
      <c r="AF46" s="3942" t="n"/>
      <c r="AG46" s="3942" t="n"/>
      <c r="AH46" s="3942" t="n"/>
      <c r="AI46" s="3942" t="n"/>
      <c r="AJ46" s="3942" t="n"/>
      <c r="AK46" s="3942" t="n"/>
      <c r="AL46" s="3942" t="n"/>
      <c r="AM46" s="3942" t="n"/>
      <c r="AN46" s="3942" t="n"/>
      <c r="AO46" s="3942" t="n"/>
      <c r="AP46" s="3942" t="n"/>
      <c r="AQ46" s="3942" t="n"/>
      <c r="AR46" s="3942" t="n"/>
      <c r="AS46" s="3942" t="n"/>
    </row>
    <row r="47">
      <c r="A47" s="3944" t="n"/>
      <c r="B47" s="3944" t="n"/>
      <c r="C47" s="3944" t="n"/>
      <c r="D47" s="3944" t="n"/>
      <c r="E47" s="3944" t="n"/>
      <c r="F47" s="3944" t="n"/>
      <c r="G47" s="3942" t="n"/>
      <c r="H47" s="3942" t="n"/>
      <c r="I47" s="3942" t="n"/>
      <c r="J47" s="3942" t="n"/>
      <c r="K47" s="3942" t="n"/>
      <c r="L47" s="3942" t="n"/>
      <c r="M47" s="3942" t="n"/>
      <c r="N47" s="3942" t="n"/>
      <c r="O47" s="3942" t="n"/>
      <c r="P47" s="3942" t="n"/>
      <c r="Q47" s="3942" t="n"/>
      <c r="R47" s="3942" t="n"/>
      <c r="S47" s="3942" t="n"/>
      <c r="T47" s="3942" t="n"/>
      <c r="U47" s="3942" t="n"/>
      <c r="V47" s="3942" t="n"/>
      <c r="W47" s="3942" t="n"/>
      <c r="X47" s="3942" t="n"/>
      <c r="Y47" s="3942" t="n"/>
      <c r="Z47" s="3942" t="n"/>
      <c r="AA47" s="3942" t="n"/>
      <c r="AB47" s="3942" t="n"/>
      <c r="AC47" s="3942" t="n"/>
      <c r="AD47" s="3942" t="n"/>
      <c r="AE47" s="3942" t="n"/>
      <c r="AF47" s="3942" t="n"/>
      <c r="AG47" s="3942" t="n"/>
      <c r="AH47" s="3942" t="n"/>
      <c r="AI47" s="3942" t="n"/>
      <c r="AJ47" s="3942" t="n"/>
      <c r="AK47" s="3942" t="n"/>
      <c r="AL47" s="3942" t="n"/>
      <c r="AM47" s="3942" t="n"/>
      <c r="AN47" s="3942" t="n"/>
      <c r="AO47" s="3942" t="n"/>
      <c r="AP47" s="3942" t="n"/>
      <c r="AQ47" s="3942" t="n"/>
      <c r="AR47" s="3942" t="n"/>
      <c r="AS47" s="3942" t="n"/>
    </row>
    <row r="48">
      <c r="A48" s="3944" t="n"/>
      <c r="B48" s="3944" t="n"/>
      <c r="C48" s="3944" t="n"/>
      <c r="D48" s="3944" t="n"/>
      <c r="E48" s="3944" t="n"/>
      <c r="F48" s="3944" t="n"/>
      <c r="G48" s="3942" t="n"/>
      <c r="H48" s="3942" t="n"/>
      <c r="I48" s="3942" t="n"/>
      <c r="J48" s="3942" t="n"/>
      <c r="K48" s="3942" t="n"/>
      <c r="L48" s="3942" t="n"/>
      <c r="M48" s="3942" t="n"/>
      <c r="N48" s="3942" t="n"/>
      <c r="O48" s="3942" t="n"/>
      <c r="P48" s="3942" t="n"/>
      <c r="Q48" s="3942" t="n"/>
      <c r="R48" s="3942" t="n"/>
      <c r="S48" s="3942" t="n"/>
      <c r="T48" s="3942" t="n"/>
      <c r="U48" s="3942" t="n"/>
      <c r="V48" s="3942" t="n"/>
      <c r="W48" s="3942" t="n"/>
      <c r="X48" s="3942" t="n"/>
      <c r="Y48" s="3942" t="n"/>
      <c r="Z48" s="3942" t="n"/>
      <c r="AA48" s="3942" t="n"/>
      <c r="AB48" s="3942" t="n"/>
      <c r="AC48" s="3942" t="n"/>
      <c r="AD48" s="3942" t="n"/>
      <c r="AE48" s="3942" t="n"/>
      <c r="AF48" s="3942" t="n"/>
      <c r="AG48" s="3942" t="n"/>
      <c r="AH48" s="3942" t="n"/>
      <c r="AI48" s="3942" t="n"/>
      <c r="AJ48" s="3942" t="n"/>
      <c r="AK48" s="3942" t="n"/>
      <c r="AL48" s="3942" t="n"/>
      <c r="AM48" s="3942" t="n"/>
      <c r="AN48" s="3942" t="n"/>
      <c r="AO48" s="3942" t="n"/>
      <c r="AP48" s="3942" t="n"/>
      <c r="AQ48" s="3942" t="n"/>
      <c r="AR48" s="3942" t="n"/>
      <c r="AS48" s="3942" t="n"/>
    </row>
    <row r="49">
      <c r="A49" s="3944" t="n"/>
      <c r="B49" s="3944" t="n"/>
      <c r="C49" s="3944" t="n"/>
      <c r="D49" s="3944" t="n"/>
      <c r="E49" s="3944" t="n"/>
      <c r="F49" s="3944" t="n"/>
      <c r="G49" s="3942" t="n"/>
      <c r="H49" s="3942" t="n"/>
      <c r="I49" s="3942" t="n"/>
      <c r="J49" s="3942" t="n"/>
      <c r="K49" s="3942" t="n"/>
      <c r="L49" s="3942" t="n"/>
      <c r="M49" s="3942" t="n"/>
      <c r="N49" s="3942" t="n"/>
      <c r="O49" s="3942" t="n"/>
      <c r="P49" s="3942" t="n"/>
      <c r="Q49" s="3942" t="n"/>
      <c r="R49" s="3942" t="n"/>
      <c r="S49" s="3942" t="n"/>
      <c r="T49" s="3942" t="n"/>
      <c r="U49" s="3942" t="n"/>
      <c r="V49" s="3942" t="n"/>
      <c r="W49" s="3942" t="n"/>
      <c r="X49" s="3942" t="n"/>
      <c r="Y49" s="3942" t="n"/>
      <c r="Z49" s="3942" t="n"/>
      <c r="AA49" s="3942" t="n"/>
      <c r="AB49" s="3942" t="n"/>
      <c r="AC49" s="3942" t="n"/>
      <c r="AD49" s="3942" t="n"/>
      <c r="AE49" s="3942" t="n"/>
      <c r="AF49" s="3942" t="n"/>
      <c r="AG49" s="3942" t="n"/>
      <c r="AH49" s="3942" t="n"/>
      <c r="AI49" s="3942" t="n"/>
      <c r="AJ49" s="3942" t="n"/>
      <c r="AK49" s="3942" t="n"/>
      <c r="AL49" s="3942" t="n"/>
      <c r="AM49" s="3942" t="n"/>
      <c r="AN49" s="3942" t="n"/>
      <c r="AO49" s="3942" t="n"/>
      <c r="AP49" s="3942" t="n"/>
      <c r="AQ49" s="3942" t="n"/>
      <c r="AR49" s="3942" t="n"/>
      <c r="AS49" s="3942" t="n"/>
    </row>
    <row r="50">
      <c r="A50" s="3944" t="n"/>
      <c r="B50" s="3944" t="n"/>
      <c r="C50" s="3944" t="n"/>
      <c r="D50" s="3944" t="n"/>
      <c r="E50" s="3944" t="n"/>
      <c r="F50" s="3944" t="n"/>
      <c r="G50" s="3942" t="n"/>
      <c r="H50" s="3942" t="n"/>
      <c r="I50" s="3942" t="n"/>
      <c r="J50" s="3942" t="n"/>
      <c r="K50" s="3942" t="n"/>
      <c r="L50" s="3942" t="n"/>
      <c r="M50" s="3942" t="n"/>
      <c r="N50" s="3942" t="n"/>
      <c r="O50" s="3942" t="n"/>
      <c r="P50" s="3942" t="n"/>
      <c r="Q50" s="3942" t="n"/>
      <c r="R50" s="3942" t="n"/>
      <c r="S50" s="3942" t="n"/>
      <c r="T50" s="3942" t="n"/>
      <c r="U50" s="3942" t="n"/>
      <c r="V50" s="3942" t="n"/>
      <c r="W50" s="3942" t="n"/>
      <c r="X50" s="3942" t="n"/>
      <c r="Y50" s="3942" t="n"/>
      <c r="Z50" s="3942" t="n"/>
      <c r="AA50" s="3942" t="n"/>
      <c r="AB50" s="3942" t="n"/>
      <c r="AC50" s="3942" t="n"/>
      <c r="AD50" s="3942" t="n"/>
      <c r="AE50" s="3942" t="n"/>
      <c r="AF50" s="3942" t="n"/>
      <c r="AG50" s="3942" t="n"/>
      <c r="AH50" s="3942" t="n"/>
      <c r="AI50" s="3942" t="n"/>
      <c r="AJ50" s="3942" t="n"/>
      <c r="AK50" s="3942" t="n"/>
      <c r="AL50" s="3942" t="n"/>
      <c r="AM50" s="3942" t="n"/>
      <c r="AN50" s="3942" t="n"/>
      <c r="AO50" s="3942" t="n"/>
      <c r="AP50" s="3942" t="n"/>
      <c r="AQ50" s="3942" t="n"/>
      <c r="AR50" s="3942" t="n"/>
      <c r="AS50" s="3942" t="n"/>
    </row>
    <row r="51">
      <c r="A51" s="3944" t="n"/>
      <c r="B51" s="3944" t="n"/>
      <c r="C51" s="3944" t="n"/>
      <c r="D51" s="3944" t="n"/>
      <c r="E51" s="3944" t="n"/>
      <c r="F51" s="3944" t="n"/>
      <c r="G51" s="3942" t="n"/>
      <c r="H51" s="3942" t="n"/>
      <c r="I51" s="3942" t="n"/>
      <c r="J51" s="3942" t="n"/>
      <c r="K51" s="3942" t="n"/>
      <c r="L51" s="3942" t="n"/>
      <c r="M51" s="3942" t="n"/>
      <c r="N51" s="3942" t="n"/>
      <c r="O51" s="3942" t="n"/>
      <c r="P51" s="3942" t="n"/>
      <c r="Q51" s="3942" t="n"/>
      <c r="R51" s="3942" t="n"/>
      <c r="S51" s="3942" t="n"/>
      <c r="T51" s="3942" t="n"/>
      <c r="U51" s="3942" t="n"/>
      <c r="V51" s="3942" t="n"/>
      <c r="W51" s="3942" t="n"/>
      <c r="X51" s="3942" t="n"/>
      <c r="Y51" s="3942" t="n"/>
      <c r="Z51" s="3942" t="n"/>
      <c r="AA51" s="3942" t="n"/>
      <c r="AB51" s="3942" t="n"/>
      <c r="AC51" s="3942" t="n"/>
      <c r="AD51" s="3942" t="n"/>
      <c r="AE51" s="3942" t="n"/>
      <c r="AF51" s="3942" t="n"/>
      <c r="AG51" s="3942" t="n"/>
      <c r="AH51" s="3942" t="n"/>
      <c r="AI51" s="3942" t="n"/>
      <c r="AJ51" s="3942" t="n"/>
      <c r="AK51" s="3942" t="n"/>
      <c r="AL51" s="3942" t="n"/>
      <c r="AM51" s="3942" t="n"/>
      <c r="AN51" s="3942" t="n"/>
      <c r="AO51" s="3942" t="n"/>
      <c r="AP51" s="3942" t="n"/>
      <c r="AQ51" s="3942" t="n"/>
      <c r="AR51" s="3942" t="n"/>
      <c r="AS51" s="3942" t="n"/>
    </row>
    <row r="52">
      <c r="A52" s="3944" t="n"/>
      <c r="B52" s="3944" t="n"/>
      <c r="C52" s="3944" t="n"/>
      <c r="D52" s="3944" t="n"/>
      <c r="E52" s="3944" t="n"/>
      <c r="F52" s="3944" t="n"/>
      <c r="G52" s="3942" t="n"/>
      <c r="H52" s="3942" t="n"/>
      <c r="I52" s="3942" t="n"/>
      <c r="J52" s="3942" t="n"/>
      <c r="K52" s="3942" t="n"/>
      <c r="L52" s="3942" t="n"/>
      <c r="M52" s="3942" t="n"/>
      <c r="N52" s="3942" t="n"/>
      <c r="O52" s="3942" t="n"/>
      <c r="P52" s="3942" t="n"/>
      <c r="Q52" s="3942" t="n"/>
      <c r="R52" s="3942" t="n"/>
      <c r="S52" s="3942" t="n"/>
      <c r="T52" s="3942" t="n"/>
      <c r="U52" s="3942" t="n"/>
      <c r="V52" s="3942" t="n"/>
      <c r="W52" s="3942" t="n"/>
      <c r="X52" s="3942" t="n"/>
      <c r="Y52" s="3942" t="n"/>
      <c r="Z52" s="3942" t="n"/>
      <c r="AA52" s="3942" t="n"/>
      <c r="AB52" s="3942" t="n"/>
      <c r="AC52" s="3942" t="n"/>
      <c r="AD52" s="3942" t="n"/>
      <c r="AE52" s="3942" t="n"/>
      <c r="AF52" s="3942" t="n"/>
      <c r="AG52" s="3942" t="n"/>
      <c r="AH52" s="3942" t="n"/>
      <c r="AI52" s="3942" t="n"/>
      <c r="AJ52" s="3942" t="n"/>
      <c r="AK52" s="3942" t="n"/>
      <c r="AL52" s="3942" t="n"/>
      <c r="AM52" s="3942" t="n"/>
      <c r="AN52" s="3942" t="n"/>
      <c r="AO52" s="3942" t="n"/>
      <c r="AP52" s="3942" t="n"/>
      <c r="AQ52" s="3942" t="n"/>
      <c r="AR52" s="3942" t="n"/>
      <c r="AS52" s="3942" t="n"/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AR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AP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44" t="n"/>
      <c r="K9" s="3942">
        <f>IF(A9="","",SUM(E9:J9))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44" t="n"/>
      <c r="K10" s="3942">
        <f>IF(A10="","",SUM(E10:J10))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44" t="n"/>
      <c r="K11" s="3942">
        <f>IF(A11="","",SUM(E11:J11))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44" t="n"/>
      <c r="K12" s="3942">
        <f>IF(A12="","",SUM(E12:J12))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44" t="n"/>
      <c r="K13" s="3942">
        <f>IF(A13="","",SUM(E13:J13))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44" t="n"/>
      <c r="K14" s="3942">
        <f>IF(A14="","",SUM(E14:J14))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COA to Lines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4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4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4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4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4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4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NWC &amp; NetDebt Class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n"/>
      <c r="D9" s="3944" t="n"/>
      <c r="E9" s="3944" t="n"/>
      <c r="F9" s="3944" t="n"/>
      <c r="G9" s="3944" t="n"/>
      <c r="H9" s="394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n"/>
      <c r="D10" s="3944" t="n"/>
      <c r="E10" s="3944" t="n"/>
      <c r="F10" s="3944" t="n"/>
      <c r="G10" s="3944" t="n"/>
      <c r="H10" s="394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n"/>
      <c r="D11" s="3944" t="n"/>
      <c r="E11" s="3944" t="n"/>
      <c r="F11" s="3944" t="n"/>
      <c r="G11" s="3944" t="n"/>
      <c r="H11" s="394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n"/>
      <c r="D12" s="3944" t="n"/>
      <c r="E12" s="3944" t="n"/>
      <c r="F12" s="3944" t="n"/>
      <c r="G12" s="3944" t="n"/>
      <c r="H12" s="394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n"/>
      <c r="D13" s="3944" t="n"/>
      <c r="E13" s="3944" t="n"/>
      <c r="F13" s="3944" t="n"/>
      <c r="G13" s="3944" t="n"/>
      <c r="H13" s="394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n"/>
      <c r="D14" s="3944" t="n"/>
      <c r="E14" s="3944" t="n"/>
      <c r="F14" s="3944" t="n"/>
      <c r="G14" s="3944" t="n"/>
      <c r="H14" s="394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n"/>
      <c r="D15" s="3944" t="n"/>
      <c r="E15" s="3944" t="n"/>
      <c r="F15" s="3944" t="n"/>
      <c r="G15" s="3944" t="n"/>
      <c r="H15" s="394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Entities</t>
        </is>
      </c>
      <c r="B7" s="3980" t="n"/>
      <c r="C7" s="3980" t="n"/>
      <c r="D7" s="3980" t="n"/>
      <c r="E7" s="3980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/>
      <c r="B9" s="3944" t="n"/>
      <c r="C9" s="3944" t="inlineStr"/>
      <c r="D9" s="3944" t="n"/>
      <c r="E9" s="3944" t="n"/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/>
      <c r="B10" s="3944" t="n"/>
      <c r="C10" s="3944" t="inlineStr"/>
      <c r="D10" s="3944" t="n"/>
      <c r="E10" s="3944" t="n"/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/>
      <c r="B11" s="3944" t="n"/>
      <c r="C11" s="3944" t="inlineStr"/>
      <c r="D11" s="3944" t="n"/>
      <c r="E11" s="3944" t="n"/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979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60">
        <f>IF(OR(G9="",G10=""),"",G9+G10)</f>
        <v/>
      </c>
      <c r="H11" s="3960">
        <f>IF(OR(H9="",H10=""),"",H9+H10)</f>
        <v/>
      </c>
      <c r="I11" s="3960">
        <f>IF(OR(I9="",I10=""),"",I9+I10)</f>
        <v/>
      </c>
      <c r="J11" s="3960">
        <f>IF(OR(J9="",J10=""),"",J9+J10)</f>
        <v/>
      </c>
      <c r="K11" s="3960">
        <f>IF(OR(K9="",K10=""),"",K9+K10)</f>
        <v/>
      </c>
      <c r="L11" s="3960">
        <f>IF(OR(L9="",L10=""),"",L9+L10)</f>
        <v/>
      </c>
      <c r="M11" s="3960">
        <f>IF(OR(M9="",M10=""),"",M9+M10)</f>
        <v/>
      </c>
      <c r="N11" s="3960">
        <f>IF(OR(N9="",N10=""),"",N9+N10)</f>
        <v/>
      </c>
      <c r="O11" s="3960">
        <f>IF(OR(O9="",O10=""),"",O9+O10)</f>
        <v/>
      </c>
      <c r="P11" s="3960">
        <f>IF(OR(P9="",P10=""),"",P9+P10)</f>
        <v/>
      </c>
      <c r="Q11" s="3960">
        <f>IF(OR(Q9="",Q10=""),"",Q9+Q10)</f>
        <v/>
      </c>
      <c r="R11" s="3960">
        <f>IF(OR(R9="",R10=""),"",R9+R10)</f>
        <v/>
      </c>
      <c r="S11" s="3960">
        <f>IF(OR(S9="",S10=""),"",S9+S10)</f>
        <v/>
      </c>
      <c r="T11" s="3960">
        <f>IF(OR(T9="",T10=""),"",T9+T10)</f>
        <v/>
      </c>
      <c r="U11" s="3960">
        <f>IF(OR(U9="",U10=""),"",U9+U10)</f>
        <v/>
      </c>
      <c r="V11" s="3960">
        <f>IF(OR(V9="",V10=""),"",V9+V10)</f>
        <v/>
      </c>
      <c r="W11" s="3960">
        <f>IF(OR(W9="",W10=""),"",W9+W10)</f>
        <v/>
      </c>
      <c r="X11" s="3960">
        <f>IF(OR(X9="",X10=""),"",X9+X10)</f>
        <v/>
      </c>
      <c r="Y11" s="3960">
        <f>IF(OR(Y9="",Y10=""),"",Y9+Y10)</f>
        <v/>
      </c>
      <c r="Z11" s="3960">
        <f>IF(OR(Z9="",Z10=""),"",Z9+Z10)</f>
        <v/>
      </c>
      <c r="AA11" s="3960">
        <f>IF(OR(AA9="",AA10=""),"",AA9+AA10)</f>
        <v/>
      </c>
      <c r="AB11" s="3960">
        <f>IF(OR(AB9="",AB10=""),"",AB9+AB10)</f>
        <v/>
      </c>
      <c r="AC11" s="3960">
        <f>IF(OR(AC9="",AC10=""),"",AC9+AC10)</f>
        <v/>
      </c>
      <c r="AD11" s="3960">
        <f>IF(OR(AD9="",AD10=""),"",AD9+AD10)</f>
        <v/>
      </c>
      <c r="AE11" s="3960">
        <f>IF(OR(AE9="",AE10=""),"",AE9+AE10)</f>
        <v/>
      </c>
      <c r="AF11" s="3960">
        <f>IF(OR(AF9="",AF10=""),"",AF9+AF10)</f>
        <v/>
      </c>
      <c r="AG11" s="3960">
        <f>IF(OR(AG9="",AG10=""),"",AG9+AG10)</f>
        <v/>
      </c>
      <c r="AH11" s="3960">
        <f>IF(OR(AH9="",AH10=""),"",AH9+AH10)</f>
        <v/>
      </c>
      <c r="AI11" s="3960">
        <f>IF(OR(AI9="",AI10=""),"",AI9+AI10)</f>
        <v/>
      </c>
      <c r="AJ11" s="3960">
        <f>IF(OR(AJ9="",AJ10=""),"",AJ9+AJ10)</f>
        <v/>
      </c>
      <c r="AK11" s="3960">
        <f>IF(OR(AK9="",AK10=""),"",AK9+AK10)</f>
        <v/>
      </c>
      <c r="AL11" s="3960">
        <f>IF(OR(AL9="",AL10=""),"",AL9+AL10)</f>
        <v/>
      </c>
      <c r="AM11" s="3960">
        <f>IF(OR(AM9="",AM10=""),"",AM9+AM10)</f>
        <v/>
      </c>
      <c r="AN11" s="3960">
        <f>IF(OR(AN9="",AN10=""),"",AN9+AN10)</f>
        <v/>
      </c>
      <c r="AO11" s="3960">
        <f>IF(OR(AO9="",AO10=""),"",AO9+AO10)</f>
        <v/>
      </c>
      <c r="AP11" s="3960">
        <f>IF(OR(AP9="",AP10=""),"",AP9+AP10)</f>
        <v/>
      </c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IF(OR(G13="",G14="",G15=""),"",G13+G14+G15)</f>
        <v/>
      </c>
      <c r="H16" s="3960">
        <f>IF(OR(H13="",H14="",H15=""),"",H13+H14+H15)</f>
        <v/>
      </c>
      <c r="I16" s="3960">
        <f>IF(OR(I13="",I14="",I15=""),"",I13+I14+I15)</f>
        <v/>
      </c>
      <c r="J16" s="3960">
        <f>IF(OR(J13="",J14="",J15=""),"",J13+J14+J15)</f>
        <v/>
      </c>
      <c r="K16" s="3960">
        <f>IF(OR(K13="",K14="",K15=""),"",K13+K14+K15)</f>
        <v/>
      </c>
      <c r="L16" s="3960">
        <f>IF(OR(L13="",L14="",L15=""),"",L13+L14+L15)</f>
        <v/>
      </c>
      <c r="M16" s="3960">
        <f>IF(OR(M13="",M14="",M15=""),"",M13+M14+M15)</f>
        <v/>
      </c>
      <c r="N16" s="3960">
        <f>IF(OR(N13="",N14="",N15=""),"",N13+N14+N15)</f>
        <v/>
      </c>
      <c r="O16" s="3960">
        <f>IF(OR(O13="",O14="",O15=""),"",O13+O14+O15)</f>
        <v/>
      </c>
      <c r="P16" s="3960">
        <f>IF(OR(P13="",P14="",P15=""),"",P13+P14+P15)</f>
        <v/>
      </c>
      <c r="Q16" s="3960">
        <f>IF(OR(Q13="",Q14="",Q15=""),"",Q13+Q14+Q15)</f>
        <v/>
      </c>
      <c r="R16" s="3960">
        <f>IF(OR(R13="",R14="",R15=""),"",R13+R14+R15)</f>
        <v/>
      </c>
      <c r="S16" s="3960">
        <f>IF(OR(S13="",S14="",S15=""),"",S13+S14+S15)</f>
        <v/>
      </c>
      <c r="T16" s="3960">
        <f>IF(OR(T13="",T14="",T15=""),"",T13+T14+T15)</f>
        <v/>
      </c>
      <c r="U16" s="3960">
        <f>IF(OR(U13="",U14="",U15=""),"",U13+U14+U15)</f>
        <v/>
      </c>
      <c r="V16" s="3960">
        <f>IF(OR(V13="",V14="",V15=""),"",V13+V14+V15)</f>
        <v/>
      </c>
      <c r="W16" s="3960">
        <f>IF(OR(W13="",W14="",W15=""),"",W13+W14+W15)</f>
        <v/>
      </c>
      <c r="X16" s="3960">
        <f>IF(OR(X13="",X14="",X15=""),"",X13+X14+X15)</f>
        <v/>
      </c>
      <c r="Y16" s="3960">
        <f>IF(OR(Y13="",Y14="",Y15=""),"",Y13+Y14+Y15)</f>
        <v/>
      </c>
      <c r="Z16" s="3960">
        <f>IF(OR(Z13="",Z14="",Z15=""),"",Z13+Z14+Z15)</f>
        <v/>
      </c>
      <c r="AA16" s="3960">
        <f>IF(OR(AA13="",AA14="",AA15=""),"",AA13+AA14+AA15)</f>
        <v/>
      </c>
      <c r="AB16" s="3960">
        <f>IF(OR(AB13="",AB14="",AB15=""),"",AB13+AB14+AB15)</f>
        <v/>
      </c>
      <c r="AC16" s="3960">
        <f>IF(OR(AC13="",AC14="",AC15=""),"",AC13+AC14+AC15)</f>
        <v/>
      </c>
      <c r="AD16" s="3960">
        <f>IF(OR(AD13="",AD14="",AD15=""),"",AD13+AD14+AD15)</f>
        <v/>
      </c>
      <c r="AE16" s="3960">
        <f>IF(OR(AE13="",AE14="",AE15=""),"",AE13+AE14+AE15)</f>
        <v/>
      </c>
      <c r="AF16" s="3960">
        <f>IF(OR(AF13="",AF14="",AF15=""),"",AF13+AF14+AF15)</f>
        <v/>
      </c>
      <c r="AG16" s="3960">
        <f>IF(OR(AG13="",AG14="",AG15=""),"",AG13+AG14+AG15)</f>
        <v/>
      </c>
      <c r="AH16" s="3960">
        <f>IF(OR(AH13="",AH14="",AH15=""),"",AH13+AH14+AH15)</f>
        <v/>
      </c>
      <c r="AI16" s="3960">
        <f>IF(OR(AI13="",AI14="",AI15=""),"",AI13+AI14+AI15)</f>
        <v/>
      </c>
      <c r="AJ16" s="3960">
        <f>IF(OR(AJ13="",AJ14="",AJ15=""),"",AJ13+AJ14+AJ15)</f>
        <v/>
      </c>
      <c r="AK16" s="3960">
        <f>IF(OR(AK13="",AK14="",AK15=""),"",AK13+AK14+AK15)</f>
        <v/>
      </c>
      <c r="AL16" s="3960">
        <f>IF(OR(AL13="",AL14="",AL15=""),"",AL13+AL14+AL15)</f>
        <v/>
      </c>
      <c r="AM16" s="3960">
        <f>IF(OR(AM13="",AM14="",AM15=""),"",AM13+AM14+AM15)</f>
        <v/>
      </c>
      <c r="AN16" s="3960">
        <f>IF(OR(AN13="",AN14="",AN15=""),"",AN13+AN14+AN15)</f>
        <v/>
      </c>
      <c r="AO16" s="3960">
        <f>IF(OR(AO13="",AO14="",AO15=""),"",AO13+AO14+AO15)</f>
        <v/>
      </c>
      <c r="AP16" s="3960">
        <f>IF(OR(AP13="",AP14="",AP15=""),"",AP13+AP14+AP15)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60">
        <f>IF(OR(G16="",G17="",G18="",G19=""),"",G16+G17+G18+G19)</f>
        <v/>
      </c>
      <c r="H20" s="3960">
        <f>IF(OR(H16="",H17="",H18="",H19=""),"",H16+H17+H18+H19)</f>
        <v/>
      </c>
      <c r="I20" s="3960">
        <f>IF(OR(I16="",I17="",I18="",I19=""),"",I16+I17+I18+I19)</f>
        <v/>
      </c>
      <c r="J20" s="3960">
        <f>IF(OR(J16="",J17="",J18="",J19=""),"",J16+J17+J18+J19)</f>
        <v/>
      </c>
      <c r="K20" s="3960">
        <f>IF(OR(K16="",K17="",K18="",K19=""),"",K16+K17+K18+K19)</f>
        <v/>
      </c>
      <c r="L20" s="3960">
        <f>IF(OR(L16="",L17="",L18="",L19=""),"",L16+L17+L18+L19)</f>
        <v/>
      </c>
      <c r="M20" s="3960">
        <f>IF(OR(M16="",M17="",M18="",M19=""),"",M16+M17+M18+M19)</f>
        <v/>
      </c>
      <c r="N20" s="3960">
        <f>IF(OR(N16="",N17="",N18="",N19=""),"",N16+N17+N18+N19)</f>
        <v/>
      </c>
      <c r="O20" s="3960">
        <f>IF(OR(O16="",O17="",O18="",O19=""),"",O16+O17+O18+O19)</f>
        <v/>
      </c>
      <c r="P20" s="3960">
        <f>IF(OR(P16="",P17="",P18="",P19=""),"",P16+P17+P18+P19)</f>
        <v/>
      </c>
      <c r="Q20" s="3960">
        <f>IF(OR(Q16="",Q17="",Q18="",Q19=""),"",Q16+Q17+Q18+Q19)</f>
        <v/>
      </c>
      <c r="R20" s="3960">
        <f>IF(OR(R16="",R17="",R18="",R19=""),"",R16+R17+R18+R19)</f>
        <v/>
      </c>
      <c r="S20" s="3960">
        <f>IF(OR(S16="",S17="",S18="",S19=""),"",S16+S17+S18+S19)</f>
        <v/>
      </c>
      <c r="T20" s="3960">
        <f>IF(OR(T16="",T17="",T18="",T19=""),"",T16+T17+T18+T19)</f>
        <v/>
      </c>
      <c r="U20" s="3960">
        <f>IF(OR(U16="",U17="",U18="",U19=""),"",U16+U17+U18+U19)</f>
        <v/>
      </c>
      <c r="V20" s="3960">
        <f>IF(OR(V16="",V17="",V18="",V19=""),"",V16+V17+V18+V19)</f>
        <v/>
      </c>
      <c r="W20" s="3960">
        <f>IF(OR(W16="",W17="",W18="",W19=""),"",W16+W17+W18+W19)</f>
        <v/>
      </c>
      <c r="X20" s="3960">
        <f>IF(OR(X16="",X17="",X18="",X19=""),"",X16+X17+X18+X19)</f>
        <v/>
      </c>
      <c r="Y20" s="3960">
        <f>IF(OR(Y16="",Y17="",Y18="",Y19=""),"",Y16+Y17+Y18+Y19)</f>
        <v/>
      </c>
      <c r="Z20" s="3960">
        <f>IF(OR(Z16="",Z17="",Z18="",Z19=""),"",Z16+Z17+Z18+Z19)</f>
        <v/>
      </c>
      <c r="AA20" s="3960">
        <f>IF(OR(AA16="",AA17="",AA18="",AA19=""),"",AA16+AA17+AA18+AA19)</f>
        <v/>
      </c>
      <c r="AB20" s="3960">
        <f>IF(OR(AB16="",AB17="",AB18="",AB19=""),"",AB16+AB17+AB18+AB19)</f>
        <v/>
      </c>
      <c r="AC20" s="3960">
        <f>IF(OR(AC16="",AC17="",AC18="",AC19=""),"",AC16+AC17+AC18+AC19)</f>
        <v/>
      </c>
      <c r="AD20" s="3960">
        <f>IF(OR(AD16="",AD17="",AD18="",AD19=""),"",AD16+AD17+AD18+AD19)</f>
        <v/>
      </c>
      <c r="AE20" s="3960">
        <f>IF(OR(AE16="",AE17="",AE18="",AE19=""),"",AE16+AE17+AE18+AE19)</f>
        <v/>
      </c>
      <c r="AF20" s="3960">
        <f>IF(OR(AF16="",AF17="",AF18="",AF19=""),"",AF16+AF17+AF18+AF19)</f>
        <v/>
      </c>
      <c r="AG20" s="3960">
        <f>IF(OR(AG16="",AG17="",AG18="",AG19=""),"",AG16+AG17+AG18+AG19)</f>
        <v/>
      </c>
      <c r="AH20" s="3960">
        <f>IF(OR(AH16="",AH17="",AH18="",AH19=""),"",AH16+AH17+AH18+AH19)</f>
        <v/>
      </c>
      <c r="AI20" s="3960">
        <f>IF(OR(AI16="",AI17="",AI18="",AI19=""),"",AI16+AI17+AI18+AI19)</f>
        <v/>
      </c>
      <c r="AJ20" s="3960">
        <f>IF(OR(AJ16="",AJ17="",AJ18="",AJ19=""),"",AJ16+AJ17+AJ18+AJ19)</f>
        <v/>
      </c>
      <c r="AK20" s="3960">
        <f>IF(OR(AK16="",AK17="",AK18="",AK19=""),"",AK16+AK17+AK18+AK19)</f>
        <v/>
      </c>
      <c r="AL20" s="3960">
        <f>IF(OR(AL16="",AL17="",AL18="",AL19=""),"",AL16+AL17+AL18+AL19)</f>
        <v/>
      </c>
      <c r="AM20" s="3960">
        <f>IF(OR(AM16="",AM17="",AM18="",AM19=""),"",AM16+AM17+AM18+AM19)</f>
        <v/>
      </c>
      <c r="AN20" s="3960">
        <f>IF(OR(AN16="",AN17="",AN18="",AN19=""),"",AN16+AN17+AN18+AN19)</f>
        <v/>
      </c>
      <c r="AO20" s="3960">
        <f>IF(OR(AO16="",AO17="",AO18="",AO19=""),"",AO16+AO17+AO18+AO19)</f>
        <v/>
      </c>
      <c r="AP20" s="3960">
        <f>IF(OR(AP16="",AP17="",AP18="",AP19=""),"",AP16+AP17+AP18+AP19)</f>
        <v/>
      </c>
      <c r="AQ20" s="3949">
        <f>IF(COUNT(G20:R20)=0,"",SUM(G20:R20))</f>
        <v/>
      </c>
      <c r="AR20" s="3949">
        <f>IF(COUNT(S20:AD20)=0,"",SUM(S20:AD20))</f>
        <v/>
      </c>
      <c r="AS20" s="3949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inlineStr"/>
      <c r="D12" s="3959" t="inlineStr">
        <is>
          <t>+</t>
        </is>
      </c>
      <c r="E12" s="3959" t="inlineStr">
        <is>
          <t>TB/Map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R13</f>
        <v/>
      </c>
      <c r="AR13" s="3949">
        <f>AD13</f>
        <v/>
      </c>
      <c r="AS13" s="3949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inlineStr"/>
      <c r="D14" s="3959" t="inlineStr">
        <is>
          <t>+</t>
        </is>
      </c>
      <c r="E14" s="3959" t="inlineStr">
        <is>
          <t>TB/Map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inlineStr"/>
      <c r="D15" s="3959" t="inlineStr">
        <is>
          <t>+</t>
        </is>
      </c>
      <c r="E15" s="3959" t="inlineStr">
        <is>
          <t>TB/Map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60">
        <f>IF(COUNT(K13:K15)=0,"",SUM(K13:K15))</f>
        <v/>
      </c>
      <c r="L16" s="3960">
        <f>IF(COUNT(L13:L15)=0,"",SUM(L13:L15))</f>
        <v/>
      </c>
      <c r="M16" s="3960">
        <f>IF(COUNT(M13:M15)=0,"",SUM(M13:M15))</f>
        <v/>
      </c>
      <c r="N16" s="3960">
        <f>IF(COUNT(N13:N15)=0,"",SUM(N13:N15))</f>
        <v/>
      </c>
      <c r="O16" s="3960">
        <f>IF(COUNT(O13:O15)=0,"",SUM(O13:O15))</f>
        <v/>
      </c>
      <c r="P16" s="3960">
        <f>IF(COUNT(P13:P15)=0,"",SUM(P13:P15))</f>
        <v/>
      </c>
      <c r="Q16" s="3960">
        <f>IF(COUNT(Q13:Q15)=0,"",SUM(Q13:Q15))</f>
        <v/>
      </c>
      <c r="R16" s="3960">
        <f>IF(COUNT(R13:R15)=0,"",SUM(R13:R15))</f>
        <v/>
      </c>
      <c r="S16" s="3960">
        <f>IF(COUNT(S13:S15)=0,"",SUM(S13:S15))</f>
        <v/>
      </c>
      <c r="T16" s="3960">
        <f>IF(COUNT(T13:T15)=0,"",SUM(T13:T15))</f>
        <v/>
      </c>
      <c r="U16" s="3960">
        <f>IF(COUNT(U13:U15)=0,"",SUM(U13:U15))</f>
        <v/>
      </c>
      <c r="V16" s="3960">
        <f>IF(COUNT(V13:V15)=0,"",SUM(V13:V15))</f>
        <v/>
      </c>
      <c r="W16" s="3960">
        <f>IF(COUNT(W13:W15)=0,"",SUM(W13:W15))</f>
        <v/>
      </c>
      <c r="X16" s="3960">
        <f>IF(COUNT(X13:X15)=0,"",SUM(X13:X15))</f>
        <v/>
      </c>
      <c r="Y16" s="3960">
        <f>IF(COUNT(Y13:Y15)=0,"",SUM(Y13:Y15))</f>
        <v/>
      </c>
      <c r="Z16" s="3960">
        <f>IF(COUNT(Z13:Z15)=0,"",SUM(Z13:Z15))</f>
        <v/>
      </c>
      <c r="AA16" s="3960">
        <f>IF(COUNT(AA13:AA15)=0,"",SUM(AA13:AA15))</f>
        <v/>
      </c>
      <c r="AB16" s="3960">
        <f>IF(COUNT(AB13:AB15)=0,"",SUM(AB13:AB15))</f>
        <v/>
      </c>
      <c r="AC16" s="3960">
        <f>IF(COUNT(AC13:AC15)=0,"",SUM(AC13:AC15))</f>
        <v/>
      </c>
      <c r="AD16" s="3960">
        <f>IF(COUNT(AD13:AD15)=0,"",SUM(AD13:AD15))</f>
        <v/>
      </c>
      <c r="AE16" s="3960">
        <f>IF(COUNT(AE13:AE15)=0,"",SUM(AE13:AE15))</f>
        <v/>
      </c>
      <c r="AF16" s="3960">
        <f>IF(COUNT(AF13:AF15)=0,"",SUM(AF13:AF15))</f>
        <v/>
      </c>
      <c r="AG16" s="3960">
        <f>IF(COUNT(AG13:AG15)=0,"",SUM(AG13:AG15))</f>
        <v/>
      </c>
      <c r="AH16" s="3960">
        <f>IF(COUNT(AH13:AH15)=0,"",SUM(AH13:AH15))</f>
        <v/>
      </c>
      <c r="AI16" s="3960">
        <f>IF(COUNT(AI13:AI15)=0,"",SUM(AI13:AI15))</f>
        <v/>
      </c>
      <c r="AJ16" s="3960">
        <f>IF(COUNT(AJ13:AJ15)=0,"",SUM(AJ13:AJ15))</f>
        <v/>
      </c>
      <c r="AK16" s="3960">
        <f>IF(COUNT(AK13:AK15)=0,"",SUM(AK13:AK15))</f>
        <v/>
      </c>
      <c r="AL16" s="3960">
        <f>IF(COUNT(AL13:AL15)=0,"",SUM(AL13:AL15))</f>
        <v/>
      </c>
      <c r="AM16" s="3960">
        <f>IF(COUNT(AM13:AM15)=0,"",SUM(AM13:AM15))</f>
        <v/>
      </c>
      <c r="AN16" s="3960">
        <f>IF(COUNT(AN13:AN15)=0,"",SUM(AN13:AN15))</f>
        <v/>
      </c>
      <c r="AO16" s="3960">
        <f>IF(COUNT(AO13:AO15)=0,"",SUM(AO13:AO15))</f>
        <v/>
      </c>
      <c r="AP16" s="3960">
        <f>IF(COUNT(AP13:AP15)=0,"",SUM(AP13:AP15))</f>
        <v/>
      </c>
      <c r="AQ16" s="3949">
        <f>R16</f>
        <v/>
      </c>
      <c r="AR16" s="3949">
        <f>AD16</f>
        <v/>
      </c>
      <c r="AS16" s="3949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inlineStr"/>
      <c r="D17" s="3959" t="inlineStr">
        <is>
          <t>+</t>
        </is>
      </c>
      <c r="E17" s="3959" t="inlineStr">
        <is>
          <t>TB/Map</t>
        </is>
      </c>
      <c r="F17" s="3959" t="inlineStr"/>
      <c r="G17" s="3929" t="n"/>
      <c r="H17" s="3929" t="n"/>
      <c r="I17" s="3929" t="n"/>
      <c r="J17" s="3929" t="n"/>
      <c r="K17" s="3929" t="n"/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inlineStr"/>
      <c r="D18" s="3959" t="inlineStr">
        <is>
          <t>+</t>
        </is>
      </c>
      <c r="E18" s="3959" t="inlineStr">
        <is>
          <t>TB/Map</t>
        </is>
      </c>
      <c r="F18" s="3959" t="inlineStr"/>
      <c r="G18" s="3929" t="n"/>
      <c r="H18" s="3929" t="n"/>
      <c r="I18" s="3929" t="n"/>
      <c r="J18" s="3929" t="n"/>
      <c r="K18" s="3929" t="n"/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inlineStr"/>
      <c r="D19" s="3959" t="inlineStr">
        <is>
          <t>+</t>
        </is>
      </c>
      <c r="E19" s="3959" t="inlineStr">
        <is>
          <t>TB/Map</t>
        </is>
      </c>
      <c r="F19" s="3959" t="inlineStr"/>
      <c r="G19" s="3929" t="n"/>
      <c r="H19" s="3929" t="n"/>
      <c r="I19" s="3929" t="n"/>
      <c r="J19" s="3929" t="n"/>
      <c r="K19" s="3929" t="n"/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inlineStr"/>
      <c r="D20" s="3959" t="inlineStr">
        <is>
          <t>+</t>
        </is>
      </c>
      <c r="E20" s="3959" t="inlineStr">
        <is>
          <t>TB/Map</t>
        </is>
      </c>
      <c r="F20" s="3959" t="inlineStr"/>
      <c r="G20" s="3929" t="n"/>
      <c r="H20" s="3929" t="n"/>
      <c r="I20" s="3929" t="n"/>
      <c r="J20" s="3929" t="n"/>
      <c r="K20" s="3929" t="n"/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60">
        <f>IF(COUNT(G17:G20)=0,"",SUM(G17:G20))</f>
        <v/>
      </c>
      <c r="H21" s="3960">
        <f>IF(COUNT(H17:H20)=0,"",SUM(H17:H20))</f>
        <v/>
      </c>
      <c r="I21" s="3960">
        <f>IF(COUNT(I17:I20)=0,"",SUM(I17:I20))</f>
        <v/>
      </c>
      <c r="J21" s="3960">
        <f>IF(COUNT(J17:J20)=0,"",SUM(J17:J20))</f>
        <v/>
      </c>
      <c r="K21" s="3960">
        <f>IF(COUNT(K17:K20)=0,"",SUM(K17:K20))</f>
        <v/>
      </c>
      <c r="L21" s="3960">
        <f>IF(COUNT(L17:L20)=0,"",SUM(L17:L20))</f>
        <v/>
      </c>
      <c r="M21" s="3960">
        <f>IF(COUNT(M17:M20)=0,"",SUM(M17:M20))</f>
        <v/>
      </c>
      <c r="N21" s="3960">
        <f>IF(COUNT(N17:N20)=0,"",SUM(N17:N20))</f>
        <v/>
      </c>
      <c r="O21" s="3960">
        <f>IF(COUNT(O17:O20)=0,"",SUM(O17:O20))</f>
        <v/>
      </c>
      <c r="P21" s="3960">
        <f>IF(COUNT(P17:P20)=0,"",SUM(P17:P20))</f>
        <v/>
      </c>
      <c r="Q21" s="3960">
        <f>IF(COUNT(Q17:Q20)=0,"",SUM(Q17:Q20))</f>
        <v/>
      </c>
      <c r="R21" s="3960">
        <f>IF(COUNT(R17:R20)=0,"",SUM(R17:R20))</f>
        <v/>
      </c>
      <c r="S21" s="3960">
        <f>IF(COUNT(S17:S20)=0,"",SUM(S17:S20))</f>
        <v/>
      </c>
      <c r="T21" s="3960">
        <f>IF(COUNT(T17:T20)=0,"",SUM(T17:T20))</f>
        <v/>
      </c>
      <c r="U21" s="3960">
        <f>IF(COUNT(U17:U20)=0,"",SUM(U17:U20))</f>
        <v/>
      </c>
      <c r="V21" s="3960">
        <f>IF(COUNT(V17:V20)=0,"",SUM(V17:V20))</f>
        <v/>
      </c>
      <c r="W21" s="3960">
        <f>IF(COUNT(W17:W20)=0,"",SUM(W17:W20))</f>
        <v/>
      </c>
      <c r="X21" s="3960">
        <f>IF(COUNT(X17:X20)=0,"",SUM(X17:X20))</f>
        <v/>
      </c>
      <c r="Y21" s="3960">
        <f>IF(COUNT(Y17:Y20)=0,"",SUM(Y17:Y20))</f>
        <v/>
      </c>
      <c r="Z21" s="3960">
        <f>IF(COUNT(Z17:Z20)=0,"",SUM(Z17:Z20))</f>
        <v/>
      </c>
      <c r="AA21" s="3960">
        <f>IF(COUNT(AA17:AA20)=0,"",SUM(AA17:AA20))</f>
        <v/>
      </c>
      <c r="AB21" s="3960">
        <f>IF(COUNT(AB17:AB20)=0,"",SUM(AB17:AB20))</f>
        <v/>
      </c>
      <c r="AC21" s="3960">
        <f>IF(COUNT(AC17:AC20)=0,"",SUM(AC17:AC20))</f>
        <v/>
      </c>
      <c r="AD21" s="3960">
        <f>IF(COUNT(AD17:AD20)=0,"",SUM(AD17:AD20))</f>
        <v/>
      </c>
      <c r="AE21" s="3960">
        <f>IF(COUNT(AE17:AE20)=0,"",SUM(AE17:AE20))</f>
        <v/>
      </c>
      <c r="AF21" s="3960">
        <f>IF(COUNT(AF17:AF20)=0,"",SUM(AF17:AF20))</f>
        <v/>
      </c>
      <c r="AG21" s="3960">
        <f>IF(COUNT(AG17:AG20)=0,"",SUM(AG17:AG20))</f>
        <v/>
      </c>
      <c r="AH21" s="3960">
        <f>IF(COUNT(AH17:AH20)=0,"",SUM(AH17:AH20))</f>
        <v/>
      </c>
      <c r="AI21" s="3960">
        <f>IF(COUNT(AI17:AI20)=0,"",SUM(AI17:AI20))</f>
        <v/>
      </c>
      <c r="AJ21" s="3960">
        <f>IF(COUNT(AJ17:AJ20)=0,"",SUM(AJ17:AJ20))</f>
        <v/>
      </c>
      <c r="AK21" s="3960">
        <f>IF(COUNT(AK17:AK20)=0,"",SUM(AK17:AK20))</f>
        <v/>
      </c>
      <c r="AL21" s="3960">
        <f>IF(COUNT(AL17:AL20)=0,"",SUM(AL17:AL20))</f>
        <v/>
      </c>
      <c r="AM21" s="3960">
        <f>IF(COUNT(AM17:AM20)=0,"",SUM(AM17:AM20))</f>
        <v/>
      </c>
      <c r="AN21" s="3960">
        <f>IF(COUNT(AN17:AN20)=0,"",SUM(AN17:AN20))</f>
        <v/>
      </c>
      <c r="AO21" s="3960">
        <f>IF(COUNT(AO17:AO20)=0,"",SUM(AO17:AO20))</f>
        <v/>
      </c>
      <c r="AP21" s="3960">
        <f>IF(COUNT(AP17:AP20)=0,"",SUM(AP17:AP20))</f>
        <v/>
      </c>
      <c r="AQ21" s="3949">
        <f>R21</f>
        <v/>
      </c>
      <c r="AR21" s="3949">
        <f>AD21</f>
        <v/>
      </c>
      <c r="AS21" s="3949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inlineStr"/>
      <c r="D22" s="3959" t="inlineStr">
        <is>
          <t>+</t>
        </is>
      </c>
      <c r="E22" s="3959" t="inlineStr">
        <is>
          <t>TB/Map</t>
        </is>
      </c>
      <c r="F22" s="3959" t="inlineStr"/>
      <c r="G22" s="3929" t="n"/>
      <c r="H22" s="3929" t="n"/>
      <c r="I22" s="3929" t="n"/>
      <c r="J22" s="3929" t="n"/>
      <c r="K22" s="3929" t="n"/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60">
        <f>IF(COUNT(G21:G22)=0,"",SUM(G21:G22))</f>
        <v/>
      </c>
      <c r="H23" s="3960">
        <f>IF(COUNT(H21:H22)=0,"",SUM(H21:H22))</f>
        <v/>
      </c>
      <c r="I23" s="3960">
        <f>IF(COUNT(I21:I22)=0,"",SUM(I21:I22))</f>
        <v/>
      </c>
      <c r="J23" s="3960">
        <f>IF(COUNT(J21:J22)=0,"",SUM(J21:J22))</f>
        <v/>
      </c>
      <c r="K23" s="3960">
        <f>IF(COUNT(K21:K22)=0,"",SUM(K21:K22))</f>
        <v/>
      </c>
      <c r="L23" s="3960">
        <f>IF(COUNT(L21:L22)=0,"",SUM(L21:L22))</f>
        <v/>
      </c>
      <c r="M23" s="3960">
        <f>IF(COUNT(M21:M22)=0,"",SUM(M21:M22))</f>
        <v/>
      </c>
      <c r="N23" s="3960">
        <f>IF(COUNT(N21:N22)=0,"",SUM(N21:N22))</f>
        <v/>
      </c>
      <c r="O23" s="3960">
        <f>IF(COUNT(O21:O22)=0,"",SUM(O21:O22))</f>
        <v/>
      </c>
      <c r="P23" s="3960">
        <f>IF(COUNT(P21:P22)=0,"",SUM(P21:P22))</f>
        <v/>
      </c>
      <c r="Q23" s="3960">
        <f>IF(COUNT(Q21:Q22)=0,"",SUM(Q21:Q22))</f>
        <v/>
      </c>
      <c r="R23" s="3960">
        <f>IF(COUNT(R21:R22)=0,"",SUM(R21:R22))</f>
        <v/>
      </c>
      <c r="S23" s="3960">
        <f>IF(COUNT(S21:S22)=0,"",SUM(S21:S22))</f>
        <v/>
      </c>
      <c r="T23" s="3960">
        <f>IF(COUNT(T21:T22)=0,"",SUM(T21:T22))</f>
        <v/>
      </c>
      <c r="U23" s="3960">
        <f>IF(COUNT(U21:U22)=0,"",SUM(U21:U22))</f>
        <v/>
      </c>
      <c r="V23" s="3960">
        <f>IF(COUNT(V21:V22)=0,"",SUM(V21:V22))</f>
        <v/>
      </c>
      <c r="W23" s="3960">
        <f>IF(COUNT(W21:W22)=0,"",SUM(W21:W22))</f>
        <v/>
      </c>
      <c r="X23" s="3960">
        <f>IF(COUNT(X21:X22)=0,"",SUM(X21:X22))</f>
        <v/>
      </c>
      <c r="Y23" s="3960">
        <f>IF(COUNT(Y21:Y22)=0,"",SUM(Y21:Y22))</f>
        <v/>
      </c>
      <c r="Z23" s="3960">
        <f>IF(COUNT(Z21:Z22)=0,"",SUM(Z21:Z22))</f>
        <v/>
      </c>
      <c r="AA23" s="3960">
        <f>IF(COUNT(AA21:AA22)=0,"",SUM(AA21:AA22))</f>
        <v/>
      </c>
      <c r="AB23" s="3960">
        <f>IF(COUNT(AB21:AB22)=0,"",SUM(AB21:AB22))</f>
        <v/>
      </c>
      <c r="AC23" s="3960">
        <f>IF(COUNT(AC21:AC22)=0,"",SUM(AC21:AC22))</f>
        <v/>
      </c>
      <c r="AD23" s="3960">
        <f>IF(COUNT(AD21:AD22)=0,"",SUM(AD21:AD22))</f>
        <v/>
      </c>
      <c r="AE23" s="3960">
        <f>IF(COUNT(AE21:AE22)=0,"",SUM(AE21:AE22))</f>
        <v/>
      </c>
      <c r="AF23" s="3960">
        <f>IF(COUNT(AF21:AF22)=0,"",SUM(AF21:AF22))</f>
        <v/>
      </c>
      <c r="AG23" s="3960">
        <f>IF(COUNT(AG21:AG22)=0,"",SUM(AG21:AG22))</f>
        <v/>
      </c>
      <c r="AH23" s="3960">
        <f>IF(COUNT(AH21:AH22)=0,"",SUM(AH21:AH22))</f>
        <v/>
      </c>
      <c r="AI23" s="3960">
        <f>IF(COUNT(AI21:AI22)=0,"",SUM(AI21:AI22))</f>
        <v/>
      </c>
      <c r="AJ23" s="3960">
        <f>IF(COUNT(AJ21:AJ22)=0,"",SUM(AJ21:AJ22))</f>
        <v/>
      </c>
      <c r="AK23" s="3960">
        <f>IF(COUNT(AK21:AK22)=0,"",SUM(AK21:AK22))</f>
        <v/>
      </c>
      <c r="AL23" s="3960">
        <f>IF(COUNT(AL21:AL22)=0,"",SUM(AL21:AL22))</f>
        <v/>
      </c>
      <c r="AM23" s="3960">
        <f>IF(COUNT(AM21:AM22)=0,"",SUM(AM21:AM22))</f>
        <v/>
      </c>
      <c r="AN23" s="3960">
        <f>IF(COUNT(AN21:AN22)=0,"",SUM(AN21:AN22))</f>
        <v/>
      </c>
      <c r="AO23" s="3960">
        <f>IF(COUNT(AO21:AO22)=0,"",SUM(AO21:AO22))</f>
        <v/>
      </c>
      <c r="AP23" s="3960">
        <f>IF(COUNT(AP21:AP22)=0,"",SUM(AP21:AP22))</f>
        <v/>
      </c>
      <c r="AQ23" s="3949">
        <f>R23</f>
        <v/>
      </c>
      <c r="AR23" s="3949">
        <f>AD23</f>
        <v/>
      </c>
      <c r="AS23" s="3949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47">
        <f>'Control | Setup'!A22</f>
        <v/>
      </c>
      <c r="H8" s="3947">
        <f>'Control | Setup'!A23</f>
        <v/>
      </c>
      <c r="I8" s="3947">
        <f>'Control | Setup'!A24</f>
        <v/>
      </c>
      <c r="J8" s="3947">
        <f>'Control | Setup'!A25</f>
        <v/>
      </c>
      <c r="K8" s="3947">
        <f>'Control | Setup'!A26</f>
        <v/>
      </c>
      <c r="L8" s="3947">
        <f>'Control | Setup'!A27</f>
        <v/>
      </c>
      <c r="M8" s="3947">
        <f>'Control | Setup'!A28</f>
        <v/>
      </c>
      <c r="N8" s="3947">
        <f>'Control | Setup'!A29</f>
        <v/>
      </c>
      <c r="O8" s="3947">
        <f>'Control | Setup'!A30</f>
        <v/>
      </c>
      <c r="P8" s="3947">
        <f>'Control | Setup'!A31</f>
        <v/>
      </c>
      <c r="Q8" s="3947">
        <f>'Control | Setup'!A32</f>
        <v/>
      </c>
      <c r="R8" s="3947">
        <f>'Control | Setup'!A33</f>
        <v/>
      </c>
      <c r="S8" s="3947">
        <f>'Control | Setup'!A34</f>
        <v/>
      </c>
      <c r="T8" s="3947">
        <f>'Control | Setup'!A35</f>
        <v/>
      </c>
      <c r="U8" s="3947">
        <f>'Control | Setup'!A36</f>
        <v/>
      </c>
      <c r="V8" s="3947">
        <f>'Control | Setup'!A37</f>
        <v/>
      </c>
      <c r="W8" s="3947">
        <f>'Control | Setup'!A38</f>
        <v/>
      </c>
      <c r="X8" s="3947">
        <f>'Control | Setup'!A39</f>
        <v/>
      </c>
      <c r="Y8" s="3947">
        <f>'Control | Setup'!A40</f>
        <v/>
      </c>
      <c r="Z8" s="3947">
        <f>'Control | Setup'!A41</f>
        <v/>
      </c>
      <c r="AA8" s="3947">
        <f>'Control | Setup'!A42</f>
        <v/>
      </c>
      <c r="AB8" s="3947">
        <f>'Control | Setup'!A43</f>
        <v/>
      </c>
      <c r="AC8" s="3947">
        <f>'Control | Setup'!A44</f>
        <v/>
      </c>
      <c r="AD8" s="3947">
        <f>'Control | Setup'!A45</f>
        <v/>
      </c>
      <c r="AE8" s="3947">
        <f>'Control | Setup'!A46</f>
        <v/>
      </c>
      <c r="AF8" s="3947">
        <f>'Control | Setup'!A47</f>
        <v/>
      </c>
      <c r="AG8" s="3947">
        <f>'Control | Setup'!A48</f>
        <v/>
      </c>
      <c r="AH8" s="3947">
        <f>'Control | Setup'!A49</f>
        <v/>
      </c>
      <c r="AI8" s="3947">
        <f>'Control | Setup'!A50</f>
        <v/>
      </c>
      <c r="AJ8" s="3947">
        <f>'Control | Setup'!A51</f>
        <v/>
      </c>
      <c r="AK8" s="3947">
        <f>'Control | Setup'!A52</f>
        <v/>
      </c>
      <c r="AL8" s="3947">
        <f>'Control | Setup'!A53</f>
        <v/>
      </c>
      <c r="AM8" s="3947">
        <f>'Control | Setup'!A54</f>
        <v/>
      </c>
      <c r="AN8" s="3947">
        <f>'Control | Setup'!A55</f>
        <v/>
      </c>
      <c r="AO8" s="3947">
        <f>'Control | Setup'!A56</f>
        <v/>
      </c>
      <c r="AP8" s="3947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inlineStr"/>
      <c r="D10" s="3959" t="inlineStr">
        <is>
          <t>+</t>
        </is>
      </c>
      <c r="E10" s="3959" t="inlineStr">
        <is>
          <t>Link/Map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inlineStr"/>
      <c r="D11" s="3959" t="inlineStr">
        <is>
          <t>+</t>
        </is>
      </c>
      <c r="E11" s="3959" t="inlineStr">
        <is>
          <t>Link/Map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inlineStr"/>
      <c r="D12" s="3959" t="inlineStr">
        <is>
          <t>+</t>
        </is>
      </c>
      <c r="E12" s="3959" t="inlineStr">
        <is>
          <t>Link/Map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70" t="n"/>
      <c r="L1" s="3970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70" t="n"/>
      <c r="L2" s="3970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70" t="n"/>
      <c r="L3" s="3970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70" t="n"/>
      <c r="L4" s="3970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70" t="n"/>
      <c r="L5" s="3970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70" t="n"/>
      <c r="L6" s="3970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QofE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70" t="n"/>
      <c r="L7" s="397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70" t="n"/>
      <c r="L8" s="3970" t="n"/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70" t="n"/>
      <c r="L9" s="3970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70" t="n"/>
      <c r="L10" s="3970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70" t="n"/>
      <c r="L11" s="3970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70" t="n"/>
      <c r="L12" s="3970" t="n"/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70" t="n"/>
      <c r="L13" s="3970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70" t="n"/>
      <c r="L14" s="3970" t="n"/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29" t="n"/>
      <c r="H15" s="3929" t="n"/>
      <c r="I15" s="3929" t="n"/>
      <c r="J15" s="3929" t="n"/>
      <c r="K15" s="3970" t="n"/>
      <c r="L15" s="397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IF(COUNT(G13:G15)=0,"",SUM(G13:G15))</f>
        <v/>
      </c>
      <c r="H16" s="3960">
        <f>IF(COUNT(H13:H15)=0,"",SUM(H13:H15))</f>
        <v/>
      </c>
      <c r="I16" s="3960">
        <f>IF(COUNT(I13:I15)=0,"",SUM(I13:I15))</f>
        <v/>
      </c>
      <c r="J16" s="3960">
        <f>IF(COUNT(J13:J15)=0,"",SUM(J13:J15))</f>
        <v/>
      </c>
      <c r="K16" s="3970" t="n"/>
      <c r="L16" s="3970" t="n"/>
      <c r="M16" s="3970" t="n"/>
      <c r="N16" s="3970" t="n"/>
      <c r="O16" s="3970" t="n"/>
      <c r="P16" s="3970" t="n"/>
      <c r="Q16" s="3970" t="n"/>
      <c r="R16" s="3970" t="n"/>
      <c r="S16" s="3970" t="n"/>
      <c r="T16" s="3970" t="n"/>
      <c r="U16" s="3970" t="n"/>
      <c r="V16" s="3970" t="n"/>
      <c r="W16" s="3970" t="n"/>
      <c r="X16" s="3970" t="n"/>
      <c r="Y16" s="3970" t="n"/>
      <c r="Z16" s="3970" t="n"/>
      <c r="AA16" s="3970" t="n"/>
      <c r="AB16" s="3970" t="n"/>
      <c r="AC16" s="3970" t="n"/>
      <c r="AD16" s="3970" t="n"/>
      <c r="AE16" s="3970" t="n"/>
      <c r="AF16" s="3970" t="n"/>
      <c r="AG16" s="3970" t="n"/>
      <c r="AH16" s="3970" t="n"/>
      <c r="AI16" s="3970" t="n"/>
      <c r="AJ16" s="3970" t="n"/>
      <c r="AK16" s="3970" t="n"/>
      <c r="AL16" s="3970" t="n"/>
      <c r="AM16" s="3970" t="n"/>
      <c r="AN16" s="3970" t="n"/>
      <c r="AO16" s="3970" t="n"/>
      <c r="AP16" s="3970" t="n"/>
      <c r="AQ16" s="3970" t="n"/>
      <c r="AR16" s="3970" t="n"/>
      <c r="AS16" s="397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60">
        <f>IF(OR(G12="",G16="",G12=0),"",G16/G12)</f>
        <v/>
      </c>
      <c r="H17" s="3960">
        <f>IF(OR(H12="",H16="",H12=0),"",H16/H12)</f>
        <v/>
      </c>
      <c r="I17" s="3960">
        <f>IF(OR(I12="",I16="",I12=0),"",I16/I12)</f>
        <v/>
      </c>
      <c r="J17" s="3960">
        <f>IF(OR(J12="",J16="",J12=0),"",J16/J12)</f>
        <v/>
      </c>
      <c r="K17" s="3970" t="n"/>
      <c r="L17" s="3970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70" t="n"/>
      <c r="L18" s="3970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9" t="inlineStr">
        <is>
          <t>QOFE_SUMMARY_CHECKS</t>
        </is>
      </c>
      <c r="B19" s="3980" t="n"/>
      <c r="C19" s="3980" t="n"/>
      <c r="D19" s="3980" t="n"/>
      <c r="E19" s="3980" t="n"/>
      <c r="F19" s="3980" t="n"/>
      <c r="G19" s="3981" t="n"/>
      <c r="H19" s="3981" t="n"/>
      <c r="I19" s="3981" t="n"/>
      <c r="J19" s="3981" t="n"/>
      <c r="K19" s="3975" t="n"/>
      <c r="L19" s="3975" t="n"/>
      <c r="M19" s="3975" t="n"/>
      <c r="N19" s="3975" t="n"/>
      <c r="O19" s="3975" t="n"/>
      <c r="P19" s="3975" t="n"/>
      <c r="Q19" s="3975" t="n"/>
      <c r="R19" s="3975" t="n"/>
      <c r="S19" s="3975" t="n"/>
      <c r="T19" s="3975" t="n"/>
      <c r="U19" s="3975" t="n"/>
      <c r="V19" s="3975" t="n"/>
      <c r="W19" s="3975" t="n"/>
      <c r="X19" s="3975" t="n"/>
      <c r="Y19" s="3975" t="n"/>
      <c r="Z19" s="3975" t="n"/>
      <c r="AA19" s="3975" t="n"/>
      <c r="AB19" s="3975" t="n"/>
      <c r="AC19" s="3975" t="n"/>
      <c r="AD19" s="3975" t="n"/>
      <c r="AE19" s="3975" t="n"/>
      <c r="AF19" s="3975" t="n"/>
      <c r="AG19" s="3975" t="n"/>
      <c r="AH19" s="3975" t="n"/>
      <c r="AI19" s="3975" t="n"/>
      <c r="AJ19" s="3975" t="n"/>
      <c r="AK19" s="3975" t="n"/>
      <c r="AL19" s="3975" t="n"/>
      <c r="AM19" s="3975" t="n"/>
      <c r="AN19" s="3975" t="n"/>
      <c r="AO19" s="3975" t="n"/>
      <c r="AP19" s="3975" t="n"/>
      <c r="AQ19" s="3975" t="n"/>
      <c r="AR19" s="3975" t="n"/>
      <c r="AS19" s="3975" t="n"/>
    </row>
    <row r="20">
      <c r="A20" s="3970" t="inlineStr">
        <is>
          <t>Revenue tie-out vs QofE Detail</t>
        </is>
      </c>
      <c r="B20" s="3970" t="n"/>
      <c r="C20" s="3970" t="n"/>
      <c r="D20" s="3970" t="n"/>
      <c r="E20" s="3970" t="n"/>
      <c r="F20" s="3970" t="n"/>
      <c r="G20" s="3976" t="n"/>
      <c r="H20" s="3976" t="n"/>
      <c r="I20" s="3976" t="n"/>
      <c r="J20" s="3976" t="n"/>
      <c r="K20" s="3970" t="n"/>
      <c r="L20" s="3970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inlineStr">
        <is>
          <t>EBITDA tie-out vs QofE Detail</t>
        </is>
      </c>
      <c r="B21" s="3970" t="n"/>
      <c r="C21" s="3970" t="n"/>
      <c r="D21" s="3970" t="n"/>
      <c r="E21" s="3970" t="n"/>
      <c r="F21" s="3970" t="n"/>
      <c r="G21" s="3976" t="n"/>
      <c r="H21" s="3976" t="n"/>
      <c r="I21" s="3976" t="n"/>
      <c r="J21" s="3976" t="n"/>
      <c r="K21" s="3970" t="n"/>
      <c r="L21" s="3970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0" t="n"/>
      <c r="L22" s="3970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0" t="n"/>
      <c r="L23" s="3970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0" t="n"/>
      <c r="L24" s="3970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0" t="n"/>
      <c r="L25" s="3970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0" t="n"/>
      <c r="L26" s="3970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0" t="n"/>
      <c r="L27" s="3970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0" t="n"/>
      <c r="L28" s="3970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7" t="n"/>
      <c r="H29" s="3977" t="n"/>
      <c r="I29" s="3977" t="n"/>
      <c r="J29" s="3977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QofE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IF(COUNT(G9:G11)=0,"",G9+G10+G11)</f>
        <v/>
      </c>
      <c r="H12" s="3960">
        <f>IF(COUNT(H9:H11)=0,"",H9+H10+H11)</f>
        <v/>
      </c>
      <c r="I12" s="3960">
        <f>IF(COUNT(I9:I11)=0,"",I9+I10+I11)</f>
        <v/>
      </c>
      <c r="J12" s="3960">
        <f>IF(COUNT(J9:J11)=0,"",J9+J10+J11)</f>
        <v/>
      </c>
      <c r="K12" s="3960">
        <f>IF(COUNT(K9:K11)=0,"",K9+K10+K11)</f>
        <v/>
      </c>
      <c r="L12" s="3960">
        <f>IF(COUNT(L9:L11)=0,"",L9+L10+L11)</f>
        <v/>
      </c>
      <c r="M12" s="3960">
        <f>IF(COUNT(M9:M11)=0,"",M9+M10+M11)</f>
        <v/>
      </c>
      <c r="N12" s="3960">
        <f>IF(COUNT(N9:N11)=0,"",N9+N10+N11)</f>
        <v/>
      </c>
      <c r="O12" s="3960">
        <f>IF(COUNT(O9:O11)=0,"",O9+O10+O11)</f>
        <v/>
      </c>
      <c r="P12" s="3960">
        <f>IF(COUNT(P9:P11)=0,"",P9+P10+P11)</f>
        <v/>
      </c>
      <c r="Q12" s="3960">
        <f>IF(COUNT(Q9:Q11)=0,"",Q9+Q10+Q11)</f>
        <v/>
      </c>
      <c r="R12" s="3960">
        <f>IF(COUNT(R9:R11)=0,"",R9+R10+R11)</f>
        <v/>
      </c>
      <c r="S12" s="3960">
        <f>IF(COUNT(S9:S11)=0,"",S9+S10+S11)</f>
        <v/>
      </c>
      <c r="T12" s="3960">
        <f>IF(COUNT(T9:T11)=0,"",T9+T10+T11)</f>
        <v/>
      </c>
      <c r="U12" s="3960">
        <f>IF(COUNT(U9:U11)=0,"",U9+U10+U11)</f>
        <v/>
      </c>
      <c r="V12" s="3960">
        <f>IF(COUNT(V9:V11)=0,"",V9+V10+V11)</f>
        <v/>
      </c>
      <c r="W12" s="3960">
        <f>IF(COUNT(W9:W11)=0,"",W9+W10+W11)</f>
        <v/>
      </c>
      <c r="X12" s="3960">
        <f>IF(COUNT(X9:X11)=0,"",X9+X10+X11)</f>
        <v/>
      </c>
      <c r="Y12" s="3960">
        <f>IF(COUNT(Y9:Y11)=0,"",Y9+Y10+Y11)</f>
        <v/>
      </c>
      <c r="Z12" s="3960">
        <f>IF(COUNT(Z9:Z11)=0,"",Z9+Z10+Z11)</f>
        <v/>
      </c>
      <c r="AA12" s="3960">
        <f>IF(COUNT(AA9:AA11)=0,"",AA9+AA10+AA11)</f>
        <v/>
      </c>
      <c r="AB12" s="3960">
        <f>IF(COUNT(AB9:AB11)=0,"",AB9+AB10+AB11)</f>
        <v/>
      </c>
      <c r="AC12" s="3960">
        <f>IF(COUNT(AC9:AC11)=0,"",AC9+AC10+AC11)</f>
        <v/>
      </c>
      <c r="AD12" s="3960">
        <f>IF(COUNT(AD9:AD11)=0,"",AD9+AD10+AD11)</f>
        <v/>
      </c>
      <c r="AE12" s="3960">
        <f>IF(COUNT(AE9:AE11)=0,"",AE9+AE10+AE11)</f>
        <v/>
      </c>
      <c r="AF12" s="3960">
        <f>IF(COUNT(AF9:AF11)=0,"",AF9+AF10+AF11)</f>
        <v/>
      </c>
      <c r="AG12" s="3960">
        <f>IF(COUNT(AG9:AG11)=0,"",AG9+AG10+AG11)</f>
        <v/>
      </c>
      <c r="AH12" s="3960">
        <f>IF(COUNT(AH9:AH11)=0,"",AH9+AH10+AH11)</f>
        <v/>
      </c>
      <c r="AI12" s="3960">
        <f>IF(COUNT(AI9:AI11)=0,"",AI9+AI10+AI11)</f>
        <v/>
      </c>
      <c r="AJ12" s="3960">
        <f>IF(COUNT(AJ9:AJ11)=0,"",AJ9+AJ10+AJ11)</f>
        <v/>
      </c>
      <c r="AK12" s="3960">
        <f>IF(COUNT(AK9:AK11)=0,"",AK9+AK10+AK11)</f>
        <v/>
      </c>
      <c r="AL12" s="3960">
        <f>IF(COUNT(AL9:AL11)=0,"",AL9+AL10+AL11)</f>
        <v/>
      </c>
      <c r="AM12" s="3960">
        <f>IF(COUNT(AM9:AM11)=0,"",AM9+AM10+AM11)</f>
        <v/>
      </c>
      <c r="AN12" s="3960">
        <f>IF(COUNT(AN9:AN11)=0,"",AN9+AN10+AN11)</f>
        <v/>
      </c>
      <c r="AO12" s="3960">
        <f>IF(COUNT(AO9:AO11)=0,"",AO9+AO10+AO11)</f>
        <v/>
      </c>
      <c r="AP12" s="3960">
        <f>IF(COUNT(AP9:AP11)=0,"",AP9+AP10+AP11)</f>
        <v/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>
        <f>IF(COUNT(L12:L14)=0,"",L12+L13+L14)</f>
        <v/>
      </c>
      <c r="M15" s="3960">
        <f>IF(COUNT(M12:M14)=0,"",M12+M13+M14)</f>
        <v/>
      </c>
      <c r="N15" s="3960">
        <f>IF(COUNT(N12:N14)=0,"",N12+N13+N14)</f>
        <v/>
      </c>
      <c r="O15" s="3960">
        <f>IF(COUNT(O12:O14)=0,"",O12+O13+O14)</f>
        <v/>
      </c>
      <c r="P15" s="3960">
        <f>IF(COUNT(P12:P14)=0,"",P12+P13+P14)</f>
        <v/>
      </c>
      <c r="Q15" s="3960">
        <f>IF(COUNT(Q12:Q14)=0,"",Q12+Q13+Q14)</f>
        <v/>
      </c>
      <c r="R15" s="3960">
        <f>IF(COUNT(R12:R14)=0,"",R12+R13+R14)</f>
        <v/>
      </c>
      <c r="S15" s="3960">
        <f>IF(COUNT(S12:S14)=0,"",S12+S13+S14)</f>
        <v/>
      </c>
      <c r="T15" s="3960">
        <f>IF(COUNT(T12:T14)=0,"",T12+T13+T14)</f>
        <v/>
      </c>
      <c r="U15" s="3960">
        <f>IF(COUNT(U12:U14)=0,"",U12+U13+U14)</f>
        <v/>
      </c>
      <c r="V15" s="3960">
        <f>IF(COUNT(V12:V14)=0,"",V12+V13+V14)</f>
        <v/>
      </c>
      <c r="W15" s="3960">
        <f>IF(COUNT(W12:W14)=0,"",W12+W13+W14)</f>
        <v/>
      </c>
      <c r="X15" s="3960">
        <f>IF(COUNT(X12:X14)=0,"",X12+X13+X14)</f>
        <v/>
      </c>
      <c r="Y15" s="3960">
        <f>IF(COUNT(Y12:Y14)=0,"",Y12+Y13+Y14)</f>
        <v/>
      </c>
      <c r="Z15" s="3960">
        <f>IF(COUNT(Z12:Z14)=0,"",Z12+Z13+Z14)</f>
        <v/>
      </c>
      <c r="AA15" s="3960">
        <f>IF(COUNT(AA12:AA14)=0,"",AA12+AA13+AA14)</f>
        <v/>
      </c>
      <c r="AB15" s="3960">
        <f>IF(COUNT(AB12:AB14)=0,"",AB12+AB13+AB14)</f>
        <v/>
      </c>
      <c r="AC15" s="3960">
        <f>IF(COUNT(AC12:AC14)=0,"",AC12+AC13+AC14)</f>
        <v/>
      </c>
      <c r="AD15" s="3960">
        <f>IF(COUNT(AD12:AD14)=0,"",AD12+AD13+AD14)</f>
        <v/>
      </c>
      <c r="AE15" s="3960">
        <f>IF(COUNT(AE12:AE14)=0,"",AE12+AE13+AE14)</f>
        <v/>
      </c>
      <c r="AF15" s="3960">
        <f>IF(COUNT(AF12:AF14)=0,"",AF12+AF13+AF14)</f>
        <v/>
      </c>
      <c r="AG15" s="3960">
        <f>IF(COUNT(AG12:AG14)=0,"",AG12+AG13+AG14)</f>
        <v/>
      </c>
      <c r="AH15" s="3960">
        <f>IF(COUNT(AH12:AH14)=0,"",AH12+AH13+AH14)</f>
        <v/>
      </c>
      <c r="AI15" s="3960">
        <f>IF(COUNT(AI12:AI14)=0,"",AI12+AI13+AI14)</f>
        <v/>
      </c>
      <c r="AJ15" s="3960">
        <f>IF(COUNT(AJ12:AJ14)=0,"",AJ12+AJ13+AJ14)</f>
        <v/>
      </c>
      <c r="AK15" s="3960">
        <f>IF(COUNT(AK12:AK14)=0,"",AK12+AK13+AK14)</f>
        <v/>
      </c>
      <c r="AL15" s="3960">
        <f>IF(COUNT(AL12:AL14)=0,"",AL12+AL13+AL14)</f>
        <v/>
      </c>
      <c r="AM15" s="3960">
        <f>IF(COUNT(AM12:AM14)=0,"",AM12+AM13+AM14)</f>
        <v/>
      </c>
      <c r="AN15" s="3960">
        <f>IF(COUNT(AN12:AN14)=0,"",AN12+AN13+AN14)</f>
        <v/>
      </c>
      <c r="AO15" s="3960">
        <f>IF(COUNT(AO12:AO14)=0,"",AO12+AO13+AO14)</f>
        <v/>
      </c>
      <c r="AP15" s="3960">
        <f>IF(COUNT(AP12:AP14)=0,"",AP12+AP13+AP14)</f>
        <v/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QOFE_DETAIL_CHECKS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3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NWC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IF(OR(G12="",G13="",G13=0),"",G12/G13)</f>
        <v/>
      </c>
      <c r="H14" s="3960">
        <f>IF(OR(H12="",H13="",H13=0),"",H12/H13)</f>
        <v/>
      </c>
      <c r="I14" s="3960">
        <f>IF(OR(I12="",I13="",I13=0),"",I12/I13)</f>
        <v/>
      </c>
      <c r="J14" s="3960">
        <f>IF(OR(J12="",J13="",J13=0),"",J12/J13)</f>
        <v/>
      </c>
      <c r="K14" s="3960">
        <f>IF(OR(K12="",K13="",K13=0),"",K12/K13)</f>
        <v/>
      </c>
      <c r="L14" s="3960">
        <f>IF(OR(L12="",L13="",L13=0),"",L12/L13)</f>
        <v/>
      </c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79" t="inlineStr">
        <is>
          <t>NWC_SUMMARY_CHECKS</t>
        </is>
      </c>
      <c r="B16" s="3980" t="n"/>
      <c r="C16" s="3980" t="n"/>
      <c r="D16" s="3980" t="n"/>
      <c r="E16" s="3980" t="n"/>
      <c r="F16" s="3980" t="n"/>
      <c r="G16" s="3981" t="n"/>
      <c r="H16" s="3981" t="n"/>
      <c r="I16" s="3981" t="n"/>
      <c r="J16" s="3981" t="n"/>
      <c r="K16" s="3981" t="n"/>
      <c r="L16" s="3981" t="n"/>
      <c r="M16" s="3975" t="n"/>
      <c r="N16" s="3975" t="n"/>
      <c r="O16" s="3975" t="n"/>
      <c r="P16" s="3975" t="n"/>
      <c r="Q16" s="3975" t="n"/>
      <c r="R16" s="3975" t="n"/>
      <c r="S16" s="3975" t="n"/>
      <c r="T16" s="3975" t="n"/>
      <c r="U16" s="3975" t="n"/>
      <c r="V16" s="3975" t="n"/>
      <c r="W16" s="3975" t="n"/>
      <c r="X16" s="3975" t="n"/>
      <c r="Y16" s="3975" t="n"/>
      <c r="Z16" s="3975" t="n"/>
      <c r="AA16" s="3975" t="n"/>
      <c r="AB16" s="3975" t="n"/>
      <c r="AC16" s="3975" t="n"/>
      <c r="AD16" s="3975" t="n"/>
      <c r="AE16" s="3975" t="n"/>
      <c r="AF16" s="3975" t="n"/>
      <c r="AG16" s="3975" t="n"/>
      <c r="AH16" s="3975" t="n"/>
      <c r="AI16" s="3975" t="n"/>
      <c r="AJ16" s="3975" t="n"/>
      <c r="AK16" s="3975" t="n"/>
      <c r="AL16" s="3975" t="n"/>
      <c r="AM16" s="3975" t="n"/>
      <c r="AN16" s="3975" t="n"/>
      <c r="AO16" s="3975" t="n"/>
      <c r="AP16" s="3975" t="n"/>
      <c r="AQ16" s="3975" t="n"/>
      <c r="AR16" s="3975" t="n"/>
      <c r="AS16" s="3975" t="n"/>
    </row>
    <row r="17">
      <c r="A17" s="3970" t="inlineStr">
        <is>
          <t>Adjusted NWC tie-out vs NWC Detail</t>
        </is>
      </c>
      <c r="B17" s="3970" t="n"/>
      <c r="C17" s="3970" t="n"/>
      <c r="D17" s="3970" t="n"/>
      <c r="E17" s="3970" t="n"/>
      <c r="F17" s="3970" t="n"/>
      <c r="G17" s="3976" t="n"/>
      <c r="H17" s="3976" t="n"/>
      <c r="I17" s="3976" t="n"/>
      <c r="J17" s="3976" t="n"/>
      <c r="K17" s="3976" t="n"/>
      <c r="L17" s="3976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70" t="n"/>
      <c r="B18" s="3970" t="n"/>
      <c r="C18" s="3970" t="n"/>
      <c r="D18" s="3970" t="n"/>
      <c r="E18" s="3970" t="n"/>
      <c r="F18" s="3970" t="n"/>
      <c r="G18" s="3977" t="n"/>
      <c r="H18" s="3977" t="n"/>
      <c r="I18" s="3977" t="n"/>
      <c r="J18" s="3977" t="n"/>
      <c r="K18" s="3977" t="n"/>
      <c r="L18" s="3977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0" t="n"/>
      <c r="B19" s="3970" t="n"/>
      <c r="C19" s="3970" t="n"/>
      <c r="D19" s="3970" t="n"/>
      <c r="E19" s="3970" t="n"/>
      <c r="F19" s="3970" t="n"/>
      <c r="G19" s="3977" t="n"/>
      <c r="H19" s="3977" t="n"/>
      <c r="I19" s="3977" t="n"/>
      <c r="J19" s="3977" t="n"/>
      <c r="K19" s="3977" t="n"/>
      <c r="L19" s="3977" t="n"/>
      <c r="M19" s="3970" t="n"/>
      <c r="N19" s="3970" t="n"/>
      <c r="O19" s="3970" t="n"/>
      <c r="P19" s="3970" t="n"/>
      <c r="Q19" s="3970" t="n"/>
      <c r="R19" s="3970" t="n"/>
      <c r="S19" s="3970" t="n"/>
      <c r="T19" s="3970" t="n"/>
      <c r="U19" s="3970" t="n"/>
      <c r="V19" s="3970" t="n"/>
      <c r="W19" s="3970" t="n"/>
      <c r="X19" s="3970" t="n"/>
      <c r="Y19" s="3970" t="n"/>
      <c r="Z19" s="3970" t="n"/>
      <c r="AA19" s="3970" t="n"/>
      <c r="AB19" s="3970" t="n"/>
      <c r="AC19" s="3970" t="n"/>
      <c r="AD19" s="3970" t="n"/>
      <c r="AE19" s="3970" t="n"/>
      <c r="AF19" s="3970" t="n"/>
      <c r="AG19" s="3970" t="n"/>
      <c r="AH19" s="3970" t="n"/>
      <c r="AI19" s="3970" t="n"/>
      <c r="AJ19" s="3970" t="n"/>
      <c r="AK19" s="3970" t="n"/>
      <c r="AL19" s="3970" t="n"/>
      <c r="AM19" s="3970" t="n"/>
      <c r="AN19" s="3970" t="n"/>
      <c r="AO19" s="3970" t="n"/>
      <c r="AP19" s="3970" t="n"/>
      <c r="AQ19" s="3970" t="n"/>
      <c r="AR19" s="3970" t="n"/>
      <c r="AS19" s="3970" t="n"/>
    </row>
    <row r="20">
      <c r="A20" s="3970" t="n"/>
      <c r="B20" s="3970" t="n"/>
      <c r="C20" s="3970" t="n"/>
      <c r="D20" s="3970" t="n"/>
      <c r="E20" s="3970" t="n"/>
      <c r="F20" s="3970" t="n"/>
      <c r="G20" s="3977" t="n"/>
      <c r="H20" s="3977" t="n"/>
      <c r="I20" s="3977" t="n"/>
      <c r="J20" s="3977" t="n"/>
      <c r="K20" s="3977" t="n"/>
      <c r="L20" s="3977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n"/>
      <c r="B21" s="3970" t="n"/>
      <c r="C21" s="3970" t="n"/>
      <c r="D21" s="3970" t="n"/>
      <c r="E21" s="3970" t="n"/>
      <c r="F21" s="3970" t="n"/>
      <c r="G21" s="3977" t="n"/>
      <c r="H21" s="3977" t="n"/>
      <c r="I21" s="3977" t="n"/>
      <c r="J21" s="3977" t="n"/>
      <c r="K21" s="3977" t="n"/>
      <c r="L21" s="3977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7" t="n"/>
      <c r="L22" s="3977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7" t="n"/>
      <c r="L23" s="3977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7" t="n"/>
      <c r="L24" s="3977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7" t="n"/>
      <c r="L25" s="3977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7" t="n"/>
      <c r="L26" s="3977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7" t="n"/>
      <c r="L27" s="3977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7" t="n"/>
      <c r="L28" s="3977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0" t="n"/>
      <c r="H29" s="3970" t="n"/>
      <c r="I29" s="3970" t="n"/>
      <c r="J29" s="3970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  <row r="30">
      <c r="A30" s="3970" t="n"/>
      <c r="B30" s="3970" t="n"/>
      <c r="C30" s="3970" t="n"/>
      <c r="D30" s="3970" t="n"/>
      <c r="E30" s="3970" t="n"/>
      <c r="F30" s="3970" t="n"/>
      <c r="G30" s="3970" t="n"/>
      <c r="H30" s="3970" t="n"/>
      <c r="I30" s="3970" t="n"/>
      <c r="J30" s="3970" t="n"/>
      <c r="K30" s="3970" t="n"/>
      <c r="L30" s="3970" t="n"/>
      <c r="M30" s="3970" t="n"/>
      <c r="N30" s="3970" t="n"/>
      <c r="O30" s="3970" t="n"/>
      <c r="P30" s="3970" t="n"/>
      <c r="Q30" s="3970" t="n"/>
      <c r="R30" s="3970" t="n"/>
      <c r="S30" s="3970" t="n"/>
      <c r="T30" s="3970" t="n"/>
      <c r="U30" s="3970" t="n"/>
      <c r="V30" s="3970" t="n"/>
      <c r="W30" s="3970" t="n"/>
      <c r="X30" s="3970" t="n"/>
      <c r="Y30" s="3970" t="n"/>
      <c r="Z30" s="3970" t="n"/>
      <c r="AA30" s="3970" t="n"/>
      <c r="AB30" s="3970" t="n"/>
      <c r="AC30" s="3970" t="n"/>
      <c r="AD30" s="3970" t="n"/>
      <c r="AE30" s="3970" t="n"/>
      <c r="AF30" s="3970" t="n"/>
      <c r="AG30" s="3970" t="n"/>
      <c r="AH30" s="3970" t="n"/>
      <c r="AI30" s="3970" t="n"/>
      <c r="AJ30" s="3970" t="n"/>
      <c r="AK30" s="3970" t="n"/>
      <c r="AL30" s="3970" t="n"/>
      <c r="AM30" s="3970" t="n"/>
      <c r="AN30" s="3970" t="n"/>
      <c r="AO30" s="3970" t="n"/>
      <c r="AP30" s="3970" t="n"/>
      <c r="AQ30" s="3970" t="n"/>
      <c r="AR30" s="3970" t="n"/>
      <c r="AS30" s="3970" t="n"/>
    </row>
    <row r="31">
      <c r="A31" s="3970" t="n"/>
      <c r="B31" s="3970" t="n"/>
      <c r="C31" s="3970" t="n"/>
      <c r="D31" s="3970" t="n"/>
      <c r="E31" s="3970" t="n"/>
      <c r="F31" s="3970" t="n"/>
      <c r="G31" s="3970" t="n"/>
      <c r="H31" s="3970" t="n"/>
      <c r="I31" s="3970" t="n"/>
      <c r="J31" s="3970" t="n"/>
      <c r="K31" s="3970" t="n"/>
      <c r="L31" s="3970" t="n"/>
      <c r="M31" s="3970" t="n"/>
      <c r="N31" s="3970" t="n"/>
      <c r="O31" s="3970" t="n"/>
      <c r="P31" s="3970" t="n"/>
      <c r="Q31" s="3970" t="n"/>
      <c r="R31" s="3970" t="n"/>
      <c r="S31" s="3970" t="n"/>
      <c r="T31" s="3970" t="n"/>
      <c r="U31" s="3970" t="n"/>
      <c r="V31" s="3970" t="n"/>
      <c r="W31" s="3970" t="n"/>
      <c r="X31" s="3970" t="n"/>
      <c r="Y31" s="3970" t="n"/>
      <c r="Z31" s="3970" t="n"/>
      <c r="AA31" s="3970" t="n"/>
      <c r="AB31" s="3970" t="n"/>
      <c r="AC31" s="3970" t="n"/>
      <c r="AD31" s="3970" t="n"/>
      <c r="AE31" s="3970" t="n"/>
      <c r="AF31" s="3970" t="n"/>
      <c r="AG31" s="3970" t="n"/>
      <c r="AH31" s="3970" t="n"/>
      <c r="AI31" s="3970" t="n"/>
      <c r="AJ31" s="3970" t="n"/>
      <c r="AK31" s="3970" t="n"/>
      <c r="AL31" s="3970" t="n"/>
      <c r="AM31" s="3970" t="n"/>
      <c r="AN31" s="3970" t="n"/>
      <c r="AO31" s="3970" t="n"/>
      <c r="AP31" s="3970" t="n"/>
      <c r="AQ31" s="3970" t="n"/>
      <c r="AR31" s="3970" t="n"/>
      <c r="AS31" s="3970" t="n"/>
    </row>
    <row r="32">
      <c r="A32" s="3970" t="n"/>
      <c r="B32" s="3970" t="n"/>
      <c r="C32" s="3970" t="n"/>
      <c r="D32" s="3970" t="n"/>
      <c r="E32" s="3970" t="n"/>
      <c r="F32" s="3970" t="n"/>
      <c r="G32" s="3970" t="n"/>
      <c r="H32" s="3970" t="n"/>
      <c r="I32" s="3970" t="n"/>
      <c r="J32" s="3970" t="n"/>
      <c r="K32" s="3970" t="n"/>
      <c r="L32" s="3970" t="n"/>
      <c r="M32" s="3970" t="n"/>
      <c r="N32" s="3970" t="n"/>
      <c r="O32" s="3970" t="n"/>
      <c r="P32" s="3970" t="n"/>
      <c r="Q32" s="3970" t="n"/>
      <c r="R32" s="3970" t="n"/>
      <c r="S32" s="3970" t="n"/>
      <c r="T32" s="3970" t="n"/>
      <c r="U32" s="3970" t="n"/>
      <c r="V32" s="3970" t="n"/>
      <c r="W32" s="3970" t="n"/>
      <c r="X32" s="3970" t="n"/>
      <c r="Y32" s="3970" t="n"/>
      <c r="Z32" s="3970" t="n"/>
      <c r="AA32" s="3970" t="n"/>
      <c r="AB32" s="3970" t="n"/>
      <c r="AC32" s="3970" t="n"/>
      <c r="AD32" s="3970" t="n"/>
      <c r="AE32" s="3970" t="n"/>
      <c r="AF32" s="3970" t="n"/>
      <c r="AG32" s="3970" t="n"/>
      <c r="AH32" s="3970" t="n"/>
      <c r="AI32" s="3970" t="n"/>
      <c r="AJ32" s="3970" t="n"/>
      <c r="AK32" s="3970" t="n"/>
      <c r="AL32" s="3970" t="n"/>
      <c r="AM32" s="3970" t="n"/>
      <c r="AN32" s="3970" t="n"/>
      <c r="AO32" s="3970" t="n"/>
      <c r="AP32" s="3970" t="n"/>
      <c r="AQ32" s="3970" t="n"/>
      <c r="AR32" s="3970" t="n"/>
      <c r="AS32" s="3970" t="n"/>
    </row>
    <row r="33">
      <c r="A33" s="3970" t="n"/>
      <c r="B33" s="3970" t="n"/>
      <c r="C33" s="3970" t="n"/>
      <c r="D33" s="3970" t="n"/>
      <c r="E33" s="3970" t="n"/>
      <c r="F33" s="3970" t="n"/>
      <c r="G33" s="3970" t="n"/>
      <c r="H33" s="3970" t="n"/>
      <c r="I33" s="3970" t="n"/>
      <c r="J33" s="3970" t="n"/>
      <c r="K33" s="3970" t="n"/>
      <c r="L33" s="3970" t="n"/>
      <c r="M33" s="3970" t="n"/>
      <c r="N33" s="3970" t="n"/>
      <c r="O33" s="3970" t="n"/>
      <c r="P33" s="3970" t="n"/>
      <c r="Q33" s="3970" t="n"/>
      <c r="R33" s="3970" t="n"/>
      <c r="S33" s="3970" t="n"/>
      <c r="T33" s="3970" t="n"/>
      <c r="U33" s="3970" t="n"/>
      <c r="V33" s="3970" t="n"/>
      <c r="W33" s="3970" t="n"/>
      <c r="X33" s="3970" t="n"/>
      <c r="Y33" s="3970" t="n"/>
      <c r="Z33" s="3970" t="n"/>
      <c r="AA33" s="3970" t="n"/>
      <c r="AB33" s="3970" t="n"/>
      <c r="AC33" s="3970" t="n"/>
      <c r="AD33" s="3970" t="n"/>
      <c r="AE33" s="3970" t="n"/>
      <c r="AF33" s="3970" t="n"/>
      <c r="AG33" s="3970" t="n"/>
      <c r="AH33" s="3970" t="n"/>
      <c r="AI33" s="3970" t="n"/>
      <c r="AJ33" s="3970" t="n"/>
      <c r="AK33" s="3970" t="n"/>
      <c r="AL33" s="3970" t="n"/>
      <c r="AM33" s="3970" t="n"/>
      <c r="AN33" s="3970" t="n"/>
      <c r="AO33" s="3970" t="n"/>
      <c r="AP33" s="3970" t="n"/>
      <c r="AQ33" s="3970" t="n"/>
      <c r="AR33" s="3970" t="n"/>
      <c r="AS33" s="3970" t="n"/>
    </row>
    <row r="34">
      <c r="A34" s="3970" t="n"/>
      <c r="B34" s="3970" t="n"/>
      <c r="C34" s="3970" t="n"/>
      <c r="D34" s="3970" t="n"/>
      <c r="E34" s="3970" t="n"/>
      <c r="F34" s="3970" t="n"/>
      <c r="G34" s="3970" t="n"/>
      <c r="H34" s="3970" t="n"/>
      <c r="I34" s="3970" t="n"/>
      <c r="J34" s="3970" t="n"/>
      <c r="K34" s="3970" t="n"/>
      <c r="L34" s="3970" t="n"/>
      <c r="M34" s="3970" t="n"/>
      <c r="N34" s="3970" t="n"/>
      <c r="O34" s="3970" t="n"/>
      <c r="P34" s="3970" t="n"/>
      <c r="Q34" s="3970" t="n"/>
      <c r="R34" s="3970" t="n"/>
      <c r="S34" s="3970" t="n"/>
      <c r="T34" s="3970" t="n"/>
      <c r="U34" s="3970" t="n"/>
      <c r="V34" s="3970" t="n"/>
      <c r="W34" s="3970" t="n"/>
      <c r="X34" s="3970" t="n"/>
      <c r="Y34" s="3970" t="n"/>
      <c r="Z34" s="3970" t="n"/>
      <c r="AA34" s="3970" t="n"/>
      <c r="AB34" s="3970" t="n"/>
      <c r="AC34" s="3970" t="n"/>
      <c r="AD34" s="3970" t="n"/>
      <c r="AE34" s="3970" t="n"/>
      <c r="AF34" s="3970" t="n"/>
      <c r="AG34" s="3970" t="n"/>
      <c r="AH34" s="3970" t="n"/>
      <c r="AI34" s="3970" t="n"/>
      <c r="AJ34" s="3970" t="n"/>
      <c r="AK34" s="3970" t="n"/>
      <c r="AL34" s="3970" t="n"/>
      <c r="AM34" s="3970" t="n"/>
      <c r="AN34" s="3970" t="n"/>
      <c r="AO34" s="3970" t="n"/>
      <c r="AP34" s="3970" t="n"/>
      <c r="AQ34" s="3970" t="n"/>
      <c r="AR34" s="3970" t="n"/>
      <c r="AS34" s="3970" t="n"/>
    </row>
    <row r="35">
      <c r="A35" s="3970" t="n"/>
      <c r="B35" s="3970" t="n"/>
      <c r="C35" s="3970" t="n"/>
      <c r="D35" s="3970" t="n"/>
      <c r="E35" s="3970" t="n"/>
      <c r="F35" s="3970" t="n"/>
      <c r="G35" s="3970" t="n"/>
      <c r="H35" s="3970" t="n"/>
      <c r="I35" s="3970" t="n"/>
      <c r="J35" s="3970" t="n"/>
      <c r="K35" s="3970" t="n"/>
      <c r="L35" s="3970" t="n"/>
      <c r="M35" s="3970" t="n"/>
      <c r="N35" s="3970" t="n"/>
      <c r="O35" s="3970" t="n"/>
      <c r="P35" s="3970" t="n"/>
      <c r="Q35" s="3970" t="n"/>
      <c r="R35" s="3970" t="n"/>
      <c r="S35" s="3970" t="n"/>
      <c r="T35" s="3970" t="n"/>
      <c r="U35" s="3970" t="n"/>
      <c r="V35" s="3970" t="n"/>
      <c r="W35" s="3970" t="n"/>
      <c r="X35" s="3970" t="n"/>
      <c r="Y35" s="3970" t="n"/>
      <c r="Z35" s="3970" t="n"/>
      <c r="AA35" s="3970" t="n"/>
      <c r="AB35" s="3970" t="n"/>
      <c r="AC35" s="3970" t="n"/>
      <c r="AD35" s="3970" t="n"/>
      <c r="AE35" s="3970" t="n"/>
      <c r="AF35" s="3970" t="n"/>
      <c r="AG35" s="3970" t="n"/>
      <c r="AH35" s="3970" t="n"/>
      <c r="AI35" s="3970" t="n"/>
      <c r="AJ35" s="3970" t="n"/>
      <c r="AK35" s="3970" t="n"/>
      <c r="AL35" s="3970" t="n"/>
      <c r="AM35" s="3970" t="n"/>
      <c r="AN35" s="3970" t="n"/>
      <c r="AO35" s="3970" t="n"/>
      <c r="AP35" s="3970" t="n"/>
      <c r="AQ35" s="3970" t="n"/>
      <c r="AR35" s="3970" t="n"/>
      <c r="AS35" s="3970" t="n"/>
    </row>
    <row r="36">
      <c r="A36" s="3970" t="n"/>
      <c r="B36" s="3970" t="n"/>
      <c r="C36" s="3970" t="n"/>
      <c r="D36" s="3970" t="n"/>
      <c r="E36" s="3970" t="n"/>
      <c r="F36" s="3970" t="n"/>
      <c r="G36" s="3970" t="n"/>
      <c r="H36" s="3970" t="n"/>
      <c r="I36" s="3970" t="n"/>
      <c r="J36" s="3970" t="n"/>
      <c r="K36" s="3970" t="n"/>
      <c r="L36" s="3970" t="n"/>
      <c r="M36" s="3970" t="n"/>
      <c r="N36" s="3970" t="n"/>
      <c r="O36" s="3970" t="n"/>
      <c r="P36" s="3970" t="n"/>
      <c r="Q36" s="3970" t="n"/>
      <c r="R36" s="3970" t="n"/>
      <c r="S36" s="3970" t="n"/>
      <c r="T36" s="3970" t="n"/>
      <c r="U36" s="3970" t="n"/>
      <c r="V36" s="3970" t="n"/>
      <c r="W36" s="3970" t="n"/>
      <c r="X36" s="3970" t="n"/>
      <c r="Y36" s="3970" t="n"/>
      <c r="Z36" s="3970" t="n"/>
      <c r="AA36" s="3970" t="n"/>
      <c r="AB36" s="3970" t="n"/>
      <c r="AC36" s="3970" t="n"/>
      <c r="AD36" s="3970" t="n"/>
      <c r="AE36" s="3970" t="n"/>
      <c r="AF36" s="3970" t="n"/>
      <c r="AG36" s="3970" t="n"/>
      <c r="AH36" s="3970" t="n"/>
      <c r="AI36" s="3970" t="n"/>
      <c r="AJ36" s="3970" t="n"/>
      <c r="AK36" s="3970" t="n"/>
      <c r="AL36" s="3970" t="n"/>
      <c r="AM36" s="3970" t="n"/>
      <c r="AN36" s="3970" t="n"/>
      <c r="AO36" s="3970" t="n"/>
      <c r="AP36" s="3970" t="n"/>
      <c r="AQ36" s="3970" t="n"/>
      <c r="AR36" s="3970" t="n"/>
      <c r="AS36" s="3970" t="n"/>
    </row>
    <row r="37">
      <c r="A37" s="3970" t="n"/>
      <c r="B37" s="3970" t="n"/>
      <c r="C37" s="3970" t="n"/>
      <c r="D37" s="3970" t="n"/>
      <c r="E37" s="3970" t="n"/>
      <c r="F37" s="3970" t="n"/>
      <c r="G37" s="3970" t="n"/>
      <c r="H37" s="3970" t="n"/>
      <c r="I37" s="3970" t="n"/>
      <c r="J37" s="3970" t="n"/>
      <c r="K37" s="3970" t="n"/>
      <c r="L37" s="3970" t="n"/>
      <c r="M37" s="3970" t="n"/>
      <c r="N37" s="3970" t="n"/>
      <c r="O37" s="3970" t="n"/>
      <c r="P37" s="3970" t="n"/>
      <c r="Q37" s="3970" t="n"/>
      <c r="R37" s="3970" t="n"/>
      <c r="S37" s="3970" t="n"/>
      <c r="T37" s="3970" t="n"/>
      <c r="U37" s="3970" t="n"/>
      <c r="V37" s="3970" t="n"/>
      <c r="W37" s="3970" t="n"/>
      <c r="X37" s="3970" t="n"/>
      <c r="Y37" s="3970" t="n"/>
      <c r="Z37" s="3970" t="n"/>
      <c r="AA37" s="3970" t="n"/>
      <c r="AB37" s="3970" t="n"/>
      <c r="AC37" s="3970" t="n"/>
      <c r="AD37" s="3970" t="n"/>
      <c r="AE37" s="3970" t="n"/>
      <c r="AF37" s="3970" t="n"/>
      <c r="AG37" s="3970" t="n"/>
      <c r="AH37" s="3970" t="n"/>
      <c r="AI37" s="3970" t="n"/>
      <c r="AJ37" s="3970" t="n"/>
      <c r="AK37" s="3970" t="n"/>
      <c r="AL37" s="3970" t="n"/>
      <c r="AM37" s="3970" t="n"/>
      <c r="AN37" s="3970" t="n"/>
      <c r="AO37" s="3970" t="n"/>
      <c r="AP37" s="3970" t="n"/>
      <c r="AQ37" s="3970" t="n"/>
      <c r="AR37" s="3970" t="n"/>
      <c r="AS37" s="3970" t="n"/>
    </row>
    <row r="38">
      <c r="A38" s="3970" t="n"/>
      <c r="B38" s="3970" t="n"/>
      <c r="C38" s="3970" t="n"/>
      <c r="D38" s="3970" t="n"/>
      <c r="E38" s="3970" t="n"/>
      <c r="F38" s="3970" t="n"/>
      <c r="G38" s="3970" t="n"/>
      <c r="H38" s="3970" t="n"/>
      <c r="I38" s="3970" t="n"/>
      <c r="J38" s="3970" t="n"/>
      <c r="K38" s="3970" t="n"/>
      <c r="L38" s="3970" t="n"/>
      <c r="M38" s="3970" t="n"/>
      <c r="N38" s="3970" t="n"/>
      <c r="O38" s="3970" t="n"/>
      <c r="P38" s="3970" t="n"/>
      <c r="Q38" s="3970" t="n"/>
      <c r="R38" s="3970" t="n"/>
      <c r="S38" s="3970" t="n"/>
      <c r="T38" s="3970" t="n"/>
      <c r="U38" s="3970" t="n"/>
      <c r="V38" s="3970" t="n"/>
      <c r="W38" s="3970" t="n"/>
      <c r="X38" s="3970" t="n"/>
      <c r="Y38" s="3970" t="n"/>
      <c r="Z38" s="3970" t="n"/>
      <c r="AA38" s="3970" t="n"/>
      <c r="AB38" s="3970" t="n"/>
      <c r="AC38" s="3970" t="n"/>
      <c r="AD38" s="3970" t="n"/>
      <c r="AE38" s="3970" t="n"/>
      <c r="AF38" s="3970" t="n"/>
      <c r="AG38" s="3970" t="n"/>
      <c r="AH38" s="3970" t="n"/>
      <c r="AI38" s="3970" t="n"/>
      <c r="AJ38" s="3970" t="n"/>
      <c r="AK38" s="3970" t="n"/>
      <c r="AL38" s="3970" t="n"/>
      <c r="AM38" s="3970" t="n"/>
      <c r="AN38" s="3970" t="n"/>
      <c r="AO38" s="3970" t="n"/>
      <c r="AP38" s="3970" t="n"/>
      <c r="AQ38" s="3970" t="n"/>
      <c r="AR38" s="3970" t="n"/>
      <c r="AS38" s="3970" t="n"/>
    </row>
    <row r="39">
      <c r="A39" s="3970" t="n"/>
      <c r="B39" s="3970" t="n"/>
      <c r="C39" s="3970" t="n"/>
      <c r="D39" s="3970" t="n"/>
      <c r="E39" s="3970" t="n"/>
      <c r="F39" s="3970" t="n"/>
      <c r="G39" s="3970" t="n"/>
      <c r="H39" s="3970" t="n"/>
      <c r="I39" s="3970" t="n"/>
      <c r="J39" s="3970" t="n"/>
      <c r="K39" s="3970" t="n"/>
      <c r="L39" s="3970" t="n"/>
      <c r="M39" s="3970" t="n"/>
      <c r="N39" s="3970" t="n"/>
      <c r="O39" s="3970" t="n"/>
      <c r="P39" s="3970" t="n"/>
      <c r="Q39" s="3970" t="n"/>
      <c r="R39" s="3970" t="n"/>
      <c r="S39" s="3970" t="n"/>
      <c r="T39" s="3970" t="n"/>
      <c r="U39" s="3970" t="n"/>
      <c r="V39" s="3970" t="n"/>
      <c r="W39" s="3970" t="n"/>
      <c r="X39" s="3970" t="n"/>
      <c r="Y39" s="3970" t="n"/>
      <c r="Z39" s="3970" t="n"/>
      <c r="AA39" s="3970" t="n"/>
      <c r="AB39" s="3970" t="n"/>
      <c r="AC39" s="3970" t="n"/>
      <c r="AD39" s="3970" t="n"/>
      <c r="AE39" s="3970" t="n"/>
      <c r="AF39" s="3970" t="n"/>
      <c r="AG39" s="3970" t="n"/>
      <c r="AH39" s="3970" t="n"/>
      <c r="AI39" s="3970" t="n"/>
      <c r="AJ39" s="3970" t="n"/>
      <c r="AK39" s="3970" t="n"/>
      <c r="AL39" s="3970" t="n"/>
      <c r="AM39" s="3970" t="n"/>
      <c r="AN39" s="3970" t="n"/>
      <c r="AO39" s="3970" t="n"/>
      <c r="AP39" s="3970" t="n"/>
      <c r="AQ39" s="3970" t="n"/>
      <c r="AR39" s="3970" t="n"/>
      <c r="AS39" s="397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60">
        <f>IF(COUNT(G9:G13)=0,"",SUM(G9:G13))</f>
        <v/>
      </c>
      <c r="H14" s="3960">
        <f>IF(COUNT(H9:H13)=0,"",SUM(H9:H13))</f>
        <v/>
      </c>
      <c r="I14" s="3960">
        <f>IF(COUNT(I9:I13)=0,"",SUM(I9:I13))</f>
        <v/>
      </c>
      <c r="J14" s="3960">
        <f>IF(COUNT(J9:J13)=0,"",SUM(J9:J13))</f>
        <v/>
      </c>
      <c r="K14" s="3960">
        <f>IF(COUNT(K9:K13)=0,"",SUM(K9:K13))</f>
        <v/>
      </c>
      <c r="L14" s="3960">
        <f>IF(COUNT(L9:L13)=0,"",SUM(L9:L13))</f>
        <v/>
      </c>
      <c r="M14" s="3960">
        <f>IF(COUNT(M9:M13)=0,"",SUM(M9:M13))</f>
        <v/>
      </c>
      <c r="N14" s="3960">
        <f>IF(COUNT(N9:N13)=0,"",SUM(N9:N13))</f>
        <v/>
      </c>
      <c r="O14" s="3960">
        <f>IF(COUNT(O9:O13)=0,"",SUM(O9:O13))</f>
        <v/>
      </c>
      <c r="P14" s="3960">
        <f>IF(COUNT(P9:P13)=0,"",SUM(P9:P13))</f>
        <v/>
      </c>
      <c r="Q14" s="3960">
        <f>IF(COUNT(Q9:Q13)=0,"",SUM(Q9:Q13))</f>
        <v/>
      </c>
      <c r="R14" s="3960">
        <f>IF(COUNT(R9:R13)=0,"",SUM(R9:R13))</f>
        <v/>
      </c>
      <c r="S14" s="3960">
        <f>IF(COUNT(S9:S13)=0,"",SUM(S9:S13))</f>
        <v/>
      </c>
      <c r="T14" s="3960">
        <f>IF(COUNT(T9:T13)=0,"",SUM(T9:T13))</f>
        <v/>
      </c>
      <c r="U14" s="3960">
        <f>IF(COUNT(U9:U13)=0,"",SUM(U9:U13))</f>
        <v/>
      </c>
      <c r="V14" s="3960">
        <f>IF(COUNT(V9:V13)=0,"",SUM(V9:V13))</f>
        <v/>
      </c>
      <c r="W14" s="3960">
        <f>IF(COUNT(W9:W13)=0,"",SUM(W9:W13))</f>
        <v/>
      </c>
      <c r="X14" s="3960">
        <f>IF(COUNT(X9:X13)=0,"",SUM(X9:X13))</f>
        <v/>
      </c>
      <c r="Y14" s="3960">
        <f>IF(COUNT(Y9:Y13)=0,"",SUM(Y9:Y13))</f>
        <v/>
      </c>
      <c r="Z14" s="3960">
        <f>IF(COUNT(Z9:Z13)=0,"",SUM(Z9:Z13))</f>
        <v/>
      </c>
      <c r="AA14" s="3960">
        <f>IF(COUNT(AA9:AA13)=0,"",SUM(AA9:AA13))</f>
        <v/>
      </c>
      <c r="AB14" s="3960">
        <f>IF(COUNT(AB9:AB13)=0,"",SUM(AB9:AB13))</f>
        <v/>
      </c>
      <c r="AC14" s="3960">
        <f>IF(COUNT(AC9:AC13)=0,"",SUM(AC9:AC13))</f>
        <v/>
      </c>
      <c r="AD14" s="3960">
        <f>IF(COUNT(AD9:AD13)=0,"",SUM(AD9:AD13))</f>
        <v/>
      </c>
      <c r="AE14" s="3960">
        <f>IF(COUNT(AE9:AE13)=0,"",SUM(AE9:AE13))</f>
        <v/>
      </c>
      <c r="AF14" s="3960">
        <f>IF(COUNT(AF9:AF13)=0,"",SUM(AF9:AF13))</f>
        <v/>
      </c>
      <c r="AG14" s="3960">
        <f>IF(COUNT(AG9:AG13)=0,"",SUM(AG9:AG13))</f>
        <v/>
      </c>
      <c r="AH14" s="3960">
        <f>IF(COUNT(AH9:AH13)=0,"",SUM(AH9:AH13))</f>
        <v/>
      </c>
      <c r="AI14" s="3960">
        <f>IF(COUNT(AI9:AI13)=0,"",SUM(AI9:AI13))</f>
        <v/>
      </c>
      <c r="AJ14" s="3960">
        <f>IF(COUNT(AJ9:AJ13)=0,"",SUM(AJ9:AJ13))</f>
        <v/>
      </c>
      <c r="AK14" s="3960">
        <f>IF(COUNT(AK9:AK13)=0,"",SUM(AK9:AK13))</f>
        <v/>
      </c>
      <c r="AL14" s="3960">
        <f>IF(COUNT(AL9:AL13)=0,"",SUM(AL9:AL13))</f>
        <v/>
      </c>
      <c r="AM14" s="3960">
        <f>IF(COUNT(AM9:AM13)=0,"",SUM(AM9:AM13))</f>
        <v/>
      </c>
      <c r="AN14" s="3960">
        <f>IF(COUNT(AN9:AN13)=0,"",SUM(AN9:AN13))</f>
        <v/>
      </c>
      <c r="AO14" s="3960">
        <f>IF(COUNT(AO9:AO13)=0,"",SUM(AO9:AO13))</f>
        <v/>
      </c>
      <c r="AP14" s="3960">
        <f>IF(COUNT(AP9:AP13)=0,"",SUM(AP9:AP13))</f>
        <v/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Days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NWC_DAYS_CHECKS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Stratified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>
        <f>'Control | Setup'!A22</f>
        <v/>
      </c>
      <c r="H8" s="3965">
        <f>'Control | Setup'!A23</f>
        <v/>
      </c>
      <c r="I8" s="3965">
        <f>'Control | Setup'!A24</f>
        <v/>
      </c>
      <c r="J8" s="3965">
        <f>'Control | Setup'!A25</f>
        <v/>
      </c>
      <c r="K8" s="3965">
        <f>'Control | Setup'!A26</f>
        <v/>
      </c>
      <c r="L8" s="3965">
        <f>'Control | Setup'!A27</f>
        <v/>
      </c>
      <c r="M8" s="3965">
        <f>'Control | Setup'!A28</f>
        <v/>
      </c>
      <c r="N8" s="3965">
        <f>'Control | Setup'!A29</f>
        <v/>
      </c>
      <c r="O8" s="3965">
        <f>'Control | Setup'!A30</f>
        <v/>
      </c>
      <c r="P8" s="3965">
        <f>'Control | Setup'!A31</f>
        <v/>
      </c>
      <c r="Q8" s="3965">
        <f>'Control | Setup'!A32</f>
        <v/>
      </c>
      <c r="R8" s="3965">
        <f>'Control | Setup'!A33</f>
        <v/>
      </c>
      <c r="S8" s="3965">
        <f>'Control | Setup'!A34</f>
        <v/>
      </c>
      <c r="T8" s="3965">
        <f>'Control | Setup'!A35</f>
        <v/>
      </c>
      <c r="U8" s="3965">
        <f>'Control | Setup'!A36</f>
        <v/>
      </c>
      <c r="V8" s="3965">
        <f>'Control | Setup'!A37</f>
        <v/>
      </c>
      <c r="W8" s="3965">
        <f>'Control | Setup'!A38</f>
        <v/>
      </c>
      <c r="X8" s="3965">
        <f>'Control | Setup'!A39</f>
        <v/>
      </c>
      <c r="Y8" s="3965">
        <f>'Control | Setup'!A40</f>
        <v/>
      </c>
      <c r="Z8" s="3965">
        <f>'Control | Setup'!A41</f>
        <v/>
      </c>
      <c r="AA8" s="3965">
        <f>'Control | Setup'!A42</f>
        <v/>
      </c>
      <c r="AB8" s="3965">
        <f>'Control | Setup'!A43</f>
        <v/>
      </c>
      <c r="AC8" s="3965">
        <f>'Control | Setup'!A44</f>
        <v/>
      </c>
      <c r="AD8" s="3965">
        <f>'Control | Setup'!A45</f>
        <v/>
      </c>
      <c r="AE8" s="3965">
        <f>'Control | Setup'!A46</f>
        <v/>
      </c>
      <c r="AF8" s="3965">
        <f>'Control | Setup'!A47</f>
        <v/>
      </c>
      <c r="AG8" s="3965">
        <f>'Control | Setup'!A48</f>
        <v/>
      </c>
      <c r="AH8" s="3965">
        <f>'Control | Setup'!A49</f>
        <v/>
      </c>
      <c r="AI8" s="3965">
        <f>'Control | Setup'!A50</f>
        <v/>
      </c>
      <c r="AJ8" s="3965">
        <f>'Control | Setup'!A51</f>
        <v/>
      </c>
      <c r="AK8" s="3965">
        <f>'Control | Setup'!A52</f>
        <v/>
      </c>
      <c r="AL8" s="3965">
        <f>'Control | Setup'!A53</f>
        <v/>
      </c>
      <c r="AM8" s="3965">
        <f>'Control | Setup'!A54</f>
        <v/>
      </c>
      <c r="AN8" s="3965">
        <f>'Control | Setup'!A55</f>
        <v/>
      </c>
      <c r="AO8" s="3965">
        <f>'Control | Setup'!A56</f>
        <v/>
      </c>
      <c r="AP8" s="3965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/>
      <c r="H13" s="3929" t="n"/>
      <c r="I13" s="3929" t="n"/>
      <c r="J13" s="3929" t="n"/>
      <c r="K13" s="3929" t="n"/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 t="n"/>
      <c r="H14" s="3929" t="n"/>
      <c r="I14" s="3929" t="n"/>
      <c r="J14" s="3929" t="n"/>
      <c r="K14" s="3929" t="n"/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 t="n"/>
      <c r="H15" s="3929" t="n"/>
      <c r="I15" s="3929" t="n"/>
      <c r="J15" s="3929" t="n"/>
      <c r="K15" s="3929" t="n"/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60">
        <f>IF(COUNT(G9:G15)=0,"",SUM(G9:G15))</f>
        <v/>
      </c>
      <c r="H16" s="3960">
        <f>IF(COUNT(H9:H15)=0,"",SUM(H9:H15))</f>
        <v/>
      </c>
      <c r="I16" s="3960">
        <f>IF(COUNT(I9:I15)=0,"",SUM(I9:I15))</f>
        <v/>
      </c>
      <c r="J16" s="3960">
        <f>IF(COUNT(J9:J15)=0,"",SUM(J9:J15))</f>
        <v/>
      </c>
      <c r="K16" s="3960">
        <f>IF(COUNT(K9:K15)=0,"",SUM(K9:K15))</f>
        <v/>
      </c>
      <c r="L16" s="3960">
        <f>IF(COUNT(L9:L15)=0,"",SUM(L9:L15))</f>
        <v/>
      </c>
      <c r="M16" s="3960">
        <f>IF(COUNT(M9:M15)=0,"",SUM(M9:M15))</f>
        <v/>
      </c>
      <c r="N16" s="3960">
        <f>IF(COUNT(N9:N15)=0,"",SUM(N9:N15))</f>
        <v/>
      </c>
      <c r="O16" s="3960">
        <f>IF(COUNT(O9:O15)=0,"",SUM(O9:O15))</f>
        <v/>
      </c>
      <c r="P16" s="3960">
        <f>IF(COUNT(P9:P15)=0,"",SUM(P9:P15))</f>
        <v/>
      </c>
      <c r="Q16" s="3960">
        <f>IF(COUNT(Q9:Q15)=0,"",SUM(Q9:Q15))</f>
        <v/>
      </c>
      <c r="R16" s="3960">
        <f>IF(COUNT(R9:R15)=0,"",SUM(R9:R15))</f>
        <v/>
      </c>
      <c r="S16" s="3960">
        <f>IF(COUNT(S9:S15)=0,"",SUM(S9:S15))</f>
        <v/>
      </c>
      <c r="T16" s="3960">
        <f>IF(COUNT(T9:T15)=0,"",SUM(T9:T15))</f>
        <v/>
      </c>
      <c r="U16" s="3960">
        <f>IF(COUNT(U9:U15)=0,"",SUM(U9:U15))</f>
        <v/>
      </c>
      <c r="V16" s="3960">
        <f>IF(COUNT(V9:V15)=0,"",SUM(V9:V15))</f>
        <v/>
      </c>
      <c r="W16" s="3960">
        <f>IF(COUNT(W9:W15)=0,"",SUM(W9:W15))</f>
        <v/>
      </c>
      <c r="X16" s="3960">
        <f>IF(COUNT(X9:X15)=0,"",SUM(X9:X15))</f>
        <v/>
      </c>
      <c r="Y16" s="3960">
        <f>IF(COUNT(Y9:Y15)=0,"",SUM(Y9:Y15))</f>
        <v/>
      </c>
      <c r="Z16" s="3960">
        <f>IF(COUNT(Z9:Z15)=0,"",SUM(Z9:Z15))</f>
        <v/>
      </c>
      <c r="AA16" s="3960">
        <f>IF(COUNT(AA9:AA15)=0,"",SUM(AA9:AA15))</f>
        <v/>
      </c>
      <c r="AB16" s="3960">
        <f>IF(COUNT(AB9:AB15)=0,"",SUM(AB9:AB15))</f>
        <v/>
      </c>
      <c r="AC16" s="3960">
        <f>IF(COUNT(AC9:AC15)=0,"",SUM(AC9:AC15))</f>
        <v/>
      </c>
      <c r="AD16" s="3960">
        <f>IF(COUNT(AD9:AD15)=0,"",SUM(AD9:AD15))</f>
        <v/>
      </c>
      <c r="AE16" s="3960">
        <f>IF(COUNT(AE9:AE15)=0,"",SUM(AE9:AE15))</f>
        <v/>
      </c>
      <c r="AF16" s="3960">
        <f>IF(COUNT(AF9:AF15)=0,"",SUM(AF9:AF15))</f>
        <v/>
      </c>
      <c r="AG16" s="3960">
        <f>IF(COUNT(AG9:AG15)=0,"",SUM(AG9:AG15))</f>
        <v/>
      </c>
      <c r="AH16" s="3960">
        <f>IF(COUNT(AH9:AH15)=0,"",SUM(AH9:AH15))</f>
        <v/>
      </c>
      <c r="AI16" s="3960">
        <f>IF(COUNT(AI9:AI15)=0,"",SUM(AI9:AI15))</f>
        <v/>
      </c>
      <c r="AJ16" s="3960">
        <f>IF(COUNT(AJ9:AJ15)=0,"",SUM(AJ9:AJ15))</f>
        <v/>
      </c>
      <c r="AK16" s="3960">
        <f>IF(COUNT(AK9:AK15)=0,"",SUM(AK9:AK15))</f>
        <v/>
      </c>
      <c r="AL16" s="3960">
        <f>IF(COUNT(AL9:AL15)=0,"",SUM(AL9:AL15))</f>
        <v/>
      </c>
      <c r="AM16" s="3960">
        <f>IF(COUNT(AM9:AM15)=0,"",SUM(AM9:AM15))</f>
        <v/>
      </c>
      <c r="AN16" s="3960">
        <f>IF(COUNT(AN9:AN15)=0,"",SUM(AN9:AN15))</f>
        <v/>
      </c>
      <c r="AO16" s="3960">
        <f>IF(COUNT(AO9:AO15)=0,"",SUM(AO9:AO15))</f>
        <v/>
      </c>
      <c r="AP16" s="3960">
        <f>IF(COUNT(AP9:AP15)=0,"",SUM(AP9:AP15))</f>
        <v/>
      </c>
      <c r="AQ16" s="3949">
        <f>IF(COUNT(G16:R16)=0,"",SUM(G16:R16))</f>
        <v/>
      </c>
      <c r="AR16" s="3949">
        <f>IF(COUNT(S16:AD16)=0,"",SUM(S16:AD16))</f>
        <v/>
      </c>
      <c r="AS16" s="3949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STRAT_BS_CHECKS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Net_debt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 t="n"/>
      <c r="H9" s="3929" t="n"/>
      <c r="I9" s="3929" t="n"/>
      <c r="J9" s="3929" t="n"/>
      <c r="K9" s="3960" t="n"/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 t="n"/>
      <c r="H10" s="3929" t="n"/>
      <c r="I10" s="3929" t="n"/>
      <c r="J10" s="3929" t="n"/>
      <c r="K10" s="3960" t="n"/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/>
      <c r="H11" s="3929" t="n"/>
      <c r="I11" s="3929" t="n"/>
      <c r="J11" s="3929" t="n"/>
      <c r="K11" s="3960" t="n"/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 t="n"/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NETDEBT_CHECKS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 t="n"/>
      <c r="H28" s="3961" t="n"/>
      <c r="I28" s="3961" t="n"/>
      <c r="J28" s="3961" t="n"/>
      <c r="K28" s="3960" t="n"/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</cols>
  <sheetData>
    <row r="1" ht="24" customHeight="1">
      <c r="A1" s="3921" t="inlineStr">
        <is>
          <t>Recons</t>
        </is>
      </c>
    </row>
    <row r="2">
      <c r="A2" s="3978" t="inlineStr">
        <is>
          <t>Source: &lt;document_source&gt;</t>
        </is>
      </c>
    </row>
    <row r="4">
      <c r="A4" s="3983" t="inlineStr">
        <is>
          <t>Cross-tab reconciliation mini-grids for IS, BS, CF, and other tie-outs.</t>
        </is>
      </c>
    </row>
    <row r="7">
      <c r="A7" s="3979" t="inlineStr">
        <is>
          <t>Recons | IS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Source value</t>
        </is>
      </c>
      <c r="E8" s="3923" t="inlineStr">
        <is>
          <t>Databook value</t>
        </is>
      </c>
      <c r="F8" s="3923" t="inlineStr">
        <is>
          <t>Variance</t>
        </is>
      </c>
      <c r="G8" s="3923" t="inlineStr">
        <is>
          <t>Explanation</t>
        </is>
      </c>
      <c r="H8" s="3923" t="inlineStr">
        <is>
          <t>Check (=0)</t>
        </is>
      </c>
      <c r="I8" s="3923" t="inlineStr">
        <is>
          <t>Status</t>
        </is>
      </c>
    </row>
    <row r="9">
      <c r="A9" s="3959" t="inlineStr">
        <is>
          <t>R_IS_REV</t>
        </is>
      </c>
      <c r="B9" s="3959" t="inlineStr">
        <is>
          <t>Revenue</t>
        </is>
      </c>
      <c r="C9" s="3959" t="n"/>
      <c r="D9" s="3929" t="n"/>
      <c r="E9" s="3929" t="n"/>
      <c r="F9" s="3959">
        <f>IF(OR(D9="",E9=""),"",E9-D9)</f>
        <v/>
      </c>
      <c r="G9" s="3959" t="n"/>
      <c r="H9" s="3961">
        <f>IF(F9="","",F9)</f>
        <v/>
      </c>
      <c r="I9" s="3959">
        <f>IF(H9="","",IF(ABS(H9)&lt;=0.01,"PASS","FAIL"))</f>
        <v/>
      </c>
    </row>
    <row r="10">
      <c r="A10" s="3959" t="inlineStr">
        <is>
          <t>R_IS_NI</t>
        </is>
      </c>
      <c r="B10" s="3959" t="inlineStr">
        <is>
          <t>Net income</t>
        </is>
      </c>
      <c r="C10" s="3959" t="n"/>
      <c r="D10" s="3929" t="n"/>
      <c r="E10" s="3929" t="n"/>
      <c r="F10" s="3959">
        <f>IF(OR(D10="",E10=""),"",E10-D10)</f>
        <v/>
      </c>
      <c r="G10" s="3959" t="n"/>
      <c r="H10" s="3961">
        <f>IF(F10="","",F10)</f>
        <v/>
      </c>
      <c r="I10" s="3959">
        <f>IF(H10="","",IF(ABS(H10)&lt;=0.01,"PASS","FAIL"))</f>
        <v/>
      </c>
    </row>
    <row r="11">
      <c r="A11" s="3959" t="inlineStr">
        <is>
          <t>R_IS_EBITDA</t>
        </is>
      </c>
      <c r="B11" s="3959" t="inlineStr">
        <is>
          <t>EBITDA</t>
        </is>
      </c>
      <c r="C11" s="3959" t="n"/>
      <c r="D11" s="3929" t="n"/>
      <c r="E11" s="3929" t="n"/>
      <c r="F11" s="3959">
        <f>IF(OR(D11="",E11=""),"",E11-D11)</f>
        <v/>
      </c>
      <c r="G11" s="3959" t="n"/>
      <c r="H11" s="3961">
        <f>IF(F11="","",F11)</f>
        <v/>
      </c>
      <c r="I11" s="3959">
        <f>IF(H11="","",IF(ABS(H11)&lt;=0.01,"PASS","FAIL"))</f>
        <v/>
      </c>
    </row>
    <row r="12">
      <c r="A12" s="3959" t="inlineStr">
        <is>
          <t>R_IS_OPEX</t>
        </is>
      </c>
      <c r="B12" s="3959" t="inlineStr">
        <is>
          <t>Operating expenses</t>
        </is>
      </c>
      <c r="C12" s="3959" t="n"/>
      <c r="D12" s="3929" t="n"/>
      <c r="E12" s="3929" t="n"/>
      <c r="F12" s="3959">
        <f>IF(OR(D12="",E12=""),"",E12-D12)</f>
        <v/>
      </c>
      <c r="G12" s="3959" t="n"/>
      <c r="H12" s="3961">
        <f>IF(F12="","",F12)</f>
        <v/>
      </c>
      <c r="I12" s="3959">
        <f>IF(H12="","",IF(ABS(H12)&lt;=0.01,"PASS","FAIL"))</f>
        <v/>
      </c>
    </row>
    <row r="13">
      <c r="A13" s="3959" t="inlineStr">
        <is>
          <t>R_IS_OTHER</t>
        </is>
      </c>
      <c r="B13" s="3959" t="inlineStr">
        <is>
          <t>Other IS line</t>
        </is>
      </c>
      <c r="C13" s="3959" t="n"/>
      <c r="D13" s="3929" t="n"/>
      <c r="E13" s="3929" t="n"/>
      <c r="F13" s="3959">
        <f>IF(OR(D13="",E13=""),"",E13-D13)</f>
        <v/>
      </c>
      <c r="G13" s="3959" t="n"/>
      <c r="H13" s="3961">
        <f>IF(F13="","",F13)</f>
        <v/>
      </c>
      <c r="I13" s="3959">
        <f>IF(H13="","",IF(ABS(H13)&lt;=0.01,"PASS","FAIL"))</f>
        <v/>
      </c>
    </row>
    <row r="16">
      <c r="A16" s="3979" t="inlineStr">
        <is>
          <t>Recons | BS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</row>
    <row r="17">
      <c r="A17" s="3923" t="inlineStr">
        <is>
          <t>LineKey</t>
        </is>
      </c>
      <c r="B17" s="3923" t="inlineStr">
        <is>
          <t>$'000</t>
        </is>
      </c>
      <c r="C17" s="3923" t="inlineStr">
        <is>
          <t>TB Account No.</t>
        </is>
      </c>
      <c r="D17" s="3923" t="inlineStr">
        <is>
          <t>Source value</t>
        </is>
      </c>
      <c r="E17" s="3923" t="inlineStr">
        <is>
          <t>Databook value</t>
        </is>
      </c>
      <c r="F17" s="3923" t="inlineStr">
        <is>
          <t>Variance</t>
        </is>
      </c>
      <c r="G17" s="3923" t="inlineStr">
        <is>
          <t>Explanation</t>
        </is>
      </c>
      <c r="H17" s="3923" t="inlineStr">
        <is>
          <t>Check (=0)</t>
        </is>
      </c>
      <c r="I17" s="3923" t="inlineStr">
        <is>
          <t>Status</t>
        </is>
      </c>
    </row>
    <row r="18">
      <c r="A18" s="3959" t="inlineStr">
        <is>
          <t>R_BS_TA</t>
        </is>
      </c>
      <c r="B18" s="3959" t="inlineStr">
        <is>
          <t>Total assets</t>
        </is>
      </c>
      <c r="C18" s="3959" t="n"/>
      <c r="D18" s="3929" t="n"/>
      <c r="E18" s="3929" t="n"/>
      <c r="F18" s="3959">
        <f>IF(OR(D18="",E18=""),"",E18-D18)</f>
        <v/>
      </c>
      <c r="G18" s="3959" t="n"/>
      <c r="H18" s="3961">
        <f>IF(F18="","",F18)</f>
        <v/>
      </c>
      <c r="I18" s="3959">
        <f>IF(H18="","",IF(ABS(H18)&lt;=0.01,"PASS","FAIL"))</f>
        <v/>
      </c>
    </row>
    <row r="19">
      <c r="A19" s="3959" t="inlineStr">
        <is>
          <t>R_BS_TL</t>
        </is>
      </c>
      <c r="B19" s="3959" t="inlineStr">
        <is>
          <t>Total liabilities</t>
        </is>
      </c>
      <c r="C19" s="3959" t="n"/>
      <c r="D19" s="3929" t="n"/>
      <c r="E19" s="3929" t="n"/>
      <c r="F19" s="3959">
        <f>IF(OR(D19="",E19=""),"",E19-D19)</f>
        <v/>
      </c>
      <c r="G19" s="3959" t="n"/>
      <c r="H19" s="3961">
        <f>IF(F19="","",F19)</f>
        <v/>
      </c>
      <c r="I19" s="3959">
        <f>IF(H19="","",IF(ABS(H19)&lt;=0.01,"PASS","FAIL"))</f>
        <v/>
      </c>
    </row>
    <row r="20">
      <c r="A20" s="3959" t="inlineStr">
        <is>
          <t>R_BS_EQ</t>
        </is>
      </c>
      <c r="B20" s="3959" t="inlineStr">
        <is>
          <t>Equity</t>
        </is>
      </c>
      <c r="C20" s="3959" t="n"/>
      <c r="D20" s="3929" t="n"/>
      <c r="E20" s="3929" t="n"/>
      <c r="F20" s="3959">
        <f>IF(OR(D20="",E20=""),"",E20-D20)</f>
        <v/>
      </c>
      <c r="G20" s="3959" t="n"/>
      <c r="H20" s="3961">
        <f>IF(F20="","",F20)</f>
        <v/>
      </c>
      <c r="I20" s="3959">
        <f>IF(H20="","",IF(ABS(H20)&lt;=0.01,"PASS","FAIL"))</f>
        <v/>
      </c>
    </row>
    <row r="21">
      <c r="A21" s="3959" t="inlineStr">
        <is>
          <t>R_BS_TLE</t>
        </is>
      </c>
      <c r="B21" s="3959" t="inlineStr">
        <is>
          <t>Liabilities + equity</t>
        </is>
      </c>
      <c r="C21" s="3959" t="n"/>
      <c r="D21" s="3929" t="n"/>
      <c r="E21" s="3929" t="n"/>
      <c r="F21" s="3959">
        <f>IF(OR(D21="",E21=""),"",E21-D21)</f>
        <v/>
      </c>
      <c r="G21" s="3959" t="n"/>
      <c r="H21" s="3961">
        <f>IF(F21="","",F21)</f>
        <v/>
      </c>
      <c r="I21" s="3959">
        <f>IF(H21="","",IF(ABS(H21)&lt;=0.01,"PASS","FAIL"))</f>
        <v/>
      </c>
    </row>
    <row r="22">
      <c r="A22" s="3959" t="inlineStr">
        <is>
          <t>R_BS_OTHER</t>
        </is>
      </c>
      <c r="B22" s="3959" t="inlineStr">
        <is>
          <t>Other BS line</t>
        </is>
      </c>
      <c r="C22" s="3959" t="n"/>
      <c r="D22" s="3929" t="n"/>
      <c r="E22" s="3929" t="n"/>
      <c r="F22" s="3959">
        <f>IF(OR(D22="",E22=""),"",E22-D22)</f>
        <v/>
      </c>
      <c r="G22" s="3959" t="n"/>
      <c r="H22" s="3961">
        <f>IF(F22="","",F22)</f>
        <v/>
      </c>
      <c r="I22" s="3959">
        <f>IF(H22="","",IF(ABS(H22)&lt;=0.01,"PASS","FAIL"))</f>
        <v/>
      </c>
    </row>
    <row r="25">
      <c r="A25" s="3979" t="inlineStr">
        <is>
          <t>Recons | CF</t>
        </is>
      </c>
      <c r="B25" s="3979" t="n"/>
      <c r="C25" s="3979" t="n"/>
      <c r="D25" s="3979" t="n"/>
      <c r="E25" s="3979" t="n"/>
      <c r="F25" s="3979" t="n"/>
      <c r="G25" s="3979" t="n"/>
      <c r="H25" s="3979" t="n"/>
      <c r="I25" s="3979" t="n"/>
    </row>
    <row r="26">
      <c r="A26" s="3923" t="inlineStr">
        <is>
          <t>LineKey</t>
        </is>
      </c>
      <c r="B26" s="3923" t="inlineStr">
        <is>
          <t>$'000</t>
        </is>
      </c>
      <c r="C26" s="3923" t="inlineStr">
        <is>
          <t>TB Account No.</t>
        </is>
      </c>
      <c r="D26" s="3923" t="inlineStr">
        <is>
          <t>Source value</t>
        </is>
      </c>
      <c r="E26" s="3923" t="inlineStr">
        <is>
          <t>Databook value</t>
        </is>
      </c>
      <c r="F26" s="3923" t="inlineStr">
        <is>
          <t>Variance</t>
        </is>
      </c>
      <c r="G26" s="3923" t="inlineStr">
        <is>
          <t>Explanation</t>
        </is>
      </c>
      <c r="H26" s="3923" t="inlineStr">
        <is>
          <t>Check (=0)</t>
        </is>
      </c>
      <c r="I26" s="3923" t="inlineStr">
        <is>
          <t>Status</t>
        </is>
      </c>
    </row>
    <row r="27">
      <c r="A27" s="3959" t="inlineStr">
        <is>
          <t>R_CF_NET</t>
        </is>
      </c>
      <c r="B27" s="3959" t="inlineStr">
        <is>
          <t>Net cash flow</t>
        </is>
      </c>
      <c r="C27" s="3959" t="n"/>
      <c r="D27" s="3929" t="n"/>
      <c r="E27" s="3929" t="n"/>
      <c r="F27" s="3959">
        <f>IF(OR(D27="",E27=""),"",E27-D27)</f>
        <v/>
      </c>
      <c r="G27" s="3959" t="n"/>
      <c r="H27" s="3961">
        <f>IF(F27="","",F27)</f>
        <v/>
      </c>
      <c r="I27" s="3959">
        <f>IF(H27="","",IF(ABS(H27)&lt;=0.01,"PASS","FAIL"))</f>
        <v/>
      </c>
    </row>
    <row r="28">
      <c r="A28" s="3959" t="inlineStr">
        <is>
          <t>R_CF_OP</t>
        </is>
      </c>
      <c r="B28" s="3959" t="inlineStr">
        <is>
          <t>Operating cash flow</t>
        </is>
      </c>
      <c r="C28" s="3959" t="n"/>
      <c r="D28" s="3929" t="n"/>
      <c r="E28" s="3929" t="n"/>
      <c r="F28" s="3959">
        <f>IF(OR(D28="",E28=""),"",E28-D28)</f>
        <v/>
      </c>
      <c r="G28" s="3959" t="n"/>
      <c r="H28" s="3961">
        <f>IF(F28="","",F28)</f>
        <v/>
      </c>
      <c r="I28" s="3959">
        <f>IF(H28="","",IF(ABS(H28)&lt;=0.01,"PASS","FAIL"))</f>
        <v/>
      </c>
    </row>
    <row r="29">
      <c r="A29" s="3959" t="inlineStr">
        <is>
          <t>R_CF_INV</t>
        </is>
      </c>
      <c r="B29" s="3959" t="inlineStr">
        <is>
          <t>Investing cash flow</t>
        </is>
      </c>
      <c r="C29" s="3959" t="n"/>
      <c r="D29" s="3929" t="n"/>
      <c r="E29" s="3929" t="n"/>
      <c r="F29" s="3959">
        <f>IF(OR(D29="",E29=""),"",E29-D29)</f>
        <v/>
      </c>
      <c r="G29" s="3959" t="n"/>
      <c r="H29" s="3961">
        <f>IF(F29="","",F29)</f>
        <v/>
      </c>
      <c r="I29" s="3959">
        <f>IF(H29="","",IF(ABS(H29)&lt;=0.01,"PASS","FAIL"))</f>
        <v/>
      </c>
    </row>
    <row r="30">
      <c r="A30" s="3959" t="inlineStr">
        <is>
          <t>R_CF_FIN</t>
        </is>
      </c>
      <c r="B30" s="3959" t="inlineStr">
        <is>
          <t>Financing cash flow</t>
        </is>
      </c>
      <c r="C30" s="3959" t="n"/>
      <c r="D30" s="3929" t="n"/>
      <c r="E30" s="3929" t="n"/>
      <c r="F30" s="3959">
        <f>IF(OR(D30="",E30=""),"",E30-D30)</f>
        <v/>
      </c>
      <c r="G30" s="3959" t="n"/>
      <c r="H30" s="3961">
        <f>IF(F30="","",F30)</f>
        <v/>
      </c>
      <c r="I30" s="3959">
        <f>IF(H30="","",IF(ABS(H30)&lt;=0.01,"PASS","FAIL"))</f>
        <v/>
      </c>
    </row>
    <row r="31">
      <c r="A31" s="3959" t="inlineStr">
        <is>
          <t>R_CF_OTHER</t>
        </is>
      </c>
      <c r="B31" s="3959" t="inlineStr">
        <is>
          <t>Other CF line</t>
        </is>
      </c>
      <c r="C31" s="3959" t="n"/>
      <c r="D31" s="3929" t="n"/>
      <c r="E31" s="3929" t="n"/>
      <c r="F31" s="3959">
        <f>IF(OR(D31="",E31=""),"",E31-D31)</f>
        <v/>
      </c>
      <c r="G31" s="3959" t="n"/>
      <c r="H31" s="3961">
        <f>IF(F31="","",F31)</f>
        <v/>
      </c>
      <c r="I31" s="3959">
        <f>IF(H31="","",IF(ABS(H31)&lt;=0.01,"PASS","FAIL"))</f>
        <v/>
      </c>
    </row>
    <row r="34">
      <c r="A34" s="3979" t="inlineStr">
        <is>
          <t>Recons | Other</t>
        </is>
      </c>
      <c r="B34" s="3979" t="n"/>
      <c r="C34" s="3979" t="n"/>
      <c r="D34" s="3979" t="n"/>
      <c r="E34" s="3979" t="n"/>
      <c r="F34" s="3979" t="n"/>
      <c r="G34" s="3979" t="n"/>
      <c r="H34" s="3979" t="n"/>
      <c r="I34" s="3979" t="n"/>
    </row>
    <row r="35">
      <c r="A35" s="3923" t="inlineStr">
        <is>
          <t>LineKey</t>
        </is>
      </c>
      <c r="B35" s="3923" t="inlineStr">
        <is>
          <t>$'000</t>
        </is>
      </c>
      <c r="C35" s="3923" t="inlineStr">
        <is>
          <t>TB Account No.</t>
        </is>
      </c>
      <c r="D35" s="3923" t="inlineStr">
        <is>
          <t>Source value</t>
        </is>
      </c>
      <c r="E35" s="3923" t="inlineStr">
        <is>
          <t>Databook value</t>
        </is>
      </c>
      <c r="F35" s="3923" t="inlineStr">
        <is>
          <t>Variance</t>
        </is>
      </c>
      <c r="G35" s="3923" t="inlineStr">
        <is>
          <t>Explanation</t>
        </is>
      </c>
      <c r="H35" s="3923" t="inlineStr">
        <is>
          <t>Check (=0)</t>
        </is>
      </c>
      <c r="I35" s="3923" t="inlineStr">
        <is>
          <t>Status</t>
        </is>
      </c>
    </row>
    <row r="36">
      <c r="A36" s="3959" t="inlineStr">
        <is>
          <t>R_OTH_AR</t>
        </is>
      </c>
      <c r="B36" s="3959" t="inlineStr">
        <is>
          <t>AR aging to BS</t>
        </is>
      </c>
      <c r="C36" s="3959" t="n"/>
      <c r="D36" s="3929" t="n"/>
      <c r="E36" s="3929" t="n"/>
      <c r="F36" s="3959">
        <f>IF(OR(D36="",E36=""),"",E36-D36)</f>
        <v/>
      </c>
      <c r="G36" s="3959" t="n"/>
      <c r="H36" s="3961">
        <f>IF(F36="","",F36)</f>
        <v/>
      </c>
      <c r="I36" s="3959">
        <f>IF(H36="","",IF(ABS(H36)&lt;=0.01,"PASS","FAIL"))</f>
        <v/>
      </c>
    </row>
    <row r="37">
      <c r="A37" s="3959" t="inlineStr">
        <is>
          <t>R_OTH_AP</t>
        </is>
      </c>
      <c r="B37" s="3959" t="inlineStr">
        <is>
          <t>AP aging to BS</t>
        </is>
      </c>
      <c r="C37" s="3959" t="n"/>
      <c r="D37" s="3929" t="n"/>
      <c r="E37" s="3929" t="n"/>
      <c r="F37" s="3959">
        <f>IF(OR(D37="",E37=""),"",E37-D37)</f>
        <v/>
      </c>
      <c r="G37" s="3959" t="n"/>
      <c r="H37" s="3961">
        <f>IF(F37="","",F37)</f>
        <v/>
      </c>
      <c r="I37" s="3959">
        <f>IF(H37="","",IF(ABS(H37)&lt;=0.01,"PASS","FAIL"))</f>
        <v/>
      </c>
    </row>
    <row r="38">
      <c r="A38" s="3959" t="inlineStr">
        <is>
          <t>R_OTH_NWC</t>
        </is>
      </c>
      <c r="B38" s="3959" t="inlineStr">
        <is>
          <t>NWC Summary to NWC Detail</t>
        </is>
      </c>
      <c r="C38" s="3959" t="n"/>
      <c r="D38" s="3929" t="n"/>
      <c r="E38" s="3929" t="n"/>
      <c r="F38" s="3959">
        <f>IF(OR(D38="",E38=""),"",E38-D38)</f>
        <v/>
      </c>
      <c r="G38" s="3959" t="n"/>
      <c r="H38" s="3961">
        <f>IF(F38="","",F38)</f>
        <v/>
      </c>
      <c r="I38" s="3959">
        <f>IF(H38="","",IF(ABS(H38)&lt;=0.01,"PASS","FAIL"))</f>
        <v/>
      </c>
    </row>
    <row r="39">
      <c r="A39" s="3959" t="inlineStr">
        <is>
          <t>R_OTH_ND</t>
        </is>
      </c>
      <c r="B39" s="3959" t="inlineStr">
        <is>
          <t>Net debt to Stratified BS</t>
        </is>
      </c>
      <c r="C39" s="3959" t="n"/>
      <c r="D39" s="3929" t="n"/>
      <c r="E39" s="3929" t="n"/>
      <c r="F39" s="3959">
        <f>IF(OR(D39="",E39=""),"",E39-D39)</f>
        <v/>
      </c>
      <c r="G39" s="3959" t="n"/>
      <c r="H39" s="3961">
        <f>IF(F39="","",F39)</f>
        <v/>
      </c>
      <c r="I39" s="3959">
        <f>IF(H39="","",IF(ABS(H39)&lt;=0.01,"PASS","FAIL"))</f>
        <v/>
      </c>
    </row>
    <row r="40">
      <c r="A40" s="3959" t="inlineStr">
        <is>
          <t>R_OTH_MISC</t>
        </is>
      </c>
      <c r="B40" s="3959" t="inlineStr">
        <is>
          <t>Other tie-out</t>
        </is>
      </c>
      <c r="C40" s="3959" t="n"/>
      <c r="D40" s="3929" t="n"/>
      <c r="E40" s="3929" t="n"/>
      <c r="F40" s="3959">
        <f>IF(OR(D40="",E40=""),"",E40-D40)</f>
        <v/>
      </c>
      <c r="G40" s="3959" t="n"/>
      <c r="H40" s="3961">
        <f>IF(F40="","",F40)</f>
        <v/>
      </c>
      <c r="I40" s="3959">
        <f>IF(H40="","",IF(ABS(H40)&lt;=0.01,"PASS","FAIL"))</f>
        <v/>
      </c>
    </row>
    <row r="43">
      <c r="A43" s="3979" t="inlineStr">
        <is>
          <t>RECONS_CHECKS</t>
        </is>
      </c>
      <c r="B43" s="3979" t="n"/>
      <c r="C43" s="3979" t="n"/>
      <c r="D43" s="3979" t="n"/>
      <c r="E43" s="3979" t="n"/>
      <c r="F43" s="3979" t="n"/>
      <c r="G43" s="3979" t="n"/>
      <c r="H43" s="3979" t="n"/>
      <c r="I43" s="3979" t="n"/>
    </row>
    <row r="44">
      <c r="A44" s="3959" t="inlineStr">
        <is>
          <t>Open recon fails (should be 0)</t>
        </is>
      </c>
      <c r="B44" s="3959" t="n"/>
      <c r="C44" s="3959" t="n"/>
      <c r="D44" s="3959" t="n"/>
      <c r="E44" s="3959" t="n"/>
      <c r="F44" s="3959" t="n"/>
      <c r="G44" s="3959" t="n"/>
      <c r="H44" s="3961">
        <f>COUNTIF(I9:I40,"FAIL")</f>
        <v/>
      </c>
      <c r="I44" s="3959">
        <f>IF(H44=0,"PASS","FAIL")</f>
        <v/>
      </c>
    </row>
    <row r="45">
      <c r="A45" s="3959" t="inlineStr">
        <is>
          <t>Absolute variance sum (should be 0)</t>
        </is>
      </c>
      <c r="B45" s="3959" t="n"/>
      <c r="C45" s="3959" t="n"/>
      <c r="D45" s="3959" t="n"/>
      <c r="E45" s="3959" t="n"/>
      <c r="F45" s="3959" t="n"/>
      <c r="G45" s="3959" t="n"/>
      <c r="H45" s="3961">
        <f>SUMPRODUCT(ABS(F9:F40))</f>
        <v/>
      </c>
      <c r="I45" s="3959">
        <f>IF(H45=0,"PASS","FAIL")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3921" t="inlineStr">
        <is>
          <t>Agings</t>
        </is>
      </c>
    </row>
    <row r="2">
      <c r="A2" s="3978" t="inlineStr">
        <is>
          <t>Source: &lt;document_source&gt;</t>
        </is>
      </c>
    </row>
    <row r="4">
      <c r="A4" s="3983" t="inlineStr">
        <is>
          <t>AR/AP aging scaffolds with canonical buckets and control tie-out checks.</t>
        </is>
      </c>
    </row>
    <row r="7">
      <c r="A7" s="3979" t="inlineStr">
        <is>
          <t>Aging | AR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  <c r="K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Counterparty ID</t>
        </is>
      </c>
      <c r="D8" s="3923" t="inlineStr">
        <is>
          <t>Current</t>
        </is>
      </c>
      <c r="E8" s="3923" t="inlineStr">
        <is>
          <t>1-30</t>
        </is>
      </c>
      <c r="F8" s="3923" t="inlineStr">
        <is>
          <t>31-60</t>
        </is>
      </c>
      <c r="G8" s="3923" t="inlineStr">
        <is>
          <t>61-90</t>
        </is>
      </c>
      <c r="H8" s="3923" t="inlineStr">
        <is>
          <t>91-120</t>
        </is>
      </c>
      <c r="I8" s="3923" t="inlineStr">
        <is>
          <t>&gt;120</t>
        </is>
      </c>
      <c r="J8" s="3923" t="inlineStr">
        <is>
          <t>Total</t>
        </is>
      </c>
      <c r="K8" s="3923" t="inlineStr">
        <is>
          <t>Source</t>
        </is>
      </c>
    </row>
    <row r="9">
      <c r="A9" s="3959" t="inlineStr">
        <is>
          <t>AR_001</t>
        </is>
      </c>
      <c r="B9" s="3959" t="inlineStr">
        <is>
          <t>Top customer 1</t>
        </is>
      </c>
      <c r="C9" s="3959" t="inlineStr">
        <is>
          <t>AR101</t>
        </is>
      </c>
      <c r="D9" s="3929" t="n"/>
      <c r="E9" s="3929" t="n"/>
      <c r="F9" s="3929" t="n"/>
      <c r="G9" s="3929" t="n"/>
      <c r="H9" s="3929" t="n"/>
      <c r="I9" s="3929" t="n"/>
      <c r="J9" s="3959">
        <f>IF(COUNTA(D9:I9)=0,"",SUM(D9:I9))</f>
        <v/>
      </c>
      <c r="K9" s="3959" t="inlineStr">
        <is>
          <t>Input</t>
        </is>
      </c>
    </row>
    <row r="10">
      <c r="A10" s="3959" t="inlineStr">
        <is>
          <t>AR_002</t>
        </is>
      </c>
      <c r="B10" s="3959" t="inlineStr">
        <is>
          <t>Top customer 2</t>
        </is>
      </c>
      <c r="C10" s="3959" t="inlineStr">
        <is>
          <t>AR102</t>
        </is>
      </c>
      <c r="D10" s="3929" t="n"/>
      <c r="E10" s="3929" t="n"/>
      <c r="F10" s="3929" t="n"/>
      <c r="G10" s="3929" t="n"/>
      <c r="H10" s="3929" t="n"/>
      <c r="I10" s="3929" t="n"/>
      <c r="J10" s="3959">
        <f>IF(COUNTA(D10:I10)=0,"",SUM(D10:I10))</f>
        <v/>
      </c>
      <c r="K10" s="3959" t="inlineStr">
        <is>
          <t>Input</t>
        </is>
      </c>
    </row>
    <row r="11">
      <c r="A11" s="3959" t="inlineStr">
        <is>
          <t>AR_003</t>
        </is>
      </c>
      <c r="B11" s="3959" t="inlineStr">
        <is>
          <t>Top customer 3</t>
        </is>
      </c>
      <c r="C11" s="3959" t="inlineStr">
        <is>
          <t>AR103</t>
        </is>
      </c>
      <c r="D11" s="3929" t="n"/>
      <c r="E11" s="3929" t="n"/>
      <c r="F11" s="3929" t="n"/>
      <c r="G11" s="3929" t="n"/>
      <c r="H11" s="3929" t="n"/>
      <c r="I11" s="3929" t="n"/>
      <c r="J11" s="3959">
        <f>IF(COUNTA(D11:I11)=0,"",SUM(D11:I11))</f>
        <v/>
      </c>
      <c r="K11" s="3959" t="inlineStr">
        <is>
          <t>Input</t>
        </is>
      </c>
    </row>
    <row r="12">
      <c r="A12" s="3959" t="inlineStr">
        <is>
          <t>AR_004</t>
        </is>
      </c>
      <c r="B12" s="3959" t="inlineStr">
        <is>
          <t>Top customer 4</t>
        </is>
      </c>
      <c r="C12" s="3959" t="inlineStr">
        <is>
          <t>AR104</t>
        </is>
      </c>
      <c r="D12" s="3929" t="n"/>
      <c r="E12" s="3929" t="n"/>
      <c r="F12" s="3929" t="n"/>
      <c r="G12" s="3929" t="n"/>
      <c r="H12" s="3929" t="n"/>
      <c r="I12" s="3929" t="n"/>
      <c r="J12" s="3959">
        <f>IF(COUNTA(D12:I12)=0,"",SUM(D12:I12))</f>
        <v/>
      </c>
      <c r="K12" s="3959" t="inlineStr">
        <is>
          <t>Input</t>
        </is>
      </c>
    </row>
    <row r="13">
      <c r="A13" s="3959" t="inlineStr">
        <is>
          <t>AR_005</t>
        </is>
      </c>
      <c r="B13" s="3959" t="inlineStr">
        <is>
          <t>Top customer 5</t>
        </is>
      </c>
      <c r="C13" s="3959" t="inlineStr">
        <is>
          <t>AR105</t>
        </is>
      </c>
      <c r="D13" s="3929" t="n"/>
      <c r="E13" s="3929" t="n"/>
      <c r="F13" s="3929" t="n"/>
      <c r="G13" s="3929" t="n"/>
      <c r="H13" s="3929" t="n"/>
      <c r="I13" s="3929" t="n"/>
      <c r="J13" s="3959">
        <f>IF(COUNTA(D13:I13)=0,"",SUM(D13:I13))</f>
        <v/>
      </c>
      <c r="K13" s="3959" t="inlineStr">
        <is>
          <t>Input</t>
        </is>
      </c>
    </row>
    <row r="14">
      <c r="A14" s="3959" t="inlineStr">
        <is>
          <t>AR_006</t>
        </is>
      </c>
      <c r="B14" s="3959" t="inlineStr">
        <is>
          <t>Top customer 6</t>
        </is>
      </c>
      <c r="C14" s="3959" t="inlineStr">
        <is>
          <t>AR106</t>
        </is>
      </c>
      <c r="D14" s="3929" t="n"/>
      <c r="E14" s="3929" t="n"/>
      <c r="F14" s="3929" t="n"/>
      <c r="G14" s="3929" t="n"/>
      <c r="H14" s="3929" t="n"/>
      <c r="I14" s="3929" t="n"/>
      <c r="J14" s="3959">
        <f>IF(COUNTA(D14:I14)=0,"",SUM(D14:I14))</f>
        <v/>
      </c>
      <c r="K14" s="3959" t="inlineStr">
        <is>
          <t>Input</t>
        </is>
      </c>
    </row>
    <row r="15">
      <c r="A15" s="3959" t="inlineStr">
        <is>
          <t>AR_TOTAL</t>
        </is>
      </c>
      <c r="B15" s="3959" t="inlineStr">
        <is>
          <t>Total AR aging</t>
        </is>
      </c>
      <c r="C15" s="3959" t="n"/>
      <c r="D15" s="3959" t="n"/>
      <c r="E15" s="3959" t="n"/>
      <c r="F15" s="3959" t="n"/>
      <c r="G15" s="3959" t="n"/>
      <c r="H15" s="3959" t="n"/>
      <c r="I15" s="3959" t="n"/>
      <c r="J15" s="3959">
        <f>IF(COUNT(J9:J14)=0,"",SUM(J9:J14))</f>
        <v/>
      </c>
      <c r="K15" s="3959" t="inlineStr">
        <is>
          <t>Formula</t>
        </is>
      </c>
    </row>
    <row r="16">
      <c r="A16" s="3979" t="inlineStr">
        <is>
          <t>AGING_AR_CHECKS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  <c r="J16" s="3979" t="n"/>
      <c r="K16" s="3979" t="n"/>
    </row>
    <row r="17">
      <c r="A17" s="3959" t="inlineStr">
        <is>
          <t>AR aging tie-out vs AR control</t>
        </is>
      </c>
      <c r="B17" s="3959" t="n"/>
      <c r="C17" s="3959" t="n"/>
      <c r="D17" s="3959" t="n"/>
      <c r="E17" s="3959" t="n"/>
      <c r="F17" s="3959" t="n"/>
      <c r="G17" s="3959" t="n"/>
      <c r="H17" s="3959" t="n"/>
      <c r="I17" s="3959" t="n"/>
      <c r="J17" s="3961">
        <f>IF(OR(J15="",J18=""),"",J15-J18)</f>
        <v/>
      </c>
      <c r="K17" s="3959" t="inlineStr">
        <is>
          <t>Should be 0</t>
        </is>
      </c>
    </row>
    <row r="18">
      <c r="A18" s="3959" t="inlineStr">
        <is>
          <t>AR_CONTROL</t>
        </is>
      </c>
      <c r="B18" s="3959" t="inlineStr">
        <is>
          <t>AR control account (from Combined | BS)</t>
        </is>
      </c>
      <c r="C18" s="3959" t="n"/>
      <c r="D18" s="3959" t="n"/>
      <c r="E18" s="3959" t="n"/>
      <c r="F18" s="3959" t="n"/>
      <c r="G18" s="3959" t="n"/>
      <c r="H18" s="3959" t="n"/>
      <c r="I18" s="3959" t="n"/>
      <c r="J18" s="3929" t="n"/>
      <c r="K18" s="3959" t="inlineStr">
        <is>
          <t>Input/Link</t>
        </is>
      </c>
    </row>
    <row r="19">
      <c r="A19" s="3984" t="n"/>
      <c r="B19" s="3984" t="n"/>
      <c r="C19" s="3984" t="n"/>
      <c r="D19" s="3984" t="n"/>
      <c r="E19" s="3984" t="n"/>
      <c r="F19" s="3984" t="n"/>
      <c r="G19" s="3984" t="n"/>
      <c r="H19" s="3984" t="n"/>
      <c r="I19" s="3984" t="n"/>
      <c r="J19" s="3984" t="n"/>
      <c r="K19" s="3984" t="n"/>
    </row>
    <row r="20">
      <c r="A20" s="3984" t="n"/>
      <c r="B20" s="3984" t="n"/>
      <c r="C20" s="3984" t="n"/>
      <c r="D20" s="3984" t="n"/>
      <c r="E20" s="3984" t="n"/>
      <c r="F20" s="3984" t="n"/>
      <c r="G20" s="3984" t="n"/>
      <c r="H20" s="3984" t="n"/>
      <c r="I20" s="3984" t="n"/>
      <c r="J20" s="3984" t="n"/>
      <c r="K20" s="3984" t="n"/>
    </row>
    <row r="21">
      <c r="A21" s="3984" t="n"/>
      <c r="B21" s="3984" t="n"/>
      <c r="C21" s="3984" t="n"/>
      <c r="D21" s="3984" t="n"/>
      <c r="E21" s="3984" t="n"/>
      <c r="F21" s="3984" t="n"/>
      <c r="G21" s="3984" t="n"/>
      <c r="H21" s="3984" t="n"/>
      <c r="I21" s="3984" t="n"/>
      <c r="J21" s="3984" t="n"/>
      <c r="K21" s="3984" t="n"/>
    </row>
    <row r="22">
      <c r="A22" s="3984" t="n"/>
      <c r="B22" s="3984" t="n"/>
      <c r="C22" s="3984" t="n"/>
      <c r="D22" s="3984" t="n"/>
      <c r="E22" s="3984" t="n"/>
      <c r="F22" s="3984" t="n"/>
      <c r="G22" s="3984" t="n"/>
      <c r="H22" s="3984" t="n"/>
      <c r="I22" s="3984" t="n"/>
      <c r="J22" s="3984" t="n"/>
      <c r="K22" s="3984" t="n"/>
    </row>
    <row r="23">
      <c r="A23" s="3979" t="inlineStr">
        <is>
          <t>Aging | AP</t>
        </is>
      </c>
      <c r="B23" s="3979" t="n"/>
      <c r="C23" s="3979" t="n"/>
      <c r="D23" s="3979" t="n"/>
      <c r="E23" s="3979" t="n"/>
      <c r="F23" s="3979" t="n"/>
      <c r="G23" s="3979" t="n"/>
      <c r="H23" s="3979" t="n"/>
      <c r="I23" s="3979" t="n"/>
      <c r="J23" s="3979" t="n"/>
      <c r="K23" s="3979" t="n"/>
    </row>
    <row r="24">
      <c r="A24" s="3923" t="inlineStr">
        <is>
          <t>LineKey</t>
        </is>
      </c>
      <c r="B24" s="3923" t="inlineStr">
        <is>
          <t>$'000</t>
        </is>
      </c>
      <c r="C24" s="3923" t="inlineStr">
        <is>
          <t>Counterparty ID</t>
        </is>
      </c>
      <c r="D24" s="3923" t="inlineStr">
        <is>
          <t>Current</t>
        </is>
      </c>
      <c r="E24" s="3923" t="inlineStr">
        <is>
          <t>1-30</t>
        </is>
      </c>
      <c r="F24" s="3923" t="inlineStr">
        <is>
          <t>31-60</t>
        </is>
      </c>
      <c r="G24" s="3923" t="inlineStr">
        <is>
          <t>61-90</t>
        </is>
      </c>
      <c r="H24" s="3923" t="inlineStr">
        <is>
          <t>91-120</t>
        </is>
      </c>
      <c r="I24" s="3923" t="inlineStr">
        <is>
          <t>&gt;120</t>
        </is>
      </c>
      <c r="J24" s="3923" t="inlineStr">
        <is>
          <t>Total</t>
        </is>
      </c>
      <c r="K24" s="3923" t="inlineStr">
        <is>
          <t>Source</t>
        </is>
      </c>
    </row>
    <row r="25">
      <c r="A25" s="3959" t="inlineStr">
        <is>
          <t>AP_001</t>
        </is>
      </c>
      <c r="B25" s="3959" t="inlineStr">
        <is>
          <t>Top vendor 1</t>
        </is>
      </c>
      <c r="C25" s="3959" t="inlineStr">
        <is>
          <t>AP101</t>
        </is>
      </c>
      <c r="D25" s="3929" t="n"/>
      <c r="E25" s="3929" t="n"/>
      <c r="F25" s="3929" t="n"/>
      <c r="G25" s="3929" t="n"/>
      <c r="H25" s="3929" t="n"/>
      <c r="I25" s="3929" t="n"/>
      <c r="J25" s="3959">
        <f>IF(COUNTA(D25:I25)=0,"",SUM(D25:I25))</f>
        <v/>
      </c>
      <c r="K25" s="3959" t="inlineStr">
        <is>
          <t>Input</t>
        </is>
      </c>
    </row>
    <row r="26">
      <c r="A26" s="3959" t="inlineStr">
        <is>
          <t>AP_002</t>
        </is>
      </c>
      <c r="B26" s="3959" t="inlineStr">
        <is>
          <t>Top vendor 2</t>
        </is>
      </c>
      <c r="C26" s="3959" t="inlineStr">
        <is>
          <t>AP102</t>
        </is>
      </c>
      <c r="D26" s="3929" t="n"/>
      <c r="E26" s="3929" t="n"/>
      <c r="F26" s="3929" t="n"/>
      <c r="G26" s="3929" t="n"/>
      <c r="H26" s="3929" t="n"/>
      <c r="I26" s="3929" t="n"/>
      <c r="J26" s="3959">
        <f>IF(COUNTA(D26:I26)=0,"",SUM(D26:I26))</f>
        <v/>
      </c>
      <c r="K26" s="3959" t="inlineStr">
        <is>
          <t>Input</t>
        </is>
      </c>
    </row>
    <row r="27">
      <c r="A27" s="3959" t="inlineStr">
        <is>
          <t>AP_003</t>
        </is>
      </c>
      <c r="B27" s="3959" t="inlineStr">
        <is>
          <t>Top vendor 3</t>
        </is>
      </c>
      <c r="C27" s="3959" t="inlineStr">
        <is>
          <t>AP103</t>
        </is>
      </c>
      <c r="D27" s="3929" t="n"/>
      <c r="E27" s="3929" t="n"/>
      <c r="F27" s="3929" t="n"/>
      <c r="G27" s="3929" t="n"/>
      <c r="H27" s="3929" t="n"/>
      <c r="I27" s="3929" t="n"/>
      <c r="J27" s="3959">
        <f>IF(COUNTA(D27:I27)=0,"",SUM(D27:I27))</f>
        <v/>
      </c>
      <c r="K27" s="3959" t="inlineStr">
        <is>
          <t>Input</t>
        </is>
      </c>
    </row>
    <row r="28">
      <c r="A28" s="3959" t="inlineStr">
        <is>
          <t>AP_004</t>
        </is>
      </c>
      <c r="B28" s="3959" t="inlineStr">
        <is>
          <t>Top vendor 4</t>
        </is>
      </c>
      <c r="C28" s="3959" t="inlineStr">
        <is>
          <t>AP104</t>
        </is>
      </c>
      <c r="D28" s="3929" t="n"/>
      <c r="E28" s="3929" t="n"/>
      <c r="F28" s="3929" t="n"/>
      <c r="G28" s="3929" t="n"/>
      <c r="H28" s="3929" t="n"/>
      <c r="I28" s="3929" t="n"/>
      <c r="J28" s="3959">
        <f>IF(COUNTA(D28:I28)=0,"",SUM(D28:I28))</f>
        <v/>
      </c>
      <c r="K28" s="3959" t="inlineStr">
        <is>
          <t>Input</t>
        </is>
      </c>
    </row>
    <row r="29">
      <c r="A29" s="3959" t="inlineStr">
        <is>
          <t>AP_005</t>
        </is>
      </c>
      <c r="B29" s="3959" t="inlineStr">
        <is>
          <t>Top vendor 5</t>
        </is>
      </c>
      <c r="C29" s="3959" t="inlineStr">
        <is>
          <t>AP105</t>
        </is>
      </c>
      <c r="D29" s="3929" t="n"/>
      <c r="E29" s="3929" t="n"/>
      <c r="F29" s="3929" t="n"/>
      <c r="G29" s="3929" t="n"/>
      <c r="H29" s="3929" t="n"/>
      <c r="I29" s="3929" t="n"/>
      <c r="J29" s="3959">
        <f>IF(COUNTA(D29:I29)=0,"",SUM(D29:I29))</f>
        <v/>
      </c>
      <c r="K29" s="3959" t="inlineStr">
        <is>
          <t>Input</t>
        </is>
      </c>
    </row>
    <row r="30">
      <c r="A30" s="3959" t="inlineStr">
        <is>
          <t>AP_006</t>
        </is>
      </c>
      <c r="B30" s="3959" t="inlineStr">
        <is>
          <t>Top vendor 6</t>
        </is>
      </c>
      <c r="C30" s="3959" t="inlineStr">
        <is>
          <t>AP106</t>
        </is>
      </c>
      <c r="D30" s="3929" t="n"/>
      <c r="E30" s="3929" t="n"/>
      <c r="F30" s="3929" t="n"/>
      <c r="G30" s="3929" t="n"/>
      <c r="H30" s="3929" t="n"/>
      <c r="I30" s="3929" t="n"/>
      <c r="J30" s="3959">
        <f>IF(COUNTA(D30:I30)=0,"",SUM(D30:I30))</f>
        <v/>
      </c>
      <c r="K30" s="3959" t="inlineStr">
        <is>
          <t>Input</t>
        </is>
      </c>
    </row>
    <row r="31">
      <c r="A31" s="3959" t="inlineStr">
        <is>
          <t>AP_TOTAL</t>
        </is>
      </c>
      <c r="B31" s="3959" t="inlineStr">
        <is>
          <t>Total AP aging</t>
        </is>
      </c>
      <c r="C31" s="3959" t="n"/>
      <c r="D31" s="3959" t="n"/>
      <c r="E31" s="3959" t="n"/>
      <c r="F31" s="3959" t="n"/>
      <c r="G31" s="3959" t="n"/>
      <c r="H31" s="3959" t="n"/>
      <c r="I31" s="3959" t="n"/>
      <c r="J31" s="3959">
        <f>IF(COUNT(J25:J30)=0,"",SUM(J25:J30))</f>
        <v/>
      </c>
      <c r="K31" s="3959" t="inlineStr">
        <is>
          <t>Formula</t>
        </is>
      </c>
    </row>
    <row r="32">
      <c r="A32" s="3979" t="inlineStr">
        <is>
          <t>AGING_AP_CHECKS</t>
        </is>
      </c>
      <c r="B32" s="3979" t="n"/>
      <c r="C32" s="3979" t="n"/>
      <c r="D32" s="3979" t="n"/>
      <c r="E32" s="3979" t="n"/>
      <c r="F32" s="3979" t="n"/>
      <c r="G32" s="3979" t="n"/>
      <c r="H32" s="3979" t="n"/>
      <c r="I32" s="3979" t="n"/>
      <c r="J32" s="3979" t="n"/>
      <c r="K32" s="3979" t="n"/>
    </row>
    <row r="33">
      <c r="A33" s="3959" t="inlineStr">
        <is>
          <t>AP aging tie-out vs AP control</t>
        </is>
      </c>
      <c r="B33" s="3959" t="n"/>
      <c r="C33" s="3959" t="n"/>
      <c r="D33" s="3959" t="n"/>
      <c r="E33" s="3959" t="n"/>
      <c r="F33" s="3959" t="n"/>
      <c r="G33" s="3959" t="n"/>
      <c r="H33" s="3959" t="n"/>
      <c r="I33" s="3959" t="n"/>
      <c r="J33" s="3961">
        <f>IF(OR(J31="",J34=""),"",J31-J34)</f>
        <v/>
      </c>
      <c r="K33" s="3959" t="inlineStr">
        <is>
          <t>Should be 0</t>
        </is>
      </c>
    </row>
    <row r="34">
      <c r="A34" s="3959" t="inlineStr">
        <is>
          <t>AP_CONTROL</t>
        </is>
      </c>
      <c r="B34" s="3959" t="inlineStr">
        <is>
          <t>AP control account (from Combined | BS)</t>
        </is>
      </c>
      <c r="C34" s="3959" t="n"/>
      <c r="D34" s="3959" t="n"/>
      <c r="E34" s="3959" t="n"/>
      <c r="F34" s="3959" t="n"/>
      <c r="G34" s="3959" t="n"/>
      <c r="H34" s="3959" t="n"/>
      <c r="I34" s="3959" t="n"/>
      <c r="J34" s="3929" t="n"/>
      <c r="K34" s="3959" t="inlineStr">
        <is>
          <t>Input/Link</t>
        </is>
      </c>
    </row>
    <row r="35">
      <c r="A35" s="3984" t="n"/>
      <c r="B35" s="3984" t="n"/>
      <c r="C35" s="3984" t="n"/>
      <c r="D35" s="3984" t="n"/>
      <c r="E35" s="3984" t="n"/>
      <c r="F35" s="3984" t="n"/>
      <c r="G35" s="3984" t="n"/>
      <c r="H35" s="3984" t="n"/>
      <c r="I35" s="3984" t="n"/>
      <c r="J35" s="3984" t="n"/>
      <c r="K35" s="3984" t="n"/>
    </row>
    <row r="36">
      <c r="A36" s="3984" t="n"/>
      <c r="B36" s="3984" t="n"/>
      <c r="C36" s="3984" t="n"/>
      <c r="D36" s="3984" t="n"/>
      <c r="E36" s="3984" t="n"/>
      <c r="F36" s="3984" t="n"/>
      <c r="G36" s="3984" t="n"/>
      <c r="H36" s="3984" t="n"/>
      <c r="I36" s="3984" t="n"/>
      <c r="J36" s="3984" t="n"/>
      <c r="K36" s="3984" t="n"/>
    </row>
    <row r="37">
      <c r="A37" s="3984" t="n"/>
      <c r="B37" s="3984" t="n"/>
      <c r="C37" s="3984" t="n"/>
      <c r="D37" s="3984" t="n"/>
      <c r="E37" s="3984" t="n"/>
      <c r="F37" s="3984" t="n"/>
      <c r="G37" s="3984" t="n"/>
      <c r="H37" s="3984" t="n"/>
      <c r="I37" s="3984" t="n"/>
      <c r="J37" s="3984" t="n"/>
      <c r="K37" s="3984" t="n"/>
    </row>
    <row r="38">
      <c r="A38" s="3984" t="n"/>
      <c r="B38" s="3984" t="n"/>
      <c r="C38" s="3984" t="n"/>
      <c r="D38" s="3984" t="n"/>
      <c r="E38" s="3984" t="n"/>
      <c r="F38" s="3984" t="n"/>
      <c r="G38" s="3984" t="n"/>
      <c r="H38" s="3984" t="n"/>
      <c r="I38" s="3984" t="n"/>
      <c r="J38" s="3984" t="n"/>
      <c r="K38" s="3984" t="n"/>
    </row>
    <row r="39">
      <c r="A39" s="3979" t="inlineStr">
        <is>
          <t>AGING_CHECKS</t>
        </is>
      </c>
      <c r="B39" s="3979" t="n"/>
      <c r="C39" s="3979" t="n"/>
      <c r="D39" s="3979" t="n"/>
      <c r="E39" s="3979" t="n"/>
      <c r="F39" s="3979" t="n"/>
      <c r="G39" s="3979" t="n"/>
      <c r="H39" s="3979" t="n"/>
      <c r="I39" s="3979" t="n"/>
      <c r="J39" s="3979" t="n"/>
      <c r="K39" s="3979" t="n"/>
    </row>
    <row r="40">
      <c r="A40" s="3959" t="inlineStr">
        <is>
          <t>Combined AR/AP tie-out check</t>
        </is>
      </c>
      <c r="B40" s="3959" t="n"/>
      <c r="C40" s="3959" t="n"/>
      <c r="D40" s="3959" t="n"/>
      <c r="E40" s="3959" t="n"/>
      <c r="F40" s="3959" t="n"/>
      <c r="G40" s="3959" t="n"/>
      <c r="H40" s="3959" t="n"/>
      <c r="I40" s="3959" t="n"/>
      <c r="J40" s="3961">
        <f>IF(OR(J17="",J33=""),"",J17+J33)</f>
        <v/>
      </c>
      <c r="K40" s="3959" t="inlineStr">
        <is>
          <t>Should be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2026-02-18T19:43:42Z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